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Metrik Per Kasus" sheetId="2" state="visible" r:id="rId2"/>
    <sheet name="Perhitungan Detail" sheetId="3" state="visible" r:id="rId3"/>
    <sheet name="Respons A vs B" sheetId="4" state="visible" r:id="rId4"/>
    <sheet name="Chunk &amp; Sumber" sheetId="5" state="visible" r:id="rId5"/>
    <sheet name="Uncertainty-Contradiction" sheetId="6" state="visible" r:id="rId6"/>
    <sheet name="Entailment Detail" sheetId="7" state="visible" r:id="rId7"/>
    <sheet name="Leksikon"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9"/>
      </patternFill>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6" customWidth="1" min="1" max="1"/>
    <col width="22" customWidth="1" min="2" max="2"/>
    <col width="22" customWidth="1" min="3" max="3"/>
    <col width="18" customWidth="1" min="4" max="4"/>
    <col width="30" customWidth="1" min="5" max="5"/>
  </cols>
  <sheetData>
    <row r="1">
      <c r="A1" s="1" t="inlineStr">
        <is>
          <t>KONFIGURASI EVALUASI (revisi pasca-sidang)</t>
        </is>
      </c>
    </row>
    <row r="2">
      <c r="A2" t="inlineStr">
        <is>
          <t>model_llm</t>
        </is>
      </c>
      <c r="B2" t="inlineStr">
        <is>
          <t>ollama/llama3</t>
        </is>
      </c>
    </row>
    <row r="3">
      <c r="A3" t="inlineStr">
        <is>
          <t>model_embedding</t>
        </is>
      </c>
      <c r="B3" t="inlineStr">
        <is>
          <t>ollama/nomic-embed-text (768 dim)</t>
        </is>
      </c>
    </row>
    <row r="4">
      <c r="A4" t="inlineStr">
        <is>
          <t>K (Top-K)</t>
        </is>
      </c>
      <c r="B4" t="inlineStr">
        <is>
          <t>6</t>
        </is>
      </c>
    </row>
    <row r="5">
      <c r="A5" t="inlineStr">
        <is>
          <t>θ  (Precision/Recall, Pers. 2 &amp; 4)</t>
        </is>
      </c>
      <c r="B5" t="inlineStr">
        <is>
          <t>0.25</t>
        </is>
      </c>
    </row>
    <row r="6">
      <c r="A6" t="inlineStr">
        <is>
          <t>θc (Coverage, Pers. 8)</t>
        </is>
      </c>
      <c r="B6" t="inlineStr">
        <is>
          <t>0.35</t>
        </is>
      </c>
    </row>
    <row r="7">
      <c r="A7" t="inlineStr">
        <is>
          <t>ukuran chunk (char)</t>
        </is>
      </c>
      <c r="B7" t="inlineStr">
        <is>
          <t>1200</t>
        </is>
      </c>
    </row>
    <row r="8">
      <c r="A8" t="inlineStr">
        <is>
          <t>konteks per chunk di prompt (char)</t>
        </is>
      </c>
      <c r="B8" t="inlineStr">
        <is>
          <t>600</t>
        </is>
      </c>
    </row>
    <row r="9">
      <c r="A9" t="inlineStr">
        <is>
          <t>bobot Faithfulness</t>
        </is>
      </c>
      <c r="B9" t="inlineStr">
        <is>
          <t>0,70×Entailment + 0,30×KWoverlap (Pers. 15)</t>
        </is>
      </c>
    </row>
    <row r="10">
      <c r="A10" t="inlineStr">
        <is>
          <t>bobot HallRisk</t>
        </is>
      </c>
      <c r="B10" t="inlineStr">
        <is>
          <t>0,65×(1-F) + 0,20×Contradiction + 0,15×Uncertainty (Pers. 18)</t>
        </is>
      </c>
    </row>
    <row r="11">
      <c r="A11" t="inlineStr">
        <is>
          <t>Kondisi B</t>
        </is>
      </c>
      <c r="B11" t="inlineStr">
        <is>
          <t>prompt buta Lampiran 4 (tanpa RAG/profil/instruksi)</t>
        </is>
      </c>
    </row>
    <row r="12">
      <c r="A12" t="inlineStr">
        <is>
          <t>jumlah kasus</t>
        </is>
      </c>
      <c r="B12" t="inlineStr">
        <is>
          <t>210</t>
        </is>
      </c>
    </row>
    <row r="13">
      <c r="A13" t="inlineStr">
        <is>
          <t>timestamp</t>
        </is>
      </c>
      <c r="B13" t="inlineStr">
        <is>
          <t>20260719_213118</t>
        </is>
      </c>
    </row>
    <row r="15">
      <c r="A15" s="1" t="inlineStr">
        <is>
          <t>METRIK RETRIEVAL — KONDISI A (Pers. 2, 4, 6, 8, 10)</t>
        </is>
      </c>
    </row>
    <row r="16">
      <c r="A16" t="inlineStr">
        <is>
          <t>Precision@K (θ=0,25)</t>
        </is>
      </c>
      <c r="B16" t="n">
        <v>1</v>
      </c>
    </row>
    <row r="17">
      <c r="A17" t="inlineStr">
        <is>
          <t>Recall@K (θ=0,25)</t>
        </is>
      </c>
      <c r="B17" t="n">
        <v>0.9512</v>
      </c>
    </row>
    <row r="18">
      <c r="A18" t="inlineStr">
        <is>
          <t>Mean Similarity</t>
        </is>
      </c>
      <c r="B18" t="n">
        <v>0.7489</v>
      </c>
    </row>
    <row r="19">
      <c r="A19" t="inlineStr">
        <is>
          <t>Coverage (θc=0,35)</t>
        </is>
      </c>
      <c r="B19" t="n">
        <v>1</v>
      </c>
    </row>
    <row r="20">
      <c r="A20" t="inlineStr">
        <is>
          <t>Source Diversity</t>
        </is>
      </c>
      <c r="B20" t="n">
        <v>0.7881</v>
      </c>
    </row>
    <row r="22">
      <c r="A22" s="1" t="inlineStr">
        <is>
          <t>PERBANDINGAN GENERASI — KONDISI A vs B</t>
        </is>
      </c>
    </row>
    <row r="23">
      <c r="A23" s="2" t="inlineStr">
        <is>
          <t>Metrik</t>
        </is>
      </c>
      <c r="B23" s="2" t="inlineStr">
        <is>
          <t>Kondisi A (RAG)</t>
        </is>
      </c>
      <c r="C23" s="2" t="inlineStr">
        <is>
          <t>Kondisi B (tanpa RAG)</t>
        </is>
      </c>
      <c r="D23" s="2" t="inlineStr">
        <is>
          <t>Delta (A-B)</t>
        </is>
      </c>
      <c r="E23" s="2" t="inlineStr">
        <is>
          <t>Hipotesis</t>
        </is>
      </c>
    </row>
    <row r="24">
      <c r="A24" t="inlineStr">
        <is>
          <t>Faithfulness</t>
        </is>
      </c>
      <c r="B24" t="n">
        <v>0.6871</v>
      </c>
      <c r="C24" t="n">
        <v>0.641</v>
      </c>
      <c r="D24" t="n">
        <v>0.0461</v>
      </c>
      <c r="E24" t="inlineStr">
        <is>
          <t>A &gt; B (TERPENUHI)</t>
        </is>
      </c>
    </row>
    <row r="25">
      <c r="A25" t="inlineStr">
        <is>
          <t>Hallucination Risk</t>
        </is>
      </c>
      <c r="B25" t="n">
        <v>0.2085</v>
      </c>
      <c r="C25" t="n">
        <v>0.2378</v>
      </c>
      <c r="D25" t="n">
        <v>-0.0293</v>
      </c>
      <c r="E25" t="inlineStr">
        <is>
          <t>A &lt; B (TERPENUHI)</t>
        </is>
      </c>
    </row>
    <row r="26">
      <c r="A26" t="inlineStr">
        <is>
          <t>Answer Accuracy</t>
        </is>
      </c>
      <c r="B26" t="n">
        <v>0.8962</v>
      </c>
      <c r="C26" t="n">
        <v>0.9157999999999999</v>
      </c>
      <c r="D26" t="n">
        <v>-0.0196</v>
      </c>
      <c r="E26" t="inlineStr">
        <is>
          <t>A &gt; B (TIDAK TERPENUHI)</t>
        </is>
      </c>
    </row>
    <row r="28">
      <c r="A28" s="1" t="inlineStr">
        <is>
          <t>DISTRIBUSI RISIKO HALUSINASI</t>
        </is>
      </c>
    </row>
    <row r="29">
      <c r="A29" t="inlineStr">
        <is>
          <t>Kategori</t>
        </is>
      </c>
      <c r="B29" t="inlineStr">
        <is>
          <t>A (n)</t>
        </is>
      </c>
      <c r="C29" t="inlineStr">
        <is>
          <t>A (%)</t>
        </is>
      </c>
      <c r="D29" t="inlineStr">
        <is>
          <t>B (n)</t>
        </is>
      </c>
      <c r="E29" t="inlineStr">
        <is>
          <t>B (%)</t>
        </is>
      </c>
    </row>
    <row r="30">
      <c r="A30" t="inlineStr">
        <is>
          <t>RENDAH</t>
        </is>
      </c>
      <c r="B30" t="n">
        <v>185</v>
      </c>
      <c r="C30" t="n">
        <v>88.09999999999999</v>
      </c>
      <c r="D30" t="n">
        <v>168</v>
      </c>
      <c r="E30" t="n">
        <v>80</v>
      </c>
    </row>
    <row r="31">
      <c r="A31" t="inlineStr">
        <is>
          <t>SEDANG</t>
        </is>
      </c>
      <c r="B31" t="n">
        <v>22</v>
      </c>
      <c r="C31" t="n">
        <v>10.5</v>
      </c>
      <c r="D31" t="n">
        <v>40</v>
      </c>
      <c r="E31" t="n">
        <v>19</v>
      </c>
    </row>
    <row r="32">
      <c r="A32" t="inlineStr">
        <is>
          <t>TINGGI</t>
        </is>
      </c>
      <c r="B32" t="n">
        <v>3</v>
      </c>
      <c r="C32" t="n">
        <v>1.4</v>
      </c>
      <c r="D32" t="n">
        <v>2</v>
      </c>
      <c r="E32" t="n">
        <v>1</v>
      </c>
    </row>
    <row r="34">
      <c r="A34" s="1" t="inlineStr">
        <is>
          <t>EFFECT SIZE &amp; PERBAIKAN RELATIF</t>
        </is>
      </c>
    </row>
    <row r="35">
      <c r="A35" t="inlineStr">
        <is>
          <t>Cohen's d (Faithfulness)</t>
        </is>
      </c>
      <c r="B35" t="n">
        <v>0.2923</v>
      </c>
    </row>
    <row r="36">
      <c r="A36" t="inlineStr">
        <is>
          <t>Faithfulness improvement (%)</t>
        </is>
      </c>
      <c r="B36" t="n">
        <v>7.19</v>
      </c>
    </row>
    <row r="37">
      <c r="A37" t="inlineStr">
        <is>
          <t>Hallucination reduction (%)</t>
        </is>
      </c>
      <c r="B37" t="n">
        <v>12.32</v>
      </c>
    </row>
    <row r="38">
      <c r="A38" t="inlineStr">
        <is>
          <t>Jumlah kasus uji dievaluasi</t>
        </is>
      </c>
      <c r="B38" t="n">
        <v>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1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8" customWidth="1" min="3" max="3"/>
    <col width="46" customWidth="1" min="4" max="4"/>
    <col width="8" customWidth="1" min="5" max="5"/>
    <col width="8" customWidth="1" min="6" max="6"/>
    <col width="9" customWidth="1" min="7" max="7"/>
    <col width="9" customWidth="1" min="8" max="8"/>
    <col width="9" customWidth="1" min="9" max="9"/>
    <col width="40" customWidth="1" min="10" max="10"/>
    <col width="13" customWidth="1" min="11" max="11"/>
    <col width="12" customWidth="1" min="12" max="12"/>
    <col width="12" customWidth="1" min="13" max="13"/>
    <col width="10" customWidth="1" min="14" max="14"/>
    <col width="9" customWidth="1" min="15" max="15"/>
    <col width="13" customWidth="1" min="16" max="16"/>
    <col width="12" customWidth="1" min="17" max="17"/>
    <col width="8" customWidth="1" min="18" max="18"/>
    <col width="13" customWidth="1" min="19" max="19"/>
    <col width="12" customWidth="1" min="20" max="20"/>
    <col width="12" customWidth="1" min="21" max="21"/>
    <col width="10" customWidth="1" min="22" max="22"/>
    <col width="9" customWidth="1" min="23" max="23"/>
    <col width="13" customWidth="1" min="24" max="24"/>
    <col width="12" customWidth="1" min="25" max="25"/>
    <col width="8" customWidth="1" min="26" max="26"/>
    <col width="13" customWidth="1" min="27" max="27"/>
    <col width="10" customWidth="1" min="28" max="28"/>
  </cols>
  <sheetData>
    <row r="1">
      <c r="A1" s="1" t="inlineStr">
        <is>
          <t>test_id</t>
        </is>
      </c>
      <c r="B1" s="1" t="inlineStr">
        <is>
          <t>kategori</t>
        </is>
      </c>
      <c r="C1" s="1" t="inlineStr">
        <is>
          <t>kognitif</t>
        </is>
      </c>
      <c r="D1" s="1" t="inlineStr">
        <is>
          <t>query (cuplikan)</t>
        </is>
      </c>
      <c r="E1" s="1" t="inlineStr">
        <is>
          <t>P@K</t>
        </is>
      </c>
      <c r="F1" s="1" t="inlineStr">
        <is>
          <t>R@K</t>
        </is>
      </c>
      <c r="G1" s="1" t="inlineStr">
        <is>
          <t>MeanSim</t>
        </is>
      </c>
      <c r="H1" s="1" t="inlineStr">
        <is>
          <t>Coverage</t>
        </is>
      </c>
      <c r="I1" s="1" t="inlineStr">
        <is>
          <t>SourceDiv</t>
        </is>
      </c>
      <c r="J1" s="1" t="inlineStr">
        <is>
          <t>sumber unik (Diversity)</t>
        </is>
      </c>
      <c r="K1" s="1" t="inlineStr">
        <is>
          <t>A_Faithfulness</t>
        </is>
      </c>
      <c r="L1" s="1" t="inlineStr">
        <is>
          <t>A_Entailment</t>
        </is>
      </c>
      <c r="M1" s="1" t="inlineStr">
        <is>
          <t>A_KWoverlap</t>
        </is>
      </c>
      <c r="N1" s="1" t="inlineStr">
        <is>
          <t>A_HallRisk</t>
        </is>
      </c>
      <c r="O1" s="1" t="inlineStr">
        <is>
          <t>A_Label</t>
        </is>
      </c>
      <c r="P1" s="1" t="inlineStr">
        <is>
          <t>A_Contradiction</t>
        </is>
      </c>
      <c r="Q1" s="1" t="inlineStr">
        <is>
          <t>A_Uncertainty</t>
        </is>
      </c>
      <c r="R1" s="1" t="inlineStr">
        <is>
          <t>A_Benar</t>
        </is>
      </c>
      <c r="S1" s="1" t="inlineStr">
        <is>
          <t>B_Faithfulness</t>
        </is>
      </c>
      <c r="T1" s="1" t="inlineStr">
        <is>
          <t>B_Entailment</t>
        </is>
      </c>
      <c r="U1" s="1" t="inlineStr">
        <is>
          <t>B_KWoverlap</t>
        </is>
      </c>
      <c r="V1" s="1" t="inlineStr">
        <is>
          <t>B_HallRisk</t>
        </is>
      </c>
      <c r="W1" s="1" t="inlineStr">
        <is>
          <t>B_Label</t>
        </is>
      </c>
      <c r="X1" s="1" t="inlineStr">
        <is>
          <t>B_Contradiction</t>
        </is>
      </c>
      <c r="Y1" s="1" t="inlineStr">
        <is>
          <t>B_Uncertainty</t>
        </is>
      </c>
      <c r="Z1" s="1" t="inlineStr">
        <is>
          <t>B_Benar</t>
        </is>
      </c>
      <c r="AA1" s="1" t="inlineStr">
        <is>
          <t>ΔFaithfulness</t>
        </is>
      </c>
      <c r="AB1" s="1" t="inlineStr">
        <is>
          <t>ΔHallRisk</t>
        </is>
      </c>
    </row>
    <row r="2">
      <c r="A2" t="n">
        <v>1</v>
      </c>
      <c r="B2" t="inlineStr">
        <is>
          <t>gap</t>
        </is>
      </c>
      <c r="C2" t="inlineStr">
        <is>
          <t>2PAR</t>
        </is>
      </c>
      <c r="D2" s="3" t="inlineStr">
        <is>
          <t>Saya sudah baca definisi Computational Thinking dari berbagai sumber dan semuanya bilang CT itu tentang 'formulasi masal</t>
        </is>
      </c>
      <c r="E2" t="n">
        <v>1</v>
      </c>
      <c r="F2" t="n">
        <v>1</v>
      </c>
      <c r="G2" t="n">
        <v>0.7324000000000001</v>
      </c>
      <c r="H2" t="n">
        <v>1</v>
      </c>
      <c r="I2" t="n">
        <v>1</v>
      </c>
      <c r="J2" s="3" t="inlineStr">
        <is>
          <t>GT_CT03.txt, GT_CT05.txt, GT_CT07.txt, GT_CT09.txt, GT_DETAIL_PT09_Variabel_TipeData_Operator_List.txt, GT_SUBTOPIK_02_Abstraksi_Formulasi.txt</t>
        </is>
      </c>
      <c r="K2" t="n">
        <v>0.8218</v>
      </c>
      <c r="L2" t="n">
        <v>1</v>
      </c>
      <c r="M2" t="n">
        <v>0.4061</v>
      </c>
      <c r="N2" t="n">
        <v>0.1158</v>
      </c>
      <c r="O2" t="inlineStr">
        <is>
          <t>RENDAH</t>
        </is>
      </c>
      <c r="P2" t="n">
        <v>0</v>
      </c>
      <c r="Q2" t="n">
        <v>0</v>
      </c>
      <c r="R2" t="b">
        <v>1</v>
      </c>
      <c r="S2" t="n">
        <v>0.7714</v>
      </c>
      <c r="T2" t="n">
        <v>1</v>
      </c>
      <c r="U2" t="n">
        <v>0.238</v>
      </c>
      <c r="V2" t="n">
        <v>0.1486</v>
      </c>
      <c r="W2" t="inlineStr">
        <is>
          <t>RENDAH</t>
        </is>
      </c>
      <c r="X2" t="n">
        <v>0</v>
      </c>
      <c r="Y2" t="n">
        <v>0</v>
      </c>
      <c r="AA2" t="n">
        <v>0.0504</v>
      </c>
      <c r="AB2" t="n">
        <v>-0.0328</v>
      </c>
    </row>
    <row r="3">
      <c r="A3" t="n">
        <v>2</v>
      </c>
      <c r="B3" t="inlineStr">
        <is>
          <t>confusion</t>
        </is>
      </c>
      <c r="C3" t="inlineStr">
        <is>
          <t>1TAR</t>
        </is>
      </c>
      <c r="D3" s="3" t="inlineStr">
        <is>
          <t>Di catatan saya tulis AADP = Abstraksi → Algoritme → Dekomposisi → Pattern Recognition dan saya kerjakan soal dengan uru</t>
        </is>
      </c>
      <c r="E3" t="n">
        <v>1</v>
      </c>
      <c r="F3" t="n">
        <v>1</v>
      </c>
      <c r="G3" t="n">
        <v>0.7016</v>
      </c>
      <c r="H3" t="n">
        <v>1</v>
      </c>
      <c r="I3" t="n">
        <v>1</v>
      </c>
      <c r="J3" s="3" t="inlineStr">
        <is>
          <t>GT_CT09.txt, GT_CT11.txt, GT_DETAIL_PT04_Abstraksi.txt, GT_DETAIL_PT09_Variabel_TipeData_Operator_List.txt, GT_DETAIL_PT11_Perulangan.txt, GT_SUBTOPIK_05_Pseudocode_Algoritme.txt</t>
        </is>
      </c>
      <c r="K3" t="n">
        <v>0.7644</v>
      </c>
      <c r="L3" t="n">
        <v>1</v>
      </c>
      <c r="M3" t="n">
        <v>0.2147</v>
      </c>
      <c r="N3" t="n">
        <v>0.1531</v>
      </c>
      <c r="O3" t="inlineStr">
        <is>
          <t>RENDAH</t>
        </is>
      </c>
      <c r="P3" t="n">
        <v>0</v>
      </c>
      <c r="Q3" t="n">
        <v>0</v>
      </c>
      <c r="R3" t="b">
        <v>1</v>
      </c>
      <c r="S3" t="n">
        <v>0.74</v>
      </c>
      <c r="T3" t="n">
        <v>1</v>
      </c>
      <c r="U3" t="n">
        <v>0.1335</v>
      </c>
      <c r="V3" t="n">
        <v>0.169</v>
      </c>
      <c r="W3" t="inlineStr">
        <is>
          <t>RENDAH</t>
        </is>
      </c>
      <c r="X3" t="n">
        <v>0</v>
      </c>
      <c r="Y3" t="n">
        <v>0</v>
      </c>
      <c r="Z3" t="b">
        <v>1</v>
      </c>
      <c r="AA3" t="n">
        <v>0.0244</v>
      </c>
      <c r="AB3" t="n">
        <v>-0.0159</v>
      </c>
    </row>
    <row r="4">
      <c r="A4" t="n">
        <v>3</v>
      </c>
      <c r="B4" t="inlineStr">
        <is>
          <t>out_of_scope</t>
        </is>
      </c>
      <c r="C4" t="inlineStr">
        <is>
          <t>3TGI</t>
        </is>
      </c>
      <c r="D4" s="3" t="inlineStr">
        <is>
          <t xml:space="preserve">Dosen bilang kita hidup di era VUCA dan CT itu penting untuk karir. Tapi saya mau jadi dokter, bukan programmer. Apakah </t>
        </is>
      </c>
      <c r="E4" t="n">
        <v>1</v>
      </c>
      <c r="F4" t="n">
        <v>1</v>
      </c>
      <c r="G4" t="n">
        <v>0.73</v>
      </c>
      <c r="H4" t="n">
        <v>1</v>
      </c>
      <c r="I4" t="n">
        <v>1</v>
      </c>
      <c r="J4" s="3" t="inlineStr">
        <is>
          <t>GT_CT01.txt, GT_CT02.txt, GT_CT06.txt, GT_DETAIL_PT01_Pendahuluan.txt, GT_DETAIL_PT02_ICT_Literacy_Ethics.txt, GT_DETAIL_PT04_Abstraksi.txt</t>
        </is>
      </c>
      <c r="K4" t="n">
        <v>0.7644</v>
      </c>
      <c r="L4" t="n">
        <v>1</v>
      </c>
      <c r="M4" t="n">
        <v>0.2145</v>
      </c>
      <c r="N4" t="n">
        <v>0.1831</v>
      </c>
      <c r="O4" t="inlineStr">
        <is>
          <t>RENDAH</t>
        </is>
      </c>
      <c r="P4" t="n">
        <v>0</v>
      </c>
      <c r="Q4" t="n">
        <v>0.2</v>
      </c>
      <c r="R4" t="b">
        <v>1</v>
      </c>
      <c r="S4" t="n">
        <v>0.6414</v>
      </c>
      <c r="T4" t="n">
        <v>0.8333</v>
      </c>
      <c r="U4" t="n">
        <v>0.1935</v>
      </c>
      <c r="V4" t="n">
        <v>0.2631</v>
      </c>
      <c r="W4" t="inlineStr">
        <is>
          <t>RENDAH</t>
        </is>
      </c>
      <c r="X4" t="n">
        <v>0</v>
      </c>
      <c r="Y4" t="n">
        <v>0.2</v>
      </c>
      <c r="Z4" t="b">
        <v>1</v>
      </c>
      <c r="AA4" t="n">
        <v>0.123</v>
      </c>
      <c r="AB4" t="n">
        <v>-0.08</v>
      </c>
    </row>
    <row r="5">
      <c r="A5" t="n">
        <v>4</v>
      </c>
      <c r="B5" t="inlineStr">
        <is>
          <t>cross_topic</t>
        </is>
      </c>
      <c r="C5" t="inlineStr">
        <is>
          <t>2TAI</t>
        </is>
      </c>
      <c r="D5" s="3" t="inlineStr">
        <is>
          <t>Di silabus ada materi CT dan materi ICT Literacy. Saya bingung — apakah ICT Literacy itu bagian dari CT atau CT bagian d</t>
        </is>
      </c>
      <c r="E5" t="n">
        <v>1</v>
      </c>
      <c r="F5" t="n">
        <v>1</v>
      </c>
      <c r="G5" t="n">
        <v>0.7026</v>
      </c>
      <c r="H5" t="n">
        <v>1</v>
      </c>
      <c r="I5" t="n">
        <v>1</v>
      </c>
      <c r="J5" s="3" t="inlineStr">
        <is>
          <t>GT_CT03.txt, GT_CT07.txt, GT_CT09.txt, GT_DETAIL_PT01_Pendahuluan.txt, GT_DETAIL_PT04_Abstraksi.txt, GT_SUBTOPIK_01_Dekomposisi_Optimasi.txt</t>
        </is>
      </c>
      <c r="K5" t="n">
        <v>0.757</v>
      </c>
      <c r="L5" t="n">
        <v>1</v>
      </c>
      <c r="M5" t="n">
        <v>0.1899</v>
      </c>
      <c r="N5" t="n">
        <v>0.158</v>
      </c>
      <c r="O5" t="inlineStr">
        <is>
          <t>RENDAH</t>
        </is>
      </c>
      <c r="P5" t="n">
        <v>0</v>
      </c>
      <c r="Q5" t="n">
        <v>0</v>
      </c>
      <c r="R5" t="b">
        <v>0</v>
      </c>
      <c r="S5" t="n">
        <v>0.7496</v>
      </c>
      <c r="T5" t="n">
        <v>1</v>
      </c>
      <c r="U5" t="n">
        <v>0.1653</v>
      </c>
      <c r="V5" t="n">
        <v>0.1628</v>
      </c>
      <c r="W5" t="inlineStr">
        <is>
          <t>RENDAH</t>
        </is>
      </c>
      <c r="X5" t="n">
        <v>0</v>
      </c>
      <c r="Y5" t="n">
        <v>0</v>
      </c>
      <c r="Z5" t="b">
        <v>1</v>
      </c>
      <c r="AA5" t="n">
        <v>0.0074</v>
      </c>
      <c r="AB5" t="n">
        <v>-0.0048</v>
      </c>
    </row>
    <row r="6">
      <c r="A6" t="n">
        <v>5</v>
      </c>
      <c r="B6" t="inlineStr">
        <is>
          <t>confusion</t>
        </is>
      </c>
      <c r="C6" t="inlineStr">
        <is>
          <t>3PAR</t>
        </is>
      </c>
      <c r="D6" s="3" t="inlineStr">
        <is>
          <t>Teman saya bilang saya punya digital footprint besar karena sering pakai Instagram. Tapi saya hampir tidak pernah postin</t>
        </is>
      </c>
      <c r="E6" t="n">
        <v>1</v>
      </c>
      <c r="F6" t="n">
        <v>1</v>
      </c>
      <c r="G6" t="n">
        <v>0.7046</v>
      </c>
      <c r="H6" t="n">
        <v>1</v>
      </c>
      <c r="I6" t="n">
        <v>0.6667</v>
      </c>
      <c r="J6" s="3" t="inlineStr">
        <is>
          <t>GT_CT01.txt, GT_CT02.txt, GT_DETAIL_PT01_Pendahuluan.txt, GT_DETAIL_PT02_ICT_Literacy_Ethics.txt</t>
        </is>
      </c>
      <c r="K6" t="n">
        <v>0.7784</v>
      </c>
      <c r="L6" t="n">
        <v>1</v>
      </c>
      <c r="M6" t="n">
        <v>0.2612</v>
      </c>
      <c r="N6" t="n">
        <v>0.174</v>
      </c>
      <c r="O6" t="inlineStr">
        <is>
          <t>RENDAH</t>
        </is>
      </c>
      <c r="P6" t="n">
        <v>0</v>
      </c>
      <c r="Q6" t="n">
        <v>0.2</v>
      </c>
      <c r="S6" t="n">
        <v>0.6362</v>
      </c>
      <c r="T6" t="n">
        <v>0.8333</v>
      </c>
      <c r="U6" t="n">
        <v>0.1762</v>
      </c>
      <c r="V6" t="n">
        <v>0.2665</v>
      </c>
      <c r="W6" t="inlineStr">
        <is>
          <t>RENDAH</t>
        </is>
      </c>
      <c r="X6" t="n">
        <v>0</v>
      </c>
      <c r="Y6" t="n">
        <v>0.2</v>
      </c>
      <c r="Z6" t="b">
        <v>1</v>
      </c>
      <c r="AA6" t="n">
        <v>0.1422</v>
      </c>
      <c r="AB6" t="n">
        <v>-0.0925</v>
      </c>
    </row>
    <row r="7">
      <c r="A7" t="n">
        <v>6</v>
      </c>
      <c r="B7" t="inlineStr">
        <is>
          <t>gap</t>
        </is>
      </c>
      <c r="C7" t="inlineStr">
        <is>
          <t>2PAI</t>
        </is>
      </c>
      <c r="D7" s="3" t="inlineStr">
        <is>
          <t xml:space="preserve">Di slide ada dua istilah: 'ICT Literacy' dan 'Literacy with ICT'. Keduanya terlihat sama — intinya kan paham teknologi. </t>
        </is>
      </c>
      <c r="E7" t="n">
        <v>1</v>
      </c>
      <c r="F7" t="n">
        <v>1</v>
      </c>
      <c r="G7" t="n">
        <v>0.7365</v>
      </c>
      <c r="H7" t="n">
        <v>1</v>
      </c>
      <c r="I7" t="n">
        <v>0.6667</v>
      </c>
      <c r="J7" s="3" t="inlineStr">
        <is>
          <t>GT_CT01.txt, GT_CT07.txt, GT_CT09.txt, GT_DETAIL_PT01_Pendahuluan.txt</t>
        </is>
      </c>
      <c r="K7" t="n">
        <v>0.5258</v>
      </c>
      <c r="L7" t="n">
        <v>0.6667</v>
      </c>
      <c r="M7" t="n">
        <v>0.197</v>
      </c>
      <c r="N7" t="n">
        <v>0.3082</v>
      </c>
      <c r="O7" t="inlineStr">
        <is>
          <t>RENDAH</t>
        </is>
      </c>
      <c r="P7" t="n">
        <v>0</v>
      </c>
      <c r="Q7" t="n">
        <v>0</v>
      </c>
      <c r="R7" t="b">
        <v>1</v>
      </c>
      <c r="S7" t="n">
        <v>0.5258</v>
      </c>
      <c r="T7" t="n">
        <v>0.6667</v>
      </c>
      <c r="U7" t="n">
        <v>0.197</v>
      </c>
      <c r="V7" t="n">
        <v>0.3082</v>
      </c>
      <c r="W7" t="inlineStr">
        <is>
          <t>RENDAH</t>
        </is>
      </c>
      <c r="X7" t="n">
        <v>0</v>
      </c>
      <c r="Y7" t="n">
        <v>0</v>
      </c>
      <c r="Z7" t="b">
        <v>1</v>
      </c>
      <c r="AA7" t="n">
        <v>0</v>
      </c>
      <c r="AB7" t="n">
        <v>0</v>
      </c>
    </row>
    <row r="8">
      <c r="A8" t="n">
        <v>7</v>
      </c>
      <c r="B8" t="inlineStr">
        <is>
          <t>out_of_scope</t>
        </is>
      </c>
      <c r="C8" t="inlineStr">
        <is>
          <t>4TAI</t>
        </is>
      </c>
      <c r="D8" s="3" t="inlineStr">
        <is>
          <t>Saya buat aplikasi untuk tugas dan kumpulkan data nama dan email teman. Dari materi etika digital, apakah saya perlu min</t>
        </is>
      </c>
      <c r="E8" t="n">
        <v>1</v>
      </c>
      <c r="F8" t="n">
        <v>1</v>
      </c>
      <c r="G8" t="n">
        <v>0.7465000000000001</v>
      </c>
      <c r="H8" t="n">
        <v>1</v>
      </c>
      <c r="I8" t="n">
        <v>0.6667</v>
      </c>
      <c r="J8" s="3" t="inlineStr">
        <is>
          <t>GT_CT02.txt, GT_DETAIL_PT01_Pendahuluan.txt, GT_DETAIL_PT02_ICT_Literacy_Ethics.txt, GT_SUBTOPIK_02_Abstraksi_Formulasi.txt</t>
        </is>
      </c>
      <c r="K8" t="n">
        <v>0.7648</v>
      </c>
      <c r="L8" t="n">
        <v>1</v>
      </c>
      <c r="M8" t="n">
        <v>0.2159</v>
      </c>
      <c r="N8" t="n">
        <v>0.1529</v>
      </c>
      <c r="O8" t="inlineStr">
        <is>
          <t>RENDAH</t>
        </is>
      </c>
      <c r="P8" t="n">
        <v>0</v>
      </c>
      <c r="Q8" t="n">
        <v>0</v>
      </c>
      <c r="R8" t="b">
        <v>1</v>
      </c>
      <c r="S8" t="n">
        <v>0.7611</v>
      </c>
      <c r="T8" t="n">
        <v>1</v>
      </c>
      <c r="U8" t="n">
        <v>0.2037</v>
      </c>
      <c r="V8" t="n">
        <v>0.1553</v>
      </c>
      <c r="W8" t="inlineStr">
        <is>
          <t>RENDAH</t>
        </is>
      </c>
      <c r="X8" t="n">
        <v>0</v>
      </c>
      <c r="Y8" t="n">
        <v>0</v>
      </c>
      <c r="Z8" t="b">
        <v>1</v>
      </c>
      <c r="AA8" t="n">
        <v>0.0037</v>
      </c>
      <c r="AB8" t="n">
        <v>-0.0024</v>
      </c>
    </row>
    <row r="9">
      <c r="A9" t="n">
        <v>8</v>
      </c>
      <c r="B9" t="inlineStr">
        <is>
          <t>confusion</t>
        </is>
      </c>
      <c r="C9" t="inlineStr">
        <is>
          <t>1PAI</t>
        </is>
      </c>
      <c r="D9" s="3" t="inlineStr">
        <is>
          <t xml:space="preserve">Waktu kerja kelompok, kami bagi tugas: saya bikin bagian A, teman bikin bagian B. Kata saya itu dekomposisi, tapi teman </t>
        </is>
      </c>
      <c r="E9" t="n">
        <v>1</v>
      </c>
      <c r="F9" t="n">
        <v>1</v>
      </c>
      <c r="G9" t="n">
        <v>0.7123</v>
      </c>
      <c r="H9" t="n">
        <v>1</v>
      </c>
      <c r="I9" t="n">
        <v>0.8333</v>
      </c>
      <c r="J9" s="3" t="inlineStr">
        <is>
          <t>GT_CT03.txt, GT_CT09.txt, GT_CT10.txt, GT_DETAIL_PT01_Pendahuluan.txt, GT_SUBTOPIK_02_Abstraksi_Formulasi.txt</t>
        </is>
      </c>
      <c r="K9" t="n">
        <v>0.6235000000000001</v>
      </c>
      <c r="L9" t="n">
        <v>0.8333</v>
      </c>
      <c r="M9" t="n">
        <v>0.1341</v>
      </c>
      <c r="N9" t="n">
        <v>0.2447</v>
      </c>
      <c r="O9" t="inlineStr">
        <is>
          <t>RENDAH</t>
        </is>
      </c>
      <c r="P9" t="n">
        <v>0</v>
      </c>
      <c r="Q9" t="n">
        <v>0</v>
      </c>
      <c r="R9" t="b">
        <v>1</v>
      </c>
      <c r="S9" t="n">
        <v>0.6526</v>
      </c>
      <c r="T9" t="n">
        <v>0.8333</v>
      </c>
      <c r="U9" t="n">
        <v>0.2309</v>
      </c>
      <c r="V9" t="n">
        <v>0.2258</v>
      </c>
      <c r="W9" t="inlineStr">
        <is>
          <t>RENDAH</t>
        </is>
      </c>
      <c r="X9" t="n">
        <v>0</v>
      </c>
      <c r="Y9" t="n">
        <v>0</v>
      </c>
      <c r="Z9" t="b">
        <v>1</v>
      </c>
      <c r="AA9" t="n">
        <v>-0.0291</v>
      </c>
      <c r="AB9" t="n">
        <v>0.0189</v>
      </c>
    </row>
    <row r="10">
      <c r="A10" t="n">
        <v>9</v>
      </c>
      <c r="B10" t="inlineStr">
        <is>
          <t>application</t>
        </is>
      </c>
      <c r="C10" t="inlineStr">
        <is>
          <t>2PAR</t>
        </is>
      </c>
      <c r="D10" s="3" t="inlineStr">
        <is>
          <t>Ada soal: 2 lift kapasitas masing-masing 30 kg. Ada 9 berang dengan berat: A=2, B=3, C=5, D=8, E=9, F=9, G=12, H=12, I=2</t>
        </is>
      </c>
      <c r="E10" t="n">
        <v>1</v>
      </c>
      <c r="F10" t="n">
        <v>1</v>
      </c>
      <c r="G10" t="n">
        <v>0.8053</v>
      </c>
      <c r="H10" t="n">
        <v>1</v>
      </c>
      <c r="I10" t="n">
        <v>0.8333</v>
      </c>
      <c r="J10" s="3" t="inlineStr">
        <is>
          <t>GT_CT04.txt, GT_DETAIL_PT03_Dekomposisi.txt, GT_DETAIL_PT04_Abstraksi.txt, GT_SUBTOPIK_01_Dekomposisi_Optimasi.txt, GT_SUBTOPIK_02_Abstraksi_Formulasi.txt</t>
        </is>
      </c>
      <c r="K10" t="n">
        <v>0.8257</v>
      </c>
      <c r="L10" t="n">
        <v>1</v>
      </c>
      <c r="M10" t="n">
        <v>0.419</v>
      </c>
      <c r="N10" t="n">
        <v>0.1433</v>
      </c>
      <c r="O10" t="inlineStr">
        <is>
          <t>RENDAH</t>
        </is>
      </c>
      <c r="P10" t="n">
        <v>0</v>
      </c>
      <c r="Q10" t="n">
        <v>0.2</v>
      </c>
      <c r="S10" t="n">
        <v>0.7756999999999999</v>
      </c>
      <c r="T10" t="n">
        <v>1</v>
      </c>
      <c r="U10" t="n">
        <v>0.2523</v>
      </c>
      <c r="V10" t="n">
        <v>0.1458</v>
      </c>
      <c r="W10" t="inlineStr">
        <is>
          <t>RENDAH</t>
        </is>
      </c>
      <c r="X10" t="n">
        <v>0</v>
      </c>
      <c r="Y10" t="n">
        <v>0</v>
      </c>
      <c r="Z10" t="b">
        <v>1</v>
      </c>
      <c r="AA10" t="n">
        <v>0.05</v>
      </c>
      <c r="AB10" t="n">
        <v>-0.0025</v>
      </c>
    </row>
    <row r="11">
      <c r="A11" t="n">
        <v>10</v>
      </c>
      <c r="B11" t="inlineStr">
        <is>
          <t>cross_topic</t>
        </is>
      </c>
      <c r="C11" t="inlineStr">
        <is>
          <t>3TAI</t>
        </is>
      </c>
      <c r="D11" s="3" t="inlineStr">
        <is>
          <t>Waktu belajar fungsi, dosen bilang setiap fungsi seharusnya hanya melakukan satu hal. Itu berhubungan dengan dekomposisi</t>
        </is>
      </c>
      <c r="E11" t="n">
        <v>1</v>
      </c>
      <c r="F11" t="n">
        <v>1</v>
      </c>
      <c r="G11" t="n">
        <v>0.7587</v>
      </c>
      <c r="H11" t="n">
        <v>1</v>
      </c>
      <c r="I11" t="n">
        <v>0.6667</v>
      </c>
      <c r="J11" s="3" t="inlineStr">
        <is>
          <t>GT_CT01.txt, GT_CT03.txt, GT_CT12.txt, GT_DETAIL_PT12_Fungsi.txt</t>
        </is>
      </c>
      <c r="K11" t="n">
        <v>0.804</v>
      </c>
      <c r="L11" t="n">
        <v>1</v>
      </c>
      <c r="M11" t="n">
        <v>0.3466</v>
      </c>
      <c r="N11" t="n">
        <v>0.1274</v>
      </c>
      <c r="O11" t="inlineStr">
        <is>
          <t>RENDAH</t>
        </is>
      </c>
      <c r="P11" t="n">
        <v>0</v>
      </c>
      <c r="Q11" t="n">
        <v>0</v>
      </c>
      <c r="R11" t="b">
        <v>1</v>
      </c>
      <c r="S11" t="n">
        <v>0.7735</v>
      </c>
      <c r="T11" t="n">
        <v>1</v>
      </c>
      <c r="U11" t="n">
        <v>0.245</v>
      </c>
      <c r="V11" t="n">
        <v>0.1472</v>
      </c>
      <c r="W11" t="inlineStr">
        <is>
          <t>RENDAH</t>
        </is>
      </c>
      <c r="X11" t="n">
        <v>0</v>
      </c>
      <c r="Y11" t="n">
        <v>0</v>
      </c>
      <c r="Z11" t="b">
        <v>1</v>
      </c>
      <c r="AA11" t="n">
        <v>0.0305</v>
      </c>
      <c r="AB11" t="n">
        <v>-0.0198</v>
      </c>
    </row>
    <row r="12">
      <c r="A12" t="n">
        <v>11</v>
      </c>
      <c r="B12" t="inlineStr">
        <is>
          <t>gap</t>
        </is>
      </c>
      <c r="C12" t="inlineStr">
        <is>
          <t>4PGR</t>
        </is>
      </c>
      <c r="D12" s="3" t="inlineStr">
        <is>
          <t>Kalau saya dekomposisi masalah, sampai seberapa dalam saya harus memecahnya? Misalnya 'bikin kue' — apakah saya pecah sa</t>
        </is>
      </c>
      <c r="E12" t="n">
        <v>1</v>
      </c>
      <c r="F12" t="n">
        <v>1</v>
      </c>
      <c r="G12" t="n">
        <v>0.7502</v>
      </c>
      <c r="H12" t="n">
        <v>1</v>
      </c>
      <c r="I12" t="n">
        <v>0.8333</v>
      </c>
      <c r="J12" s="3" t="inlineStr">
        <is>
          <t>GT_CT01.txt, GT_CT03.txt, GT_CT05.txt, GT_CT07.txt, GT_DETAIL_PT01_Pendahuluan.txt</t>
        </is>
      </c>
      <c r="K12" t="n">
        <v>0.7881</v>
      </c>
      <c r="L12" t="n">
        <v>1</v>
      </c>
      <c r="M12" t="n">
        <v>0.2937</v>
      </c>
      <c r="N12" t="n">
        <v>0.1377</v>
      </c>
      <c r="O12" t="inlineStr">
        <is>
          <t>RENDAH</t>
        </is>
      </c>
      <c r="P12" t="n">
        <v>0</v>
      </c>
      <c r="Q12" t="n">
        <v>0</v>
      </c>
      <c r="R12" t="b">
        <v>1</v>
      </c>
      <c r="S12" t="n">
        <v>0.7667</v>
      </c>
      <c r="T12" t="n">
        <v>1</v>
      </c>
      <c r="U12" t="n">
        <v>0.2224</v>
      </c>
      <c r="V12" t="n">
        <v>0.1516</v>
      </c>
      <c r="W12" t="inlineStr">
        <is>
          <t>RENDAH</t>
        </is>
      </c>
      <c r="X12" t="n">
        <v>0</v>
      </c>
      <c r="Y12" t="n">
        <v>0</v>
      </c>
      <c r="Z12" t="b">
        <v>1</v>
      </c>
      <c r="AA12" t="n">
        <v>0.0214</v>
      </c>
      <c r="AB12" t="n">
        <v>-0.0139</v>
      </c>
    </row>
    <row r="13">
      <c r="A13" t="n">
        <v>12</v>
      </c>
      <c r="B13" t="inlineStr">
        <is>
          <t>application</t>
        </is>
      </c>
      <c r="C13" t="inlineStr">
        <is>
          <t>3PAI</t>
        </is>
      </c>
      <c r="D13" s="3" t="inlineStr">
        <is>
          <t>Dari soal lift 2 buah kapasitas 30 kg dengan 9 berang (A:2, B:3, C:5, D:8, E:9, F:9, G:12, H:12, I:22), dosen minta saya</t>
        </is>
      </c>
      <c r="E13" t="n">
        <v>1</v>
      </c>
      <c r="F13" t="n">
        <v>1</v>
      </c>
      <c r="G13" t="n">
        <v>0.7726</v>
      </c>
      <c r="H13" t="n">
        <v>1</v>
      </c>
      <c r="I13" t="n">
        <v>0.6667</v>
      </c>
      <c r="J13" s="3" t="inlineStr">
        <is>
          <t>GT_CT04.txt, GT_DETAIL_PT03_Dekomposisi.txt, GT_DETAIL_PT04_Abstraksi.txt, GT_SUBTOPIK_02_Abstraksi_Formulasi.txt</t>
        </is>
      </c>
      <c r="K13" t="n">
        <v>0.8064</v>
      </c>
      <c r="L13" t="n">
        <v>1</v>
      </c>
      <c r="M13" t="n">
        <v>0.3545</v>
      </c>
      <c r="N13" t="n">
        <v>0.1558</v>
      </c>
      <c r="O13" t="inlineStr">
        <is>
          <t>RENDAH</t>
        </is>
      </c>
      <c r="P13" t="n">
        <v>0</v>
      </c>
      <c r="Q13" t="n">
        <v>0.2</v>
      </c>
      <c r="R13" t="b">
        <v>1</v>
      </c>
      <c r="S13" t="n">
        <v>0.7647</v>
      </c>
      <c r="T13" t="n">
        <v>1</v>
      </c>
      <c r="U13" t="n">
        <v>0.2156</v>
      </c>
      <c r="V13" t="n">
        <v>0.1529</v>
      </c>
      <c r="W13" t="inlineStr">
        <is>
          <t>RENDAH</t>
        </is>
      </c>
      <c r="X13" t="n">
        <v>0</v>
      </c>
      <c r="Y13" t="n">
        <v>0</v>
      </c>
      <c r="AA13" t="n">
        <v>0.0417</v>
      </c>
      <c r="AB13" t="n">
        <v>0.0029</v>
      </c>
    </row>
    <row r="14">
      <c r="A14" t="n">
        <v>13</v>
      </c>
      <c r="B14" t="inlineStr">
        <is>
          <t>confusion</t>
        </is>
      </c>
      <c r="C14" t="inlineStr">
        <is>
          <t>4TAI</t>
        </is>
      </c>
      <c r="D14" s="3" t="inlineStr">
        <is>
          <t>Saya bikin model data untuk sistem nilai mahasiswa dan saya buang semua field kecuali nama dan NIM karena 'itu abstraksi</t>
        </is>
      </c>
      <c r="E14" t="n">
        <v>1</v>
      </c>
      <c r="F14" t="n">
        <v>1</v>
      </c>
      <c r="G14" t="n">
        <v>0.7325</v>
      </c>
      <c r="H14" t="n">
        <v>1</v>
      </c>
      <c r="I14" t="n">
        <v>0.8333</v>
      </c>
      <c r="J14" s="3" t="inlineStr">
        <is>
          <t>GT_CT04.txt, GT_CT07.txt, GT_CT09.txt, GT_DETAIL_PT01_Pendahuluan.txt, GT_DETAIL_PT04_Abstraksi.txt</t>
        </is>
      </c>
      <c r="K14" t="n">
        <v>0.7827</v>
      </c>
      <c r="L14" t="n">
        <v>1</v>
      </c>
      <c r="M14" t="n">
        <v>0.2758</v>
      </c>
      <c r="N14" t="n">
        <v>0.1712</v>
      </c>
      <c r="O14" t="inlineStr">
        <is>
          <t>RENDAH</t>
        </is>
      </c>
      <c r="P14" t="n">
        <v>0</v>
      </c>
      <c r="Q14" t="n">
        <v>0.2</v>
      </c>
      <c r="R14" t="b">
        <v>1</v>
      </c>
      <c r="S14" t="n">
        <v>0.6516</v>
      </c>
      <c r="T14" t="n">
        <v>0.8333</v>
      </c>
      <c r="U14" t="n">
        <v>0.2276</v>
      </c>
      <c r="V14" t="n">
        <v>0.2565</v>
      </c>
      <c r="W14" t="inlineStr">
        <is>
          <t>RENDAH</t>
        </is>
      </c>
      <c r="X14" t="n">
        <v>0</v>
      </c>
      <c r="Y14" t="n">
        <v>0.2</v>
      </c>
      <c r="Z14" t="b">
        <v>1</v>
      </c>
      <c r="AA14" t="n">
        <v>0.1311</v>
      </c>
      <c r="AB14" t="n">
        <v>-0.0853</v>
      </c>
    </row>
    <row r="15">
      <c r="A15" t="n">
        <v>14</v>
      </c>
      <c r="B15" t="inlineStr">
        <is>
          <t>gap</t>
        </is>
      </c>
      <c r="C15" t="inlineStr">
        <is>
          <t>2TGI</t>
        </is>
      </c>
      <c r="D15" s="3" t="inlineStr">
        <is>
          <t>Di slide abstraksi ada istilah 'helicopter view'. Saya tidak ngerti maksudnya — apa hubungannya helikopter dengan CT? Da</t>
        </is>
      </c>
      <c r="E15" t="n">
        <v>1</v>
      </c>
      <c r="F15" t="n">
        <v>1</v>
      </c>
      <c r="G15" t="n">
        <v>0.6997</v>
      </c>
      <c r="H15" t="n">
        <v>1</v>
      </c>
      <c r="I15" t="n">
        <v>1</v>
      </c>
      <c r="J15" s="3" t="inlineStr">
        <is>
          <t>GT_CT01.txt, GT_CT02.txt, GT_CT04.txt, GT_DETAIL_PT02_ICT_Literacy_Ethics.txt, GT_DETAIL_PT04_Abstraksi.txt, GT_SUBTOPIK_02_Abstraksi_Formulasi.txt</t>
        </is>
      </c>
      <c r="K15" t="n">
        <v>0.7847</v>
      </c>
      <c r="L15" t="n">
        <v>1</v>
      </c>
      <c r="M15" t="n">
        <v>0.2823</v>
      </c>
      <c r="N15" t="n">
        <v>0.1399</v>
      </c>
      <c r="O15" t="inlineStr">
        <is>
          <t>RENDAH</t>
        </is>
      </c>
      <c r="P15" t="n">
        <v>0</v>
      </c>
      <c r="Q15" t="n">
        <v>0</v>
      </c>
      <c r="S15" t="n">
        <v>0.7655</v>
      </c>
      <c r="T15" t="n">
        <v>1</v>
      </c>
      <c r="U15" t="n">
        <v>0.2183</v>
      </c>
      <c r="V15" t="n">
        <v>0.1524</v>
      </c>
      <c r="W15" t="inlineStr">
        <is>
          <t>RENDAH</t>
        </is>
      </c>
      <c r="X15" t="n">
        <v>0</v>
      </c>
      <c r="Y15" t="n">
        <v>0</v>
      </c>
      <c r="AA15" t="n">
        <v>0.0192</v>
      </c>
      <c r="AB15" t="n">
        <v>-0.0125</v>
      </c>
    </row>
    <row r="16">
      <c r="A16" t="n">
        <v>15</v>
      </c>
      <c r="B16" t="inlineStr">
        <is>
          <t>cross_topic</t>
        </is>
      </c>
      <c r="C16" t="inlineStr">
        <is>
          <t>5TGR</t>
        </is>
      </c>
      <c r="D16" s="3" t="inlineStr">
        <is>
          <t>Waktu analisis data nilai ujian, saya buang semua outlier dulu baru cari pola. Apakah membuang outlier itu abstraksi ata</t>
        </is>
      </c>
      <c r="E16" t="n">
        <v>1</v>
      </c>
      <c r="F16" t="n">
        <v>1</v>
      </c>
      <c r="G16" t="n">
        <v>0.726</v>
      </c>
      <c r="H16" t="n">
        <v>1</v>
      </c>
      <c r="I16" t="n">
        <v>0.8333</v>
      </c>
      <c r="J16" s="3" t="inlineStr">
        <is>
          <t>5PAI.txt, GT_CT09.txt, GT_CT13.txt, GT_DETAIL_PT09_Variabel_TipeData_Operator_List.txt, GT_SUBTOPIK_14_Kompleksitas_BigO.txt</t>
        </is>
      </c>
      <c r="K16" t="n">
        <v>0.784</v>
      </c>
      <c r="L16" t="n">
        <v>1</v>
      </c>
      <c r="M16" t="n">
        <v>0.2799</v>
      </c>
      <c r="N16" t="n">
        <v>0.1404</v>
      </c>
      <c r="O16" t="inlineStr">
        <is>
          <t>RENDAH</t>
        </is>
      </c>
      <c r="P16" t="n">
        <v>0</v>
      </c>
      <c r="Q16" t="n">
        <v>0</v>
      </c>
      <c r="R16" t="b">
        <v>1</v>
      </c>
      <c r="S16" t="n">
        <v>0.601</v>
      </c>
      <c r="T16" t="n">
        <v>0.8333</v>
      </c>
      <c r="U16" t="n">
        <v>0.0589</v>
      </c>
      <c r="V16" t="n">
        <v>0.2594</v>
      </c>
      <c r="W16" t="inlineStr">
        <is>
          <t>RENDAH</t>
        </is>
      </c>
      <c r="X16" t="n">
        <v>0</v>
      </c>
      <c r="Y16" t="n">
        <v>0</v>
      </c>
      <c r="Z16" t="b">
        <v>1</v>
      </c>
      <c r="AA16" t="n">
        <v>0.183</v>
      </c>
      <c r="AB16" t="n">
        <v>-0.119</v>
      </c>
    </row>
    <row r="17">
      <c r="A17" t="n">
        <v>16</v>
      </c>
      <c r="B17" t="inlineStr">
        <is>
          <t>application</t>
        </is>
      </c>
      <c r="C17" t="inlineStr">
        <is>
          <t>3PGR</t>
        </is>
      </c>
      <c r="D17" s="3" t="inlineStr">
        <is>
          <t>Soal: bebek ke-n mendapat n coklat. Total coklat 500 buah. Bebek nomor berapa yang pertama kali tidak mendapat coklat? S</t>
        </is>
      </c>
      <c r="E17" t="n">
        <v>1</v>
      </c>
      <c r="F17" t="n">
        <v>1</v>
      </c>
      <c r="G17" t="n">
        <v>0.7796999999999999</v>
      </c>
      <c r="H17" t="n">
        <v>1</v>
      </c>
      <c r="I17" t="n">
        <v>0.8333</v>
      </c>
      <c r="J17" s="3" t="inlineStr">
        <is>
          <t>GT_CT05.txt, GT_CT07.txt, GT_DETAIL_PT05_Pattern_Recognition.txt, GT_SUBTOPIK_03_Pola_Bilangan_Deret.txt, GT_SUBTOPIK_04_Modulo_Siklus.txt</t>
        </is>
      </c>
      <c r="K17" t="n">
        <v>0.788</v>
      </c>
      <c r="L17" t="n">
        <v>1</v>
      </c>
      <c r="M17" t="n">
        <v>0.2933</v>
      </c>
      <c r="N17" t="n">
        <v>0.1378</v>
      </c>
      <c r="O17" t="inlineStr">
        <is>
          <t>RENDAH</t>
        </is>
      </c>
      <c r="P17" t="n">
        <v>0</v>
      </c>
      <c r="Q17" t="n">
        <v>0</v>
      </c>
      <c r="R17" t="b">
        <v>1</v>
      </c>
      <c r="S17" t="n">
        <v>0.6573</v>
      </c>
      <c r="T17" t="n">
        <v>0.8333</v>
      </c>
      <c r="U17" t="n">
        <v>0.2468</v>
      </c>
      <c r="V17" t="n">
        <v>0.2228</v>
      </c>
      <c r="W17" t="inlineStr">
        <is>
          <t>RENDAH</t>
        </is>
      </c>
      <c r="X17" t="n">
        <v>0</v>
      </c>
      <c r="Y17" t="n">
        <v>0</v>
      </c>
      <c r="Z17" t="b">
        <v>1</v>
      </c>
      <c r="AA17" t="n">
        <v>0.1307</v>
      </c>
      <c r="AB17" t="n">
        <v>-0.08500000000000001</v>
      </c>
    </row>
    <row r="18">
      <c r="A18" t="n">
        <v>17</v>
      </c>
      <c r="B18" t="inlineStr">
        <is>
          <t>application</t>
        </is>
      </c>
      <c r="C18" t="inlineStr">
        <is>
          <t>4TGR</t>
        </is>
      </c>
      <c r="D18" s="3" t="inlineStr">
        <is>
          <t xml:space="preserve">Soal ujian: tentukan digit terakhir dari 2 pangkat 2003. Saya tidak mungkin hitung 2^2003 secara langsung. Dosen bilang </t>
        </is>
      </c>
      <c r="E18" t="n">
        <v>1</v>
      </c>
      <c r="F18" t="n">
        <v>1</v>
      </c>
      <c r="G18" t="n">
        <v>0.728</v>
      </c>
      <c r="H18" t="n">
        <v>1</v>
      </c>
      <c r="I18" t="n">
        <v>0.8333</v>
      </c>
      <c r="J18" s="3" t="inlineStr">
        <is>
          <t>GT_CT01.txt, GT_CT05.txt, GT_CT07.txt, GT_CT09.txt, GT_SUBTOPIK_04_Modulo_Siklus.txt</t>
        </is>
      </c>
      <c r="K18" t="n">
        <v>0.753</v>
      </c>
      <c r="L18" t="n">
        <v>1</v>
      </c>
      <c r="M18" t="n">
        <v>0.1768</v>
      </c>
      <c r="N18" t="n">
        <v>0.1905</v>
      </c>
      <c r="O18" t="inlineStr">
        <is>
          <t>RENDAH</t>
        </is>
      </c>
      <c r="P18" t="n">
        <v>0</v>
      </c>
      <c r="Q18" t="n">
        <v>0.2</v>
      </c>
      <c r="R18" t="b">
        <v>1</v>
      </c>
      <c r="S18" t="n">
        <v>0.4063</v>
      </c>
      <c r="T18" t="n">
        <v>0.5</v>
      </c>
      <c r="U18" t="n">
        <v>0.1876</v>
      </c>
      <c r="V18" t="n">
        <v>0.3859</v>
      </c>
      <c r="W18" t="inlineStr">
        <is>
          <t>SEDANG</t>
        </is>
      </c>
      <c r="X18" t="n">
        <v>0</v>
      </c>
      <c r="Y18" t="n">
        <v>0</v>
      </c>
      <c r="Z18" t="b">
        <v>1</v>
      </c>
      <c r="AA18" t="n">
        <v>0.3467</v>
      </c>
      <c r="AB18" t="n">
        <v>-0.1954</v>
      </c>
    </row>
    <row r="19">
      <c r="A19" t="n">
        <v>18</v>
      </c>
      <c r="B19" t="inlineStr">
        <is>
          <t>confusion</t>
        </is>
      </c>
      <c r="C19" t="inlineStr">
        <is>
          <t>5PAR</t>
        </is>
      </c>
      <c r="D19" s="3" t="inlineStr">
        <is>
          <t>Saya pikir pattern recognition di CT hanya untuk data angka atau deret matematika. Tapi dosen bilang bisa juga untuk tek</t>
        </is>
      </c>
      <c r="E19" t="n">
        <v>1</v>
      </c>
      <c r="F19" t="n">
        <v>1</v>
      </c>
      <c r="G19" t="n">
        <v>0.6996</v>
      </c>
      <c r="H19" t="n">
        <v>1</v>
      </c>
      <c r="I19" t="n">
        <v>1</v>
      </c>
      <c r="J19" s="3" t="inlineStr">
        <is>
          <t>2PAR.txt, 3PAR.txt, 3PGI.txt, 5PAI.txt, GT_CT01.txt, GT_SUBTOPIK_02_Abstraksi_Formulasi.txt</t>
        </is>
      </c>
      <c r="K19" t="n">
        <v>0.7367</v>
      </c>
      <c r="L19" t="n">
        <v>1</v>
      </c>
      <c r="M19" t="n">
        <v>0.1223</v>
      </c>
      <c r="N19" t="n">
        <v>0.1711</v>
      </c>
      <c r="O19" t="inlineStr">
        <is>
          <t>RENDAH</t>
        </is>
      </c>
      <c r="P19" t="n">
        <v>0</v>
      </c>
      <c r="Q19" t="n">
        <v>0</v>
      </c>
      <c r="R19" t="b">
        <v>1</v>
      </c>
      <c r="S19" t="n">
        <v>0.7655999999999999</v>
      </c>
      <c r="T19" t="n">
        <v>1</v>
      </c>
      <c r="U19" t="n">
        <v>0.2187</v>
      </c>
      <c r="V19" t="n">
        <v>0.1524</v>
      </c>
      <c r="W19" t="inlineStr">
        <is>
          <t>RENDAH</t>
        </is>
      </c>
      <c r="X19" t="n">
        <v>0</v>
      </c>
      <c r="Y19" t="n">
        <v>0</v>
      </c>
      <c r="Z19" t="b">
        <v>1</v>
      </c>
      <c r="AA19" t="n">
        <v>-0.0289</v>
      </c>
      <c r="AB19" t="n">
        <v>0.0187</v>
      </c>
    </row>
    <row r="20">
      <c r="A20" t="n">
        <v>19</v>
      </c>
      <c r="B20" t="inlineStr">
        <is>
          <t>gap</t>
        </is>
      </c>
      <c r="C20" t="inlineStr">
        <is>
          <t>4PGI</t>
        </is>
      </c>
      <c r="D20" s="3" t="inlineStr">
        <is>
          <t>Saya lihat data absensi dan nemu pola: nilai turun setiap minggu ke-5. Tapi bagaimana saya tahu ini bukan kebetulan? Apa</t>
        </is>
      </c>
      <c r="E20" t="n">
        <v>1</v>
      </c>
      <c r="F20" t="n">
        <v>1</v>
      </c>
      <c r="G20" t="n">
        <v>0.7711</v>
      </c>
      <c r="H20" t="n">
        <v>1</v>
      </c>
      <c r="I20" t="n">
        <v>0.8333</v>
      </c>
      <c r="J20" s="3" t="inlineStr">
        <is>
          <t>GT_CT05.txt, GT_CT09.txt, GT_DETAIL_PT01_Pendahuluan.txt, GT_DETAIL_PT09_Variabel_TipeData_Operator_List.txt, GT_SUBTOPIK_02_Abstraksi_Formulasi.txt</t>
        </is>
      </c>
      <c r="K20" t="n">
        <v>0.78</v>
      </c>
      <c r="L20" t="n">
        <v>1</v>
      </c>
      <c r="M20" t="n">
        <v>0.2668</v>
      </c>
      <c r="N20" t="n">
        <v>0.143</v>
      </c>
      <c r="O20" t="inlineStr">
        <is>
          <t>RENDAH</t>
        </is>
      </c>
      <c r="P20" t="n">
        <v>0</v>
      </c>
      <c r="Q20" t="n">
        <v>0</v>
      </c>
      <c r="R20" t="b">
        <v>1</v>
      </c>
      <c r="S20" t="n">
        <v>0.405</v>
      </c>
      <c r="T20" t="n">
        <v>0.5</v>
      </c>
      <c r="U20" t="n">
        <v>0.1832</v>
      </c>
      <c r="V20" t="n">
        <v>0.3867</v>
      </c>
      <c r="W20" t="inlineStr">
        <is>
          <t>SEDANG</t>
        </is>
      </c>
      <c r="X20" t="n">
        <v>0</v>
      </c>
      <c r="Y20" t="n">
        <v>0</v>
      </c>
      <c r="Z20" t="b">
        <v>1</v>
      </c>
      <c r="AA20" t="n">
        <v>0.375</v>
      </c>
      <c r="AB20" t="n">
        <v>-0.2437</v>
      </c>
    </row>
    <row r="21">
      <c r="A21" t="n">
        <v>20</v>
      </c>
      <c r="B21" t="inlineStr">
        <is>
          <t>application</t>
        </is>
      </c>
      <c r="C21" t="inlineStr">
        <is>
          <t>3TGR</t>
        </is>
      </c>
      <c r="D21" s="3" t="inlineStr">
        <is>
          <t>Diberikan barisan: 3, 6, 12, 24, 48. Dosen minta saya identifikasi jenis deret, tuliskan rumus suku ke-n, dan hitung suk</t>
        </is>
      </c>
      <c r="E21" t="n">
        <v>1</v>
      </c>
      <c r="F21" t="n">
        <v>1</v>
      </c>
      <c r="G21" t="n">
        <v>0.7484</v>
      </c>
      <c r="H21" t="n">
        <v>1</v>
      </c>
      <c r="I21" t="n">
        <v>1</v>
      </c>
      <c r="J21" s="3" t="inlineStr">
        <is>
          <t>GT_CT07.txt, GT_CT09.txt, GT_DETAIL_PT04_Abstraksi.txt, GT_DETAIL_PT05_Pattern_Recognition.txt, GT_DETAIL_PT09_Variabel_TipeData_Operator_List.txt, GT_SUBTOPIK_04_Modulo_Siklus.txt</t>
        </is>
      </c>
      <c r="K21" t="n">
        <v>0.7175</v>
      </c>
      <c r="L21" t="n">
        <v>1</v>
      </c>
      <c r="M21" t="n">
        <v>0.0584</v>
      </c>
      <c r="N21" t="n">
        <v>0.1836</v>
      </c>
      <c r="O21" t="inlineStr">
        <is>
          <t>RENDAH</t>
        </is>
      </c>
      <c r="P21" t="n">
        <v>0</v>
      </c>
      <c r="Q21" t="n">
        <v>0</v>
      </c>
      <c r="R21" t="b">
        <v>1</v>
      </c>
      <c r="S21" t="n">
        <v>0.7455000000000001</v>
      </c>
      <c r="T21" t="n">
        <v>1</v>
      </c>
      <c r="U21" t="n">
        <v>0.1515</v>
      </c>
      <c r="V21" t="n">
        <v>0.1654</v>
      </c>
      <c r="W21" t="inlineStr">
        <is>
          <t>RENDAH</t>
        </is>
      </c>
      <c r="X21" t="n">
        <v>0</v>
      </c>
      <c r="Y21" t="n">
        <v>0</v>
      </c>
      <c r="Z21" t="b">
        <v>1</v>
      </c>
      <c r="AA21" t="n">
        <v>-0.028</v>
      </c>
      <c r="AB21" t="n">
        <v>0.0182</v>
      </c>
    </row>
    <row r="22">
      <c r="A22" t="n">
        <v>21</v>
      </c>
      <c r="B22" t="inlineStr">
        <is>
          <t>confusion</t>
        </is>
      </c>
      <c r="C22" t="inlineStr">
        <is>
          <t>2PAI</t>
        </is>
      </c>
      <c r="D22" s="3" t="inlineStr">
        <is>
          <t>Di tugas saya bikin flowchart karena saya kira itu lebih formal dan benar dari pseudocode. Tapi dosen lebih prefer pseud</t>
        </is>
      </c>
      <c r="E22" t="n">
        <v>1</v>
      </c>
      <c r="F22" t="n">
        <v>1</v>
      </c>
      <c r="G22" t="n">
        <v>0.7541</v>
      </c>
      <c r="H22" t="n">
        <v>1</v>
      </c>
      <c r="I22" t="n">
        <v>0.8333</v>
      </c>
      <c r="J22" s="3" t="inlineStr">
        <is>
          <t>GT_CT01.txt, GT_CT07.txt, GT_CT09.txt, GT_DETAIL_PT07_Notasi_Algoritme.txt, GT_DETAIL_PT10_Percabangan.txt</t>
        </is>
      </c>
      <c r="K22" t="n">
        <v>0.7945</v>
      </c>
      <c r="L22" t="n">
        <v>1</v>
      </c>
      <c r="M22" t="n">
        <v>0.3149</v>
      </c>
      <c r="N22" t="n">
        <v>0.1336</v>
      </c>
      <c r="O22" t="inlineStr">
        <is>
          <t>RENDAH</t>
        </is>
      </c>
      <c r="P22" t="n">
        <v>0</v>
      </c>
      <c r="Q22" t="n">
        <v>0</v>
      </c>
      <c r="R22" t="b">
        <v>1</v>
      </c>
      <c r="S22" t="n">
        <v>0.7627</v>
      </c>
      <c r="T22" t="n">
        <v>1</v>
      </c>
      <c r="U22" t="n">
        <v>0.2089</v>
      </c>
      <c r="V22" t="n">
        <v>0.1842</v>
      </c>
      <c r="W22" t="inlineStr">
        <is>
          <t>RENDAH</t>
        </is>
      </c>
      <c r="X22" t="n">
        <v>0</v>
      </c>
      <c r="Y22" t="n">
        <v>0.2</v>
      </c>
      <c r="Z22" t="b">
        <v>1</v>
      </c>
      <c r="AA22" t="n">
        <v>0.0318</v>
      </c>
      <c r="AB22" t="n">
        <v>-0.0506</v>
      </c>
    </row>
    <row r="23">
      <c r="A23" t="n">
        <v>22</v>
      </c>
      <c r="B23" t="inlineStr">
        <is>
          <t>application</t>
        </is>
      </c>
      <c r="C23" t="inlineStr">
        <is>
          <t>3PAR</t>
        </is>
      </c>
      <c r="D23" s="3" t="inlineStr">
        <is>
          <t>Saya diminta menulis pseudocode algoritme Euclidean untuk mencari FPB dua bilangan. Saya tahu konsep FPB tapi tidak tahu</t>
        </is>
      </c>
      <c r="E23" t="n">
        <v>1</v>
      </c>
      <c r="F23" t="n">
        <v>1</v>
      </c>
      <c r="G23" t="n">
        <v>0.7883</v>
      </c>
      <c r="H23" t="n">
        <v>1</v>
      </c>
      <c r="I23" t="n">
        <v>1</v>
      </c>
      <c r="J23" s="3" t="inlineStr">
        <is>
          <t>GT_CT07.txt, GT_CT11.txt, GT_DETAIL_PT07_Notasi_Algoritme.txt, GT_DETAIL_PT10_Percabangan.txt, GT_DETAIL_PT11_Perulangan.txt, GT_SUBTOPIK_05_Pseudocode_Algoritme.txt</t>
        </is>
      </c>
      <c r="K23" t="n">
        <v>0.7724</v>
      </c>
      <c r="L23" t="n">
        <v>1</v>
      </c>
      <c r="M23" t="n">
        <v>0.2413</v>
      </c>
      <c r="N23" t="n">
        <v>0.1479</v>
      </c>
      <c r="O23" t="inlineStr">
        <is>
          <t>RENDAH</t>
        </is>
      </c>
      <c r="P23" t="n">
        <v>0</v>
      </c>
      <c r="Q23" t="n">
        <v>0</v>
      </c>
      <c r="R23" t="b">
        <v>1</v>
      </c>
      <c r="S23" t="n">
        <v>0.7702</v>
      </c>
      <c r="T23" t="n">
        <v>1</v>
      </c>
      <c r="U23" t="n">
        <v>0.2341</v>
      </c>
      <c r="V23" t="n">
        <v>0.1494</v>
      </c>
      <c r="W23" t="inlineStr">
        <is>
          <t>RENDAH</t>
        </is>
      </c>
      <c r="X23" t="n">
        <v>0</v>
      </c>
      <c r="Y23" t="n">
        <v>0</v>
      </c>
      <c r="Z23" t="b">
        <v>1</v>
      </c>
      <c r="AA23" t="n">
        <v>0.0022</v>
      </c>
      <c r="AB23" t="n">
        <v>-0.0015</v>
      </c>
    </row>
    <row r="24">
      <c r="A24" t="n">
        <v>23</v>
      </c>
      <c r="B24" t="inlineStr">
        <is>
          <t>gap</t>
        </is>
      </c>
      <c r="C24" t="inlineStr">
        <is>
          <t>1TGR</t>
        </is>
      </c>
      <c r="D24" s="3" t="inlineStr">
        <is>
          <t>Saya sudah buat algoritme untuk cari nilai terbesar dari array dan bisa jalan. Tapi dosen bilang algoritme saya kurang b</t>
        </is>
      </c>
      <c r="E24" t="n">
        <v>1</v>
      </c>
      <c r="F24" t="n">
        <v>1</v>
      </c>
      <c r="G24" t="n">
        <v>0.7359</v>
      </c>
      <c r="H24" t="n">
        <v>1</v>
      </c>
      <c r="I24" t="n">
        <v>1</v>
      </c>
      <c r="J24" s="3" t="inlineStr">
        <is>
          <t>GT_CT07.txt, GT_CT09.txt, GT_DETAIL_PT04_Abstraksi.txt, GT_DETAIL_PT06_Block_Programming.txt, GT_SUBTOPIK_02_Abstraksi_Formulasi.txt, GT_SUBTOPIK_14_Kompleksitas_BigO.txt</t>
        </is>
      </c>
      <c r="K24" t="n">
        <v>0.7803</v>
      </c>
      <c r="L24" t="n">
        <v>1</v>
      </c>
      <c r="M24" t="n">
        <v>0.2676</v>
      </c>
      <c r="N24" t="n">
        <v>0.1728</v>
      </c>
      <c r="O24" t="inlineStr">
        <is>
          <t>RENDAH</t>
        </is>
      </c>
      <c r="P24" t="n">
        <v>0</v>
      </c>
      <c r="Q24" t="n">
        <v>0.2</v>
      </c>
      <c r="S24" t="n">
        <v>0.7622</v>
      </c>
      <c r="T24" t="n">
        <v>1</v>
      </c>
      <c r="U24" t="n">
        <v>0.2073</v>
      </c>
      <c r="V24" t="n">
        <v>0.1846</v>
      </c>
      <c r="W24" t="inlineStr">
        <is>
          <t>RENDAH</t>
        </is>
      </c>
      <c r="X24" t="n">
        <v>0</v>
      </c>
      <c r="Y24" t="n">
        <v>0.2</v>
      </c>
      <c r="Z24" t="b">
        <v>1</v>
      </c>
      <c r="AA24" t="n">
        <v>0.0181</v>
      </c>
      <c r="AB24" t="n">
        <v>-0.0118</v>
      </c>
    </row>
    <row r="25">
      <c r="A25" t="n">
        <v>24</v>
      </c>
      <c r="B25" t="inlineStr">
        <is>
          <t>out_of_scope</t>
        </is>
      </c>
      <c r="C25" t="inlineStr">
        <is>
          <t>5TAI</t>
        </is>
      </c>
      <c r="D25" s="3" t="inlineStr">
        <is>
          <t>Saya buat algoritme FPB Euclidean dan ingin tahu kompleksitasnya Big-O. Apakah Euclidean itu O(log n) atau O(n)? Dan ken</t>
        </is>
      </c>
      <c r="E25" t="n">
        <v>1</v>
      </c>
      <c r="F25" t="n">
        <v>1</v>
      </c>
      <c r="G25" t="n">
        <v>0.7662</v>
      </c>
      <c r="H25" t="n">
        <v>1</v>
      </c>
      <c r="I25" t="n">
        <v>0.8333</v>
      </c>
      <c r="J25" s="3" t="inlineStr">
        <is>
          <t>GT_CT07.txt, GT_CT10.txt, GT_DETAIL_PT07_Notasi_Algoritme.txt, GT_SUBTOPIK_11_Rekursi.txt, GT_SUBTOPIK_14_Kompleksitas_BigO.txt</t>
        </is>
      </c>
      <c r="K25" t="n">
        <v>0.7849</v>
      </c>
      <c r="L25" t="n">
        <v>1</v>
      </c>
      <c r="M25" t="n">
        <v>0.2831</v>
      </c>
      <c r="N25" t="n">
        <v>0.1398</v>
      </c>
      <c r="O25" t="inlineStr">
        <is>
          <t>RENDAH</t>
        </is>
      </c>
      <c r="P25" t="n">
        <v>0</v>
      </c>
      <c r="Q25" t="n">
        <v>0</v>
      </c>
      <c r="R25" t="b">
        <v>1</v>
      </c>
      <c r="S25" t="n">
        <v>0.7832</v>
      </c>
      <c r="T25" t="n">
        <v>1</v>
      </c>
      <c r="U25" t="n">
        <v>0.2773</v>
      </c>
      <c r="V25" t="n">
        <v>0.1409</v>
      </c>
      <c r="W25" t="inlineStr">
        <is>
          <t>RENDAH</t>
        </is>
      </c>
      <c r="X25" t="n">
        <v>0</v>
      </c>
      <c r="Y25" t="n">
        <v>0</v>
      </c>
      <c r="Z25" t="b">
        <v>1</v>
      </c>
      <c r="AA25" t="n">
        <v>0.0017</v>
      </c>
      <c r="AB25" t="n">
        <v>-0.0011</v>
      </c>
    </row>
    <row r="26">
      <c r="A26" t="n">
        <v>25</v>
      </c>
      <c r="B26" t="inlineStr">
        <is>
          <t>confusion</t>
        </is>
      </c>
      <c r="C26" t="inlineStr">
        <is>
          <t>2TGI</t>
        </is>
      </c>
      <c r="D26" s="3" t="inlineStr">
        <is>
          <t>Di pseudocode saya selalu tulis 'int x = 5' karena terbiasa dari C++. Tapi teman saya hanya tulis 'x = 5'. Kata dosen ke</t>
        </is>
      </c>
      <c r="E26" t="n">
        <v>1</v>
      </c>
      <c r="F26" t="n">
        <v>1</v>
      </c>
      <c r="G26" t="n">
        <v>0.7962</v>
      </c>
      <c r="H26" t="n">
        <v>1</v>
      </c>
      <c r="I26" t="n">
        <v>1</v>
      </c>
      <c r="J26" s="3" t="inlineStr">
        <is>
          <t>GT_CT07.txt, GT_CT09.txt, GT_DETAIL_PT07_Notasi_Algoritme.txt, GT_DETAIL_PT10_Percabangan.txt, GT_SUBTOPIK_01_Dekomposisi_Optimasi.txt, GT_SUBTOPIK_05_Pseudocode_Algoritme.txt</t>
        </is>
      </c>
      <c r="K26" t="n">
        <v>0.8078</v>
      </c>
      <c r="L26" t="n">
        <v>1</v>
      </c>
      <c r="M26" t="n">
        <v>0.3593</v>
      </c>
      <c r="N26" t="n">
        <v>0.1549</v>
      </c>
      <c r="O26" t="inlineStr">
        <is>
          <t>RENDAH</t>
        </is>
      </c>
      <c r="P26" t="n">
        <v>0</v>
      </c>
      <c r="Q26" t="n">
        <v>0.2</v>
      </c>
      <c r="R26" t="b">
        <v>1</v>
      </c>
      <c r="S26" t="n">
        <v>0.7513</v>
      </c>
      <c r="T26" t="n">
        <v>1</v>
      </c>
      <c r="U26" t="n">
        <v>0.171</v>
      </c>
      <c r="V26" t="n">
        <v>0.1617</v>
      </c>
      <c r="W26" t="inlineStr">
        <is>
          <t>RENDAH</t>
        </is>
      </c>
      <c r="X26" t="n">
        <v>0</v>
      </c>
      <c r="Y26" t="n">
        <v>0</v>
      </c>
      <c r="AA26" t="n">
        <v>0.0565</v>
      </c>
      <c r="AB26" t="n">
        <v>-0.0068</v>
      </c>
    </row>
    <row r="27">
      <c r="A27" t="n">
        <v>26</v>
      </c>
      <c r="B27" t="inlineStr">
        <is>
          <t>application</t>
        </is>
      </c>
      <c r="C27" t="inlineStr">
        <is>
          <t>2PAR</t>
        </is>
      </c>
      <c r="D27" s="3" t="inlineStr">
        <is>
          <t>Soal: hitung nilai ekspresi berikut: (8 + 4) / (2 * 3) - 1. Dan juga: 15 % 4 * 2 + 7 % 3. Saya sudah hitung tapi tidak y</t>
        </is>
      </c>
      <c r="E27" t="n">
        <v>1</v>
      </c>
      <c r="F27" t="n">
        <v>1</v>
      </c>
      <c r="G27" t="n">
        <v>0.7709</v>
      </c>
      <c r="H27" t="n">
        <v>1</v>
      </c>
      <c r="I27" t="n">
        <v>0.6667</v>
      </c>
      <c r="J27" s="3" t="inlineStr">
        <is>
          <t>GT_DETAIL_PT01_Pendahuluan.txt, GT_DETAIL_PT05_Pattern_Recognition.txt, GT_DETAIL_PT09_Variabel_TipeData_Operator_List.txt, GT_SUBTOPIK_03_Pola_Bilangan_Deret.txt</t>
        </is>
      </c>
      <c r="K27" t="n">
        <v>0.8461</v>
      </c>
      <c r="L27" t="n">
        <v>1</v>
      </c>
      <c r="M27" t="n">
        <v>0.4869</v>
      </c>
      <c r="N27" t="n">
        <v>0.1</v>
      </c>
      <c r="O27" t="inlineStr">
        <is>
          <t>RENDAH</t>
        </is>
      </c>
      <c r="P27" t="n">
        <v>0</v>
      </c>
      <c r="Q27" t="n">
        <v>0</v>
      </c>
      <c r="R27" t="b">
        <v>1</v>
      </c>
      <c r="S27" t="n">
        <v>0.6359</v>
      </c>
      <c r="T27" t="n">
        <v>0.8333</v>
      </c>
      <c r="U27" t="n">
        <v>0.1753</v>
      </c>
      <c r="V27" t="n">
        <v>0.2367</v>
      </c>
      <c r="W27" t="inlineStr">
        <is>
          <t>RENDAH</t>
        </is>
      </c>
      <c r="X27" t="n">
        <v>0</v>
      </c>
      <c r="Y27" t="n">
        <v>0</v>
      </c>
      <c r="Z27" t="b">
        <v>1</v>
      </c>
      <c r="AA27" t="n">
        <v>0.2102</v>
      </c>
      <c r="AB27" t="n">
        <v>-0.1367</v>
      </c>
    </row>
    <row r="28">
      <c r="A28" t="n">
        <v>27</v>
      </c>
      <c r="B28" t="inlineStr">
        <is>
          <t>confusion</t>
        </is>
      </c>
      <c r="C28" t="inlineStr">
        <is>
          <t>4TGI</t>
        </is>
      </c>
      <c r="D28" s="3" t="inlineStr">
        <is>
          <t>Saya sederhanakan ekspresi: NOT (A OR B) menjadi NOT A AND NOT B. Tapi teman saya bilang itu salah — harusnya NOT A OR N</t>
        </is>
      </c>
      <c r="E28" t="n">
        <v>1</v>
      </c>
      <c r="F28" t="n">
        <v>1</v>
      </c>
      <c r="G28" t="n">
        <v>0.7146</v>
      </c>
      <c r="H28" t="n">
        <v>1</v>
      </c>
      <c r="I28" t="n">
        <v>1</v>
      </c>
      <c r="J28" s="3" t="inlineStr">
        <is>
          <t>GT_CT02.txt, GT_CT05.txt, GT_CT07.txt, GT_DETAIL_PT01_Pendahuluan.txt, GT_DETAIL_PT02_ICT_Literacy_Ethics.txt, GT_DETAIL_PT04_Abstraksi.txt</t>
        </is>
      </c>
      <c r="K28" t="n">
        <v>0.4014</v>
      </c>
      <c r="L28" t="n">
        <v>0.5</v>
      </c>
      <c r="M28" t="n">
        <v>0.1714</v>
      </c>
      <c r="N28" t="n">
        <v>0.3891</v>
      </c>
      <c r="O28" t="inlineStr">
        <is>
          <t>SEDANG</t>
        </is>
      </c>
      <c r="P28" t="n">
        <v>0</v>
      </c>
      <c r="Q28" t="n">
        <v>0</v>
      </c>
      <c r="R28" t="b">
        <v>1</v>
      </c>
      <c r="S28" t="n">
        <v>0.4995</v>
      </c>
      <c r="T28" t="n">
        <v>0.6667</v>
      </c>
      <c r="U28" t="n">
        <v>0.1092</v>
      </c>
      <c r="V28" t="n">
        <v>0.3253</v>
      </c>
      <c r="W28" t="inlineStr">
        <is>
          <t>SEDANG</t>
        </is>
      </c>
      <c r="X28" t="n">
        <v>0</v>
      </c>
      <c r="Y28" t="n">
        <v>0</v>
      </c>
      <c r="Z28" t="b">
        <v>1</v>
      </c>
      <c r="AA28" t="n">
        <v>-0.09810000000000001</v>
      </c>
      <c r="AB28" t="n">
        <v>0.0638</v>
      </c>
    </row>
    <row r="29">
      <c r="A29" t="n">
        <v>28</v>
      </c>
      <c r="B29" t="inlineStr">
        <is>
          <t>gap</t>
        </is>
      </c>
      <c r="C29" t="inlineStr">
        <is>
          <t>3TAI</t>
        </is>
      </c>
      <c r="D29" s="3" t="inlineStr">
        <is>
          <t>Di pseudocode CT, kalau saya tulis 7 / 2, hasilnya 3 atau 3.5? Di Python hasilnya 3.5 tapi di C hasilnya 3 karena intege</t>
        </is>
      </c>
      <c r="E29" t="n">
        <v>1</v>
      </c>
      <c r="F29" t="n">
        <v>1</v>
      </c>
      <c r="G29" t="n">
        <v>0.7934</v>
      </c>
      <c r="H29" t="n">
        <v>1</v>
      </c>
      <c r="I29" t="n">
        <v>0.8333</v>
      </c>
      <c r="J29" s="3" t="inlineStr">
        <is>
          <t>GT_CT07.txt, GT_DETAIL_PT10_Percabangan.txt, GT_SUBTOPIK_01_Dekomposisi_Optimasi.txt, GT_SUBTOPIK_04_Modulo_Siklus.txt, GT_SUBTOPIK_05_Pseudocode_Algoritme.txt</t>
        </is>
      </c>
      <c r="K29" t="n">
        <v>0.7576000000000001</v>
      </c>
      <c r="L29" t="n">
        <v>1</v>
      </c>
      <c r="M29" t="n">
        <v>0.192</v>
      </c>
      <c r="N29" t="n">
        <v>0.1576</v>
      </c>
      <c r="O29" t="inlineStr">
        <is>
          <t>RENDAH</t>
        </is>
      </c>
      <c r="P29" t="n">
        <v>0</v>
      </c>
      <c r="Q29" t="n">
        <v>0</v>
      </c>
      <c r="S29" t="n">
        <v>0.7471</v>
      </c>
      <c r="T29" t="n">
        <v>1</v>
      </c>
      <c r="U29" t="n">
        <v>0.1569</v>
      </c>
      <c r="V29" t="n">
        <v>0.1644</v>
      </c>
      <c r="W29" t="inlineStr">
        <is>
          <t>RENDAH</t>
        </is>
      </c>
      <c r="X29" t="n">
        <v>0</v>
      </c>
      <c r="Y29" t="n">
        <v>0</v>
      </c>
      <c r="AA29" t="n">
        <v>0.0105</v>
      </c>
      <c r="AB29" t="n">
        <v>-0.0068</v>
      </c>
    </row>
    <row r="30">
      <c r="A30" t="n">
        <v>29</v>
      </c>
      <c r="B30" t="inlineStr">
        <is>
          <t>application</t>
        </is>
      </c>
      <c r="C30" t="inlineStr">
        <is>
          <t>3PGI</t>
        </is>
      </c>
      <c r="D30" s="3" t="inlineStr">
        <is>
          <t xml:space="preserve">Tugas: buat tabel kebenaran untuk ekspresi (A AND NOT B) OR (NOT A AND B). Saya buat untuk semua kombinasi A dan B tapi </t>
        </is>
      </c>
      <c r="E30" t="n">
        <v>1</v>
      </c>
      <c r="F30" t="n">
        <v>1</v>
      </c>
      <c r="G30" t="n">
        <v>0.741</v>
      </c>
      <c r="H30" t="n">
        <v>1</v>
      </c>
      <c r="I30" t="n">
        <v>1</v>
      </c>
      <c r="J30" s="3" t="inlineStr">
        <is>
          <t>GT_CT01.txt, GT_CT03.txt, GT_CT05.txt, GT_CT07.txt, GT_CT09.txt, GT_DETAIL_PT04_Abstraksi.txt</t>
        </is>
      </c>
      <c r="K30" t="n">
        <v>0.7619</v>
      </c>
      <c r="L30" t="n">
        <v>1</v>
      </c>
      <c r="M30" t="n">
        <v>0.2064</v>
      </c>
      <c r="N30" t="n">
        <v>0.1548</v>
      </c>
      <c r="O30" t="inlineStr">
        <is>
          <t>RENDAH</t>
        </is>
      </c>
      <c r="P30" t="n">
        <v>0</v>
      </c>
      <c r="Q30" t="n">
        <v>0</v>
      </c>
      <c r="R30" t="b">
        <v>1</v>
      </c>
      <c r="S30" t="n">
        <v>0.7266</v>
      </c>
      <c r="T30" t="n">
        <v>1</v>
      </c>
      <c r="U30" t="n">
        <v>0.0887</v>
      </c>
      <c r="V30" t="n">
        <v>0.191</v>
      </c>
      <c r="W30" t="inlineStr">
        <is>
          <t>RENDAH</t>
        </is>
      </c>
      <c r="X30" t="n">
        <v>0.0667</v>
      </c>
      <c r="Y30" t="n">
        <v>0</v>
      </c>
      <c r="Z30" t="b">
        <v>0</v>
      </c>
      <c r="AA30" t="n">
        <v>0.0353</v>
      </c>
      <c r="AB30" t="n">
        <v>-0.0362</v>
      </c>
    </row>
    <row r="31">
      <c r="A31" t="n">
        <v>30</v>
      </c>
      <c r="B31" t="inlineStr">
        <is>
          <t>out_of_scope</t>
        </is>
      </c>
      <c r="C31" t="inlineStr">
        <is>
          <t>4PAI</t>
        </is>
      </c>
      <c r="D31" s="3" t="inlineStr">
        <is>
          <t xml:space="preserve">Di materi variabel dan tipe data, kita belajar integer, float, boolean, string, dan list. Tapi bagaimana kalau saya mau </t>
        </is>
      </c>
      <c r="E31" t="n">
        <v>1</v>
      </c>
      <c r="F31" t="n">
        <v>1</v>
      </c>
      <c r="G31" t="n">
        <v>0.7704</v>
      </c>
      <c r="H31" t="n">
        <v>1</v>
      </c>
      <c r="I31" t="n">
        <v>0.6667</v>
      </c>
      <c r="J31" s="3" t="inlineStr">
        <is>
          <t>GT_CT09.txt, GT_CT13.txt, GT_DETAIL_PT09_Variabel_TipeData_Operator_List.txt, GT_DETAIL_PT12_Fungsi.txt</t>
        </is>
      </c>
      <c r="K31" t="n">
        <v>0.7786</v>
      </c>
      <c r="L31" t="n">
        <v>1</v>
      </c>
      <c r="M31" t="n">
        <v>0.2621</v>
      </c>
      <c r="N31" t="n">
        <v>0.1439</v>
      </c>
      <c r="O31" t="inlineStr">
        <is>
          <t>RENDAH</t>
        </is>
      </c>
      <c r="P31" t="n">
        <v>0</v>
      </c>
      <c r="Q31" t="n">
        <v>0</v>
      </c>
      <c r="R31" t="b">
        <v>1</v>
      </c>
      <c r="S31" t="n">
        <v>0.7655999999999999</v>
      </c>
      <c r="T31" t="n">
        <v>1</v>
      </c>
      <c r="U31" t="n">
        <v>0.2188</v>
      </c>
      <c r="V31" t="n">
        <v>0.1524</v>
      </c>
      <c r="W31" t="inlineStr">
        <is>
          <t>RENDAH</t>
        </is>
      </c>
      <c r="X31" t="n">
        <v>0</v>
      </c>
      <c r="Y31" t="n">
        <v>0</v>
      </c>
      <c r="Z31" t="b">
        <v>1</v>
      </c>
      <c r="AA31" t="n">
        <v>0.013</v>
      </c>
      <c r="AB31" t="n">
        <v>-0.008500000000000001</v>
      </c>
    </row>
    <row r="32">
      <c r="A32" t="n">
        <v>31</v>
      </c>
      <c r="B32" t="inlineStr">
        <is>
          <t>application</t>
        </is>
      </c>
      <c r="C32" t="inlineStr">
        <is>
          <t>3PGR</t>
        </is>
      </c>
      <c r="D32" s="3" t="inlineStr">
        <is>
          <t xml:space="preserve">Trace pseudocode ini untuk input x=-3, y=5:
  if (x &gt; 0) then
    if (y &gt; 0) then print('Q1') else print('Q4')
  else
  </t>
        </is>
      </c>
      <c r="E32" t="n">
        <v>1</v>
      </c>
      <c r="F32" t="n">
        <v>1</v>
      </c>
      <c r="G32" t="n">
        <v>0.826</v>
      </c>
      <c r="H32" t="n">
        <v>1</v>
      </c>
      <c r="I32" t="n">
        <v>0.5</v>
      </c>
      <c r="J32" s="3" t="inlineStr">
        <is>
          <t>GT_DETAIL_PT10_Percabangan.txt, GT_SUBTOPIK_05_Pseudocode_Algoritme.txt, GT_SUBTOPIK_07_Percabangan_Trace.txt</t>
        </is>
      </c>
      <c r="K32" t="n">
        <v>0.6337</v>
      </c>
      <c r="L32" t="n">
        <v>0.8333</v>
      </c>
      <c r="M32" t="n">
        <v>0.168</v>
      </c>
      <c r="N32" t="n">
        <v>0.2524</v>
      </c>
      <c r="O32" t="inlineStr">
        <is>
          <t>RENDAH</t>
        </is>
      </c>
      <c r="P32" t="n">
        <v>0.07140000000000001</v>
      </c>
      <c r="Q32" t="n">
        <v>0</v>
      </c>
      <c r="R32" t="b">
        <v>1</v>
      </c>
      <c r="S32" t="n">
        <v>0.6208</v>
      </c>
      <c r="T32" t="n">
        <v>0.8</v>
      </c>
      <c r="U32" t="n">
        <v>0.2025</v>
      </c>
      <c r="V32" t="n">
        <v>0.2665</v>
      </c>
      <c r="W32" t="inlineStr">
        <is>
          <t>RENDAH</t>
        </is>
      </c>
      <c r="X32" t="n">
        <v>0.1</v>
      </c>
      <c r="Y32" t="n">
        <v>0</v>
      </c>
      <c r="Z32" t="b">
        <v>1</v>
      </c>
      <c r="AA32" t="n">
        <v>0.0129</v>
      </c>
      <c r="AB32" t="n">
        <v>-0.0141</v>
      </c>
    </row>
    <row r="33">
      <c r="A33" t="n">
        <v>32</v>
      </c>
      <c r="B33" t="inlineStr">
        <is>
          <t>confusion</t>
        </is>
      </c>
      <c r="C33" t="inlineStr">
        <is>
          <t>4PAR</t>
        </is>
      </c>
      <c r="D33" s="3" t="inlineStr">
        <is>
          <t>Saya harus cek: apakah suhu &gt; 35 DAN kelembaban &gt; 80. Saya buat nested if — if suhu&gt;35 then if kelembaban&gt;80. Tapi teman</t>
        </is>
      </c>
      <c r="E33" t="n">
        <v>1</v>
      </c>
      <c r="F33" t="n">
        <v>1</v>
      </c>
      <c r="G33" t="n">
        <v>0.7907999999999999</v>
      </c>
      <c r="H33" t="n">
        <v>1</v>
      </c>
      <c r="I33" t="n">
        <v>0.8333</v>
      </c>
      <c r="J33" s="3" t="inlineStr">
        <is>
          <t>GT_CT10.txt, GT_DETAIL_PT05_Pattern_Recognition.txt, GT_SUBTOPIK_04_Modulo_Siklus.txt, GT_SUBTOPIK_07_Percabangan_Trace.txt, GT_SUBTOPIK_14_Kompleksitas_BigO.txt</t>
        </is>
      </c>
      <c r="K33" t="n">
        <v>0.643</v>
      </c>
      <c r="L33" t="n">
        <v>0.8333</v>
      </c>
      <c r="M33" t="n">
        <v>0.1989</v>
      </c>
      <c r="N33" t="n">
        <v>0.2321</v>
      </c>
      <c r="O33" t="inlineStr">
        <is>
          <t>RENDAH</t>
        </is>
      </c>
      <c r="P33" t="n">
        <v>0</v>
      </c>
      <c r="Q33" t="n">
        <v>0</v>
      </c>
      <c r="R33" t="b">
        <v>1</v>
      </c>
      <c r="S33" t="n">
        <v>0.7726</v>
      </c>
      <c r="T33" t="n">
        <v>1</v>
      </c>
      <c r="U33" t="n">
        <v>0.242</v>
      </c>
      <c r="V33" t="n">
        <v>0.1865</v>
      </c>
      <c r="W33" t="inlineStr">
        <is>
          <t>RENDAH</t>
        </is>
      </c>
      <c r="X33" t="n">
        <v>0.0435</v>
      </c>
      <c r="Y33" t="n">
        <v>0.2</v>
      </c>
      <c r="Z33" t="b">
        <v>1</v>
      </c>
      <c r="AA33" t="n">
        <v>-0.1296</v>
      </c>
      <c r="AB33" t="n">
        <v>0.0456</v>
      </c>
    </row>
    <row r="34">
      <c r="A34" t="n">
        <v>33</v>
      </c>
      <c r="B34" t="inlineStr">
        <is>
          <t>gap</t>
        </is>
      </c>
      <c r="C34" t="inlineStr">
        <is>
          <t>2TAR</t>
        </is>
      </c>
      <c r="D34" s="3" t="inlineStr">
        <is>
          <t>Di else-if untuk konversi nilai: A(&gt;=85), B(&gt;=70), C(&gt;=55), D(lainnya). Nilai saya 90. Kondisi pertama (&gt;=85) true, tapi</t>
        </is>
      </c>
      <c r="E34" t="n">
        <v>1</v>
      </c>
      <c r="F34" t="n">
        <v>1</v>
      </c>
      <c r="G34" t="n">
        <v>0.7954</v>
      </c>
      <c r="H34" t="n">
        <v>1</v>
      </c>
      <c r="I34" t="n">
        <v>0.8333</v>
      </c>
      <c r="J34" s="3" t="inlineStr">
        <is>
          <t>GT_CT10.txt, GT_DETAIL_PT10_Percabangan.txt, GT_SUBTOPIK_05_Pseudocode_Algoritme.txt, GT_SUBTOPIK_06_Operator_Ekspresi.txt, GT_SUBTOPIK_07_Percabangan_Trace.txt</t>
        </is>
      </c>
      <c r="K34" t="n">
        <v>0.8027</v>
      </c>
      <c r="L34" t="n">
        <v>1</v>
      </c>
      <c r="M34" t="n">
        <v>0.3425</v>
      </c>
      <c r="N34" t="n">
        <v>0.1282</v>
      </c>
      <c r="O34" t="inlineStr">
        <is>
          <t>RENDAH</t>
        </is>
      </c>
      <c r="P34" t="n">
        <v>0</v>
      </c>
      <c r="Q34" t="n">
        <v>0</v>
      </c>
      <c r="R34" t="b">
        <v>1</v>
      </c>
      <c r="S34" t="n">
        <v>0.7589</v>
      </c>
      <c r="T34" t="n">
        <v>1</v>
      </c>
      <c r="U34" t="n">
        <v>0.1964</v>
      </c>
      <c r="V34" t="n">
        <v>0.1567</v>
      </c>
      <c r="W34" t="inlineStr">
        <is>
          <t>RENDAH</t>
        </is>
      </c>
      <c r="X34" t="n">
        <v>0</v>
      </c>
      <c r="Y34" t="n">
        <v>0</v>
      </c>
      <c r="AA34" t="n">
        <v>0.0438</v>
      </c>
      <c r="AB34" t="n">
        <v>-0.0285</v>
      </c>
    </row>
    <row r="35">
      <c r="A35" t="n">
        <v>34</v>
      </c>
      <c r="B35" t="inlineStr">
        <is>
          <t>application</t>
        </is>
      </c>
      <c r="C35" t="inlineStr">
        <is>
          <t>2PGI</t>
        </is>
      </c>
      <c r="D35" s="3" t="inlineStr">
        <is>
          <t>Trace pseudocode konversi nilai untuk input nilai=68:
  if (nilai&gt;=85) then print('A')
  else if (nilai&gt;=70) then print(</t>
        </is>
      </c>
      <c r="E35" t="n">
        <v>1</v>
      </c>
      <c r="F35" t="n">
        <v>1</v>
      </c>
      <c r="G35" t="n">
        <v>0.8441</v>
      </c>
      <c r="H35" t="n">
        <v>1</v>
      </c>
      <c r="I35" t="n">
        <v>0.6667</v>
      </c>
      <c r="J35" s="3" t="inlineStr">
        <is>
          <t>GT_CT07.txt, GT_DETAIL_PT10_Percabangan.txt, GT_SUBTOPIK_05_Pseudocode_Algoritme.txt, GT_SUBTOPIK_07_Percabangan_Trace.txt</t>
        </is>
      </c>
      <c r="K35" t="n">
        <v>0.761</v>
      </c>
      <c r="L35" t="n">
        <v>1</v>
      </c>
      <c r="M35" t="n">
        <v>0.2033</v>
      </c>
      <c r="N35" t="n">
        <v>0.1707</v>
      </c>
      <c r="O35" t="inlineStr">
        <is>
          <t>RENDAH</t>
        </is>
      </c>
      <c r="P35" t="n">
        <v>0.0769</v>
      </c>
      <c r="Q35" t="n">
        <v>0</v>
      </c>
      <c r="R35" t="b">
        <v>0</v>
      </c>
      <c r="S35" t="n">
        <v>0.7528</v>
      </c>
      <c r="T35" t="n">
        <v>1</v>
      </c>
      <c r="U35" t="n">
        <v>0.1758</v>
      </c>
      <c r="V35" t="n">
        <v>0.174</v>
      </c>
      <c r="W35" t="inlineStr">
        <is>
          <t>RENDAH</t>
        </is>
      </c>
      <c r="X35" t="n">
        <v>0.0667</v>
      </c>
      <c r="Y35" t="n">
        <v>0</v>
      </c>
      <c r="Z35" t="b">
        <v>1</v>
      </c>
      <c r="AA35" t="n">
        <v>0.008200000000000001</v>
      </c>
      <c r="AB35" t="n">
        <v>-0.0033</v>
      </c>
    </row>
    <row r="36">
      <c r="A36" t="n">
        <v>35</v>
      </c>
      <c r="B36" t="inlineStr">
        <is>
          <t>cross_topic</t>
        </is>
      </c>
      <c r="C36" t="inlineStr">
        <is>
          <t>3TAR</t>
        </is>
      </c>
      <c r="D36" s="3" t="inlineStr">
        <is>
          <t>Saya mau buat program yang minta input terus sampai user masukkan angka valid (1-100). Ini perlu loop (while) dan percab</t>
        </is>
      </c>
      <c r="E36" t="n">
        <v>1</v>
      </c>
      <c r="F36" t="n">
        <v>1</v>
      </c>
      <c r="G36" t="n">
        <v>0.7306</v>
      </c>
      <c r="H36" t="n">
        <v>1</v>
      </c>
      <c r="I36" t="n">
        <v>0.5</v>
      </c>
      <c r="J36" s="3" t="inlineStr">
        <is>
          <t>GT_CT10.txt, GT_CT11.txt, GT_DETAIL_PT11_Perulangan.txt</t>
        </is>
      </c>
      <c r="K36" t="n">
        <v>0.6987</v>
      </c>
      <c r="L36" t="n">
        <v>0.8333</v>
      </c>
      <c r="M36" t="n">
        <v>0.3846</v>
      </c>
      <c r="N36" t="n">
        <v>0.1958</v>
      </c>
      <c r="O36" t="inlineStr">
        <is>
          <t>RENDAH</t>
        </is>
      </c>
      <c r="P36" t="n">
        <v>0</v>
      </c>
      <c r="Q36" t="n">
        <v>0</v>
      </c>
      <c r="R36" t="b">
        <v>1</v>
      </c>
      <c r="S36" t="n">
        <v>0.4353</v>
      </c>
      <c r="T36" t="n">
        <v>0.5</v>
      </c>
      <c r="U36" t="n">
        <v>0.2842</v>
      </c>
      <c r="V36" t="n">
        <v>0.3671</v>
      </c>
      <c r="W36" t="inlineStr">
        <is>
          <t>SEDANG</t>
        </is>
      </c>
      <c r="X36" t="n">
        <v>0</v>
      </c>
      <c r="Y36" t="n">
        <v>0</v>
      </c>
      <c r="Z36" t="b">
        <v>0</v>
      </c>
      <c r="AA36" t="n">
        <v>0.2634</v>
      </c>
      <c r="AB36" t="n">
        <v>-0.1713</v>
      </c>
    </row>
    <row r="37">
      <c r="A37" t="n">
        <v>36</v>
      </c>
      <c r="B37" t="inlineStr">
        <is>
          <t>confusion</t>
        </is>
      </c>
      <c r="C37" t="inlineStr">
        <is>
          <t>2PAI</t>
        </is>
      </c>
      <c r="D37" s="3" t="inlineStr">
        <is>
          <t>Saya diminta baca semua baris file CSV sampai habis. Saya tidak tahu ada berapa baris di file itu. Apakah saya pakai for</t>
        </is>
      </c>
      <c r="E37" t="n">
        <v>1</v>
      </c>
      <c r="F37" t="n">
        <v>1</v>
      </c>
      <c r="G37" t="n">
        <v>0.6941000000000001</v>
      </c>
      <c r="H37" t="n">
        <v>1</v>
      </c>
      <c r="I37" t="n">
        <v>0.8333</v>
      </c>
      <c r="J37" s="3" t="inlineStr">
        <is>
          <t>GT_CT11.txt, GT_CT13.txt, GT_DETAIL_PT01_Pendahuluan.txt, GT_DETAIL_PT04_Abstraksi.txt, GT_SUBTOPIK_02_Abstraksi_Formulasi.txt</t>
        </is>
      </c>
      <c r="K37" t="n">
        <v>0.7592</v>
      </c>
      <c r="L37" t="n">
        <v>1</v>
      </c>
      <c r="M37" t="n">
        <v>0.1972</v>
      </c>
      <c r="N37" t="n">
        <v>0.1865</v>
      </c>
      <c r="O37" t="inlineStr">
        <is>
          <t>RENDAH</t>
        </is>
      </c>
      <c r="P37" t="n">
        <v>0</v>
      </c>
      <c r="Q37" t="n">
        <v>0.2</v>
      </c>
      <c r="R37" t="b">
        <v>1</v>
      </c>
      <c r="S37" t="n">
        <v>0.7635</v>
      </c>
      <c r="T37" t="n">
        <v>1</v>
      </c>
      <c r="U37" t="n">
        <v>0.2117</v>
      </c>
      <c r="V37" t="n">
        <v>0.1837</v>
      </c>
      <c r="W37" t="inlineStr">
        <is>
          <t>RENDAH</t>
        </is>
      </c>
      <c r="X37" t="n">
        <v>0</v>
      </c>
      <c r="Y37" t="n">
        <v>0.2</v>
      </c>
      <c r="AA37" t="n">
        <v>-0.0043</v>
      </c>
      <c r="AB37" t="n">
        <v>0.0028</v>
      </c>
    </row>
    <row r="38">
      <c r="A38" t="n">
        <v>37</v>
      </c>
      <c r="B38" t="inlineStr">
        <is>
          <t>application</t>
        </is>
      </c>
      <c r="C38" t="inlineStr">
        <is>
          <t>2TGR</t>
        </is>
      </c>
      <c r="D38" s="3" t="inlineStr">
        <is>
          <t>Saya diminta tulis pseudocode untuk cetak 10 bilangan genap pertama (2, 4, ..., 20) dalam DUA versi berbeda: satu dengan</t>
        </is>
      </c>
      <c r="E38" t="n">
        <v>1</v>
      </c>
      <c r="F38" t="n">
        <v>0.8571</v>
      </c>
      <c r="G38" t="n">
        <v>0.783</v>
      </c>
      <c r="H38" t="n">
        <v>1</v>
      </c>
      <c r="I38" t="n">
        <v>1</v>
      </c>
      <c r="J38" s="3" t="inlineStr">
        <is>
          <t>GT_CT07.txt, GT_CT11.txt, GT_DETAIL_PT07_Notasi_Algoritme.txt, GT_DETAIL_PT10_Percabangan.txt, GT_SUBTOPIK_04_Modulo_Siklus.txt, GT_SUBTOPIK_05_Pseudocode_Algoritme.txt</t>
        </is>
      </c>
      <c r="K38" t="n">
        <v>0.655</v>
      </c>
      <c r="L38" t="n">
        <v>0.8333</v>
      </c>
      <c r="M38" t="n">
        <v>0.2389</v>
      </c>
      <c r="N38" t="n">
        <v>0.2242</v>
      </c>
      <c r="O38" t="inlineStr">
        <is>
          <t>RENDAH</t>
        </is>
      </c>
      <c r="P38" t="n">
        <v>0</v>
      </c>
      <c r="Q38" t="n">
        <v>0</v>
      </c>
      <c r="R38" t="b">
        <v>1</v>
      </c>
      <c r="S38" t="n">
        <v>0.7672</v>
      </c>
      <c r="T38" t="n">
        <v>1</v>
      </c>
      <c r="U38" t="n">
        <v>0.2239</v>
      </c>
      <c r="V38" t="n">
        <v>0.1513</v>
      </c>
      <c r="W38" t="inlineStr">
        <is>
          <t>RENDAH</t>
        </is>
      </c>
      <c r="X38" t="n">
        <v>0</v>
      </c>
      <c r="Y38" t="n">
        <v>0</v>
      </c>
      <c r="Z38" t="b">
        <v>1</v>
      </c>
      <c r="AA38" t="n">
        <v>-0.1122</v>
      </c>
      <c r="AB38" t="n">
        <v>0.07290000000000001</v>
      </c>
    </row>
    <row r="39">
      <c r="A39" t="n">
        <v>38</v>
      </c>
      <c r="B39" t="inlineStr">
        <is>
          <t>gap</t>
        </is>
      </c>
      <c r="C39" t="inlineStr">
        <is>
          <t>3PAI</t>
        </is>
      </c>
      <c r="D39" s="3" t="inlineStr">
        <is>
          <t>Di slide perulangan ada istilah 'sentinel value'. Katanya ini alternatif dari while biasa untuk baca input. Saya tidak p</t>
        </is>
      </c>
      <c r="E39" t="n">
        <v>1</v>
      </c>
      <c r="F39" t="n">
        <v>1</v>
      </c>
      <c r="G39" t="n">
        <v>0.704</v>
      </c>
      <c r="H39" t="n">
        <v>1</v>
      </c>
      <c r="I39" t="n">
        <v>1</v>
      </c>
      <c r="J39" s="3" t="inlineStr">
        <is>
          <t>5PAI.txt, 5PAR.txt, 5TAR.txt, GT_CT09.txt, GT_DETAIL_PT09_Variabel_TipeData_Operator_List.txt, GT_DETAIL_PT11_Perulangan.txt</t>
        </is>
      </c>
      <c r="K39" t="n">
        <v>0.6533</v>
      </c>
      <c r="L39" t="n">
        <v>0.8333</v>
      </c>
      <c r="M39" t="n">
        <v>0.2333</v>
      </c>
      <c r="N39" t="n">
        <v>0.2254</v>
      </c>
      <c r="O39" t="inlineStr">
        <is>
          <t>RENDAH</t>
        </is>
      </c>
      <c r="P39" t="n">
        <v>0</v>
      </c>
      <c r="Q39" t="n">
        <v>0</v>
      </c>
      <c r="R39" t="b">
        <v>1</v>
      </c>
      <c r="S39" t="n">
        <v>0.77</v>
      </c>
      <c r="T39" t="n">
        <v>1</v>
      </c>
      <c r="U39" t="n">
        <v>0.2333</v>
      </c>
      <c r="V39" t="n">
        <v>0.1495</v>
      </c>
      <c r="W39" t="inlineStr">
        <is>
          <t>RENDAH</t>
        </is>
      </c>
      <c r="X39" t="n">
        <v>0</v>
      </c>
      <c r="Y39" t="n">
        <v>0</v>
      </c>
      <c r="Z39" t="b">
        <v>1</v>
      </c>
      <c r="AA39" t="n">
        <v>-0.1167</v>
      </c>
      <c r="AB39" t="n">
        <v>0.0759</v>
      </c>
    </row>
    <row r="40">
      <c r="A40" t="n">
        <v>39</v>
      </c>
      <c r="B40" t="inlineStr">
        <is>
          <t>application</t>
        </is>
      </c>
      <c r="C40" t="inlineStr">
        <is>
          <t>3TGR</t>
        </is>
      </c>
      <c r="D40" s="3" t="inlineStr">
        <is>
          <t xml:space="preserve">Trace pseudocode berikut untuk input n=4523:
  jumlah = 0
  while (n &gt; 0) do
    jumlah = jumlah + (n mod 10)
    n = n </t>
        </is>
      </c>
      <c r="E40" t="n">
        <v>1</v>
      </c>
      <c r="F40" t="n">
        <v>1</v>
      </c>
      <c r="G40" t="n">
        <v>0.8231000000000001</v>
      </c>
      <c r="H40" t="n">
        <v>1</v>
      </c>
      <c r="I40" t="n">
        <v>0.6667</v>
      </c>
      <c r="J40" s="3" t="inlineStr">
        <is>
          <t>GT_DETAIL_PT11_Perulangan.txt, GT_SUBTOPIK_04_Modulo_Siklus.txt, GT_SUBTOPIK_05_Pseudocode_Algoritme.txt, GT_SUBTOPIK_08_Perulangan_For_While.txt</t>
        </is>
      </c>
      <c r="K40" t="n">
        <v>0.8102</v>
      </c>
      <c r="L40" t="n">
        <v>1</v>
      </c>
      <c r="M40" t="n">
        <v>0.3674</v>
      </c>
      <c r="N40" t="n">
        <v>0.1234</v>
      </c>
      <c r="O40" t="inlineStr">
        <is>
          <t>RENDAH</t>
        </is>
      </c>
      <c r="P40" t="n">
        <v>0</v>
      </c>
      <c r="Q40" t="n">
        <v>0</v>
      </c>
      <c r="R40" t="b">
        <v>0</v>
      </c>
      <c r="S40" t="n">
        <v>0.6373</v>
      </c>
      <c r="T40" t="n">
        <v>0.8333</v>
      </c>
      <c r="U40" t="n">
        <v>0.1799</v>
      </c>
      <c r="V40" t="n">
        <v>0.2358</v>
      </c>
      <c r="W40" t="inlineStr">
        <is>
          <t>RENDAH</t>
        </is>
      </c>
      <c r="X40" t="n">
        <v>0</v>
      </c>
      <c r="Y40" t="n">
        <v>0</v>
      </c>
      <c r="Z40" t="b">
        <v>0</v>
      </c>
      <c r="AA40" t="n">
        <v>0.1729</v>
      </c>
      <c r="AB40" t="n">
        <v>-0.1124</v>
      </c>
    </row>
    <row r="41">
      <c r="A41" t="n">
        <v>40</v>
      </c>
      <c r="B41" t="inlineStr">
        <is>
          <t>out_of_scope</t>
        </is>
      </c>
      <c r="C41" t="inlineStr">
        <is>
          <t>4TGI</t>
        </is>
      </c>
      <c r="D41" s="3" t="inlineStr">
        <is>
          <t>Di C++ dan Java ada do-while loop yang eksekusi body setidaknya satu kali. Di pseudocode CT kita hanya belajar for dan w</t>
        </is>
      </c>
      <c r="E41" t="n">
        <v>1</v>
      </c>
      <c r="F41" t="n">
        <v>1</v>
      </c>
      <c r="G41" t="n">
        <v>0.763</v>
      </c>
      <c r="H41" t="n">
        <v>1</v>
      </c>
      <c r="I41" t="n">
        <v>0.8333</v>
      </c>
      <c r="J41" s="3" t="inlineStr">
        <is>
          <t>GT_CT07.txt, GT_CT11.txt, GT_DETAIL_PT10_Percabangan.txt, GT_DETAIL_PT11_Perulangan.txt, GT_SUBTOPIK_05_Pseudocode_Algoritme.txt</t>
        </is>
      </c>
      <c r="K41" t="n">
        <v>0.794</v>
      </c>
      <c r="L41" t="n">
        <v>1</v>
      </c>
      <c r="M41" t="n">
        <v>0.3132</v>
      </c>
      <c r="N41" t="n">
        <v>0.1339</v>
      </c>
      <c r="O41" t="inlineStr">
        <is>
          <t>RENDAH</t>
        </is>
      </c>
      <c r="P41" t="n">
        <v>0</v>
      </c>
      <c r="Q41" t="n">
        <v>0</v>
      </c>
      <c r="R41" t="b">
        <v>0</v>
      </c>
      <c r="S41" t="n">
        <v>0.7689</v>
      </c>
      <c r="T41" t="n">
        <v>1</v>
      </c>
      <c r="U41" t="n">
        <v>0.2297</v>
      </c>
      <c r="V41" t="n">
        <v>0.1502</v>
      </c>
      <c r="W41" t="inlineStr">
        <is>
          <t>RENDAH</t>
        </is>
      </c>
      <c r="X41" t="n">
        <v>0</v>
      </c>
      <c r="Y41" t="n">
        <v>0</v>
      </c>
      <c r="Z41" t="b">
        <v>1</v>
      </c>
      <c r="AA41" t="n">
        <v>0.0251</v>
      </c>
      <c r="AB41" t="n">
        <v>-0.0163</v>
      </c>
    </row>
    <row r="42">
      <c r="A42" t="n">
        <v>41</v>
      </c>
      <c r="B42" t="inlineStr">
        <is>
          <t>application</t>
        </is>
      </c>
      <c r="C42" t="inlineStr">
        <is>
          <t>2PAR</t>
        </is>
      </c>
      <c r="D42" s="3" t="inlineStr">
        <is>
          <t xml:space="preserve">Saya bisa buat segitiga bintang biasa (1 bintang di baris pertama, semakin banyak ke bawah). Tapi dosen minta buat yang </t>
        </is>
      </c>
      <c r="E42" t="n">
        <v>1</v>
      </c>
      <c r="F42" t="n">
        <v>1</v>
      </c>
      <c r="G42" t="n">
        <v>0.7297</v>
      </c>
      <c r="H42" t="n">
        <v>1</v>
      </c>
      <c r="I42" t="n">
        <v>1</v>
      </c>
      <c r="J42" s="3" t="inlineStr">
        <is>
          <t>GT_CT07.txt, GT_CT09.txt, GT_CT11.txt, GT_DETAIL_PT04_Abstraksi.txt, GT_DETAIL_PT09_Variabel_TipeData_Operator_List.txt, GT_SUBTOPIK_02_Abstraksi_Formulasi.txt</t>
        </is>
      </c>
      <c r="K42" t="n">
        <v>0.7633</v>
      </c>
      <c r="L42" t="n">
        <v>1</v>
      </c>
      <c r="M42" t="n">
        <v>0.2109</v>
      </c>
      <c r="N42" t="n">
        <v>0.1539</v>
      </c>
      <c r="O42" t="inlineStr">
        <is>
          <t>RENDAH</t>
        </is>
      </c>
      <c r="P42" t="n">
        <v>0</v>
      </c>
      <c r="Q42" t="n">
        <v>0</v>
      </c>
      <c r="R42" t="b">
        <v>0</v>
      </c>
      <c r="S42" t="n">
        <v>0.7735</v>
      </c>
      <c r="T42" t="n">
        <v>1</v>
      </c>
      <c r="U42" t="n">
        <v>0.245</v>
      </c>
      <c r="V42" t="n">
        <v>0.1472</v>
      </c>
      <c r="W42" t="inlineStr">
        <is>
          <t>RENDAH</t>
        </is>
      </c>
      <c r="X42" t="n">
        <v>0</v>
      </c>
      <c r="Y42" t="n">
        <v>0</v>
      </c>
      <c r="Z42" t="b">
        <v>1</v>
      </c>
      <c r="AA42" t="n">
        <v>-0.0102</v>
      </c>
      <c r="AB42" t="n">
        <v>0.0067</v>
      </c>
    </row>
    <row r="43">
      <c r="A43" t="n">
        <v>42</v>
      </c>
      <c r="B43" t="inlineStr">
        <is>
          <t>confusion</t>
        </is>
      </c>
      <c r="C43" t="inlineStr">
        <is>
          <t>3PAR</t>
        </is>
      </c>
      <c r="D43" s="3" t="inlineStr">
        <is>
          <t xml:space="preserve">Saya punya nested loop: luar 5 iterasi, dalam 3 iterasi. Saya kira total iterasinya 5+3=8. Tapi kata teman 5×3=15. Mana </t>
        </is>
      </c>
      <c r="E43" t="n">
        <v>1</v>
      </c>
      <c r="F43" t="n">
        <v>1</v>
      </c>
      <c r="G43" t="n">
        <v>0.7792</v>
      </c>
      <c r="H43" t="n">
        <v>1</v>
      </c>
      <c r="I43" t="n">
        <v>0.8333</v>
      </c>
      <c r="J43" s="3" t="inlineStr">
        <is>
          <t>GT_CT11.txt, GT_DETAIL_PT07_Notasi_Algoritme.txt, GT_DETAIL_PT09_Variabel_TipeData_Operator_List.txt, GT_DETAIL_PT11_Perulangan.txt, GT_SUBTOPIK_14_Kompleksitas_BigO.txt</t>
        </is>
      </c>
      <c r="K43" t="n">
        <v>0.8017</v>
      </c>
      <c r="L43" t="n">
        <v>1</v>
      </c>
      <c r="M43" t="n">
        <v>0.3392</v>
      </c>
      <c r="N43" t="n">
        <v>0.1289</v>
      </c>
      <c r="O43" t="inlineStr">
        <is>
          <t>RENDAH</t>
        </is>
      </c>
      <c r="P43" t="n">
        <v>0</v>
      </c>
      <c r="Q43" t="n">
        <v>0</v>
      </c>
      <c r="R43" t="b">
        <v>1</v>
      </c>
      <c r="S43" t="n">
        <v>0.6331</v>
      </c>
      <c r="T43" t="n">
        <v>0.8333</v>
      </c>
      <c r="U43" t="n">
        <v>0.1661</v>
      </c>
      <c r="V43" t="n">
        <v>0.2385</v>
      </c>
      <c r="W43" t="inlineStr">
        <is>
          <t>RENDAH</t>
        </is>
      </c>
      <c r="X43" t="n">
        <v>0</v>
      </c>
      <c r="Y43" t="n">
        <v>0</v>
      </c>
      <c r="Z43" t="b">
        <v>1</v>
      </c>
      <c r="AA43" t="n">
        <v>0.1686</v>
      </c>
      <c r="AB43" t="n">
        <v>-0.1096</v>
      </c>
    </row>
    <row r="44">
      <c r="A44" t="n">
        <v>43</v>
      </c>
      <c r="B44" t="inlineStr">
        <is>
          <t>application</t>
        </is>
      </c>
      <c r="C44" t="inlineStr">
        <is>
          <t>4PAI</t>
        </is>
      </c>
      <c r="D44" s="3" t="inlineStr">
        <is>
          <t>Tugas: cetak matriks identitas 3x3 dengan pseudocode nested loop. Saya tahu diagonal utamanya berisi 1 dan sisanya 0, ta</t>
        </is>
      </c>
      <c r="E44" t="n">
        <v>1</v>
      </c>
      <c r="F44" t="n">
        <v>1</v>
      </c>
      <c r="G44" t="n">
        <v>0.7675</v>
      </c>
      <c r="H44" t="n">
        <v>1</v>
      </c>
      <c r="I44" t="n">
        <v>1</v>
      </c>
      <c r="J44" s="3" t="inlineStr">
        <is>
          <t>GT_CT07.txt, GT_CT10.txt, GT_DETAIL_PT07_Notasi_Algoritme.txt, GT_DETAIL_PT10_Percabangan.txt, GT_DETAIL_PT11_Perulangan.txt, GT_SUBTOPIK_05_Pseudocode_Algoritme.txt</t>
        </is>
      </c>
      <c r="K44" t="n">
        <v>0.4321</v>
      </c>
      <c r="L44" t="n">
        <v>0.5</v>
      </c>
      <c r="M44" t="n">
        <v>0.2736</v>
      </c>
      <c r="N44" t="n">
        <v>0.3691</v>
      </c>
      <c r="O44" t="inlineStr">
        <is>
          <t>SEDANG</t>
        </is>
      </c>
      <c r="P44" t="n">
        <v>0</v>
      </c>
      <c r="Q44" t="n">
        <v>0</v>
      </c>
      <c r="R44" t="b">
        <v>1</v>
      </c>
      <c r="S44" t="n">
        <v>0.1769</v>
      </c>
      <c r="T44" t="n">
        <v>0.1667</v>
      </c>
      <c r="U44" t="n">
        <v>0.2007</v>
      </c>
      <c r="V44" t="n">
        <v>0.535</v>
      </c>
      <c r="W44" t="inlineStr">
        <is>
          <t>SEDANG</t>
        </is>
      </c>
      <c r="X44" t="n">
        <v>0</v>
      </c>
      <c r="Y44" t="n">
        <v>0</v>
      </c>
      <c r="Z44" t="b">
        <v>1</v>
      </c>
      <c r="AA44" t="n">
        <v>0.2552</v>
      </c>
      <c r="AB44" t="n">
        <v>-0.1659</v>
      </c>
    </row>
    <row r="45">
      <c r="A45" t="n">
        <v>44</v>
      </c>
      <c r="B45" t="inlineStr">
        <is>
          <t>gap</t>
        </is>
      </c>
      <c r="C45" t="inlineStr">
        <is>
          <t>5TGR</t>
        </is>
      </c>
      <c r="D45" s="3" t="inlineStr">
        <is>
          <t>Dosen bilang nested loop selalu O(n²). Tapi saya punya nested loop: luar dari 1 to n, dalam dari 1 to 5 (konstan). Apaka</t>
        </is>
      </c>
      <c r="E45" t="n">
        <v>1</v>
      </c>
      <c r="F45" t="n">
        <v>1</v>
      </c>
      <c r="G45" t="n">
        <v>0.7893</v>
      </c>
      <c r="H45" t="n">
        <v>1</v>
      </c>
      <c r="I45" t="n">
        <v>0.6667</v>
      </c>
      <c r="J45" s="3" t="inlineStr">
        <is>
          <t>GT_CT10.txt, GT_DETAIL_PT11_Perulangan.txt, GT_SUBTOPIK_03_Pola_Bilangan_Deret.txt, GT_SUBTOPIK_14_Kompleksitas_BigO.txt</t>
        </is>
      </c>
      <c r="K45" t="n">
        <v>0.662</v>
      </c>
      <c r="L45" t="n">
        <v>0.8333</v>
      </c>
      <c r="M45" t="n">
        <v>0.2622</v>
      </c>
      <c r="N45" t="n">
        <v>0.2197</v>
      </c>
      <c r="O45" t="inlineStr">
        <is>
          <t>RENDAH</t>
        </is>
      </c>
      <c r="P45" t="n">
        <v>0</v>
      </c>
      <c r="Q45" t="n">
        <v>0</v>
      </c>
      <c r="S45" t="n">
        <v>0.6445</v>
      </c>
      <c r="T45" t="n">
        <v>0.8333</v>
      </c>
      <c r="U45" t="n">
        <v>0.2041</v>
      </c>
      <c r="V45" t="n">
        <v>0.2611</v>
      </c>
      <c r="W45" t="inlineStr">
        <is>
          <t>RENDAH</t>
        </is>
      </c>
      <c r="X45" t="n">
        <v>0</v>
      </c>
      <c r="Y45" t="n">
        <v>0.2</v>
      </c>
      <c r="AA45" t="n">
        <v>0.0175</v>
      </c>
      <c r="AB45" t="n">
        <v>-0.0414</v>
      </c>
    </row>
    <row r="46">
      <c r="A46" t="n">
        <v>45</v>
      </c>
      <c r="B46" t="inlineStr">
        <is>
          <t>confusion</t>
        </is>
      </c>
      <c r="C46" t="inlineStr">
        <is>
          <t>3TAR</t>
        </is>
      </c>
      <c r="D46" s="3" t="inlineStr">
        <is>
          <t>Di Python, def bisa return nilai atau tidak — keduanya sama-sama 'fungsi'. Tapi di pseudocode CT, dosen bedakan 'fungsi'</t>
        </is>
      </c>
      <c r="E46" t="n">
        <v>1</v>
      </c>
      <c r="F46" t="n">
        <v>1</v>
      </c>
      <c r="G46" t="n">
        <v>0.7477</v>
      </c>
      <c r="H46" t="n">
        <v>1</v>
      </c>
      <c r="I46" t="n">
        <v>0.6667</v>
      </c>
      <c r="J46" s="3" t="inlineStr">
        <is>
          <t>GT_CT07.txt, GT_CT12.txt, GT_DETAIL_PT10_Percabangan.txt, GT_DETAIL_PT12_Fungsi.txt</t>
        </is>
      </c>
      <c r="K46" t="n">
        <v>0.8045</v>
      </c>
      <c r="L46" t="n">
        <v>1</v>
      </c>
      <c r="M46" t="n">
        <v>0.3485</v>
      </c>
      <c r="N46" t="n">
        <v>0.1271</v>
      </c>
      <c r="O46" t="inlineStr">
        <is>
          <t>RENDAH</t>
        </is>
      </c>
      <c r="P46" t="n">
        <v>0</v>
      </c>
      <c r="Q46" t="n">
        <v>0</v>
      </c>
      <c r="R46" t="b">
        <v>1</v>
      </c>
      <c r="S46" t="n">
        <v>0.7786999999999999</v>
      </c>
      <c r="T46" t="n">
        <v>1</v>
      </c>
      <c r="U46" t="n">
        <v>0.2623</v>
      </c>
      <c r="V46" t="n">
        <v>0.1738</v>
      </c>
      <c r="W46" t="inlineStr">
        <is>
          <t>RENDAH</t>
        </is>
      </c>
      <c r="X46" t="n">
        <v>0</v>
      </c>
      <c r="Y46" t="n">
        <v>0.2</v>
      </c>
      <c r="Z46" t="b">
        <v>1</v>
      </c>
      <c r="AA46" t="n">
        <v>0.0258</v>
      </c>
      <c r="AB46" t="n">
        <v>-0.0467</v>
      </c>
    </row>
    <row r="47">
      <c r="A47" t="n">
        <v>46</v>
      </c>
      <c r="B47" t="inlineStr">
        <is>
          <t>application</t>
        </is>
      </c>
      <c r="C47" t="inlineStr">
        <is>
          <t>2PAI</t>
        </is>
      </c>
      <c r="D47" s="3" t="inlineStr">
        <is>
          <t>Tugas: tulis tiga fungsi untuk luas persegi panjang, segitiga, dan lingkaran. Lalu buat program utama yang memanggil ket</t>
        </is>
      </c>
      <c r="E47" t="n">
        <v>1</v>
      </c>
      <c r="F47" t="n">
        <v>1</v>
      </c>
      <c r="G47" t="n">
        <v>0.798</v>
      </c>
      <c r="H47" t="n">
        <v>1</v>
      </c>
      <c r="I47" t="n">
        <v>0.8333</v>
      </c>
      <c r="J47" s="3" t="inlineStr">
        <is>
          <t>GT_CT07.txt, GT_CT09.txt, GT_CT10.txt, GT_DETAIL_PT07_Notasi_Algoritme.txt, GT_DETAIL_PT10_Percabangan.txt</t>
        </is>
      </c>
      <c r="K47" t="n">
        <v>0.8258</v>
      </c>
      <c r="L47" t="n">
        <v>1</v>
      </c>
      <c r="M47" t="n">
        <v>0.4193</v>
      </c>
      <c r="N47" t="n">
        <v>0.1132</v>
      </c>
      <c r="O47" t="inlineStr">
        <is>
          <t>RENDAH</t>
        </is>
      </c>
      <c r="P47" t="n">
        <v>0</v>
      </c>
      <c r="Q47" t="n">
        <v>0</v>
      </c>
      <c r="R47" t="b">
        <v>1</v>
      </c>
      <c r="S47" t="n">
        <v>0.7739</v>
      </c>
      <c r="T47" t="n">
        <v>1</v>
      </c>
      <c r="U47" t="n">
        <v>0.2463</v>
      </c>
      <c r="V47" t="n">
        <v>0.147</v>
      </c>
      <c r="W47" t="inlineStr">
        <is>
          <t>RENDAH</t>
        </is>
      </c>
      <c r="X47" t="n">
        <v>0</v>
      </c>
      <c r="Y47" t="n">
        <v>0</v>
      </c>
      <c r="Z47" t="b">
        <v>1</v>
      </c>
      <c r="AA47" t="n">
        <v>0.0519</v>
      </c>
      <c r="AB47" t="n">
        <v>-0.0338</v>
      </c>
    </row>
    <row r="48">
      <c r="A48" t="n">
        <v>47</v>
      </c>
      <c r="B48" t="inlineStr">
        <is>
          <t>gap</t>
        </is>
      </c>
      <c r="C48" t="inlineStr">
        <is>
          <t>3TAI</t>
        </is>
      </c>
      <c r="D48" s="3" t="inlineStr">
        <is>
          <t>Saya punya variabel x = 10 di program utama. Di dalam fungsi saya ubah x = 99. Setelah fungsi selesai, nilai x di progra</t>
        </is>
      </c>
      <c r="E48" t="n">
        <v>1</v>
      </c>
      <c r="F48" t="n">
        <v>1</v>
      </c>
      <c r="G48" t="n">
        <v>0.7358</v>
      </c>
      <c r="H48" t="n">
        <v>1</v>
      </c>
      <c r="I48" t="n">
        <v>1</v>
      </c>
      <c r="J48" s="3" t="inlineStr">
        <is>
          <t>GT_CT07.txt, GT_CT10.txt, GT_CT12.txt, GT_DETAIL_PT05_Pattern_Recognition.txt, GT_DETAIL_PT11_Perulangan.txt, GT_SUBTOPIK_04_Modulo_Siklus.txt</t>
        </is>
      </c>
      <c r="K48" t="n">
        <v>0.6987</v>
      </c>
      <c r="L48" t="n">
        <v>0.8333</v>
      </c>
      <c r="M48" t="n">
        <v>0.3845</v>
      </c>
      <c r="N48" t="n">
        <v>0.1958</v>
      </c>
      <c r="O48" t="inlineStr">
        <is>
          <t>RENDAH</t>
        </is>
      </c>
      <c r="P48" t="n">
        <v>0</v>
      </c>
      <c r="Q48" t="n">
        <v>0</v>
      </c>
      <c r="R48" t="b">
        <v>0</v>
      </c>
      <c r="S48" t="n">
        <v>0.6267</v>
      </c>
      <c r="T48" t="n">
        <v>0.8333</v>
      </c>
      <c r="U48" t="n">
        <v>0.1446</v>
      </c>
      <c r="V48" t="n">
        <v>0.2426</v>
      </c>
      <c r="W48" t="inlineStr">
        <is>
          <t>RENDAH</t>
        </is>
      </c>
      <c r="X48" t="n">
        <v>0</v>
      </c>
      <c r="Y48" t="n">
        <v>0</v>
      </c>
      <c r="Z48" t="b">
        <v>1</v>
      </c>
      <c r="AA48" t="n">
        <v>0.07199999999999999</v>
      </c>
      <c r="AB48" t="n">
        <v>-0.0468</v>
      </c>
    </row>
    <row r="49">
      <c r="A49" t="n">
        <v>48</v>
      </c>
      <c r="B49" t="inlineStr">
        <is>
          <t>cross_topic</t>
        </is>
      </c>
      <c r="C49" t="inlineStr">
        <is>
          <t>4TGI</t>
        </is>
      </c>
      <c r="D49" s="3" t="inlineStr">
        <is>
          <t>Rekursi itu fungsi yang memanggil dirinya sendiri. Tapi kalau rekursi adalah fungsi, kenapa diajarkan terpisah? Apa yang</t>
        </is>
      </c>
      <c r="E49" t="n">
        <v>1</v>
      </c>
      <c r="F49" t="n">
        <v>1</v>
      </c>
      <c r="G49" t="n">
        <v>0.7076</v>
      </c>
      <c r="H49" t="n">
        <v>1</v>
      </c>
      <c r="I49" t="n">
        <v>0.8333</v>
      </c>
      <c r="J49" s="3" t="inlineStr">
        <is>
          <t>GT_CT03.txt, GT_CT05.txt, GT_CT09.txt, GT_CT12.txt, GT_DETAIL_PT12_Fungsi.txt</t>
        </is>
      </c>
      <c r="K49" t="n">
        <v>0.7718</v>
      </c>
      <c r="L49" t="n">
        <v>1</v>
      </c>
      <c r="M49" t="n">
        <v>0.2392</v>
      </c>
      <c r="N49" t="n">
        <v>0.1483</v>
      </c>
      <c r="O49" t="inlineStr">
        <is>
          <t>RENDAH</t>
        </is>
      </c>
      <c r="P49" t="n">
        <v>0</v>
      </c>
      <c r="Q49" t="n">
        <v>0</v>
      </c>
      <c r="R49" t="b">
        <v>0</v>
      </c>
      <c r="S49" t="n">
        <v>0.7672</v>
      </c>
      <c r="T49" t="n">
        <v>1</v>
      </c>
      <c r="U49" t="n">
        <v>0.2239</v>
      </c>
      <c r="V49" t="n">
        <v>0.1513</v>
      </c>
      <c r="W49" t="inlineStr">
        <is>
          <t>RENDAH</t>
        </is>
      </c>
      <c r="X49" t="n">
        <v>0</v>
      </c>
      <c r="Y49" t="n">
        <v>0</v>
      </c>
      <c r="Z49" t="b">
        <v>0</v>
      </c>
      <c r="AA49" t="n">
        <v>0.0046</v>
      </c>
      <c r="AB49" t="n">
        <v>-0.003</v>
      </c>
    </row>
    <row r="50">
      <c r="A50" t="n">
        <v>49</v>
      </c>
      <c r="B50" t="inlineStr">
        <is>
          <t>out_of_scope</t>
        </is>
      </c>
      <c r="C50" t="inlineStr">
        <is>
          <t>5PAI</t>
        </is>
      </c>
      <c r="D50" s="3" t="inlineStr">
        <is>
          <t>Di Python ada konsep fungsi yang menerima fungsi lain sebagai parameter — disebut higher-order function. Apakah konsep i</t>
        </is>
      </c>
      <c r="E50" t="n">
        <v>1</v>
      </c>
      <c r="F50" t="n">
        <v>1</v>
      </c>
      <c r="G50" t="n">
        <v>0.7194</v>
      </c>
      <c r="H50" t="n">
        <v>1</v>
      </c>
      <c r="I50" t="n">
        <v>0.5</v>
      </c>
      <c r="J50" s="3" t="inlineStr">
        <is>
          <t>GT_CT12.txt, GT_DETAIL_PT12_Fungsi.txt, GT_SUBTOPIK_02_Abstraksi_Formulasi.txt</t>
        </is>
      </c>
      <c r="K50" t="n">
        <v>0.7855</v>
      </c>
      <c r="L50" t="n">
        <v>1</v>
      </c>
      <c r="M50" t="n">
        <v>0.2849</v>
      </c>
      <c r="N50" t="n">
        <v>0.1394</v>
      </c>
      <c r="O50" t="inlineStr">
        <is>
          <t>RENDAH</t>
        </is>
      </c>
      <c r="P50" t="n">
        <v>0</v>
      </c>
      <c r="Q50" t="n">
        <v>0</v>
      </c>
      <c r="R50" t="b">
        <v>1</v>
      </c>
      <c r="S50" t="n">
        <v>0.758</v>
      </c>
      <c r="T50" t="n">
        <v>1</v>
      </c>
      <c r="U50" t="n">
        <v>0.1932</v>
      </c>
      <c r="V50" t="n">
        <v>0.1573</v>
      </c>
      <c r="W50" t="inlineStr">
        <is>
          <t>RENDAH</t>
        </is>
      </c>
      <c r="X50" t="n">
        <v>0</v>
      </c>
      <c r="Y50" t="n">
        <v>0</v>
      </c>
      <c r="Z50" t="b">
        <v>1</v>
      </c>
      <c r="AA50" t="n">
        <v>0.0275</v>
      </c>
      <c r="AB50" t="n">
        <v>-0.0179</v>
      </c>
    </row>
    <row r="51">
      <c r="A51" t="n">
        <v>50</v>
      </c>
      <c r="B51" t="inlineStr">
        <is>
          <t>confusion</t>
        </is>
      </c>
      <c r="C51" t="inlineStr">
        <is>
          <t>3PAI</t>
        </is>
      </c>
      <c r="D51" s="3" t="inlineStr">
        <is>
          <t>Saya tulis fungsi rekursif tapi program saya crash dengan error 'maximum recursion depth exceeded'. Saya sudah tambahkan</t>
        </is>
      </c>
      <c r="E51" t="n">
        <v>1</v>
      </c>
      <c r="F51" t="n">
        <v>1</v>
      </c>
      <c r="G51" t="n">
        <v>0.6909</v>
      </c>
      <c r="H51" t="n">
        <v>1</v>
      </c>
      <c r="I51" t="n">
        <v>1</v>
      </c>
      <c r="J51" s="3" t="inlineStr">
        <is>
          <t>GT_CT04.txt, GT_DETAIL_PT04_Abstraksi.txt, GT_DETAIL_PT06_Block_Programming.txt, GT_SUBTOPIK_04_Modulo_Siklus.txt, GT_SUBTOPIK_10_Fungsi_Modularitas.txt, GT_SUBTOPIK_11_Rekursi.txt</t>
        </is>
      </c>
      <c r="K51" t="n">
        <v>0.6829</v>
      </c>
      <c r="L51" t="n">
        <v>0.8333</v>
      </c>
      <c r="M51" t="n">
        <v>0.3319</v>
      </c>
      <c r="N51" t="n">
        <v>0.2061</v>
      </c>
      <c r="O51" t="inlineStr">
        <is>
          <t>RENDAH</t>
        </is>
      </c>
      <c r="P51" t="n">
        <v>0</v>
      </c>
      <c r="Q51" t="n">
        <v>0</v>
      </c>
      <c r="R51" t="b">
        <v>1</v>
      </c>
      <c r="S51" t="n">
        <v>0.646</v>
      </c>
      <c r="T51" t="n">
        <v>0.8333</v>
      </c>
      <c r="U51" t="n">
        <v>0.2091</v>
      </c>
      <c r="V51" t="n">
        <v>0.2601</v>
      </c>
      <c r="W51" t="inlineStr">
        <is>
          <t>RENDAH</t>
        </is>
      </c>
      <c r="X51" t="n">
        <v>0</v>
      </c>
      <c r="Y51" t="n">
        <v>0.2</v>
      </c>
      <c r="Z51" t="b">
        <v>1</v>
      </c>
      <c r="AA51" t="n">
        <v>0.0369</v>
      </c>
      <c r="AB51" t="n">
        <v>-0.054</v>
      </c>
    </row>
    <row r="52">
      <c r="A52" t="n">
        <v>51</v>
      </c>
      <c r="B52" t="inlineStr">
        <is>
          <t>application</t>
        </is>
      </c>
      <c r="C52" t="inlineStr">
        <is>
          <t>3TGR</t>
        </is>
      </c>
      <c r="D52" s="3" t="inlineStr">
        <is>
          <t>Saya diminta trace faktorial(4) secara lengkap dan tunjukkan call stack di fase 'turun' (push) dan fase 'naik' (pop). Sa</t>
        </is>
      </c>
      <c r="E52" t="n">
        <v>1</v>
      </c>
      <c r="F52" t="n">
        <v>1</v>
      </c>
      <c r="G52" t="n">
        <v>0.743</v>
      </c>
      <c r="H52" t="n">
        <v>1</v>
      </c>
      <c r="I52" t="n">
        <v>0.8333</v>
      </c>
      <c r="J52" s="3" t="inlineStr">
        <is>
          <t>GT_CT13.txt, GT_DETAIL_PT01_Pendahuluan.txt, GT_DETAIL_PT13_Struktur_Data.txt, GT_SUBTOPIK_02_Abstraksi_Formulasi.txt, GT_SUBTOPIK_12_Stack_Queue.txt</t>
        </is>
      </c>
      <c r="K52" t="n">
        <v>0.7511</v>
      </c>
      <c r="L52" t="n">
        <v>1</v>
      </c>
      <c r="M52" t="n">
        <v>0.1703</v>
      </c>
      <c r="N52" t="n">
        <v>0.1618</v>
      </c>
      <c r="O52" t="inlineStr">
        <is>
          <t>RENDAH</t>
        </is>
      </c>
      <c r="P52" t="n">
        <v>0</v>
      </c>
      <c r="Q52" t="n">
        <v>0</v>
      </c>
      <c r="R52" t="b">
        <v>1</v>
      </c>
      <c r="S52" t="n">
        <v>0.5065</v>
      </c>
      <c r="T52" t="n">
        <v>0.6667</v>
      </c>
      <c r="U52" t="n">
        <v>0.1328</v>
      </c>
      <c r="V52" t="n">
        <v>0.3208</v>
      </c>
      <c r="W52" t="inlineStr">
        <is>
          <t>SEDANG</t>
        </is>
      </c>
      <c r="X52" t="n">
        <v>0</v>
      </c>
      <c r="Y52" t="n">
        <v>0</v>
      </c>
      <c r="Z52" t="b">
        <v>0</v>
      </c>
      <c r="AA52" t="n">
        <v>0.2446</v>
      </c>
      <c r="AB52" t="n">
        <v>-0.159</v>
      </c>
    </row>
    <row r="53">
      <c r="A53" t="n">
        <v>52</v>
      </c>
      <c r="B53" t="inlineStr">
        <is>
          <t>confusion</t>
        </is>
      </c>
      <c r="C53" t="inlineStr">
        <is>
          <t>5TAR</t>
        </is>
      </c>
      <c r="D53" s="3" t="inlineStr">
        <is>
          <t>Saya buat Fibonacci rekursif dan berjalan normal untuk Fib(10). Tapi waktu saya coba Fib(40) program sangat lambat — ham</t>
        </is>
      </c>
      <c r="E53" t="n">
        <v>1</v>
      </c>
      <c r="F53" t="n">
        <v>1</v>
      </c>
      <c r="G53" t="n">
        <v>0.7252999999999999</v>
      </c>
      <c r="H53" t="n">
        <v>1</v>
      </c>
      <c r="I53" t="n">
        <v>1</v>
      </c>
      <c r="J53" s="3" t="inlineStr">
        <is>
          <t>GT_CT01.txt, GT_CT05.txt, GT_CT10.txt, GT_SUBTOPIK_03_Pola_Bilangan_Deret.txt, GT_SUBTOPIK_04_Modulo_Siklus.txt, GT_SUBTOPIK_14_Kompleksitas_BigO.txt</t>
        </is>
      </c>
      <c r="K53" t="n">
        <v>0.538</v>
      </c>
      <c r="L53" t="n">
        <v>0.6667</v>
      </c>
      <c r="M53" t="n">
        <v>0.2378</v>
      </c>
      <c r="N53" t="n">
        <v>0.3303</v>
      </c>
      <c r="O53" t="inlineStr">
        <is>
          <t>SEDANG</t>
        </is>
      </c>
      <c r="P53" t="n">
        <v>0</v>
      </c>
      <c r="Q53" t="n">
        <v>0.2</v>
      </c>
      <c r="R53" t="b">
        <v>0</v>
      </c>
      <c r="S53" t="n">
        <v>0.4161</v>
      </c>
      <c r="T53" t="n">
        <v>0.5</v>
      </c>
      <c r="U53" t="n">
        <v>0.2203</v>
      </c>
      <c r="V53" t="n">
        <v>0.3795</v>
      </c>
      <c r="W53" t="inlineStr">
        <is>
          <t>SEDANG</t>
        </is>
      </c>
      <c r="X53" t="n">
        <v>0</v>
      </c>
      <c r="Y53" t="n">
        <v>0</v>
      </c>
      <c r="Z53" t="b">
        <v>1</v>
      </c>
      <c r="AA53" t="n">
        <v>0.1219</v>
      </c>
      <c r="AB53" t="n">
        <v>-0.0492</v>
      </c>
    </row>
    <row r="54">
      <c r="A54" t="n">
        <v>53</v>
      </c>
      <c r="B54" t="inlineStr">
        <is>
          <t>application</t>
        </is>
      </c>
      <c r="C54" t="inlineStr">
        <is>
          <t>3TGI</t>
        </is>
      </c>
      <c r="D54" s="3" t="inlineStr">
        <is>
          <t>Hitung Fib(6) menggunakan definisi rekursif: Fib(1)=1, Fib(2)=1, Fib(n)=Fib(n-1)+Fib(n-2). Saya dapat 11 tapi teman dapa</t>
        </is>
      </c>
      <c r="E54" t="n">
        <v>1</v>
      </c>
      <c r="F54" t="n">
        <v>1</v>
      </c>
      <c r="G54" t="n">
        <v>0.774</v>
      </c>
      <c r="H54" t="n">
        <v>1</v>
      </c>
      <c r="I54" t="n">
        <v>0.6667</v>
      </c>
      <c r="J54" s="3" t="inlineStr">
        <is>
          <t>GT_CT07.txt, GT_DETAIL_PT05_Pattern_Recognition.txt, GT_SUBTOPIK_03_Pola_Bilangan_Deret.txt, GT_SUBTOPIK_14_Kompleksitas_BigO.txt</t>
        </is>
      </c>
      <c r="K54" t="n">
        <v>0.4853</v>
      </c>
      <c r="L54" t="n">
        <v>0.5</v>
      </c>
      <c r="M54" t="n">
        <v>0.4511</v>
      </c>
      <c r="N54" t="n">
        <v>0.3346</v>
      </c>
      <c r="O54" t="inlineStr">
        <is>
          <t>SEDANG</t>
        </is>
      </c>
      <c r="P54" t="n">
        <v>0</v>
      </c>
      <c r="Q54" t="n">
        <v>0</v>
      </c>
      <c r="R54" t="b">
        <v>1</v>
      </c>
      <c r="S54" t="n">
        <v>0.2741</v>
      </c>
      <c r="T54" t="n">
        <v>0.3333</v>
      </c>
      <c r="U54" t="n">
        <v>0.1359</v>
      </c>
      <c r="V54" t="n">
        <v>0.4718</v>
      </c>
      <c r="W54" t="inlineStr">
        <is>
          <t>SEDANG</t>
        </is>
      </c>
      <c r="X54" t="n">
        <v>0</v>
      </c>
      <c r="Y54" t="n">
        <v>0</v>
      </c>
      <c r="Z54" t="b">
        <v>1</v>
      </c>
      <c r="AA54" t="n">
        <v>0.2112</v>
      </c>
      <c r="AB54" t="n">
        <v>-0.1372</v>
      </c>
    </row>
    <row r="55">
      <c r="A55" t="n">
        <v>54</v>
      </c>
      <c r="B55" t="inlineStr">
        <is>
          <t>cross_topic</t>
        </is>
      </c>
      <c r="C55" t="inlineStr">
        <is>
          <t>5TGI</t>
        </is>
      </c>
      <c r="D55" s="3" t="inlineStr">
        <is>
          <t xml:space="preserve">Dosen bilang faktorial rekursif O(n) tapi Fibonacci rekursif O(2^n). Keduanya rekursi, kenapa kompleksitasnya bisa beda </t>
        </is>
      </c>
      <c r="E55" t="n">
        <v>1</v>
      </c>
      <c r="F55" t="n">
        <v>1</v>
      </c>
      <c r="G55" t="n">
        <v>0.7189</v>
      </c>
      <c r="H55" t="n">
        <v>1</v>
      </c>
      <c r="I55" t="n">
        <v>1</v>
      </c>
      <c r="J55" s="3" t="inlineStr">
        <is>
          <t>GT_CT03.txt, GT_CT05.txt, GT_CT07.txt, GT_CT10.txt, GT_DETAIL_PT01_Pendahuluan.txt, GT_SUBTOPIK_11_Rekursi.txt</t>
        </is>
      </c>
      <c r="K55" t="n">
        <v>0.6516999999999999</v>
      </c>
      <c r="L55" t="n">
        <v>0.8333</v>
      </c>
      <c r="M55" t="n">
        <v>0.2281</v>
      </c>
      <c r="N55" t="n">
        <v>0.2264</v>
      </c>
      <c r="O55" t="inlineStr">
        <is>
          <t>RENDAH</t>
        </is>
      </c>
      <c r="P55" t="n">
        <v>0</v>
      </c>
      <c r="Q55" t="n">
        <v>0</v>
      </c>
      <c r="R55" t="b">
        <v>1</v>
      </c>
      <c r="S55" t="n">
        <v>0.5294</v>
      </c>
      <c r="T55" t="n">
        <v>0.6667</v>
      </c>
      <c r="U55" t="n">
        <v>0.2091</v>
      </c>
      <c r="V55" t="n">
        <v>0.3359</v>
      </c>
      <c r="W55" t="inlineStr">
        <is>
          <t>SEDANG</t>
        </is>
      </c>
      <c r="X55" t="n">
        <v>0</v>
      </c>
      <c r="Y55" t="n">
        <v>0.2</v>
      </c>
      <c r="Z55" t="b">
        <v>1</v>
      </c>
      <c r="AA55" t="n">
        <v>0.1223</v>
      </c>
      <c r="AB55" t="n">
        <v>-0.1095</v>
      </c>
    </row>
    <row r="56">
      <c r="A56" t="n">
        <v>55</v>
      </c>
      <c r="B56" t="inlineStr">
        <is>
          <t>confusion</t>
        </is>
      </c>
      <c r="C56" t="inlineStr">
        <is>
          <t>4TGR</t>
        </is>
      </c>
      <c r="D56" s="3" t="inlineStr">
        <is>
          <t>Di Python saya pakai list untuk segalanya dan tidak pernah ada masalah. Tapi di slide CT dibedakan antara array dan list</t>
        </is>
      </c>
      <c r="E56" t="n">
        <v>1</v>
      </c>
      <c r="F56" t="n">
        <v>1</v>
      </c>
      <c r="G56" t="n">
        <v>0.6986</v>
      </c>
      <c r="H56" t="n">
        <v>1</v>
      </c>
      <c r="I56" t="n">
        <v>1</v>
      </c>
      <c r="J56" s="3" t="inlineStr">
        <is>
          <t>GT_CT09.txt, GT_CT13.txt, GT_DETAIL_PT01_Pendahuluan.txt, GT_DETAIL_PT11_Perulangan.txt, GT_SUBTOPIK_13_Graph_Tree.txt, GT_SUBTOPIK_14_Kompleksitas_BigO.txt</t>
        </is>
      </c>
      <c r="K56" t="n">
        <v>0.6551</v>
      </c>
      <c r="L56" t="n">
        <v>0.8333</v>
      </c>
      <c r="M56" t="n">
        <v>0.2392</v>
      </c>
      <c r="N56" t="n">
        <v>0.2242</v>
      </c>
      <c r="O56" t="inlineStr">
        <is>
          <t>RENDAH</t>
        </is>
      </c>
      <c r="P56" t="n">
        <v>0</v>
      </c>
      <c r="Q56" t="n">
        <v>0</v>
      </c>
      <c r="R56" t="b">
        <v>1</v>
      </c>
      <c r="S56" t="n">
        <v>0.7655999999999999</v>
      </c>
      <c r="T56" t="n">
        <v>1</v>
      </c>
      <c r="U56" t="n">
        <v>0.2186</v>
      </c>
      <c r="V56" t="n">
        <v>0.1524</v>
      </c>
      <c r="W56" t="inlineStr">
        <is>
          <t>RENDAH</t>
        </is>
      </c>
      <c r="X56" t="n">
        <v>0</v>
      </c>
      <c r="Y56" t="n">
        <v>0</v>
      </c>
      <c r="Z56" t="b">
        <v>1</v>
      </c>
      <c r="AA56" t="n">
        <v>-0.1105</v>
      </c>
      <c r="AB56" t="n">
        <v>0.0718</v>
      </c>
    </row>
    <row r="57">
      <c r="A57" t="n">
        <v>56</v>
      </c>
      <c r="B57" t="inlineStr">
        <is>
          <t>gap</t>
        </is>
      </c>
      <c r="C57" t="inlineStr">
        <is>
          <t>5PAR</t>
        </is>
      </c>
      <c r="D57" s="3" t="inlineStr">
        <is>
          <t>Kalau Python list sudah bisa melakukan semua yang array bisa — tambah elemen, akses indeks, loop — kenapa orang masih pa</t>
        </is>
      </c>
      <c r="E57" t="n">
        <v>1</v>
      </c>
      <c r="F57" t="n">
        <v>1</v>
      </c>
      <c r="G57" t="n">
        <v>0.7146</v>
      </c>
      <c r="H57" t="n">
        <v>1</v>
      </c>
      <c r="I57" t="n">
        <v>0.6667</v>
      </c>
      <c r="J57" s="3" t="inlineStr">
        <is>
          <t>GT_CT06.txt, GT_CT09.txt, GT_DETAIL_PT11_Perulangan.txt, GT_SUBTOPIK_14_Kompleksitas_BigO.txt</t>
        </is>
      </c>
      <c r="K57" t="n">
        <v>0.7819</v>
      </c>
      <c r="L57" t="n">
        <v>1</v>
      </c>
      <c r="M57" t="n">
        <v>0.273</v>
      </c>
      <c r="N57" t="n">
        <v>0.1418</v>
      </c>
      <c r="O57" t="inlineStr">
        <is>
          <t>RENDAH</t>
        </is>
      </c>
      <c r="P57" t="n">
        <v>0</v>
      </c>
      <c r="Q57" t="n">
        <v>0</v>
      </c>
      <c r="S57" t="n">
        <v>0.7788</v>
      </c>
      <c r="T57" t="n">
        <v>1</v>
      </c>
      <c r="U57" t="n">
        <v>0.2627</v>
      </c>
      <c r="V57" t="n">
        <v>0.1738</v>
      </c>
      <c r="W57" t="inlineStr">
        <is>
          <t>RENDAH</t>
        </is>
      </c>
      <c r="X57" t="n">
        <v>0</v>
      </c>
      <c r="Y57" t="n">
        <v>0.2</v>
      </c>
      <c r="Z57" t="b">
        <v>0</v>
      </c>
      <c r="AA57" t="n">
        <v>0.0031</v>
      </c>
      <c r="AB57" t="n">
        <v>-0.032</v>
      </c>
    </row>
    <row r="58">
      <c r="A58" t="n">
        <v>57</v>
      </c>
      <c r="B58" t="inlineStr">
        <is>
          <t>out_of_scope</t>
        </is>
      </c>
      <c r="C58" t="inlineStr">
        <is>
          <t>4TGI</t>
        </is>
      </c>
      <c r="D58" s="3" t="inlineStr">
        <is>
          <t>Saya baca tentang linked list di internet dan katanya lebih efisien dari array untuk insert dan delete. Apakah linked li</t>
        </is>
      </c>
      <c r="E58" t="n">
        <v>1</v>
      </c>
      <c r="F58" t="n">
        <v>1</v>
      </c>
      <c r="G58" t="n">
        <v>0.6787</v>
      </c>
      <c r="H58" t="n">
        <v>1</v>
      </c>
      <c r="I58" t="n">
        <v>0.8333</v>
      </c>
      <c r="J58" s="3" t="inlineStr">
        <is>
          <t>GT_CT03.txt, GT_CT13.txt, GT_DETAIL_PT01_Pendahuluan.txt, GT_DETAIL_PT13_Struktur_Data.txt, GT_SUBTOPIK_13_Graph_Tree.txt</t>
        </is>
      </c>
      <c r="K58" t="n">
        <v>0.7642</v>
      </c>
      <c r="L58" t="n">
        <v>1</v>
      </c>
      <c r="M58" t="n">
        <v>0.2139</v>
      </c>
      <c r="N58" t="n">
        <v>0.1533</v>
      </c>
      <c r="O58" t="inlineStr">
        <is>
          <t>RENDAH</t>
        </is>
      </c>
      <c r="P58" t="n">
        <v>0</v>
      </c>
      <c r="Q58" t="n">
        <v>0</v>
      </c>
      <c r="R58" t="b">
        <v>1</v>
      </c>
      <c r="S58" t="n">
        <v>0.6353</v>
      </c>
      <c r="T58" t="n">
        <v>0.8333</v>
      </c>
      <c r="U58" t="n">
        <v>0.1734</v>
      </c>
      <c r="V58" t="n">
        <v>0.2371</v>
      </c>
      <c r="W58" t="inlineStr">
        <is>
          <t>RENDAH</t>
        </is>
      </c>
      <c r="X58" t="n">
        <v>0</v>
      </c>
      <c r="Y58" t="n">
        <v>0</v>
      </c>
      <c r="Z58" t="b">
        <v>1</v>
      </c>
      <c r="AA58" t="n">
        <v>0.1289</v>
      </c>
      <c r="AB58" t="n">
        <v>-0.0838</v>
      </c>
    </row>
    <row r="59">
      <c r="A59" t="n">
        <v>58</v>
      </c>
      <c r="B59" t="inlineStr">
        <is>
          <t>application</t>
        </is>
      </c>
      <c r="C59" t="inlineStr">
        <is>
          <t>3PAI</t>
        </is>
      </c>
      <c r="D59" s="3" t="inlineStr">
        <is>
          <t>Saya punya list nilai [75, 82, 60, 91, 55, 88, 70]. Saya diminta hitung rata-rata, lalu tampilkan berapa mahasiswa di at</t>
        </is>
      </c>
      <c r="E59" t="n">
        <v>1</v>
      </c>
      <c r="F59" t="n">
        <v>1</v>
      </c>
      <c r="G59" t="n">
        <v>0.7332</v>
      </c>
      <c r="H59" t="n">
        <v>1</v>
      </c>
      <c r="I59" t="n">
        <v>0.6667</v>
      </c>
      <c r="J59" s="3" t="inlineStr">
        <is>
          <t>GT_CT11.txt, GT_DETAIL_PT07_Notasi_Algoritme.txt, GT_DETAIL_PT11_Perulangan.txt, GT_SUBTOPIK_14_Kompleksitas_BigO.txt</t>
        </is>
      </c>
      <c r="K59" t="n">
        <v>0.3136</v>
      </c>
      <c r="L59" t="n">
        <v>0.3333</v>
      </c>
      <c r="M59" t="n">
        <v>0.2676</v>
      </c>
      <c r="N59" t="n">
        <v>0.4462</v>
      </c>
      <c r="O59" t="inlineStr">
        <is>
          <t>SEDANG</t>
        </is>
      </c>
      <c r="P59" t="n">
        <v>0</v>
      </c>
      <c r="Q59" t="n">
        <v>0</v>
      </c>
      <c r="R59" t="b">
        <v>1</v>
      </c>
      <c r="S59" t="n">
        <v>0.1861</v>
      </c>
      <c r="T59" t="n">
        <v>0.1667</v>
      </c>
      <c r="U59" t="n">
        <v>0.2315</v>
      </c>
      <c r="V59" t="n">
        <v>0.529</v>
      </c>
      <c r="W59" t="inlineStr">
        <is>
          <t>SEDANG</t>
        </is>
      </c>
      <c r="X59" t="n">
        <v>0</v>
      </c>
      <c r="Y59" t="n">
        <v>0</v>
      </c>
      <c r="Z59" t="b">
        <v>1</v>
      </c>
      <c r="AA59" t="n">
        <v>0.1275</v>
      </c>
      <c r="AB59" t="n">
        <v>-0.0828</v>
      </c>
    </row>
    <row r="60">
      <c r="A60" t="n">
        <v>59</v>
      </c>
      <c r="B60" t="inlineStr">
        <is>
          <t>application</t>
        </is>
      </c>
      <c r="C60" t="inlineStr">
        <is>
          <t>2TGI</t>
        </is>
      </c>
      <c r="D60" s="3" t="inlineStr">
        <is>
          <t>Simulasikan stack dengan operasi berurutan:
PUSH(7), PUSH(2), PUSH(5), POP, PUSH(9), PEEK, POP, POP.
Saya tidak yakin ap</t>
        </is>
      </c>
      <c r="E60" t="n">
        <v>1</v>
      </c>
      <c r="F60" t="n">
        <v>0.8571</v>
      </c>
      <c r="G60" t="n">
        <v>0.7849</v>
      </c>
      <c r="H60" t="n">
        <v>1</v>
      </c>
      <c r="I60" t="n">
        <v>0.6667</v>
      </c>
      <c r="J60" s="3" t="inlineStr">
        <is>
          <t>GT_CT13.txt, GT_DETAIL_PT13_Struktur_Data.txt, GT_SUBTOPIK_12_Stack_Queue.txt, GT_SUBTOPIK_14_Kompleksitas_BigO.txt</t>
        </is>
      </c>
      <c r="K60" t="n">
        <v>0.8287</v>
      </c>
      <c r="L60" t="n">
        <v>1</v>
      </c>
      <c r="M60" t="n">
        <v>0.4289</v>
      </c>
      <c r="N60" t="n">
        <v>0.1113</v>
      </c>
      <c r="O60" t="inlineStr">
        <is>
          <t>RENDAH</t>
        </is>
      </c>
      <c r="P60" t="n">
        <v>0</v>
      </c>
      <c r="Q60" t="n">
        <v>0</v>
      </c>
      <c r="R60" t="b">
        <v>1</v>
      </c>
      <c r="S60" t="n">
        <v>0.7551</v>
      </c>
      <c r="T60" t="n">
        <v>1</v>
      </c>
      <c r="U60" t="n">
        <v>0.1836</v>
      </c>
      <c r="V60" t="n">
        <v>0.1592</v>
      </c>
      <c r="W60" t="inlineStr">
        <is>
          <t>RENDAH</t>
        </is>
      </c>
      <c r="X60" t="n">
        <v>0</v>
      </c>
      <c r="Y60" t="n">
        <v>0</v>
      </c>
      <c r="Z60" t="b">
        <v>1</v>
      </c>
      <c r="AA60" t="n">
        <v>0.0736</v>
      </c>
      <c r="AB60" t="n">
        <v>-0.0479</v>
      </c>
    </row>
    <row r="61">
      <c r="A61" t="n">
        <v>60</v>
      </c>
      <c r="B61" t="inlineStr">
        <is>
          <t>application</t>
        </is>
      </c>
      <c r="C61" t="inlineStr">
        <is>
          <t>2PAR</t>
        </is>
      </c>
      <c r="D61" s="3" t="inlineStr">
        <is>
          <t>Simulasikan queue dengan operasi:
ENQUEUE(P), ENQUEUE(Q), ENQUEUE(R), DEQUEUE, ENQUEUE(S), DEQUEUE, DEQUEUE.
Tunjukkan i</t>
        </is>
      </c>
      <c r="E61" t="n">
        <v>1</v>
      </c>
      <c r="F61" t="n">
        <v>0.8571</v>
      </c>
      <c r="G61" t="n">
        <v>0.7705</v>
      </c>
      <c r="H61" t="n">
        <v>1</v>
      </c>
      <c r="I61" t="n">
        <v>0.5</v>
      </c>
      <c r="J61" s="3" t="inlineStr">
        <is>
          <t>GT_CT13.txt, GT_DETAIL_PT13_Struktur_Data.txt, GT_SUBTOPIK_12_Stack_Queue.txt</t>
        </is>
      </c>
      <c r="K61" t="n">
        <v>0.7621</v>
      </c>
      <c r="L61" t="n">
        <v>1</v>
      </c>
      <c r="M61" t="n">
        <v>0.2068</v>
      </c>
      <c r="N61" t="n">
        <v>0.1546</v>
      </c>
      <c r="O61" t="inlineStr">
        <is>
          <t>RENDAH</t>
        </is>
      </c>
      <c r="P61" t="n">
        <v>0</v>
      </c>
      <c r="Q61" t="n">
        <v>0</v>
      </c>
      <c r="R61" t="b">
        <v>1</v>
      </c>
      <c r="S61" t="n">
        <v>0.738</v>
      </c>
      <c r="T61" t="n">
        <v>1</v>
      </c>
      <c r="U61" t="n">
        <v>0.1267</v>
      </c>
      <c r="V61" t="n">
        <v>0.1703</v>
      </c>
      <c r="W61" t="inlineStr">
        <is>
          <t>RENDAH</t>
        </is>
      </c>
      <c r="X61" t="n">
        <v>0</v>
      </c>
      <c r="Y61" t="n">
        <v>0</v>
      </c>
      <c r="Z61" t="b">
        <v>1</v>
      </c>
      <c r="AA61" t="n">
        <v>0.0241</v>
      </c>
      <c r="AB61" t="n">
        <v>-0.0157</v>
      </c>
    </row>
    <row r="62">
      <c r="A62" t="n">
        <v>61</v>
      </c>
      <c r="B62" t="inlineStr">
        <is>
          <t>confusion</t>
        </is>
      </c>
      <c r="C62" t="inlineStr">
        <is>
          <t>3TAI</t>
        </is>
      </c>
      <c r="D62" s="3" t="inlineStr">
        <is>
          <t xml:space="preserve">Saya mau buat fitur undo di aplikasi teks editor saya. Setiap aksi disimpan dan bisa di-undo ke aksi sebelumnya. Apakah </t>
        </is>
      </c>
      <c r="E62" t="n">
        <v>1</v>
      </c>
      <c r="F62" t="n">
        <v>1</v>
      </c>
      <c r="G62" t="n">
        <v>0.727</v>
      </c>
      <c r="H62" t="n">
        <v>1</v>
      </c>
      <c r="I62" t="n">
        <v>0.6667</v>
      </c>
      <c r="J62" s="3" t="inlineStr">
        <is>
          <t>GT_CT13.txt, GT_DETAIL_PT13_Struktur_Data.txt, GT_SUBTOPIK_02_Abstraksi_Formulasi.txt, GT_SUBTOPIK_12_Stack_Queue.txt</t>
        </is>
      </c>
      <c r="K62" t="n">
        <v>0.7691</v>
      </c>
      <c r="L62" t="n">
        <v>1</v>
      </c>
      <c r="M62" t="n">
        <v>0.2304</v>
      </c>
      <c r="N62" t="n">
        <v>0.1501</v>
      </c>
      <c r="O62" t="inlineStr">
        <is>
          <t>RENDAH</t>
        </is>
      </c>
      <c r="P62" t="n">
        <v>0</v>
      </c>
      <c r="Q62" t="n">
        <v>0</v>
      </c>
      <c r="R62" t="b">
        <v>1</v>
      </c>
      <c r="S62" t="n">
        <v>0.775</v>
      </c>
      <c r="T62" t="n">
        <v>1</v>
      </c>
      <c r="U62" t="n">
        <v>0.2499</v>
      </c>
      <c r="V62" t="n">
        <v>0.1462</v>
      </c>
      <c r="W62" t="inlineStr">
        <is>
          <t>RENDAH</t>
        </is>
      </c>
      <c r="X62" t="n">
        <v>0</v>
      </c>
      <c r="Y62" t="n">
        <v>0</v>
      </c>
      <c r="Z62" t="b">
        <v>1</v>
      </c>
      <c r="AA62" t="n">
        <v>-0.0059</v>
      </c>
      <c r="AB62" t="n">
        <v>0.0039</v>
      </c>
    </row>
    <row r="63">
      <c r="A63" t="n">
        <v>62</v>
      </c>
      <c r="B63" t="inlineStr">
        <is>
          <t>application</t>
        </is>
      </c>
      <c r="C63" t="inlineStr">
        <is>
          <t>5TGI</t>
        </is>
      </c>
      <c r="D63" s="3" t="inlineStr">
        <is>
          <t>Soal: periksa apakah ekspresi '((a+b)*(c-d))' seimbang kurungnya. Dosen minta pakai stack. Saya paham LIFO tapi tidak ta</t>
        </is>
      </c>
      <c r="E63" t="n">
        <v>1</v>
      </c>
      <c r="F63" t="n">
        <v>0.8571</v>
      </c>
      <c r="G63" t="n">
        <v>0.7526</v>
      </c>
      <c r="H63" t="n">
        <v>1</v>
      </c>
      <c r="I63" t="n">
        <v>0.8333</v>
      </c>
      <c r="J63" s="3" t="inlineStr">
        <is>
          <t>GT_CT07.txt, GT_CT13.txt, GT_DETAIL_PT04_Abstraksi.txt, GT_DETAIL_PT09_Variabel_TipeData_Operator_List.txt, GT_SUBTOPIK_12_Stack_Queue.txt</t>
        </is>
      </c>
      <c r="K63" t="n">
        <v>0.4069</v>
      </c>
      <c r="L63" t="n">
        <v>0.5</v>
      </c>
      <c r="M63" t="n">
        <v>0.1895</v>
      </c>
      <c r="N63" t="n">
        <v>0.3855</v>
      </c>
      <c r="O63" t="inlineStr">
        <is>
          <t>SEDANG</t>
        </is>
      </c>
      <c r="P63" t="n">
        <v>0</v>
      </c>
      <c r="Q63" t="n">
        <v>0</v>
      </c>
      <c r="R63" t="b">
        <v>1</v>
      </c>
      <c r="S63" t="n">
        <v>0.6341</v>
      </c>
      <c r="T63" t="n">
        <v>0.8333</v>
      </c>
      <c r="U63" t="n">
        <v>0.1692</v>
      </c>
      <c r="V63" t="n">
        <v>0.2378</v>
      </c>
      <c r="W63" t="inlineStr">
        <is>
          <t>RENDAH</t>
        </is>
      </c>
      <c r="X63" t="n">
        <v>0</v>
      </c>
      <c r="Y63" t="n">
        <v>0</v>
      </c>
      <c r="Z63" t="b">
        <v>1</v>
      </c>
      <c r="AA63" t="n">
        <v>-0.2272</v>
      </c>
      <c r="AB63" t="n">
        <v>0.1477</v>
      </c>
    </row>
    <row r="64">
      <c r="A64" t="n">
        <v>63</v>
      </c>
      <c r="B64" t="inlineStr">
        <is>
          <t>gap</t>
        </is>
      </c>
      <c r="C64" t="inlineStr">
        <is>
          <t>4TGR</t>
        </is>
      </c>
      <c r="D64" s="3" t="inlineStr">
        <is>
          <t>Di slide stack ada pseudocode implementasi dengan array dan variabel 'top'. Saya tidak mengerti mengapa perlu variabel t</t>
        </is>
      </c>
      <c r="E64" t="n">
        <v>1</v>
      </c>
      <c r="F64" t="n">
        <v>1</v>
      </c>
      <c r="G64" t="n">
        <v>0.6839</v>
      </c>
      <c r="H64" t="n">
        <v>1</v>
      </c>
      <c r="I64" t="n">
        <v>1</v>
      </c>
      <c r="J64" s="3" t="inlineStr">
        <is>
          <t>GT_CT01.txt, GT_CT06.txt, GT_CT07.txt, GT_CT13.txt, GT_DETAIL_PT10_Percabangan.txt, GT_SUBTOPIK_14_Kompleksitas_BigO.txt</t>
        </is>
      </c>
      <c r="K64" t="n">
        <v>0.2931</v>
      </c>
      <c r="L64" t="n">
        <v>0.3333</v>
      </c>
      <c r="M64" t="n">
        <v>0.1993</v>
      </c>
      <c r="N64" t="n">
        <v>0.4595</v>
      </c>
      <c r="O64" t="inlineStr">
        <is>
          <t>SEDANG</t>
        </is>
      </c>
      <c r="P64" t="n">
        <v>0</v>
      </c>
      <c r="Q64" t="n">
        <v>0</v>
      </c>
      <c r="R64" t="b">
        <v>1</v>
      </c>
      <c r="S64" t="n">
        <v>0.2931</v>
      </c>
      <c r="T64" t="n">
        <v>0.3333</v>
      </c>
      <c r="U64" t="n">
        <v>0.1993</v>
      </c>
      <c r="V64" t="n">
        <v>0.4595</v>
      </c>
      <c r="W64" t="inlineStr">
        <is>
          <t>SEDANG</t>
        </is>
      </c>
      <c r="X64" t="n">
        <v>0</v>
      </c>
      <c r="Y64" t="n">
        <v>0</v>
      </c>
      <c r="Z64" t="b">
        <v>1</v>
      </c>
      <c r="AA64" t="n">
        <v>0</v>
      </c>
      <c r="AB64" t="n">
        <v>0</v>
      </c>
    </row>
    <row r="65">
      <c r="A65" t="n">
        <v>64</v>
      </c>
      <c r="B65" t="inlineStr">
        <is>
          <t>confusion</t>
        </is>
      </c>
      <c r="C65" t="inlineStr">
        <is>
          <t>4TGI</t>
        </is>
      </c>
      <c r="D65" s="3" t="inlineStr">
        <is>
          <t>Dosen bilang tree itu 'graph khusus'. Tapi kalau tree adalah graph, kenapa diajarkan terpisah? Apa yang membuat graph di</t>
        </is>
      </c>
      <c r="E65" t="n">
        <v>1</v>
      </c>
      <c r="F65" t="n">
        <v>1</v>
      </c>
      <c r="G65" t="n">
        <v>0.7183</v>
      </c>
      <c r="H65" t="n">
        <v>1</v>
      </c>
      <c r="I65" t="n">
        <v>0.5</v>
      </c>
      <c r="J65" s="3" t="inlineStr">
        <is>
          <t>GT_CT13.txt, GT_DETAIL_PT13_Struktur_Data.txt, GT_SUBTOPIK_13_Graph_Tree.txt</t>
        </is>
      </c>
      <c r="K65" t="n">
        <v>0.8054</v>
      </c>
      <c r="L65" t="n">
        <v>1</v>
      </c>
      <c r="M65" t="n">
        <v>0.3513</v>
      </c>
      <c r="N65" t="n">
        <v>0.1265</v>
      </c>
      <c r="O65" t="inlineStr">
        <is>
          <t>RENDAH</t>
        </is>
      </c>
      <c r="P65" t="n">
        <v>0</v>
      </c>
      <c r="Q65" t="n">
        <v>0</v>
      </c>
      <c r="R65" t="b">
        <v>1</v>
      </c>
      <c r="S65" t="n">
        <v>0.7603</v>
      </c>
      <c r="T65" t="n">
        <v>1</v>
      </c>
      <c r="U65" t="n">
        <v>0.2008</v>
      </c>
      <c r="V65" t="n">
        <v>0.1558</v>
      </c>
      <c r="W65" t="inlineStr">
        <is>
          <t>RENDAH</t>
        </is>
      </c>
      <c r="X65" t="n">
        <v>0</v>
      </c>
      <c r="Y65" t="n">
        <v>0</v>
      </c>
      <c r="Z65" t="b">
        <v>1</v>
      </c>
      <c r="AA65" t="n">
        <v>0.0451</v>
      </c>
      <c r="AB65" t="n">
        <v>-0.0293</v>
      </c>
    </row>
    <row r="66">
      <c r="A66" t="n">
        <v>65</v>
      </c>
      <c r="B66" t="inlineStr">
        <is>
          <t>application</t>
        </is>
      </c>
      <c r="C66" t="inlineStr">
        <is>
          <t>3TGI</t>
        </is>
      </c>
      <c r="D66" s="3" t="inlineStr">
        <is>
          <t>Graph: A-B(4), A-C(2), B-D(3), C-D(5), D-E(1). Cari jarak terpendek dari A ke E menggunakan Dijkstra. Saya sudah coba ta</t>
        </is>
      </c>
      <c r="E66" t="n">
        <v>1</v>
      </c>
      <c r="F66" t="n">
        <v>1</v>
      </c>
      <c r="G66" t="n">
        <v>0.7735</v>
      </c>
      <c r="H66" t="n">
        <v>1</v>
      </c>
      <c r="I66" t="n">
        <v>1</v>
      </c>
      <c r="J66" s="3" t="inlineStr">
        <is>
          <t>GT_CT05.txt, GT_CT07.txt, GT_CT09.txt, GT_CT13.txt, GT_DETAIL_PT13_Struktur_Data.txt, GT_SUBTOPIK_03_Pola_Bilangan_Deret.txt</t>
        </is>
      </c>
      <c r="K66" t="n">
        <v>0.7563</v>
      </c>
      <c r="L66" t="n">
        <v>1</v>
      </c>
      <c r="M66" t="n">
        <v>0.1878</v>
      </c>
      <c r="N66" t="n">
        <v>0.1584</v>
      </c>
      <c r="O66" t="inlineStr">
        <is>
          <t>RENDAH</t>
        </is>
      </c>
      <c r="P66" t="n">
        <v>0</v>
      </c>
      <c r="Q66" t="n">
        <v>0</v>
      </c>
      <c r="R66" t="b">
        <v>1</v>
      </c>
      <c r="S66" t="n">
        <v>0.7371</v>
      </c>
      <c r="T66" t="n">
        <v>1</v>
      </c>
      <c r="U66" t="n">
        <v>0.1237</v>
      </c>
      <c r="V66" t="n">
        <v>0.1709</v>
      </c>
      <c r="W66" t="inlineStr">
        <is>
          <t>RENDAH</t>
        </is>
      </c>
      <c r="X66" t="n">
        <v>0</v>
      </c>
      <c r="Y66" t="n">
        <v>0</v>
      </c>
      <c r="Z66" t="b">
        <v>1</v>
      </c>
      <c r="AA66" t="n">
        <v>0.0192</v>
      </c>
      <c r="AB66" t="n">
        <v>-0.0125</v>
      </c>
    </row>
    <row r="67">
      <c r="A67" t="n">
        <v>66</v>
      </c>
      <c r="B67" t="inlineStr">
        <is>
          <t>comparative</t>
        </is>
      </c>
      <c r="C67" t="inlineStr">
        <is>
          <t>4TGI</t>
        </is>
      </c>
      <c r="D67" s="3" t="inlineStr">
        <is>
          <t xml:space="preserve">Graph: A→B, A→C, B→D, B→E, C→F. Saya trace BFS dari A dan dapat: A, B, C, D, E, F. Teman trace DFS dari A dan dapat: A, </t>
        </is>
      </c>
      <c r="E67" t="n">
        <v>1</v>
      </c>
      <c r="F67" t="n">
        <v>0.8571</v>
      </c>
      <c r="G67" t="n">
        <v>0.7318</v>
      </c>
      <c r="H67" t="n">
        <v>1</v>
      </c>
      <c r="I67" t="n">
        <v>1</v>
      </c>
      <c r="J67" s="3" t="inlineStr">
        <is>
          <t>GT_CT07.txt, GT_CT09.txt, GT_CT13.txt, GT_DETAIL_PT09_Variabel_TipeData_Operator_List.txt, GT_DETAIL_PT11_Perulangan.txt, GT_SUBTOPIK_13_Graph_Tree.txt</t>
        </is>
      </c>
      <c r="K67" t="n">
        <v>0.6662</v>
      </c>
      <c r="L67" t="n">
        <v>0.8333</v>
      </c>
      <c r="M67" t="n">
        <v>0.2764</v>
      </c>
      <c r="N67" t="n">
        <v>0.217</v>
      </c>
      <c r="O67" t="inlineStr">
        <is>
          <t>RENDAH</t>
        </is>
      </c>
      <c r="P67" t="n">
        <v>0</v>
      </c>
      <c r="Q67" t="n">
        <v>0</v>
      </c>
      <c r="R67" t="b">
        <v>1</v>
      </c>
      <c r="S67" t="n">
        <v>0.7631</v>
      </c>
      <c r="T67" t="n">
        <v>1</v>
      </c>
      <c r="U67" t="n">
        <v>0.2104</v>
      </c>
      <c r="V67" t="n">
        <v>0.154</v>
      </c>
      <c r="W67" t="inlineStr">
        <is>
          <t>RENDAH</t>
        </is>
      </c>
      <c r="X67" t="n">
        <v>0</v>
      </c>
      <c r="Y67" t="n">
        <v>0</v>
      </c>
      <c r="Z67" t="b">
        <v>1</v>
      </c>
      <c r="AA67" t="n">
        <v>-0.0969</v>
      </c>
      <c r="AB67" t="n">
        <v>0.063</v>
      </c>
    </row>
    <row r="68">
      <c r="A68" t="n">
        <v>67</v>
      </c>
      <c r="B68" t="inlineStr">
        <is>
          <t>gap</t>
        </is>
      </c>
      <c r="C68" t="inlineStr">
        <is>
          <t>3PAR</t>
        </is>
      </c>
      <c r="D68" s="3" t="inlineStr">
        <is>
          <t>Di slide graph ada directed dan undirected. Dosen minta pilih jenis graph yang tepat untuk 'jaringan pertemanan di media</t>
        </is>
      </c>
      <c r="E68" t="n">
        <v>1</v>
      </c>
      <c r="F68" t="n">
        <v>1</v>
      </c>
      <c r="G68" t="n">
        <v>0.7452</v>
      </c>
      <c r="H68" t="n">
        <v>1</v>
      </c>
      <c r="I68" t="n">
        <v>0.6667</v>
      </c>
      <c r="J68" s="3" t="inlineStr">
        <is>
          <t>5PAI.txt, 6TGI.txt, GT_CT13.txt, GT_DETAIL_PT13_Struktur_Data.txt</t>
        </is>
      </c>
      <c r="K68" t="n">
        <v>0.7907</v>
      </c>
      <c r="L68" t="n">
        <v>1</v>
      </c>
      <c r="M68" t="n">
        <v>0.3022</v>
      </c>
      <c r="N68" t="n">
        <v>0.136</v>
      </c>
      <c r="O68" t="inlineStr">
        <is>
          <t>RENDAH</t>
        </is>
      </c>
      <c r="P68" t="n">
        <v>0</v>
      </c>
      <c r="Q68" t="n">
        <v>0</v>
      </c>
      <c r="R68" t="b">
        <v>1</v>
      </c>
      <c r="S68" t="n">
        <v>0.7776</v>
      </c>
      <c r="T68" t="n">
        <v>1</v>
      </c>
      <c r="U68" t="n">
        <v>0.2588</v>
      </c>
      <c r="V68" t="n">
        <v>0.1446</v>
      </c>
      <c r="W68" t="inlineStr">
        <is>
          <t>RENDAH</t>
        </is>
      </c>
      <c r="X68" t="n">
        <v>0</v>
      </c>
      <c r="Y68" t="n">
        <v>0</v>
      </c>
      <c r="AA68" t="n">
        <v>0.0131</v>
      </c>
      <c r="AB68" t="n">
        <v>-0.0086</v>
      </c>
    </row>
    <row r="69">
      <c r="A69" t="n">
        <v>68</v>
      </c>
      <c r="B69" t="inlineStr">
        <is>
          <t>out_of_scope</t>
        </is>
      </c>
      <c r="C69" t="inlineStr">
        <is>
          <t>5PGR</t>
        </is>
      </c>
      <c r="D69" s="3" t="inlineStr">
        <is>
          <t xml:space="preserve">Saya baca tentang Binary Search Tree (BST) di internet. Apakah BST diajarkan di CT? Kalau ya, bagaimana cara insert dan </t>
        </is>
      </c>
      <c r="E69" t="n">
        <v>1</v>
      </c>
      <c r="F69" t="n">
        <v>1</v>
      </c>
      <c r="G69" t="n">
        <v>0.6606</v>
      </c>
      <c r="H69" t="n">
        <v>1</v>
      </c>
      <c r="I69" t="n">
        <v>0.8333</v>
      </c>
      <c r="J69" s="3" t="inlineStr">
        <is>
          <t>GT_CT01.txt, GT_CT02.txt, GT_DETAIL_PT04_Abstraksi.txt, GT_DETAIL_PT13_Struktur_Data.txt, GT_SUBTOPIK_02_Abstraksi_Formulasi.txt</t>
        </is>
      </c>
      <c r="K69" t="n">
        <v>0.6296</v>
      </c>
      <c r="L69" t="n">
        <v>0.8333</v>
      </c>
      <c r="M69" t="n">
        <v>0.1542</v>
      </c>
      <c r="N69" t="n">
        <v>0.2408</v>
      </c>
      <c r="O69" t="inlineStr">
        <is>
          <t>RENDAH</t>
        </is>
      </c>
      <c r="P69" t="n">
        <v>0</v>
      </c>
      <c r="Q69" t="n">
        <v>0</v>
      </c>
      <c r="R69" t="b">
        <v>1</v>
      </c>
      <c r="S69" t="n">
        <v>0.3976</v>
      </c>
      <c r="T69" t="n">
        <v>0.5</v>
      </c>
      <c r="U69" t="n">
        <v>0.1586</v>
      </c>
      <c r="V69" t="n">
        <v>0.3916</v>
      </c>
      <c r="W69" t="inlineStr">
        <is>
          <t>SEDANG</t>
        </is>
      </c>
      <c r="X69" t="n">
        <v>0</v>
      </c>
      <c r="Y69" t="n">
        <v>0</v>
      </c>
      <c r="Z69" t="b">
        <v>1</v>
      </c>
      <c r="AA69" t="n">
        <v>0.232</v>
      </c>
      <c r="AB69" t="n">
        <v>-0.1508</v>
      </c>
    </row>
    <row r="70">
      <c r="A70" t="n">
        <v>69</v>
      </c>
      <c r="B70" t="inlineStr">
        <is>
          <t>application</t>
        </is>
      </c>
      <c r="C70" t="inlineStr">
        <is>
          <t>3PAI</t>
        </is>
      </c>
      <c r="D70" s="3" t="inlineStr">
        <is>
          <t>Tentukan kompleksitas waktu dari:
a) x = arr[5]
b) for i=1 to n: print(arr[i])
c) for i=1 to n: for j=1 to n: print(i+j)</t>
        </is>
      </c>
      <c r="E70" t="n">
        <v>1</v>
      </c>
      <c r="F70" t="n">
        <v>0.8571</v>
      </c>
      <c r="G70" t="n">
        <v>0.7822</v>
      </c>
      <c r="H70" t="n">
        <v>1</v>
      </c>
      <c r="I70" t="n">
        <v>0.5</v>
      </c>
      <c r="J70" s="3" t="inlineStr">
        <is>
          <t>GT_CT10.txt, GT_SUBTOPIK_09_Nested_Loop.txt, GT_SUBTOPIK_14_Kompleksitas_BigO.txt</t>
        </is>
      </c>
      <c r="K70" t="n">
        <v>0.7724</v>
      </c>
      <c r="L70" t="n">
        <v>1</v>
      </c>
      <c r="M70" t="n">
        <v>0.2414</v>
      </c>
      <c r="N70" t="n">
        <v>0.1479</v>
      </c>
      <c r="O70" t="inlineStr">
        <is>
          <t>RENDAH</t>
        </is>
      </c>
      <c r="P70" t="n">
        <v>0</v>
      </c>
      <c r="Q70" t="n">
        <v>0</v>
      </c>
      <c r="R70" t="b">
        <v>1</v>
      </c>
      <c r="S70" t="n">
        <v>0.7655</v>
      </c>
      <c r="T70" t="n">
        <v>1</v>
      </c>
      <c r="U70" t="n">
        <v>0.2184</v>
      </c>
      <c r="V70" t="n">
        <v>0.1524</v>
      </c>
      <c r="W70" t="inlineStr">
        <is>
          <t>RENDAH</t>
        </is>
      </c>
      <c r="X70" t="n">
        <v>0</v>
      </c>
      <c r="Y70" t="n">
        <v>0</v>
      </c>
      <c r="AA70" t="n">
        <v>0.0069</v>
      </c>
      <c r="AB70" t="n">
        <v>-0.0045</v>
      </c>
    </row>
    <row r="71">
      <c r="A71" t="n">
        <v>70</v>
      </c>
      <c r="B71" t="inlineStr">
        <is>
          <t>confusion</t>
        </is>
      </c>
      <c r="C71" t="inlineStr">
        <is>
          <t>4PAR</t>
        </is>
      </c>
      <c r="D71" s="3" t="inlineStr">
        <is>
          <t xml:space="preserve">Program saya punya satu nested loop O(n²) dan satu loop biasa O(n) yang berjalan setelahnya. Saya tulis kompleksitasnya </t>
        </is>
      </c>
      <c r="E71" t="n">
        <v>1</v>
      </c>
      <c r="F71" t="n">
        <v>1</v>
      </c>
      <c r="G71" t="n">
        <v>0.7692</v>
      </c>
      <c r="H71" t="n">
        <v>1</v>
      </c>
      <c r="I71" t="n">
        <v>0.6667</v>
      </c>
      <c r="J71" s="3" t="inlineStr">
        <is>
          <t>GT_CT10.txt, GT_CT11.txt, GT_DETAIL_PT11_Perulangan.txt, GT_SUBTOPIK_14_Kompleksitas_BigO.txt</t>
        </is>
      </c>
      <c r="K71" t="n">
        <v>0.5563</v>
      </c>
      <c r="L71" t="n">
        <v>0.6667</v>
      </c>
      <c r="M71" t="n">
        <v>0.2986</v>
      </c>
      <c r="N71" t="n">
        <v>0.3106</v>
      </c>
      <c r="O71" t="inlineStr">
        <is>
          <t>RENDAH</t>
        </is>
      </c>
      <c r="P71" t="n">
        <v>0.1111</v>
      </c>
      <c r="Q71" t="n">
        <v>0</v>
      </c>
      <c r="R71" t="b">
        <v>1</v>
      </c>
      <c r="S71" t="n">
        <v>0.7738</v>
      </c>
      <c r="T71" t="n">
        <v>1</v>
      </c>
      <c r="U71" t="n">
        <v>0.246</v>
      </c>
      <c r="V71" t="n">
        <v>0.147</v>
      </c>
      <c r="W71" t="inlineStr">
        <is>
          <t>RENDAH</t>
        </is>
      </c>
      <c r="X71" t="n">
        <v>0</v>
      </c>
      <c r="Y71" t="n">
        <v>0</v>
      </c>
      <c r="Z71" t="b">
        <v>1</v>
      </c>
      <c r="AA71" t="n">
        <v>-0.2175</v>
      </c>
      <c r="AB71" t="n">
        <v>0.1636</v>
      </c>
    </row>
    <row r="72">
      <c r="A72" t="n">
        <v>71</v>
      </c>
      <c r="B72" t="inlineStr">
        <is>
          <t>application</t>
        </is>
      </c>
      <c r="C72" t="inlineStr">
        <is>
          <t>5TGI</t>
        </is>
      </c>
      <c r="D72" s="3" t="inlineStr">
        <is>
          <t>Tentukan Big-O pseudocode ini:
  for i=1 to n do
    j=1
    while (j &lt; n) do
      print(i,j)
      j = j*2
Saya kira j</t>
        </is>
      </c>
      <c r="E72" t="n">
        <v>1</v>
      </c>
      <c r="F72" t="n">
        <v>1</v>
      </c>
      <c r="G72" t="n">
        <v>0.7802</v>
      </c>
      <c r="H72" t="n">
        <v>1</v>
      </c>
      <c r="I72" t="n">
        <v>0.8333</v>
      </c>
      <c r="J72" s="3" t="inlineStr">
        <is>
          <t>GT_CT11.txt, GT_DETAIL_PT07_Notasi_Algoritme.txt, GT_DETAIL_PT10_Percabangan.txt, GT_SUBTOPIK_05_Pseudocode_Algoritme.txt, GT_SUBTOPIK_14_Kompleksitas_BigO.txt</t>
        </is>
      </c>
      <c r="K72" t="n">
        <v>0.7704</v>
      </c>
      <c r="L72" t="n">
        <v>1</v>
      </c>
      <c r="M72" t="n">
        <v>0.2348</v>
      </c>
      <c r="N72" t="n">
        <v>0.1492</v>
      </c>
      <c r="O72" t="inlineStr">
        <is>
          <t>RENDAH</t>
        </is>
      </c>
      <c r="P72" t="n">
        <v>0</v>
      </c>
      <c r="Q72" t="n">
        <v>0</v>
      </c>
      <c r="R72" t="b">
        <v>1</v>
      </c>
      <c r="S72" t="n">
        <v>0.6332</v>
      </c>
      <c r="T72" t="n">
        <v>0.8333</v>
      </c>
      <c r="U72" t="n">
        <v>0.1663</v>
      </c>
      <c r="V72" t="n">
        <v>0.2384</v>
      </c>
      <c r="W72" t="inlineStr">
        <is>
          <t>RENDAH</t>
        </is>
      </c>
      <c r="X72" t="n">
        <v>0</v>
      </c>
      <c r="Y72" t="n">
        <v>0</v>
      </c>
      <c r="Z72" t="b">
        <v>1</v>
      </c>
      <c r="AA72" t="n">
        <v>0.1372</v>
      </c>
      <c r="AB72" t="n">
        <v>-0.0892</v>
      </c>
    </row>
    <row r="73">
      <c r="A73" t="n">
        <v>72</v>
      </c>
      <c r="B73" t="inlineStr">
        <is>
          <t>comparative</t>
        </is>
      </c>
      <c r="C73" t="inlineStr">
        <is>
          <t>5PAR</t>
        </is>
      </c>
      <c r="D73" s="3" t="inlineStr">
        <is>
          <t>Saya punya 100.000 data yang perlu diurutkan. Bubble sort terasa lambat. Dosen menyarankan merge sort. Kalau keduanya bi</t>
        </is>
      </c>
      <c r="E73" t="n">
        <v>1</v>
      </c>
      <c r="F73" t="n">
        <v>1</v>
      </c>
      <c r="G73" t="n">
        <v>0.7029</v>
      </c>
      <c r="H73" t="n">
        <v>1</v>
      </c>
      <c r="I73" t="n">
        <v>0.3333</v>
      </c>
      <c r="J73" s="3" t="inlineStr">
        <is>
          <t>GT_CT13.txt, GT_SUBTOPIK_14_Kompleksitas_BigO.txt</t>
        </is>
      </c>
      <c r="K73" t="n">
        <v>0.7729</v>
      </c>
      <c r="L73" t="n">
        <v>1</v>
      </c>
      <c r="M73" t="n">
        <v>0.2429</v>
      </c>
      <c r="N73" t="n">
        <v>0.1476</v>
      </c>
      <c r="O73" t="inlineStr">
        <is>
          <t>RENDAH</t>
        </is>
      </c>
      <c r="P73" t="n">
        <v>0</v>
      </c>
      <c r="Q73" t="n">
        <v>0</v>
      </c>
      <c r="R73" t="b">
        <v>1</v>
      </c>
      <c r="S73" t="n">
        <v>0.7745</v>
      </c>
      <c r="T73" t="n">
        <v>1</v>
      </c>
      <c r="U73" t="n">
        <v>0.2485</v>
      </c>
      <c r="V73" t="n">
        <v>0.1466</v>
      </c>
      <c r="W73" t="inlineStr">
        <is>
          <t>RENDAH</t>
        </is>
      </c>
      <c r="X73" t="n">
        <v>0</v>
      </c>
      <c r="Y73" t="n">
        <v>0</v>
      </c>
      <c r="Z73" t="b">
        <v>1</v>
      </c>
      <c r="AA73" t="n">
        <v>-0.0016</v>
      </c>
      <c r="AB73" t="n">
        <v>0.001</v>
      </c>
    </row>
    <row r="74">
      <c r="A74" t="n">
        <v>73</v>
      </c>
      <c r="B74" t="inlineStr">
        <is>
          <t>gap</t>
        </is>
      </c>
      <c r="C74" t="inlineStr">
        <is>
          <t>4TGR</t>
        </is>
      </c>
      <c r="D74" s="3" t="inlineStr">
        <is>
          <t>Saya hanya tahu time complexity. Tapi dosen juga tanya space complexity dari algoritme saya. Apa itu space complexity da</t>
        </is>
      </c>
      <c r="E74" t="n">
        <v>1</v>
      </c>
      <c r="F74" t="n">
        <v>1</v>
      </c>
      <c r="G74" t="n">
        <v>0.644</v>
      </c>
      <c r="H74" t="n">
        <v>1</v>
      </c>
      <c r="I74" t="n">
        <v>0.6667</v>
      </c>
      <c r="J74" s="3" t="inlineStr">
        <is>
          <t>GT_CT01.txt, GT_CT03.txt, GT_SUBTOPIK_04_Modulo_Siklus.txt, GT_SUBTOPIK_14_Kompleksitas_BigO.txt</t>
        </is>
      </c>
      <c r="K74" t="n">
        <v>0.5374</v>
      </c>
      <c r="L74" t="n">
        <v>0.6667</v>
      </c>
      <c r="M74" t="n">
        <v>0.2358</v>
      </c>
      <c r="N74" t="n">
        <v>0.3007</v>
      </c>
      <c r="O74" t="inlineStr">
        <is>
          <t>RENDAH</t>
        </is>
      </c>
      <c r="P74" t="n">
        <v>0</v>
      </c>
      <c r="Q74" t="n">
        <v>0</v>
      </c>
      <c r="R74" t="b">
        <v>1</v>
      </c>
      <c r="S74" t="n">
        <v>0.7766999999999999</v>
      </c>
      <c r="T74" t="n">
        <v>1</v>
      </c>
      <c r="U74" t="n">
        <v>0.2558</v>
      </c>
      <c r="V74" t="n">
        <v>0.1451</v>
      </c>
      <c r="W74" t="inlineStr">
        <is>
          <t>RENDAH</t>
        </is>
      </c>
      <c r="X74" t="n">
        <v>0</v>
      </c>
      <c r="Y74" t="n">
        <v>0</v>
      </c>
      <c r="Z74" t="b">
        <v>1</v>
      </c>
      <c r="AA74" t="n">
        <v>-0.2393</v>
      </c>
      <c r="AB74" t="n">
        <v>0.1556</v>
      </c>
    </row>
    <row r="75">
      <c r="A75" t="n">
        <v>74</v>
      </c>
      <c r="B75" t="inlineStr">
        <is>
          <t>out_of_scope</t>
        </is>
      </c>
      <c r="C75" t="inlineStr">
        <is>
          <t>6TGR</t>
        </is>
      </c>
      <c r="D75" s="3" t="inlineStr">
        <is>
          <t>Saya baca bahwa append ke Python list itu O(1) amortized, bukan O(1) biasa. Apa itu amortized complexity dan kenapa appe</t>
        </is>
      </c>
      <c r="E75" t="n">
        <v>1</v>
      </c>
      <c r="F75" t="n">
        <v>1</v>
      </c>
      <c r="G75" t="n">
        <v>0.6925</v>
      </c>
      <c r="H75" t="n">
        <v>1</v>
      </c>
      <c r="I75" t="n">
        <v>1</v>
      </c>
      <c r="J75" s="3" t="inlineStr">
        <is>
          <t>GT_CT07.txt, GT_DETAIL_PT01_Pendahuluan.txt, GT_DETAIL_PT04_Abstraksi.txt, GT_DETAIL_PT13_Struktur_Data.txt, GT_SUBTOPIK_01_Dekomposisi_Optimasi.txt, GT_SUBTOPIK_02_Abstraksi_Formulasi.txt</t>
        </is>
      </c>
      <c r="K75" t="n">
        <v>0.3724</v>
      </c>
      <c r="L75" t="n">
        <v>0.5</v>
      </c>
      <c r="M75" t="n">
        <v>0.07480000000000001</v>
      </c>
      <c r="N75" t="n">
        <v>0.4079</v>
      </c>
      <c r="O75" t="inlineStr">
        <is>
          <t>SEDANG</t>
        </is>
      </c>
      <c r="P75" t="n">
        <v>0</v>
      </c>
      <c r="Q75" t="n">
        <v>0</v>
      </c>
      <c r="R75" t="b">
        <v>1</v>
      </c>
      <c r="S75" t="n">
        <v>0.4038</v>
      </c>
      <c r="T75" t="n">
        <v>0.5</v>
      </c>
      <c r="U75" t="n">
        <v>0.1792</v>
      </c>
      <c r="V75" t="n">
        <v>0.4175</v>
      </c>
      <c r="W75" t="inlineStr">
        <is>
          <t>SEDANG</t>
        </is>
      </c>
      <c r="X75" t="n">
        <v>0</v>
      </c>
      <c r="Y75" t="n">
        <v>0.2</v>
      </c>
      <c r="Z75" t="b">
        <v>1</v>
      </c>
      <c r="AA75" t="n">
        <v>-0.0314</v>
      </c>
      <c r="AB75" t="n">
        <v>-0.009599999999999999</v>
      </c>
    </row>
    <row r="76">
      <c r="A76" t="n">
        <v>75</v>
      </c>
      <c r="B76" t="inlineStr">
        <is>
          <t>application</t>
        </is>
      </c>
      <c r="C76" t="inlineStr">
        <is>
          <t>3TGR</t>
        </is>
      </c>
      <c r="D76" s="3" t="inlineStr">
        <is>
          <t>Array terurut: [3, 7, 12, 18, 25, 31, 44, 56, 67, 89]. Cari angka 25. Saya trace binary search dan butuh 4 langkah. Tema</t>
        </is>
      </c>
      <c r="E76" t="n">
        <v>1</v>
      </c>
      <c r="F76" t="n">
        <v>0.8571</v>
      </c>
      <c r="G76" t="n">
        <v>0.7417</v>
      </c>
      <c r="H76" t="n">
        <v>1</v>
      </c>
      <c r="I76" t="n">
        <v>0.8333</v>
      </c>
      <c r="J76" s="3" t="inlineStr">
        <is>
          <t>GT_CT09.txt, GT_DETAIL_PT05_Pattern_Recognition.txt, GT_SUBTOPIK_01_Dekomposisi_Optimasi.txt, GT_SUBTOPIK_04_Modulo_Siklus.txt, GT_SUBTOPIK_14_Kompleksitas_BigO.txt</t>
        </is>
      </c>
      <c r="K76" t="n">
        <v>0.6162</v>
      </c>
      <c r="L76" t="n">
        <v>0.8333</v>
      </c>
      <c r="M76" t="n">
        <v>0.1096</v>
      </c>
      <c r="N76" t="n">
        <v>0.2495</v>
      </c>
      <c r="O76" t="inlineStr">
        <is>
          <t>RENDAH</t>
        </is>
      </c>
      <c r="P76" t="n">
        <v>0</v>
      </c>
      <c r="Q76" t="n">
        <v>0</v>
      </c>
      <c r="R76" t="b">
        <v>1</v>
      </c>
      <c r="S76" t="n">
        <v>0.2713</v>
      </c>
      <c r="T76" t="n">
        <v>0.3333</v>
      </c>
      <c r="U76" t="n">
        <v>0.1267</v>
      </c>
      <c r="V76" t="n">
        <v>0.4737</v>
      </c>
      <c r="W76" t="inlineStr">
        <is>
          <t>SEDANG</t>
        </is>
      </c>
      <c r="X76" t="n">
        <v>0</v>
      </c>
      <c r="Y76" t="n">
        <v>0</v>
      </c>
      <c r="Z76" t="b">
        <v>1</v>
      </c>
      <c r="AA76" t="n">
        <v>0.3449</v>
      </c>
      <c r="AB76" t="n">
        <v>-0.2242</v>
      </c>
    </row>
    <row r="77">
      <c r="A77" t="n">
        <v>76</v>
      </c>
      <c r="B77" t="inlineStr">
        <is>
          <t>confusion</t>
        </is>
      </c>
      <c r="C77" t="inlineStr">
        <is>
          <t>2PAI</t>
        </is>
      </c>
      <c r="D77" s="3" t="inlineStr">
        <is>
          <t>Saya coba binary search untuk array [5, 3, 8, 1, 9] dan hasilnya salah — elemen yang ada tidak ketemu. Padahal algoritma</t>
        </is>
      </c>
      <c r="E77" t="n">
        <v>1</v>
      </c>
      <c r="F77" t="n">
        <v>1</v>
      </c>
      <c r="G77" t="n">
        <v>0.7221</v>
      </c>
      <c r="H77" t="n">
        <v>1</v>
      </c>
      <c r="I77" t="n">
        <v>1</v>
      </c>
      <c r="J77" s="3" t="inlineStr">
        <is>
          <t>GT_CT09.txt, GT_DETAIL_PT07_Notasi_Algoritme.txt, GT_SUBTOPIK_04_Modulo_Siklus.txt, GT_SUBTOPIK_05_Pseudocode_Algoritme.txt, GT_SUBTOPIK_11_Rekursi.txt, GT_SUBTOPIK_14_Kompleksitas_BigO.txt</t>
        </is>
      </c>
      <c r="K77" t="n">
        <v>0.7712</v>
      </c>
      <c r="L77" t="n">
        <v>1</v>
      </c>
      <c r="M77" t="n">
        <v>0.2374</v>
      </c>
      <c r="N77" t="n">
        <v>0.1487</v>
      </c>
      <c r="O77" t="inlineStr">
        <is>
          <t>RENDAH</t>
        </is>
      </c>
      <c r="P77" t="n">
        <v>0</v>
      </c>
      <c r="Q77" t="n">
        <v>0</v>
      </c>
      <c r="S77" t="n">
        <v>0.4755</v>
      </c>
      <c r="T77" t="n">
        <v>0.6</v>
      </c>
      <c r="U77" t="n">
        <v>0.1851</v>
      </c>
      <c r="V77" t="n">
        <v>0.3409</v>
      </c>
      <c r="W77" t="inlineStr">
        <is>
          <t>SEDANG</t>
        </is>
      </c>
      <c r="X77" t="n">
        <v>0</v>
      </c>
      <c r="Y77" t="n">
        <v>0</v>
      </c>
      <c r="Z77" t="b">
        <v>1</v>
      </c>
      <c r="AA77" t="n">
        <v>0.2957</v>
      </c>
      <c r="AB77" t="n">
        <v>-0.1922</v>
      </c>
    </row>
    <row r="78">
      <c r="A78" t="n">
        <v>77</v>
      </c>
      <c r="B78" t="inlineStr">
        <is>
          <t>application</t>
        </is>
      </c>
      <c r="C78" t="inlineStr">
        <is>
          <t>2TAI</t>
        </is>
      </c>
      <c r="D78" s="3" t="inlineStr">
        <is>
          <t>Trace bubble sort untuk array [5, 2, 8, 1, 9] — tunjukkan semua pertukaran di setiap pass sampai array terurut. Saya bin</t>
        </is>
      </c>
      <c r="E78" t="n">
        <v>1</v>
      </c>
      <c r="F78" t="n">
        <v>1</v>
      </c>
      <c r="G78" t="n">
        <v>0.7296</v>
      </c>
      <c r="H78" t="n">
        <v>1</v>
      </c>
      <c r="I78" t="n">
        <v>0.5</v>
      </c>
      <c r="J78" s="3" t="inlineStr">
        <is>
          <t>GT_CT13.txt, GT_DETAIL_PT07_Notasi_Algoritme.txt, GT_SUBTOPIK_14_Kompleksitas_BigO.txt</t>
        </is>
      </c>
      <c r="K78" t="n">
        <v>0.6655</v>
      </c>
      <c r="L78" t="n">
        <v>0.8333</v>
      </c>
      <c r="M78" t="n">
        <v>0.2741</v>
      </c>
      <c r="N78" t="n">
        <v>0.2174</v>
      </c>
      <c r="O78" t="inlineStr">
        <is>
          <t>RENDAH</t>
        </is>
      </c>
      <c r="P78" t="n">
        <v>0</v>
      </c>
      <c r="Q78" t="n">
        <v>0</v>
      </c>
      <c r="R78" t="b">
        <v>1</v>
      </c>
      <c r="S78" t="n">
        <v>0.1711</v>
      </c>
      <c r="T78" t="n">
        <v>0.1667</v>
      </c>
      <c r="U78" t="n">
        <v>0.1813</v>
      </c>
      <c r="V78" t="n">
        <v>0.5387999999999999</v>
      </c>
      <c r="W78" t="inlineStr">
        <is>
          <t>SEDANG</t>
        </is>
      </c>
      <c r="X78" t="n">
        <v>0</v>
      </c>
      <c r="Y78" t="n">
        <v>0</v>
      </c>
      <c r="Z78" t="b">
        <v>1</v>
      </c>
      <c r="AA78" t="n">
        <v>0.4944</v>
      </c>
      <c r="AB78" t="n">
        <v>-0.3214</v>
      </c>
    </row>
    <row r="79">
      <c r="A79" t="n">
        <v>78</v>
      </c>
      <c r="B79" t="inlineStr">
        <is>
          <t>application</t>
        </is>
      </c>
      <c r="C79" t="inlineStr">
        <is>
          <t>3PGI</t>
        </is>
      </c>
      <c r="D79" s="3" t="inlineStr">
        <is>
          <t>Trace selection sort untuk array [4, 7, 2, 9, 1, 5]. Saya tidak yakin cara kerja selection sort — apakah dia cari minimu</t>
        </is>
      </c>
      <c r="E79" t="n">
        <v>1</v>
      </c>
      <c r="F79" t="n">
        <v>1</v>
      </c>
      <c r="G79" t="n">
        <v>0.7451</v>
      </c>
      <c r="H79" t="n">
        <v>1</v>
      </c>
      <c r="I79" t="n">
        <v>0.3333</v>
      </c>
      <c r="J79" s="3" t="inlineStr">
        <is>
          <t>GT_SUBTOPIK_09_Nested_Loop.txt, GT_SUBTOPIK_14_Kompleksitas_BigO.txt</t>
        </is>
      </c>
      <c r="K79" t="n">
        <v>0.5518999999999999</v>
      </c>
      <c r="L79" t="n">
        <v>0.6667</v>
      </c>
      <c r="M79" t="n">
        <v>0.2841</v>
      </c>
      <c r="N79" t="n">
        <v>0.2913</v>
      </c>
      <c r="O79" t="inlineStr">
        <is>
          <t>RENDAH</t>
        </is>
      </c>
      <c r="P79" t="n">
        <v>0</v>
      </c>
      <c r="Q79" t="n">
        <v>0</v>
      </c>
      <c r="R79" t="b">
        <v>1</v>
      </c>
      <c r="S79" t="n">
        <v>0.6291</v>
      </c>
      <c r="T79" t="n">
        <v>0.8</v>
      </c>
      <c r="U79" t="n">
        <v>0.2303</v>
      </c>
      <c r="V79" t="n">
        <v>0.2411</v>
      </c>
      <c r="W79" t="inlineStr">
        <is>
          <t>RENDAH</t>
        </is>
      </c>
      <c r="X79" t="n">
        <v>0</v>
      </c>
      <c r="Y79" t="n">
        <v>0</v>
      </c>
      <c r="Z79" t="b">
        <v>1</v>
      </c>
      <c r="AA79" t="n">
        <v>-0.0772</v>
      </c>
      <c r="AB79" t="n">
        <v>0.0502</v>
      </c>
    </row>
    <row r="80">
      <c r="A80" t="n">
        <v>79</v>
      </c>
      <c r="B80" t="inlineStr">
        <is>
          <t>comparative</t>
        </is>
      </c>
      <c r="C80" t="inlineStr">
        <is>
          <t>4PAI</t>
        </is>
      </c>
      <c r="D80" s="3" t="inlineStr">
        <is>
          <t>Teman saya selalu pakai binary search karena katanya lebih cepat. Tapi dosen bilang ada kasus di mana linear search lebi</t>
        </is>
      </c>
      <c r="E80" t="n">
        <v>1</v>
      </c>
      <c r="F80" t="n">
        <v>1</v>
      </c>
      <c r="G80" t="n">
        <v>0.703</v>
      </c>
      <c r="H80" t="n">
        <v>1</v>
      </c>
      <c r="I80" t="n">
        <v>0.8333</v>
      </c>
      <c r="J80" s="3" t="inlineStr">
        <is>
          <t>GT_CT09.txt, GT_DETAIL_PT07_Notasi_Algoritme.txt, GT_SUBTOPIK_05_Pseudocode_Algoritme.txt, GT_SUBTOPIK_11_Rekursi.txt, GT_SUBTOPIK_14_Kompleksitas_BigO.txt</t>
        </is>
      </c>
      <c r="K80" t="n">
        <v>0.7805</v>
      </c>
      <c r="L80" t="n">
        <v>1</v>
      </c>
      <c r="M80" t="n">
        <v>0.2682</v>
      </c>
      <c r="N80" t="n">
        <v>0.1427</v>
      </c>
      <c r="O80" t="inlineStr">
        <is>
          <t>RENDAH</t>
        </is>
      </c>
      <c r="P80" t="n">
        <v>0</v>
      </c>
      <c r="Q80" t="n">
        <v>0</v>
      </c>
      <c r="S80" t="n">
        <v>0.7728</v>
      </c>
      <c r="T80" t="n">
        <v>1</v>
      </c>
      <c r="U80" t="n">
        <v>0.2427</v>
      </c>
      <c r="V80" t="n">
        <v>0.1477</v>
      </c>
      <c r="W80" t="inlineStr">
        <is>
          <t>RENDAH</t>
        </is>
      </c>
      <c r="X80" t="n">
        <v>0</v>
      </c>
      <c r="Y80" t="n">
        <v>0</v>
      </c>
      <c r="Z80" t="b">
        <v>1</v>
      </c>
      <c r="AA80" t="n">
        <v>0.0077</v>
      </c>
      <c r="AB80" t="n">
        <v>-0.005</v>
      </c>
    </row>
    <row r="81">
      <c r="A81" t="n">
        <v>80</v>
      </c>
      <c r="B81" t="inlineStr">
        <is>
          <t>cross_topic</t>
        </is>
      </c>
      <c r="C81" t="inlineStr">
        <is>
          <t>6PAR</t>
        </is>
      </c>
      <c r="D81" s="3" t="inlineStr">
        <is>
          <t>Saya mau buat sistem pencarian kontak dari 10.000 data. Dosen minta saya dekomposisi dulu, baru pilih algoritme berdasar</t>
        </is>
      </c>
      <c r="E81" t="n">
        <v>1</v>
      </c>
      <c r="F81" t="n">
        <v>1</v>
      </c>
      <c r="G81" t="n">
        <v>0.7671</v>
      </c>
      <c r="H81" t="n">
        <v>1</v>
      </c>
      <c r="I81" t="n">
        <v>0.8333</v>
      </c>
      <c r="J81" s="3" t="inlineStr">
        <is>
          <t>GT_CT01.txt, GT_CT03.txt, GT_CT09.txt, GT_CT13.txt, GT_DETAIL_PT01_Pendahuluan.txt</t>
        </is>
      </c>
      <c r="K81" t="n">
        <v>0.7723</v>
      </c>
      <c r="L81" t="n">
        <v>1</v>
      </c>
      <c r="M81" t="n">
        <v>0.2412</v>
      </c>
      <c r="N81" t="n">
        <v>0.148</v>
      </c>
      <c r="O81" t="inlineStr">
        <is>
          <t>RENDAH</t>
        </is>
      </c>
      <c r="P81" t="n">
        <v>0</v>
      </c>
      <c r="Q81" t="n">
        <v>0</v>
      </c>
      <c r="R81" t="b">
        <v>1</v>
      </c>
      <c r="S81" t="n">
        <v>0.6791</v>
      </c>
      <c r="T81" t="n">
        <v>0.8333</v>
      </c>
      <c r="U81" t="n">
        <v>0.3194</v>
      </c>
      <c r="V81" t="n">
        <v>0.2086</v>
      </c>
      <c r="W81" t="inlineStr">
        <is>
          <t>RENDAH</t>
        </is>
      </c>
      <c r="X81" t="n">
        <v>0</v>
      </c>
      <c r="Y81" t="n">
        <v>0</v>
      </c>
      <c r="Z81" t="b">
        <v>1</v>
      </c>
      <c r="AA81" t="n">
        <v>0.09320000000000001</v>
      </c>
      <c r="AB81" t="n">
        <v>-0.0606</v>
      </c>
    </row>
    <row r="82">
      <c r="A82" t="n">
        <v>81</v>
      </c>
      <c r="B82" t="inlineStr">
        <is>
          <t>cross_topic</t>
        </is>
      </c>
      <c r="C82" t="inlineStr">
        <is>
          <t>5TGR</t>
        </is>
      </c>
      <c r="D82" s="3" t="inlineStr">
        <is>
          <t>Waktu belajar rekursi, dosen bilang setiap pemanggilan rekursif disimpan di 'call stack'. Waktu belajar struktur data, k</t>
        </is>
      </c>
      <c r="E82" t="n">
        <v>1</v>
      </c>
      <c r="F82" t="n">
        <v>1</v>
      </c>
      <c r="G82" t="n">
        <v>0.7608</v>
      </c>
      <c r="H82" t="n">
        <v>1</v>
      </c>
      <c r="I82" t="n">
        <v>0.3333</v>
      </c>
      <c r="J82" s="3" t="inlineStr">
        <is>
          <t>GT_CT13.txt, GT_SUBTOPIK_14_Kompleksitas_BigO.txt</t>
        </is>
      </c>
      <c r="K82" t="n">
        <v>0.7763</v>
      </c>
      <c r="L82" t="n">
        <v>1</v>
      </c>
      <c r="M82" t="n">
        <v>0.2542</v>
      </c>
      <c r="N82" t="n">
        <v>0.1454</v>
      </c>
      <c r="O82" t="inlineStr">
        <is>
          <t>RENDAH</t>
        </is>
      </c>
      <c r="P82" t="n">
        <v>0</v>
      </c>
      <c r="Q82" t="n">
        <v>0</v>
      </c>
      <c r="R82" t="b">
        <v>1</v>
      </c>
      <c r="S82" t="n">
        <v>0.7929</v>
      </c>
      <c r="T82" t="n">
        <v>1</v>
      </c>
      <c r="U82" t="n">
        <v>0.3096</v>
      </c>
      <c r="V82" t="n">
        <v>0.1346</v>
      </c>
      <c r="W82" t="inlineStr">
        <is>
          <t>RENDAH</t>
        </is>
      </c>
      <c r="X82" t="n">
        <v>0</v>
      </c>
      <c r="Y82" t="n">
        <v>0</v>
      </c>
      <c r="Z82" t="b">
        <v>1</v>
      </c>
      <c r="AA82" t="n">
        <v>-0.0166</v>
      </c>
      <c r="AB82" t="n">
        <v>0.0108</v>
      </c>
    </row>
    <row r="83">
      <c r="A83" t="n">
        <v>82</v>
      </c>
      <c r="B83" t="inlineStr">
        <is>
          <t>cross_topic</t>
        </is>
      </c>
      <c r="C83" t="inlineStr">
        <is>
          <t>5PAI</t>
        </is>
      </c>
      <c r="D83" s="3" t="inlineStr">
        <is>
          <t>Dosen bilang kita bisa gunakan pattern recognition untuk langsung tahu Big-O dari kode tanpa menghitung detail. Misalnya</t>
        </is>
      </c>
      <c r="E83" t="n">
        <v>1</v>
      </c>
      <c r="F83" t="n">
        <v>1</v>
      </c>
      <c r="G83" t="n">
        <v>0.7357</v>
      </c>
      <c r="H83" t="n">
        <v>1</v>
      </c>
      <c r="I83" t="n">
        <v>1</v>
      </c>
      <c r="J83" s="3" t="inlineStr">
        <is>
          <t>GT_CT07.txt, GT_CT10.txt, GT_DETAIL_PT01_Pendahuluan.txt, GT_DETAIL_PT07_Notasi_Algoritme.txt, GT_DETAIL_PT11_Perulangan.txt, GT_SUBTOPIK_14_Kompleksitas_BigO.txt</t>
        </is>
      </c>
      <c r="K83" t="n">
        <v>0.7714</v>
      </c>
      <c r="L83" t="n">
        <v>1</v>
      </c>
      <c r="M83" t="n">
        <v>0.238</v>
      </c>
      <c r="N83" t="n">
        <v>0.1486</v>
      </c>
      <c r="O83" t="inlineStr">
        <is>
          <t>RENDAH</t>
        </is>
      </c>
      <c r="P83" t="n">
        <v>0</v>
      </c>
      <c r="Q83" t="n">
        <v>0</v>
      </c>
      <c r="R83" t="b">
        <v>1</v>
      </c>
      <c r="S83" t="n">
        <v>0.668</v>
      </c>
      <c r="T83" t="n">
        <v>0.8333</v>
      </c>
      <c r="U83" t="n">
        <v>0.2823</v>
      </c>
      <c r="V83" t="n">
        <v>0.2158</v>
      </c>
      <c r="W83" t="inlineStr">
        <is>
          <t>RENDAH</t>
        </is>
      </c>
      <c r="X83" t="n">
        <v>0</v>
      </c>
      <c r="Y83" t="n">
        <v>0</v>
      </c>
      <c r="Z83" t="b">
        <v>1</v>
      </c>
      <c r="AA83" t="n">
        <v>0.1034</v>
      </c>
      <c r="AB83" t="n">
        <v>-0.0672</v>
      </c>
    </row>
    <row r="84">
      <c r="A84" t="n">
        <v>83</v>
      </c>
      <c r="B84" t="inlineStr">
        <is>
          <t>cross_topic</t>
        </is>
      </c>
      <c r="C84" t="inlineStr">
        <is>
          <t>4TAI</t>
        </is>
      </c>
      <c r="D84" s="3" t="inlineStr">
        <is>
          <t>Kalau abstraksi adalah 'sembunyikan detail yang tidak perlu', apakah setiap fungsi yang saya buat otomatis mengimplement</t>
        </is>
      </c>
      <c r="E84" t="n">
        <v>1</v>
      </c>
      <c r="F84" t="n">
        <v>1</v>
      </c>
      <c r="G84" t="n">
        <v>0.7497</v>
      </c>
      <c r="H84" t="n">
        <v>1</v>
      </c>
      <c r="I84" t="n">
        <v>0.5</v>
      </c>
      <c r="J84" s="3" t="inlineStr">
        <is>
          <t>GT_CT04.txt, GT_DETAIL_PT01_Pendahuluan.txt, GT_DETAIL_PT04_Abstraksi.txt</t>
        </is>
      </c>
      <c r="K84" t="n">
        <v>0.8052</v>
      </c>
      <c r="L84" t="n">
        <v>1</v>
      </c>
      <c r="M84" t="n">
        <v>0.3506</v>
      </c>
      <c r="N84" t="n">
        <v>0.1566</v>
      </c>
      <c r="O84" t="inlineStr">
        <is>
          <t>RENDAH</t>
        </is>
      </c>
      <c r="P84" t="n">
        <v>0</v>
      </c>
      <c r="Q84" t="n">
        <v>0.2</v>
      </c>
      <c r="S84" t="n">
        <v>0.5182</v>
      </c>
      <c r="T84" t="n">
        <v>0.6667</v>
      </c>
      <c r="U84" t="n">
        <v>0.1717</v>
      </c>
      <c r="V84" t="n">
        <v>0.3432</v>
      </c>
      <c r="W84" t="inlineStr">
        <is>
          <t>SEDANG</t>
        </is>
      </c>
      <c r="X84" t="n">
        <v>0</v>
      </c>
      <c r="Y84" t="n">
        <v>0.2</v>
      </c>
      <c r="Z84" t="b">
        <v>1</v>
      </c>
      <c r="AA84" t="n">
        <v>0.287</v>
      </c>
      <c r="AB84" t="n">
        <v>-0.1866</v>
      </c>
    </row>
    <row r="85">
      <c r="A85" t="n">
        <v>84</v>
      </c>
      <c r="B85" t="inlineStr">
        <is>
          <t>cross_topic</t>
        </is>
      </c>
      <c r="C85" t="inlineStr">
        <is>
          <t>5TGI</t>
        </is>
      </c>
      <c r="D85" s="3" t="inlineStr">
        <is>
          <t>Dosen bilang DFS di graph biasanya diimplementasikan rekursif. Saya paham rekursi dan paham DFS secara konsep, tapi tida</t>
        </is>
      </c>
      <c r="E85" t="n">
        <v>1</v>
      </c>
      <c r="F85" t="n">
        <v>1</v>
      </c>
      <c r="G85" t="n">
        <v>0.7261</v>
      </c>
      <c r="H85" t="n">
        <v>1</v>
      </c>
      <c r="I85" t="n">
        <v>1</v>
      </c>
      <c r="J85" s="3" t="inlineStr">
        <is>
          <t>GT_CT03.txt, GT_CT05.txt, GT_CT07.txt, GT_CT13.txt, GT_DETAIL_PT09_Variabel_TipeData_Operator_List.txt, GT_SUBTOPIK_02_Abstraksi_Formulasi.txt</t>
        </is>
      </c>
      <c r="K85" t="n">
        <v>0.5345</v>
      </c>
      <c r="L85" t="n">
        <v>0.6667</v>
      </c>
      <c r="M85" t="n">
        <v>0.2259</v>
      </c>
      <c r="N85" t="n">
        <v>0.3026</v>
      </c>
      <c r="O85" t="inlineStr">
        <is>
          <t>RENDAH</t>
        </is>
      </c>
      <c r="P85" t="n">
        <v>0</v>
      </c>
      <c r="Q85" t="n">
        <v>0</v>
      </c>
      <c r="R85" t="b">
        <v>1</v>
      </c>
      <c r="S85" t="n">
        <v>0.6448</v>
      </c>
      <c r="T85" t="n">
        <v>0.8333</v>
      </c>
      <c r="U85" t="n">
        <v>0.2051</v>
      </c>
      <c r="V85" t="n">
        <v>0.2309</v>
      </c>
      <c r="W85" t="inlineStr">
        <is>
          <t>RENDAH</t>
        </is>
      </c>
      <c r="X85" t="n">
        <v>0</v>
      </c>
      <c r="Y85" t="n">
        <v>0</v>
      </c>
      <c r="Z85" t="b">
        <v>1</v>
      </c>
      <c r="AA85" t="n">
        <v>-0.1103</v>
      </c>
      <c r="AB85" t="n">
        <v>0.0717</v>
      </c>
    </row>
    <row r="86">
      <c r="A86" t="n">
        <v>85</v>
      </c>
      <c r="B86" t="inlineStr">
        <is>
          <t>application</t>
        </is>
      </c>
      <c r="C86" t="inlineStr">
        <is>
          <t>4TAI</t>
        </is>
      </c>
      <c r="D86" s="3" t="inlineStr">
        <is>
          <t>Saya diminta cek apakah kata 'katak' adalah palindrom tanpa pakai fungsi string bawaan. Saya coba dengan loop biasa tapi</t>
        </is>
      </c>
      <c r="E86" t="n">
        <v>1</v>
      </c>
      <c r="F86" t="n">
        <v>1</v>
      </c>
      <c r="G86" t="n">
        <v>0.7207</v>
      </c>
      <c r="H86" t="n">
        <v>1</v>
      </c>
      <c r="I86" t="n">
        <v>0.6667</v>
      </c>
      <c r="J86" s="3" t="inlineStr">
        <is>
          <t>GT_CT11.txt, GT_CT12.txt, GT_DETAIL_PT07_Notasi_Algoritme.txt, GT_DETAIL_PT11_Perulangan.txt</t>
        </is>
      </c>
      <c r="K86" t="n">
        <v>0.668</v>
      </c>
      <c r="L86" t="n">
        <v>0.8333</v>
      </c>
      <c r="M86" t="n">
        <v>0.2823</v>
      </c>
      <c r="N86" t="n">
        <v>0.2158</v>
      </c>
      <c r="O86" t="inlineStr">
        <is>
          <t>RENDAH</t>
        </is>
      </c>
      <c r="P86" t="n">
        <v>0</v>
      </c>
      <c r="Q86" t="n">
        <v>0</v>
      </c>
      <c r="R86" t="b">
        <v>1</v>
      </c>
      <c r="S86" t="n">
        <v>0.6697</v>
      </c>
      <c r="T86" t="n">
        <v>0.8333</v>
      </c>
      <c r="U86" t="n">
        <v>0.2878</v>
      </c>
      <c r="V86" t="n">
        <v>0.2147</v>
      </c>
      <c r="W86" t="inlineStr">
        <is>
          <t>RENDAH</t>
        </is>
      </c>
      <c r="X86" t="n">
        <v>0</v>
      </c>
      <c r="Y86" t="n">
        <v>0</v>
      </c>
      <c r="Z86" t="b">
        <v>1</v>
      </c>
      <c r="AA86" t="n">
        <v>-0.0017</v>
      </c>
      <c r="AB86" t="n">
        <v>0.0011</v>
      </c>
    </row>
    <row r="87">
      <c r="A87" t="n">
        <v>86</v>
      </c>
      <c r="B87" t="inlineStr">
        <is>
          <t>application</t>
        </is>
      </c>
      <c r="C87" t="inlineStr">
        <is>
          <t>5TGR</t>
        </is>
      </c>
      <c r="D87" s="3" t="inlineStr">
        <is>
          <t>Saya buat program cek bilangan prima dengan loop dari 2 sampai n. Untuk n=1.000.000 sangat lambat. Dosen bilang ada cara</t>
        </is>
      </c>
      <c r="E87" t="n">
        <v>1</v>
      </c>
      <c r="F87" t="n">
        <v>1</v>
      </c>
      <c r="G87" t="n">
        <v>0.6832</v>
      </c>
      <c r="H87" t="n">
        <v>1</v>
      </c>
      <c r="I87" t="n">
        <v>1</v>
      </c>
      <c r="J87" s="3" t="inlineStr">
        <is>
          <t>GT_CT01.txt, GT_CT07.txt, GT_CT11.txt, GT_DETAIL_PT07_Notasi_Algoritme.txt, GT_DETAIL_PT12_Fungsi.txt, GT_SUBTOPIK_02_Abstraksi_Formulasi.txt</t>
        </is>
      </c>
      <c r="K87" t="n">
        <v>0.7762</v>
      </c>
      <c r="L87" t="n">
        <v>1</v>
      </c>
      <c r="M87" t="n">
        <v>0.254</v>
      </c>
      <c r="N87" t="n">
        <v>0.1455</v>
      </c>
      <c r="O87" t="inlineStr">
        <is>
          <t>RENDAH</t>
        </is>
      </c>
      <c r="P87" t="n">
        <v>0</v>
      </c>
      <c r="Q87" t="n">
        <v>0</v>
      </c>
      <c r="R87" t="b">
        <v>1</v>
      </c>
      <c r="S87" t="n">
        <v>0.652</v>
      </c>
      <c r="T87" t="n">
        <v>0.8333</v>
      </c>
      <c r="U87" t="n">
        <v>0.229</v>
      </c>
      <c r="V87" t="n">
        <v>0.2262</v>
      </c>
      <c r="W87" t="inlineStr">
        <is>
          <t>RENDAH</t>
        </is>
      </c>
      <c r="X87" t="n">
        <v>0</v>
      </c>
      <c r="Y87" t="n">
        <v>0</v>
      </c>
      <c r="Z87" t="b">
        <v>1</v>
      </c>
      <c r="AA87" t="n">
        <v>0.1242</v>
      </c>
      <c r="AB87" t="n">
        <v>-0.08069999999999999</v>
      </c>
    </row>
    <row r="88">
      <c r="A88" t="n">
        <v>87</v>
      </c>
      <c r="B88" t="inlineStr">
        <is>
          <t>application</t>
        </is>
      </c>
      <c r="C88" t="inlineStr">
        <is>
          <t>3PAR</t>
        </is>
      </c>
      <c r="D88" s="3" t="inlineStr">
        <is>
          <t>Tugas: hitung berapa digit bilangan 98765 tanpa mengubahnya ke string. Hanya boleh pakai operasi aritmatika. Saya tahu p</t>
        </is>
      </c>
      <c r="E88" t="n">
        <v>1</v>
      </c>
      <c r="F88" t="n">
        <v>1</v>
      </c>
      <c r="G88" t="n">
        <v>0.792</v>
      </c>
      <c r="H88" t="n">
        <v>1</v>
      </c>
      <c r="I88" t="n">
        <v>1</v>
      </c>
      <c r="J88" s="3" t="inlineStr">
        <is>
          <t>GT_CT07.txt, GT_DETAIL_PT07_Notasi_Algoritme.txt, GT_DETAIL_PT10_Percabangan.txt, GT_SUBTOPIK_04_Modulo_Siklus.txt, GT_SUBTOPIK_05_Pseudocode_Algoritme.txt, GT_SUBTOPIK_08_Perulangan_For_While.txt</t>
        </is>
      </c>
      <c r="K88" t="n">
        <v>0.7657</v>
      </c>
      <c r="L88" t="n">
        <v>1</v>
      </c>
      <c r="M88" t="n">
        <v>0.2192</v>
      </c>
      <c r="N88" t="n">
        <v>0.1523</v>
      </c>
      <c r="O88" t="inlineStr">
        <is>
          <t>RENDAH</t>
        </is>
      </c>
      <c r="P88" t="n">
        <v>0</v>
      </c>
      <c r="Q88" t="n">
        <v>0</v>
      </c>
      <c r="S88" t="n">
        <v>0.7727000000000001</v>
      </c>
      <c r="T88" t="n">
        <v>1</v>
      </c>
      <c r="U88" t="n">
        <v>0.2422</v>
      </c>
      <c r="V88" t="n">
        <v>0.1477</v>
      </c>
      <c r="W88" t="inlineStr">
        <is>
          <t>RENDAH</t>
        </is>
      </c>
      <c r="X88" t="n">
        <v>0</v>
      </c>
      <c r="Y88" t="n">
        <v>0</v>
      </c>
      <c r="Z88" t="b">
        <v>1</v>
      </c>
      <c r="AA88" t="n">
        <v>-0.007</v>
      </c>
      <c r="AB88" t="n">
        <v>0.0046</v>
      </c>
    </row>
    <row r="89">
      <c r="A89" t="n">
        <v>88</v>
      </c>
      <c r="B89" t="inlineStr">
        <is>
          <t>scenario</t>
        </is>
      </c>
      <c r="C89" t="inlineStr">
        <is>
          <t>5PAI</t>
        </is>
      </c>
      <c r="D89" s="3" t="inlineStr">
        <is>
          <t>Saya diminta desain sistem antrian loket bank: nasabah biasa antri normal, lansia dan ibu hamil diprioritaskan. Struktur</t>
        </is>
      </c>
      <c r="E89" t="n">
        <v>1</v>
      </c>
      <c r="F89" t="n">
        <v>1</v>
      </c>
      <c r="G89" t="n">
        <v>0.6936</v>
      </c>
      <c r="H89" t="n">
        <v>1</v>
      </c>
      <c r="I89" t="n">
        <v>1</v>
      </c>
      <c r="J89" s="3" t="inlineStr">
        <is>
          <t>GT_CT07.txt, GT_CT09.txt, GT_CT11.txt, GT_CT13.txt, GT_DETAIL_PT04_Abstraksi.txt, GT_DETAIL_PT09_Variabel_TipeData_Operator_List.txt</t>
        </is>
      </c>
      <c r="K89" t="n">
        <v>0.4095</v>
      </c>
      <c r="L89" t="n">
        <v>0.5</v>
      </c>
      <c r="M89" t="n">
        <v>0.1984</v>
      </c>
      <c r="N89" t="n">
        <v>0.3838</v>
      </c>
      <c r="O89" t="inlineStr">
        <is>
          <t>SEDANG</t>
        </is>
      </c>
      <c r="P89" t="n">
        <v>0</v>
      </c>
      <c r="Q89" t="n">
        <v>0</v>
      </c>
      <c r="R89" t="b">
        <v>1</v>
      </c>
      <c r="S89" t="n">
        <v>0.7579</v>
      </c>
      <c r="T89" t="n">
        <v>1</v>
      </c>
      <c r="U89" t="n">
        <v>0.193</v>
      </c>
      <c r="V89" t="n">
        <v>0.1874</v>
      </c>
      <c r="W89" t="inlineStr">
        <is>
          <t>RENDAH</t>
        </is>
      </c>
      <c r="X89" t="n">
        <v>0</v>
      </c>
      <c r="Y89" t="n">
        <v>0.2</v>
      </c>
      <c r="Z89" t="b">
        <v>1</v>
      </c>
      <c r="AA89" t="n">
        <v>-0.3484</v>
      </c>
      <c r="AB89" t="n">
        <v>0.1964</v>
      </c>
    </row>
    <row r="90">
      <c r="A90" t="n">
        <v>89</v>
      </c>
      <c r="B90" t="inlineStr">
        <is>
          <t>scenario</t>
        </is>
      </c>
      <c r="C90" t="inlineStr">
        <is>
          <t>5PGR</t>
        </is>
      </c>
      <c r="D90" s="3" t="inlineStr">
        <is>
          <t>Soal ujian: tulis fungsi rekursif untuk C(5,2) menggunakan sifat Pascal: C(n,k) = C(n-1,k-1) + C(n-1,k), dengan C(n,0)=C</t>
        </is>
      </c>
      <c r="E90" t="n">
        <v>1</v>
      </c>
      <c r="F90" t="n">
        <v>1</v>
      </c>
      <c r="G90" t="n">
        <v>0.7606000000000001</v>
      </c>
      <c r="H90" t="n">
        <v>1</v>
      </c>
      <c r="I90" t="n">
        <v>0.6667</v>
      </c>
      <c r="J90" s="3" t="inlineStr">
        <is>
          <t>GT_CT07.txt, GT_DETAIL_PT05_Pattern_Recognition.txt, GT_SUBTOPIK_01_Dekomposisi_Optimasi.txt, GT_SUBTOPIK_03_Pola_Bilangan_Deret.txt</t>
        </is>
      </c>
      <c r="K90" t="n">
        <v>0.7596000000000001</v>
      </c>
      <c r="L90" t="n">
        <v>0.8333</v>
      </c>
      <c r="M90" t="n">
        <v>0.5878</v>
      </c>
      <c r="N90" t="n">
        <v>0.1863</v>
      </c>
      <c r="O90" t="inlineStr">
        <is>
          <t>RENDAH</t>
        </is>
      </c>
      <c r="P90" t="n">
        <v>0</v>
      </c>
      <c r="Q90" t="n">
        <v>0.2</v>
      </c>
      <c r="S90" t="n">
        <v>0.5141</v>
      </c>
      <c r="T90" t="n">
        <v>0.6667</v>
      </c>
      <c r="U90" t="n">
        <v>0.158</v>
      </c>
      <c r="V90" t="n">
        <v>0.3158</v>
      </c>
      <c r="W90" t="inlineStr">
        <is>
          <t>RENDAH</t>
        </is>
      </c>
      <c r="X90" t="n">
        <v>0</v>
      </c>
      <c r="Y90" t="n">
        <v>0</v>
      </c>
      <c r="Z90" t="b">
        <v>1</v>
      </c>
      <c r="AA90" t="n">
        <v>0.2455</v>
      </c>
      <c r="AB90" t="n">
        <v>-0.1295</v>
      </c>
    </row>
    <row r="91">
      <c r="A91" t="n">
        <v>90</v>
      </c>
      <c r="B91" t="inlineStr">
        <is>
          <t>scenario</t>
        </is>
      </c>
      <c r="C91" t="inlineStr">
        <is>
          <t>5TAI</t>
        </is>
      </c>
      <c r="D91" s="3" t="inlineStr">
        <is>
          <t xml:space="preserve">Saya punya data nilai ujian 30.000 mahasiswa yang hampir terurut — hanya beberapa data yang posisinya tidak tepat. Dari </t>
        </is>
      </c>
      <c r="E91" t="n">
        <v>1</v>
      </c>
      <c r="F91" t="n">
        <v>1</v>
      </c>
      <c r="G91" t="n">
        <v>0.7306</v>
      </c>
      <c r="H91" t="n">
        <v>1</v>
      </c>
      <c r="I91" t="n">
        <v>0.6667</v>
      </c>
      <c r="J91" s="3" t="inlineStr">
        <is>
          <t>GT_CT13.txt, GT_DETAIL_PT07_Notasi_Algoritme.txt, GT_SUBTOPIK_02_Abstraksi_Formulasi.txt, GT_SUBTOPIK_14_Kompleksitas_BigO.txt</t>
        </is>
      </c>
      <c r="K91" t="n">
        <v>0.7969000000000001</v>
      </c>
      <c r="L91" t="n">
        <v>1</v>
      </c>
      <c r="M91" t="n">
        <v>0.3229</v>
      </c>
      <c r="N91" t="n">
        <v>0.132</v>
      </c>
      <c r="O91" t="inlineStr">
        <is>
          <t>RENDAH</t>
        </is>
      </c>
      <c r="P91" t="n">
        <v>0</v>
      </c>
      <c r="Q91" t="n">
        <v>0</v>
      </c>
      <c r="R91" t="b">
        <v>1</v>
      </c>
      <c r="S91" t="n">
        <v>0.6186</v>
      </c>
      <c r="T91" t="n">
        <v>0.8</v>
      </c>
      <c r="U91" t="n">
        <v>0.1953</v>
      </c>
      <c r="V91" t="n">
        <v>0.2479</v>
      </c>
      <c r="W91" t="inlineStr">
        <is>
          <t>RENDAH</t>
        </is>
      </c>
      <c r="X91" t="n">
        <v>0</v>
      </c>
      <c r="Y91" t="n">
        <v>0</v>
      </c>
      <c r="Z91" t="b">
        <v>1</v>
      </c>
      <c r="AA91" t="n">
        <v>0.1783</v>
      </c>
      <c r="AB91" t="n">
        <v>-0.1159</v>
      </c>
    </row>
    <row r="92">
      <c r="A92" t="n">
        <v>91</v>
      </c>
      <c r="B92" t="inlineStr">
        <is>
          <t>confusion</t>
        </is>
      </c>
      <c r="C92" t="inlineStr">
        <is>
          <t>2PAI</t>
        </is>
      </c>
      <c r="D92" s="3" t="inlineStr">
        <is>
          <t>Fungsi saya punya dua return: pertama di dalam if, kedua di akhir. Untuk input tertentu, kondisi if true. Apakah program</t>
        </is>
      </c>
      <c r="E92" t="n">
        <v>1</v>
      </c>
      <c r="F92" t="n">
        <v>1</v>
      </c>
      <c r="G92" t="n">
        <v>0.7092000000000001</v>
      </c>
      <c r="H92" t="n">
        <v>1</v>
      </c>
      <c r="I92" t="n">
        <v>0.5</v>
      </c>
      <c r="J92" s="3" t="inlineStr">
        <is>
          <t>GT_CT10.txt, GT_CT12.txt, GT_DETAIL_PT12_Fungsi.txt</t>
        </is>
      </c>
      <c r="K92" t="n">
        <v>0.7672</v>
      </c>
      <c r="L92" t="n">
        <v>1</v>
      </c>
      <c r="M92" t="n">
        <v>0.2239</v>
      </c>
      <c r="N92" t="n">
        <v>0.1513</v>
      </c>
      <c r="O92" t="inlineStr">
        <is>
          <t>RENDAH</t>
        </is>
      </c>
      <c r="P92" t="n">
        <v>0</v>
      </c>
      <c r="Q92" t="n">
        <v>0</v>
      </c>
      <c r="R92" t="b">
        <v>1</v>
      </c>
      <c r="S92" t="n">
        <v>0.7387</v>
      </c>
      <c r="T92" t="n">
        <v>1</v>
      </c>
      <c r="U92" t="n">
        <v>0.1291</v>
      </c>
      <c r="V92" t="n">
        <v>0.1698</v>
      </c>
      <c r="W92" t="inlineStr">
        <is>
          <t>RENDAH</t>
        </is>
      </c>
      <c r="X92" t="n">
        <v>0</v>
      </c>
      <c r="Y92" t="n">
        <v>0</v>
      </c>
      <c r="Z92" t="b">
        <v>1</v>
      </c>
      <c r="AA92" t="n">
        <v>0.0285</v>
      </c>
      <c r="AB92" t="n">
        <v>-0.0185</v>
      </c>
    </row>
    <row r="93">
      <c r="A93" t="n">
        <v>92</v>
      </c>
      <c r="B93" t="inlineStr">
        <is>
          <t>confusion</t>
        </is>
      </c>
      <c r="C93" t="inlineStr">
        <is>
          <t>4TGI</t>
        </is>
      </c>
      <c r="D93" s="3" t="inlineStr">
        <is>
          <t>Fungsi faktorial saya hanya punya base case n==0. Teman bilang harus tambahkan n==1 juga. Tapi hasil faktorial(4) saya t</t>
        </is>
      </c>
      <c r="E93" t="n">
        <v>1</v>
      </c>
      <c r="F93" t="n">
        <v>1</v>
      </c>
      <c r="G93" t="n">
        <v>0.7622</v>
      </c>
      <c r="H93" t="n">
        <v>1</v>
      </c>
      <c r="I93" t="n">
        <v>1</v>
      </c>
      <c r="J93" s="3" t="inlineStr">
        <is>
          <t>GT_DETAIL_PT07_Notasi_Algoritme.txt, GT_DETAIL_PT12_Fungsi.txt, GT_SUBTOPIK_02_Abstraksi_Formulasi.txt, GT_SUBTOPIK_05_Pseudocode_Algoritme.txt, GT_SUBTOPIK_11_Rekursi.txt, GT_SUBTOPIK_14_Kompleksitas_BigO.txt</t>
        </is>
      </c>
      <c r="K93" t="n">
        <v>0.7595</v>
      </c>
      <c r="L93" t="n">
        <v>1</v>
      </c>
      <c r="M93" t="n">
        <v>0.1984</v>
      </c>
      <c r="N93" t="n">
        <v>0.1863</v>
      </c>
      <c r="O93" t="inlineStr">
        <is>
          <t>RENDAH</t>
        </is>
      </c>
      <c r="P93" t="n">
        <v>0</v>
      </c>
      <c r="Q93" t="n">
        <v>0.2</v>
      </c>
      <c r="R93" t="b">
        <v>1</v>
      </c>
      <c r="S93" t="n">
        <v>0.7526</v>
      </c>
      <c r="T93" t="n">
        <v>1</v>
      </c>
      <c r="U93" t="n">
        <v>0.1752</v>
      </c>
      <c r="V93" t="n">
        <v>0.1608</v>
      </c>
      <c r="W93" t="inlineStr">
        <is>
          <t>RENDAH</t>
        </is>
      </c>
      <c r="X93" t="n">
        <v>0</v>
      </c>
      <c r="Y93" t="n">
        <v>0</v>
      </c>
      <c r="Z93" t="b">
        <v>1</v>
      </c>
      <c r="AA93" t="n">
        <v>0.0069</v>
      </c>
      <c r="AB93" t="n">
        <v>0.0255</v>
      </c>
    </row>
    <row r="94">
      <c r="A94" t="n">
        <v>93</v>
      </c>
      <c r="B94" t="inlineStr">
        <is>
          <t>gap</t>
        </is>
      </c>
      <c r="C94" t="inlineStr">
        <is>
          <t>3TAI</t>
        </is>
      </c>
      <c r="D94" s="3" t="inlineStr">
        <is>
          <t>Program saya sudah jalan 5 menit untuk input besar dan belum selesai. Apakah itu infinite loop atau hanya lambat? Bagaim</t>
        </is>
      </c>
      <c r="E94" t="n">
        <v>1</v>
      </c>
      <c r="F94" t="n">
        <v>1</v>
      </c>
      <c r="G94" t="n">
        <v>0.7193000000000001</v>
      </c>
      <c r="H94" t="n">
        <v>1</v>
      </c>
      <c r="I94" t="n">
        <v>0.6667</v>
      </c>
      <c r="J94" s="3" t="inlineStr">
        <is>
          <t>GT_CT10.txt, GT_CT11.txt, GT_DETAIL_PT11_Perulangan.txt, GT_SUBTOPIK_14_Kompleksitas_BigO.txt</t>
        </is>
      </c>
      <c r="K94" t="n">
        <v>0.6859</v>
      </c>
      <c r="L94" t="n">
        <v>0.8333</v>
      </c>
      <c r="M94" t="n">
        <v>0.342</v>
      </c>
      <c r="N94" t="n">
        <v>0.2042</v>
      </c>
      <c r="O94" t="inlineStr">
        <is>
          <t>RENDAH</t>
        </is>
      </c>
      <c r="P94" t="n">
        <v>0</v>
      </c>
      <c r="Q94" t="n">
        <v>0</v>
      </c>
      <c r="R94" t="b">
        <v>1</v>
      </c>
      <c r="S94" t="n">
        <v>0.7861</v>
      </c>
      <c r="T94" t="n">
        <v>1</v>
      </c>
      <c r="U94" t="n">
        <v>0.2869</v>
      </c>
      <c r="V94" t="n">
        <v>0.169</v>
      </c>
      <c r="W94" t="inlineStr">
        <is>
          <t>RENDAH</t>
        </is>
      </c>
      <c r="X94" t="n">
        <v>0</v>
      </c>
      <c r="Y94" t="n">
        <v>0.2</v>
      </c>
      <c r="Z94" t="b">
        <v>0</v>
      </c>
      <c r="AA94" t="n">
        <v>-0.1002</v>
      </c>
      <c r="AB94" t="n">
        <v>0.0352</v>
      </c>
    </row>
    <row r="95">
      <c r="A95" t="n">
        <v>94</v>
      </c>
      <c r="B95" t="inlineStr">
        <is>
          <t>application</t>
        </is>
      </c>
      <c r="C95" t="inlineStr">
        <is>
          <t>3TGR</t>
        </is>
      </c>
      <c r="D95" s="3" t="inlineStr">
        <is>
          <t>Trace rekursif untuk fungsi:
  function f(n): if n&lt;=2 return 1 else return f(n-1)+f(n-2)
Hitung f(6). Saya dapat 11, tem</t>
        </is>
      </c>
      <c r="E95" t="n">
        <v>1</v>
      </c>
      <c r="F95" t="n">
        <v>1</v>
      </c>
      <c r="G95" t="n">
        <v>0.7955</v>
      </c>
      <c r="H95" t="n">
        <v>1</v>
      </c>
      <c r="I95" t="n">
        <v>0.5</v>
      </c>
      <c r="J95" s="3" t="inlineStr">
        <is>
          <t>GT_DETAIL_PT12_Fungsi.txt, GT_SUBTOPIK_11_Rekursi.txt, GT_SUBTOPIK_14_Kompleksitas_BigO.txt</t>
        </is>
      </c>
      <c r="K95" t="n">
        <v>0.7479</v>
      </c>
      <c r="L95" t="n">
        <v>1</v>
      </c>
      <c r="M95" t="n">
        <v>0.1598</v>
      </c>
      <c r="N95" t="n">
        <v>0.1939</v>
      </c>
      <c r="O95" t="inlineStr">
        <is>
          <t>RENDAH</t>
        </is>
      </c>
      <c r="P95" t="n">
        <v>0</v>
      </c>
      <c r="Q95" t="n">
        <v>0.2</v>
      </c>
      <c r="R95" t="b">
        <v>1</v>
      </c>
      <c r="S95" t="n">
        <v>0.754</v>
      </c>
      <c r="T95" t="n">
        <v>1</v>
      </c>
      <c r="U95" t="n">
        <v>0.1799</v>
      </c>
      <c r="V95" t="n">
        <v>0.1599</v>
      </c>
      <c r="W95" t="inlineStr">
        <is>
          <t>RENDAH</t>
        </is>
      </c>
      <c r="X95" t="n">
        <v>0</v>
      </c>
      <c r="Y95" t="n">
        <v>0</v>
      </c>
      <c r="Z95" t="b">
        <v>1</v>
      </c>
      <c r="AA95" t="n">
        <v>-0.0061</v>
      </c>
      <c r="AB95" t="n">
        <v>0.034</v>
      </c>
    </row>
    <row r="96">
      <c r="A96" t="n">
        <v>95</v>
      </c>
      <c r="B96" t="inlineStr">
        <is>
          <t>application</t>
        </is>
      </c>
      <c r="C96" t="inlineStr">
        <is>
          <t>2TGI</t>
        </is>
      </c>
      <c r="D96" s="3" t="inlineStr">
        <is>
          <t>Tulis pseudocode untuk membaca 5 bilangan dari input dan tampilkan nilai terbesarnya. Saya bingung apakah harus simpan s</t>
        </is>
      </c>
      <c r="E96" t="n">
        <v>1</v>
      </c>
      <c r="F96" t="n">
        <v>1</v>
      </c>
      <c r="G96" t="n">
        <v>0.7924</v>
      </c>
      <c r="H96" t="n">
        <v>1</v>
      </c>
      <c r="I96" t="n">
        <v>1</v>
      </c>
      <c r="J96" s="3" t="inlineStr">
        <is>
          <t>GT_CT07.txt, GT_CT09.txt, GT_CT11.txt, GT_DETAIL_PT07_Notasi_Algoritme.txt, GT_DETAIL_PT10_Percabangan.txt, GT_SUBTOPIK_05_Pseudocode_Algoritme.txt</t>
        </is>
      </c>
      <c r="K96" t="n">
        <v>0.6749000000000001</v>
      </c>
      <c r="L96" t="n">
        <v>0.8333</v>
      </c>
      <c r="M96" t="n">
        <v>0.3055</v>
      </c>
      <c r="N96" t="n">
        <v>0.2113</v>
      </c>
      <c r="O96" t="inlineStr">
        <is>
          <t>RENDAH</t>
        </is>
      </c>
      <c r="P96" t="n">
        <v>0</v>
      </c>
      <c r="Q96" t="n">
        <v>0</v>
      </c>
      <c r="S96" t="n">
        <v>0.7774</v>
      </c>
      <c r="T96" t="n">
        <v>1</v>
      </c>
      <c r="U96" t="n">
        <v>0.258</v>
      </c>
      <c r="V96" t="n">
        <v>0.1447</v>
      </c>
      <c r="W96" t="inlineStr">
        <is>
          <t>RENDAH</t>
        </is>
      </c>
      <c r="X96" t="n">
        <v>0</v>
      </c>
      <c r="Y96" t="n">
        <v>0</v>
      </c>
      <c r="Z96" t="b">
        <v>1</v>
      </c>
      <c r="AA96" t="n">
        <v>-0.1025</v>
      </c>
      <c r="AB96" t="n">
        <v>0.06660000000000001</v>
      </c>
    </row>
    <row r="97">
      <c r="A97" t="n">
        <v>96</v>
      </c>
      <c r="B97" t="inlineStr">
        <is>
          <t>gap</t>
        </is>
      </c>
      <c r="C97" t="inlineStr">
        <is>
          <t>3TAI</t>
        </is>
      </c>
      <c r="D97" s="3" t="inlineStr">
        <is>
          <t>Di fungsi saya, saya ubah nilai parameter dan berharap nilai aslinya ikut berubah. Tapi setelah fungsi selesai, nilai as</t>
        </is>
      </c>
      <c r="E97" t="n">
        <v>1</v>
      </c>
      <c r="F97" t="n">
        <v>1</v>
      </c>
      <c r="G97" t="n">
        <v>0.7381</v>
      </c>
      <c r="H97" t="n">
        <v>1</v>
      </c>
      <c r="I97" t="n">
        <v>0.5</v>
      </c>
      <c r="J97" s="3" t="inlineStr">
        <is>
          <t>GT_CT12.txt, GT_DETAIL_PT09_Variabel_TipeData_Operator_List.txt, GT_DETAIL_PT12_Fungsi.txt</t>
        </is>
      </c>
      <c r="K97" t="n">
        <v>0.6652</v>
      </c>
      <c r="L97" t="n">
        <v>0.8333</v>
      </c>
      <c r="M97" t="n">
        <v>0.2729</v>
      </c>
      <c r="N97" t="n">
        <v>0.2176</v>
      </c>
      <c r="O97" t="inlineStr">
        <is>
          <t>RENDAH</t>
        </is>
      </c>
      <c r="P97" t="n">
        <v>0</v>
      </c>
      <c r="Q97" t="n">
        <v>0</v>
      </c>
      <c r="R97" t="b">
        <v>1</v>
      </c>
      <c r="S97" t="n">
        <v>0.7679</v>
      </c>
      <c r="T97" t="n">
        <v>1</v>
      </c>
      <c r="U97" t="n">
        <v>0.2263</v>
      </c>
      <c r="V97" t="n">
        <v>0.1509</v>
      </c>
      <c r="W97" t="inlineStr">
        <is>
          <t>RENDAH</t>
        </is>
      </c>
      <c r="X97" t="n">
        <v>0</v>
      </c>
      <c r="Y97" t="n">
        <v>0</v>
      </c>
      <c r="Z97" t="b">
        <v>1</v>
      </c>
      <c r="AA97" t="n">
        <v>-0.1027</v>
      </c>
      <c r="AB97" t="n">
        <v>0.0667</v>
      </c>
    </row>
    <row r="98">
      <c r="A98" t="n">
        <v>97</v>
      </c>
      <c r="B98" t="inlineStr">
        <is>
          <t>out_of_scope</t>
        </is>
      </c>
      <c r="C98" t="inlineStr">
        <is>
          <t>4PAR</t>
        </is>
      </c>
      <c r="D98" s="3" t="inlineStr">
        <is>
          <t>Di program saya, kalau user masukkan huruf padahal yang diharapkan angka, program crash. Dosen bilang perlu 'error handl</t>
        </is>
      </c>
      <c r="E98" t="n">
        <v>1</v>
      </c>
      <c r="F98" t="n">
        <v>1</v>
      </c>
      <c r="G98" t="n">
        <v>0.7269</v>
      </c>
      <c r="H98" t="n">
        <v>1</v>
      </c>
      <c r="I98" t="n">
        <v>1</v>
      </c>
      <c r="J98" s="3" t="inlineStr">
        <is>
          <t>GT_CT06.txt, GT_CT07.txt, GT_CT09.txt, GT_DETAIL_PT04_Abstraksi.txt, GT_DETAIL_PT10_Percabangan.txt, GT_SUBTOPIK_05_Pseudocode_Algoritme.txt</t>
        </is>
      </c>
      <c r="K98" t="n">
        <v>0.7734</v>
      </c>
      <c r="L98" t="n">
        <v>1</v>
      </c>
      <c r="M98" t="n">
        <v>0.2447</v>
      </c>
      <c r="N98" t="n">
        <v>0.1473</v>
      </c>
      <c r="O98" t="inlineStr">
        <is>
          <t>RENDAH</t>
        </is>
      </c>
      <c r="P98" t="n">
        <v>0</v>
      </c>
      <c r="Q98" t="n">
        <v>0</v>
      </c>
      <c r="R98" t="b">
        <v>1</v>
      </c>
      <c r="S98" t="n">
        <v>0.7734</v>
      </c>
      <c r="T98" t="n">
        <v>1</v>
      </c>
      <c r="U98" t="n">
        <v>0.2447</v>
      </c>
      <c r="V98" t="n">
        <v>0.1473</v>
      </c>
      <c r="W98" t="inlineStr">
        <is>
          <t>RENDAH</t>
        </is>
      </c>
      <c r="X98" t="n">
        <v>0</v>
      </c>
      <c r="Y98" t="n">
        <v>0</v>
      </c>
      <c r="AA98" t="n">
        <v>0</v>
      </c>
      <c r="AB98" t="n">
        <v>0</v>
      </c>
    </row>
    <row r="99">
      <c r="A99" t="n">
        <v>98</v>
      </c>
      <c r="B99" t="inlineStr">
        <is>
          <t>cross_topic</t>
        </is>
      </c>
      <c r="C99" t="inlineStr">
        <is>
          <t>2PGR</t>
        </is>
      </c>
      <c r="D99" s="3" t="inlineStr">
        <is>
          <t>Soal: hari ini Senin. Hari apa 1000 hari dari sekarang? Dosen bilang ini tentang pattern recognition dan modulo. Saya pa</t>
        </is>
      </c>
      <c r="E99" t="n">
        <v>1</v>
      </c>
      <c r="F99" t="n">
        <v>1</v>
      </c>
      <c r="G99" t="n">
        <v>0.7254</v>
      </c>
      <c r="H99" t="n">
        <v>1</v>
      </c>
      <c r="I99" t="n">
        <v>0.8333</v>
      </c>
      <c r="J99" s="3" t="inlineStr">
        <is>
          <t>GT_CT01.txt, GT_CT05.txt, GT_CT06.txt, GT_DETAIL_PT05_Pattern_Recognition.txt, GT_SUBTOPIK_02_Abstraksi_Formulasi.txt</t>
        </is>
      </c>
      <c r="K99" t="n">
        <v>0.7691</v>
      </c>
      <c r="L99" t="n">
        <v>1</v>
      </c>
      <c r="M99" t="n">
        <v>0.2303</v>
      </c>
      <c r="N99" t="n">
        <v>0.1501</v>
      </c>
      <c r="O99" t="inlineStr">
        <is>
          <t>RENDAH</t>
        </is>
      </c>
      <c r="P99" t="n">
        <v>0</v>
      </c>
      <c r="Q99" t="n">
        <v>0</v>
      </c>
      <c r="R99" t="b">
        <v>1</v>
      </c>
      <c r="S99" t="n">
        <v>0.5149</v>
      </c>
      <c r="T99" t="n">
        <v>0.6667</v>
      </c>
      <c r="U99" t="n">
        <v>0.1608</v>
      </c>
      <c r="V99" t="n">
        <v>0.3153</v>
      </c>
      <c r="W99" t="inlineStr">
        <is>
          <t>RENDAH</t>
        </is>
      </c>
      <c r="X99" t="n">
        <v>0</v>
      </c>
      <c r="Y99" t="n">
        <v>0</v>
      </c>
      <c r="Z99" t="b">
        <v>0</v>
      </c>
      <c r="AA99" t="n">
        <v>0.2542</v>
      </c>
      <c r="AB99" t="n">
        <v>-0.1652</v>
      </c>
    </row>
    <row r="100">
      <c r="A100" t="n">
        <v>99</v>
      </c>
      <c r="B100" t="inlineStr">
        <is>
          <t>application</t>
        </is>
      </c>
      <c r="C100" t="inlineStr">
        <is>
          <t>3TAR</t>
        </is>
      </c>
      <c r="D100" s="3" t="inlineStr">
        <is>
          <t>Saya diminta buat pseudocode sistem login dengan maksimal 3 percobaan. Lebih dari 3 kali salah, akun terkunci. Saya tida</t>
        </is>
      </c>
      <c r="E100" t="n">
        <v>1</v>
      </c>
      <c r="F100" t="n">
        <v>1</v>
      </c>
      <c r="G100" t="n">
        <v>0.7444</v>
      </c>
      <c r="H100" t="n">
        <v>1</v>
      </c>
      <c r="I100" t="n">
        <v>1</v>
      </c>
      <c r="J100" s="3" t="inlineStr">
        <is>
          <t>GT_CT07.txt, GT_CT09.txt, GT_CT10.txt, GT_DETAIL_PT07_Notasi_Algoritme.txt, GT_DETAIL_PT10_Percabangan.txt, GT_SUBTOPIK_05_Pseudocode_Algoritme.txt</t>
        </is>
      </c>
      <c r="K100" t="n">
        <v>0.7806</v>
      </c>
      <c r="L100" t="n">
        <v>1</v>
      </c>
      <c r="M100" t="n">
        <v>0.2688</v>
      </c>
      <c r="N100" t="n">
        <v>0.1426</v>
      </c>
      <c r="O100" t="inlineStr">
        <is>
          <t>RENDAH</t>
        </is>
      </c>
      <c r="P100" t="n">
        <v>0</v>
      </c>
      <c r="Q100" t="n">
        <v>0</v>
      </c>
      <c r="R100" t="b">
        <v>1</v>
      </c>
      <c r="S100" t="n">
        <v>0.7503</v>
      </c>
      <c r="T100" t="n">
        <v>1</v>
      </c>
      <c r="U100" t="n">
        <v>0.1677</v>
      </c>
      <c r="V100" t="n">
        <v>0.1623</v>
      </c>
      <c r="W100" t="inlineStr">
        <is>
          <t>RENDAH</t>
        </is>
      </c>
      <c r="X100" t="n">
        <v>0</v>
      </c>
      <c r="Y100" t="n">
        <v>0</v>
      </c>
      <c r="Z100" t="b">
        <v>1</v>
      </c>
      <c r="AA100" t="n">
        <v>0.0303</v>
      </c>
      <c r="AB100" t="n">
        <v>-0.0197</v>
      </c>
    </row>
    <row r="101">
      <c r="A101" t="n">
        <v>100</v>
      </c>
      <c r="B101" t="inlineStr">
        <is>
          <t>scenario</t>
        </is>
      </c>
      <c r="C101" t="inlineStr">
        <is>
          <t>5PAR</t>
        </is>
      </c>
      <c r="D101" s="3" t="inlineStr">
        <is>
          <t>Saya mau representasikan peta kota dengan ratusan persimpangan dan ribuan jalan. Setiap jalan punya jarak. Rata-rata set</t>
        </is>
      </c>
      <c r="E101" t="n">
        <v>1</v>
      </c>
      <c r="F101" t="n">
        <v>1</v>
      </c>
      <c r="G101" t="n">
        <v>0.6747</v>
      </c>
      <c r="H101" t="n">
        <v>1</v>
      </c>
      <c r="I101" t="n">
        <v>0.8333</v>
      </c>
      <c r="J101" s="3" t="inlineStr">
        <is>
          <t>GT_CT04.txt, GT_CT07.txt, GT_CT13.txt, GT_SUBTOPIK_13_Graph_Tree.txt, GT_SUBTOPIK_14_Kompleksitas_BigO.txt</t>
        </is>
      </c>
      <c r="K101" t="n">
        <v>0.7773</v>
      </c>
      <c r="L101" t="n">
        <v>1</v>
      </c>
      <c r="M101" t="n">
        <v>0.2577</v>
      </c>
      <c r="N101" t="n">
        <v>0.1448</v>
      </c>
      <c r="O101" t="inlineStr">
        <is>
          <t>RENDAH</t>
        </is>
      </c>
      <c r="P101" t="n">
        <v>0</v>
      </c>
      <c r="Q101" t="n">
        <v>0</v>
      </c>
      <c r="R101" t="b">
        <v>1</v>
      </c>
      <c r="S101" t="n">
        <v>0.6554</v>
      </c>
      <c r="T101" t="n">
        <v>0.8333</v>
      </c>
      <c r="U101" t="n">
        <v>0.2402</v>
      </c>
      <c r="V101" t="n">
        <v>0.224</v>
      </c>
      <c r="W101" t="inlineStr">
        <is>
          <t>RENDAH</t>
        </is>
      </c>
      <c r="X101" t="n">
        <v>0</v>
      </c>
      <c r="Y101" t="n">
        <v>0</v>
      </c>
      <c r="Z101" t="b">
        <v>0</v>
      </c>
      <c r="AA101" t="n">
        <v>0.1219</v>
      </c>
      <c r="AB101" t="n">
        <v>-0.07920000000000001</v>
      </c>
    </row>
    <row r="102">
      <c r="A102" t="n">
        <v>101</v>
      </c>
      <c r="B102" t="inlineStr">
        <is>
          <t>application</t>
        </is>
      </c>
      <c r="C102" t="inlineStr">
        <is>
          <t>4PGR</t>
        </is>
      </c>
      <c r="D102" s="3" t="inlineStr">
        <is>
          <t xml:space="preserve">Soal: tentukan digit terakhir dari 3^100. Saya coba hitung 3^1=3, 3^2=9, 3^3=27, 3^4=81, 3^5=243... Saya lihat ada pola </t>
        </is>
      </c>
      <c r="E102" t="n">
        <v>1</v>
      </c>
      <c r="F102" t="n">
        <v>1</v>
      </c>
      <c r="G102" t="n">
        <v>0.8022</v>
      </c>
      <c r="H102" t="n">
        <v>1</v>
      </c>
      <c r="I102" t="n">
        <v>0.5</v>
      </c>
      <c r="J102" s="3" t="inlineStr">
        <is>
          <t>GT_CT05.txt, GT_DETAIL_PT05_Pattern_Recognition.txt, GT_SUBTOPIK_04_Modulo_Siklus.txt</t>
        </is>
      </c>
      <c r="K102" t="n">
        <v>0.7225</v>
      </c>
      <c r="L102" t="n">
        <v>0.8333</v>
      </c>
      <c r="M102" t="n">
        <v>0.4639</v>
      </c>
      <c r="N102" t="n">
        <v>0.1804</v>
      </c>
      <c r="O102" t="inlineStr">
        <is>
          <t>RENDAH</t>
        </is>
      </c>
      <c r="P102" t="n">
        <v>0</v>
      </c>
      <c r="Q102" t="n">
        <v>0</v>
      </c>
      <c r="R102" t="b">
        <v>1</v>
      </c>
      <c r="S102" t="n">
        <v>0.6497000000000001</v>
      </c>
      <c r="T102" t="n">
        <v>0.8333</v>
      </c>
      <c r="U102" t="n">
        <v>0.2212</v>
      </c>
      <c r="V102" t="n">
        <v>0.2277</v>
      </c>
      <c r="W102" t="inlineStr">
        <is>
          <t>RENDAH</t>
        </is>
      </c>
      <c r="X102" t="n">
        <v>0</v>
      </c>
      <c r="Y102" t="n">
        <v>0</v>
      </c>
      <c r="Z102" t="b">
        <v>1</v>
      </c>
      <c r="AA102" t="n">
        <v>0.0728</v>
      </c>
      <c r="AB102" t="n">
        <v>-0.0473</v>
      </c>
    </row>
    <row r="103">
      <c r="A103" t="n">
        <v>102</v>
      </c>
      <c r="B103" t="inlineStr">
        <is>
          <t>confusion</t>
        </is>
      </c>
      <c r="C103" t="inlineStr">
        <is>
          <t>5TAR</t>
        </is>
      </c>
      <c r="D103" s="3" t="inlineStr">
        <is>
          <t>Dosen bilang algoritme binary search O(log n) sangat efisien. Tapi untuk array berisi 8 elemen, binary search butuh log₂</t>
        </is>
      </c>
      <c r="E103" t="n">
        <v>1</v>
      </c>
      <c r="F103" t="n">
        <v>1</v>
      </c>
      <c r="G103" t="n">
        <v>0.7406</v>
      </c>
      <c r="H103" t="n">
        <v>1</v>
      </c>
      <c r="I103" t="n">
        <v>0.6667</v>
      </c>
      <c r="J103" s="3" t="inlineStr">
        <is>
          <t>GT_DETAIL_PT07_Notasi_Algoritme.txt, GT_SUBTOPIK_05_Pseudocode_Algoritme.txt, GT_SUBTOPIK_11_Rekursi.txt, GT_SUBTOPIK_14_Kompleksitas_BigO.txt</t>
        </is>
      </c>
      <c r="K103" t="n">
        <v>0.7721</v>
      </c>
      <c r="L103" t="n">
        <v>1</v>
      </c>
      <c r="M103" t="n">
        <v>0.2405</v>
      </c>
      <c r="N103" t="n">
        <v>0.1481</v>
      </c>
      <c r="O103" t="inlineStr">
        <is>
          <t>RENDAH</t>
        </is>
      </c>
      <c r="P103" t="n">
        <v>0</v>
      </c>
      <c r="Q103" t="n">
        <v>0</v>
      </c>
      <c r="R103" t="b">
        <v>1</v>
      </c>
      <c r="S103" t="n">
        <v>0.7741</v>
      </c>
      <c r="T103" t="n">
        <v>1</v>
      </c>
      <c r="U103" t="n">
        <v>0.2469</v>
      </c>
      <c r="V103" t="n">
        <v>0.1468</v>
      </c>
      <c r="W103" t="inlineStr">
        <is>
          <t>RENDAH</t>
        </is>
      </c>
      <c r="X103" t="n">
        <v>0</v>
      </c>
      <c r="Y103" t="n">
        <v>0</v>
      </c>
      <c r="Z103" t="b">
        <v>1</v>
      </c>
      <c r="AA103" t="n">
        <v>-0.002</v>
      </c>
      <c r="AB103" t="n">
        <v>0.0013</v>
      </c>
    </row>
    <row r="104">
      <c r="A104" t="n">
        <v>103</v>
      </c>
      <c r="B104" t="inlineStr">
        <is>
          <t>gap</t>
        </is>
      </c>
      <c r="C104" t="inlineStr">
        <is>
          <t>5TGR</t>
        </is>
      </c>
      <c r="D104" s="3" t="inlineStr">
        <is>
          <t>Rekursi itu fungsi yang memanggil dirinya sendiri. Tapi dosen menyebut ada 'rekursi tidak langsung' — fungsi A memanggil</t>
        </is>
      </c>
      <c r="E104" t="n">
        <v>1</v>
      </c>
      <c r="F104" t="n">
        <v>1</v>
      </c>
      <c r="G104" t="n">
        <v>0.707</v>
      </c>
      <c r="H104" t="n">
        <v>1</v>
      </c>
      <c r="I104" t="n">
        <v>0.8333</v>
      </c>
      <c r="J104" s="3" t="inlineStr">
        <is>
          <t>GT_CT05.txt, GT_CT07.txt, GT_CT12.txt, GT_DETAIL_PT12_Fungsi.txt, GT_SUBTOPIK_11_Rekursi.txt</t>
        </is>
      </c>
      <c r="K104" t="n">
        <v>0.1952</v>
      </c>
      <c r="L104" t="n">
        <v>0.1667</v>
      </c>
      <c r="M104" t="n">
        <v>0.2616</v>
      </c>
      <c r="N104" t="n">
        <v>0.5231</v>
      </c>
      <c r="O104" t="inlineStr">
        <is>
          <t>SEDANG</t>
        </is>
      </c>
      <c r="P104" t="n">
        <v>0</v>
      </c>
      <c r="Q104" t="n">
        <v>0</v>
      </c>
      <c r="R104" t="b">
        <v>0</v>
      </c>
      <c r="S104" t="n">
        <v>0.3021</v>
      </c>
      <c r="T104" t="n">
        <v>0.3333</v>
      </c>
      <c r="U104" t="n">
        <v>0.2292</v>
      </c>
      <c r="V104" t="n">
        <v>0.4536</v>
      </c>
      <c r="W104" t="inlineStr">
        <is>
          <t>SEDANG</t>
        </is>
      </c>
      <c r="X104" t="n">
        <v>0</v>
      </c>
      <c r="Y104" t="n">
        <v>0</v>
      </c>
      <c r="Z104" t="b">
        <v>1</v>
      </c>
      <c r="AA104" t="n">
        <v>-0.1069</v>
      </c>
      <c r="AB104" t="n">
        <v>0.06950000000000001</v>
      </c>
    </row>
    <row r="105">
      <c r="A105" t="n">
        <v>104</v>
      </c>
      <c r="B105" t="inlineStr">
        <is>
          <t>application</t>
        </is>
      </c>
      <c r="C105" t="inlineStr">
        <is>
          <t>4TGR</t>
        </is>
      </c>
      <c r="D105" s="3" t="inlineStr">
        <is>
          <t>Diberikan barisan: 1, 3, 7, 13, 21, 31. Saya hitung selisihnya: 2, 4, 6, 8, 10 — itu selisih bertingkat pertama. Lalu se</t>
        </is>
      </c>
      <c r="E105" t="n">
        <v>1</v>
      </c>
      <c r="F105" t="n">
        <v>1</v>
      </c>
      <c r="G105" t="n">
        <v>0.7506</v>
      </c>
      <c r="H105" t="n">
        <v>1</v>
      </c>
      <c r="I105" t="n">
        <v>0.6667</v>
      </c>
      <c r="J105" s="3" t="inlineStr">
        <is>
          <t>GT_CT07.txt, GT_DETAIL_PT04_Abstraksi.txt, GT_DETAIL_PT05_Pattern_Recognition.txt, GT_SUBTOPIK_03_Pola_Bilangan_Deret.txt</t>
        </is>
      </c>
      <c r="K105" t="n">
        <v>0.6415999999999999</v>
      </c>
      <c r="L105" t="n">
        <v>0.8333</v>
      </c>
      <c r="M105" t="n">
        <v>0.1942</v>
      </c>
      <c r="N105" t="n">
        <v>0.233</v>
      </c>
      <c r="O105" t="inlineStr">
        <is>
          <t>RENDAH</t>
        </is>
      </c>
      <c r="P105" t="n">
        <v>0</v>
      </c>
      <c r="Q105" t="n">
        <v>0</v>
      </c>
      <c r="R105" t="b">
        <v>1</v>
      </c>
      <c r="S105" t="n">
        <v>0.7518</v>
      </c>
      <c r="T105" t="n">
        <v>1</v>
      </c>
      <c r="U105" t="n">
        <v>0.1725</v>
      </c>
      <c r="V105" t="n">
        <v>0.1613</v>
      </c>
      <c r="W105" t="inlineStr">
        <is>
          <t>RENDAH</t>
        </is>
      </c>
      <c r="X105" t="n">
        <v>0</v>
      </c>
      <c r="Y105" t="n">
        <v>0</v>
      </c>
      <c r="Z105" t="b">
        <v>1</v>
      </c>
      <c r="AA105" t="n">
        <v>-0.1102</v>
      </c>
      <c r="AB105" t="n">
        <v>0.0717</v>
      </c>
    </row>
    <row r="106">
      <c r="A106" t="n">
        <v>105</v>
      </c>
      <c r="B106" t="inlineStr">
        <is>
          <t>confusion</t>
        </is>
      </c>
      <c r="C106" t="inlineStr">
        <is>
          <t>3PAR</t>
        </is>
      </c>
      <c r="D106" s="3" t="inlineStr">
        <is>
          <t>Saya lihat di kode server web ada while(true) yang jalan terus tanpa henti. Kata saya itu infinite loop dan harus diperb</t>
        </is>
      </c>
      <c r="E106" t="n">
        <v>1</v>
      </c>
      <c r="F106" t="n">
        <v>1</v>
      </c>
      <c r="G106" t="n">
        <v>0.6987</v>
      </c>
      <c r="H106" t="n">
        <v>1</v>
      </c>
      <c r="I106" t="n">
        <v>1</v>
      </c>
      <c r="J106" s="3" t="inlineStr">
        <is>
          <t>GT_CT11.txt, GT_DETAIL_PT04_Abstraksi.txt, GT_DETAIL_PT11_Perulangan.txt, GT_SUBTOPIK_02_Abstraksi_Formulasi.txt, GT_SUBTOPIK_04_Modulo_Siklus.txt, GT_SUBTOPIK_14_Kompleksitas_BigO.txt</t>
        </is>
      </c>
      <c r="K106" t="n">
        <v>0.7867</v>
      </c>
      <c r="L106" t="n">
        <v>1</v>
      </c>
      <c r="M106" t="n">
        <v>0.289</v>
      </c>
      <c r="N106" t="n">
        <v>0.1686</v>
      </c>
      <c r="O106" t="inlineStr">
        <is>
          <t>RENDAH</t>
        </is>
      </c>
      <c r="P106" t="n">
        <v>0</v>
      </c>
      <c r="Q106" t="n">
        <v>0.2</v>
      </c>
      <c r="S106" t="n">
        <v>0.7532</v>
      </c>
      <c r="T106" t="n">
        <v>1</v>
      </c>
      <c r="U106" t="n">
        <v>0.1775</v>
      </c>
      <c r="V106" t="n">
        <v>0.1604</v>
      </c>
      <c r="W106" t="inlineStr">
        <is>
          <t>RENDAH</t>
        </is>
      </c>
      <c r="X106" t="n">
        <v>0</v>
      </c>
      <c r="Y106" t="n">
        <v>0</v>
      </c>
      <c r="Z106" t="b">
        <v>1</v>
      </c>
      <c r="AA106" t="n">
        <v>0.0335</v>
      </c>
      <c r="AB106" t="n">
        <v>0.008200000000000001</v>
      </c>
    </row>
    <row r="107">
      <c r="A107" t="n">
        <v>106</v>
      </c>
      <c r="B107" t="inlineStr">
        <is>
          <t>cross_topic</t>
        </is>
      </c>
      <c r="C107" t="inlineStr">
        <is>
          <t>3PGR</t>
        </is>
      </c>
      <c r="D107" s="3" t="inlineStr">
        <is>
          <t>Di soal abstraksi, dosen minta saya identifikasi PROBLEM, GOAL, BATASAN, dan DATA. Saya bingung bedanya PROBLEM dengan G</t>
        </is>
      </c>
      <c r="E107" t="n">
        <v>1</v>
      </c>
      <c r="F107" t="n">
        <v>1</v>
      </c>
      <c r="G107" t="n">
        <v>0.7111</v>
      </c>
      <c r="H107" t="n">
        <v>1</v>
      </c>
      <c r="I107" t="n">
        <v>0.8333</v>
      </c>
      <c r="J107" s="3" t="inlineStr">
        <is>
          <t>GT_CT05.txt, GT_CT07.txt, GT_CT09.txt, GT_DETAIL_PT05_Pattern_Recognition.txt, GT_DETAIL_PT09_Variabel_TipeData_Operator_List.txt</t>
        </is>
      </c>
      <c r="K107" t="n">
        <v>0.6393</v>
      </c>
      <c r="L107" t="n">
        <v>0.8333</v>
      </c>
      <c r="M107" t="n">
        <v>0.1867</v>
      </c>
      <c r="N107" t="n">
        <v>0.2345</v>
      </c>
      <c r="O107" t="inlineStr">
        <is>
          <t>RENDAH</t>
        </is>
      </c>
      <c r="P107" t="n">
        <v>0</v>
      </c>
      <c r="Q107" t="n">
        <v>0</v>
      </c>
      <c r="R107" t="b">
        <v>1</v>
      </c>
      <c r="S107" t="n">
        <v>0.4194</v>
      </c>
      <c r="T107" t="n">
        <v>0.5</v>
      </c>
      <c r="U107" t="n">
        <v>0.2315</v>
      </c>
      <c r="V107" t="n">
        <v>0.3774</v>
      </c>
      <c r="W107" t="inlineStr">
        <is>
          <t>SEDANG</t>
        </is>
      </c>
      <c r="X107" t="n">
        <v>0</v>
      </c>
      <c r="Y107" t="n">
        <v>0</v>
      </c>
      <c r="Z107" t="b">
        <v>0</v>
      </c>
      <c r="AA107" t="n">
        <v>0.2199</v>
      </c>
      <c r="AB107" t="n">
        <v>-0.1429</v>
      </c>
    </row>
    <row r="108">
      <c r="A108" t="n">
        <v>107</v>
      </c>
      <c r="B108" t="inlineStr">
        <is>
          <t>application</t>
        </is>
      </c>
      <c r="C108" t="inlineStr">
        <is>
          <t>3PAI</t>
        </is>
      </c>
      <c r="D108" s="3" t="inlineStr">
        <is>
          <t xml:space="preserve">Tugas: buat pseudocode untuk menampilkan semua faktor bilangan n. Contoh: faktor dari 12 adalah 1, 2, 3, 4, 6, 12. Saya </t>
        </is>
      </c>
      <c r="E108" t="n">
        <v>1</v>
      </c>
      <c r="F108" t="n">
        <v>1</v>
      </c>
      <c r="G108" t="n">
        <v>0.8262</v>
      </c>
      <c r="H108" t="n">
        <v>1</v>
      </c>
      <c r="I108" t="n">
        <v>0.8333</v>
      </c>
      <c r="J108" s="3" t="inlineStr">
        <is>
          <t>GT_CT07.txt, GT_CT10.txt, GT_DETAIL_PT07_Notasi_Algoritme.txt, GT_DETAIL_PT10_Percabangan.txt, GT_SUBTOPIK_05_Pseudocode_Algoritme.txt</t>
        </is>
      </c>
      <c r="K108" t="n">
        <v>0.6735</v>
      </c>
      <c r="L108" t="n">
        <v>0.8333</v>
      </c>
      <c r="M108" t="n">
        <v>0.3006</v>
      </c>
      <c r="N108" t="n">
        <v>0.2122</v>
      </c>
      <c r="O108" t="inlineStr">
        <is>
          <t>RENDAH</t>
        </is>
      </c>
      <c r="P108" t="n">
        <v>0</v>
      </c>
      <c r="Q108" t="n">
        <v>0</v>
      </c>
      <c r="S108" t="n">
        <v>0.7655999999999999</v>
      </c>
      <c r="T108" t="n">
        <v>1</v>
      </c>
      <c r="U108" t="n">
        <v>0.2187</v>
      </c>
      <c r="V108" t="n">
        <v>0.1524</v>
      </c>
      <c r="W108" t="inlineStr">
        <is>
          <t>RENDAH</t>
        </is>
      </c>
      <c r="X108" t="n">
        <v>0</v>
      </c>
      <c r="Y108" t="n">
        <v>0</v>
      </c>
      <c r="Z108" t="b">
        <v>1</v>
      </c>
      <c r="AA108" t="n">
        <v>-0.0921</v>
      </c>
      <c r="AB108" t="n">
        <v>0.0598</v>
      </c>
    </row>
    <row r="109">
      <c r="A109" t="n">
        <v>108</v>
      </c>
      <c r="B109" t="inlineStr">
        <is>
          <t>scenario</t>
        </is>
      </c>
      <c r="C109" t="inlineStr">
        <is>
          <t>5PAR</t>
        </is>
      </c>
      <c r="D109" s="3" t="inlineStr">
        <is>
          <t>Saya diminta desain penyimpanan data nilai 500 mahasiswa untuk 10 mata kuliah. Dosen minta saya pakai abstraksi dulu seb</t>
        </is>
      </c>
      <c r="E109" t="n">
        <v>1</v>
      </c>
      <c r="F109" t="n">
        <v>1</v>
      </c>
      <c r="G109" t="n">
        <v>0.7712</v>
      </c>
      <c r="H109" t="n">
        <v>1</v>
      </c>
      <c r="I109" t="n">
        <v>0.8333</v>
      </c>
      <c r="J109" s="3" t="inlineStr">
        <is>
          <t>GT_CT01.txt, GT_CT09.txt, GT_CT13.txt, GT_DETAIL_PT01_Pendahuluan.txt, GT_DETAIL_PT09_Variabel_TipeData_Operator_List.txt</t>
        </is>
      </c>
      <c r="K109" t="n">
        <v>0.7833</v>
      </c>
      <c r="L109" t="n">
        <v>1</v>
      </c>
      <c r="M109" t="n">
        <v>0.2778</v>
      </c>
      <c r="N109" t="n">
        <v>0.1409</v>
      </c>
      <c r="O109" t="inlineStr">
        <is>
          <t>RENDAH</t>
        </is>
      </c>
      <c r="P109" t="n">
        <v>0</v>
      </c>
      <c r="Q109" t="n">
        <v>0</v>
      </c>
      <c r="R109" t="b">
        <v>1</v>
      </c>
      <c r="S109" t="n">
        <v>0.4104</v>
      </c>
      <c r="T109" t="n">
        <v>0.5</v>
      </c>
      <c r="U109" t="n">
        <v>0.2012</v>
      </c>
      <c r="V109" t="n">
        <v>0.3832</v>
      </c>
      <c r="W109" t="inlineStr">
        <is>
          <t>SEDANG</t>
        </is>
      </c>
      <c r="X109" t="n">
        <v>0</v>
      </c>
      <c r="Y109" t="n">
        <v>0</v>
      </c>
      <c r="Z109" t="b">
        <v>1</v>
      </c>
      <c r="AA109" t="n">
        <v>0.3729</v>
      </c>
      <c r="AB109" t="n">
        <v>-0.2423</v>
      </c>
    </row>
    <row r="110">
      <c r="A110" t="n">
        <v>109</v>
      </c>
      <c r="B110" t="inlineStr">
        <is>
          <t>out_of_scope</t>
        </is>
      </c>
      <c r="C110" t="inlineStr">
        <is>
          <t>6PAI</t>
        </is>
      </c>
      <c r="D110" s="3" t="inlineStr">
        <is>
          <t>Saya butuh cari nama mahasiswa dari NIM-nya dengan cepat O(1). Di Python saya pakai dictionary. Apakah dictionary diajar</t>
        </is>
      </c>
      <c r="E110" t="n">
        <v>1</v>
      </c>
      <c r="F110" t="n">
        <v>1</v>
      </c>
      <c r="G110" t="n">
        <v>0.7275</v>
      </c>
      <c r="H110" t="n">
        <v>1</v>
      </c>
      <c r="I110" t="n">
        <v>1</v>
      </c>
      <c r="J110" s="3" t="inlineStr">
        <is>
          <t>GT_CT01.txt, GT_CT07.txt, GT_CT09.txt, GT_CT10.txt, GT_CT13.txt, GT_DETAIL_PT04_Abstraksi.txt</t>
        </is>
      </c>
      <c r="K110" t="n">
        <v>0.528</v>
      </c>
      <c r="L110" t="n">
        <v>0.6667</v>
      </c>
      <c r="M110" t="n">
        <v>0.2044</v>
      </c>
      <c r="N110" t="n">
        <v>0.3368</v>
      </c>
      <c r="O110" t="inlineStr">
        <is>
          <t>SEDANG</t>
        </is>
      </c>
      <c r="P110" t="n">
        <v>0</v>
      </c>
      <c r="Q110" t="n">
        <v>0.2</v>
      </c>
      <c r="R110" t="b">
        <v>1</v>
      </c>
      <c r="S110" t="n">
        <v>0.4152</v>
      </c>
      <c r="T110" t="n">
        <v>0.5</v>
      </c>
      <c r="U110" t="n">
        <v>0.2175</v>
      </c>
      <c r="V110" t="n">
        <v>0.3801</v>
      </c>
      <c r="W110" t="inlineStr">
        <is>
          <t>SEDANG</t>
        </is>
      </c>
      <c r="X110" t="n">
        <v>0</v>
      </c>
      <c r="Y110" t="n">
        <v>0</v>
      </c>
      <c r="Z110" t="b">
        <v>1</v>
      </c>
      <c r="AA110" t="n">
        <v>0.1128</v>
      </c>
      <c r="AB110" t="n">
        <v>-0.0433</v>
      </c>
    </row>
    <row r="111">
      <c r="A111" t="n">
        <v>110</v>
      </c>
      <c r="B111" t="inlineStr">
        <is>
          <t>cross_topic</t>
        </is>
      </c>
      <c r="C111" t="inlineStr">
        <is>
          <t>6TGR</t>
        </is>
      </c>
      <c r="D111" s="3" t="inlineStr">
        <is>
          <t>Saya diminta rancang algoritme sederhana untuk mengurutkan dan mencari nama mahasiswa dari file yang berisi 1000 data. D</t>
        </is>
      </c>
      <c r="E111" t="n">
        <v>1</v>
      </c>
      <c r="F111" t="n">
        <v>1</v>
      </c>
      <c r="G111" t="n">
        <v>0.7658</v>
      </c>
      <c r="H111" t="n">
        <v>1</v>
      </c>
      <c r="I111" t="n">
        <v>0.8333</v>
      </c>
      <c r="J111" s="3" t="inlineStr">
        <is>
          <t>GT_CT01.txt, GT_CT03.txt, GT_CT09.txt, GT_CT13.txt, GT_DETAIL_PT01_Pendahuluan.txt</t>
        </is>
      </c>
      <c r="K111" t="n">
        <v>0.6521</v>
      </c>
      <c r="L111" t="n">
        <v>0.8333</v>
      </c>
      <c r="M111" t="n">
        <v>0.2291</v>
      </c>
      <c r="N111" t="n">
        <v>0.2261</v>
      </c>
      <c r="O111" t="inlineStr">
        <is>
          <t>RENDAH</t>
        </is>
      </c>
      <c r="P111" t="n">
        <v>0</v>
      </c>
      <c r="Q111" t="n">
        <v>0</v>
      </c>
      <c r="R111" t="b">
        <v>1</v>
      </c>
      <c r="S111" t="n">
        <v>0.7879</v>
      </c>
      <c r="T111" t="n">
        <v>1</v>
      </c>
      <c r="U111" t="n">
        <v>0.293</v>
      </c>
      <c r="V111" t="n">
        <v>0.1679</v>
      </c>
      <c r="W111" t="inlineStr">
        <is>
          <t>RENDAH</t>
        </is>
      </c>
      <c r="X111" t="n">
        <v>0</v>
      </c>
      <c r="Y111" t="n">
        <v>0.2</v>
      </c>
      <c r="Z111" t="b">
        <v>1</v>
      </c>
      <c r="AA111" t="n">
        <v>-0.1358</v>
      </c>
      <c r="AB111" t="n">
        <v>0.0582</v>
      </c>
    </row>
    <row r="112">
      <c r="A112" t="n">
        <v>111</v>
      </c>
      <c r="B112" t="inlineStr">
        <is>
          <t>confusion</t>
        </is>
      </c>
      <c r="C112" t="inlineStr">
        <is>
          <t>3PAR</t>
        </is>
      </c>
      <c r="D112" s="3" t="inlineStr">
        <is>
          <t>Di ujian akhir semester saya, ada soal yang meminta saya mengklasifikasikan suatu aktivitas ke dalam salah satu pilar AA</t>
        </is>
      </c>
      <c r="E112" t="n">
        <v>1</v>
      </c>
      <c r="F112" t="n">
        <v>1</v>
      </c>
      <c r="G112" t="n">
        <v>0.7128</v>
      </c>
      <c r="H112" t="n">
        <v>1</v>
      </c>
      <c r="I112" t="n">
        <v>1</v>
      </c>
      <c r="J112" s="3" t="inlineStr">
        <is>
          <t>5PGI.txt, 5TGI.txt, 6TAI.txt, GT_CT01.txt, GT_CT05.txt, GT_DETAIL_PT01_Pendahuluan.txt</t>
        </is>
      </c>
      <c r="K112" t="n">
        <v>0.7667</v>
      </c>
      <c r="L112" t="n">
        <v>1</v>
      </c>
      <c r="M112" t="n">
        <v>0.2224</v>
      </c>
      <c r="N112" t="n">
        <v>0.1516</v>
      </c>
      <c r="O112" t="inlineStr">
        <is>
          <t>RENDAH</t>
        </is>
      </c>
      <c r="P112" t="n">
        <v>0</v>
      </c>
      <c r="Q112" t="n">
        <v>0</v>
      </c>
      <c r="R112" t="b">
        <v>1</v>
      </c>
      <c r="S112" t="n">
        <v>0.5417999999999999</v>
      </c>
      <c r="T112" t="n">
        <v>0.6667</v>
      </c>
      <c r="U112" t="n">
        <v>0.2504</v>
      </c>
      <c r="V112" t="n">
        <v>0.2978</v>
      </c>
      <c r="W112" t="inlineStr">
        <is>
          <t>RENDAH</t>
        </is>
      </c>
      <c r="X112" t="n">
        <v>0</v>
      </c>
      <c r="Y112" t="n">
        <v>0</v>
      </c>
      <c r="Z112" t="b">
        <v>1</v>
      </c>
      <c r="AA112" t="n">
        <v>0.2249</v>
      </c>
      <c r="AB112" t="n">
        <v>-0.1462</v>
      </c>
    </row>
    <row r="113">
      <c r="A113" t="n">
        <v>112</v>
      </c>
      <c r="B113" t="inlineStr">
        <is>
          <t>gap</t>
        </is>
      </c>
      <c r="C113" t="inlineStr">
        <is>
          <t>2TGI</t>
        </is>
      </c>
      <c r="D113" s="3" t="inlineStr">
        <is>
          <t>Dosen saya bilang CT bisa diterapkan bahkan tanpa komputer. Saya coba pikirkan contohnya tapi selalu berujung ke hal yan</t>
        </is>
      </c>
      <c r="E113" t="n">
        <v>1</v>
      </c>
      <c r="F113" t="n">
        <v>1</v>
      </c>
      <c r="G113" t="n">
        <v>0.748</v>
      </c>
      <c r="H113" t="n">
        <v>1</v>
      </c>
      <c r="I113" t="n">
        <v>1</v>
      </c>
      <c r="J113" s="3" t="inlineStr">
        <is>
          <t>GT_CT01.txt, GT_CT03.txt, GT_CT06.txt, GT_DETAIL_PT01_Pendahuluan.txt, GT_DETAIL_PT03_Dekomposisi.txt, GT_SUBTOPIK_01_Dekomposisi_Optimasi.txt</t>
        </is>
      </c>
      <c r="K113" t="n">
        <v>0.7621</v>
      </c>
      <c r="L113" t="n">
        <v>1</v>
      </c>
      <c r="M113" t="n">
        <v>0.2069</v>
      </c>
      <c r="N113" t="n">
        <v>0.1546</v>
      </c>
      <c r="O113" t="inlineStr">
        <is>
          <t>RENDAH</t>
        </is>
      </c>
      <c r="P113" t="n">
        <v>0</v>
      </c>
      <c r="Q113" t="n">
        <v>0</v>
      </c>
      <c r="R113" t="b">
        <v>1</v>
      </c>
      <c r="S113" t="n">
        <v>0.7621</v>
      </c>
      <c r="T113" t="n">
        <v>1</v>
      </c>
      <c r="U113" t="n">
        <v>0.2069</v>
      </c>
      <c r="V113" t="n">
        <v>0.1546</v>
      </c>
      <c r="W113" t="inlineStr">
        <is>
          <t>RENDAH</t>
        </is>
      </c>
      <c r="X113" t="n">
        <v>0</v>
      </c>
      <c r="Y113" t="n">
        <v>0</v>
      </c>
      <c r="AA113" t="n">
        <v>0</v>
      </c>
      <c r="AB113" t="n">
        <v>0</v>
      </c>
    </row>
    <row r="114">
      <c r="A114" t="n">
        <v>113</v>
      </c>
      <c r="B114" t="inlineStr">
        <is>
          <t>out_of_scope</t>
        </is>
      </c>
      <c r="C114" t="inlineStr">
        <is>
          <t>1TGR</t>
        </is>
      </c>
      <c r="D114" s="3" t="inlineStr">
        <is>
          <t>Saya baru tahu ada istilah 'unplugged activities' dalam pengajaran CT. Katanya CT bisa diajarkan tanpa komputer sama sek</t>
        </is>
      </c>
      <c r="E114" t="n">
        <v>1</v>
      </c>
      <c r="F114" t="n">
        <v>1</v>
      </c>
      <c r="G114" t="n">
        <v>0.7020999999999999</v>
      </c>
      <c r="H114" t="n">
        <v>1</v>
      </c>
      <c r="I114" t="n">
        <v>0.8333</v>
      </c>
      <c r="J114" s="3" t="inlineStr">
        <is>
          <t>GT_CT01.txt, GT_CT06.txt, GT_DETAIL_PT01_Pendahuluan.txt, GT_DETAIL_PT02_ICT_Literacy_Ethics.txt, GT_SUBTOPIK_02_Abstraksi_Formulasi.txt</t>
        </is>
      </c>
      <c r="K114" t="n">
        <v>0.7798</v>
      </c>
      <c r="L114" t="n">
        <v>1</v>
      </c>
      <c r="M114" t="n">
        <v>0.2661</v>
      </c>
      <c r="N114" t="n">
        <v>0.1431</v>
      </c>
      <c r="O114" t="inlineStr">
        <is>
          <t>RENDAH</t>
        </is>
      </c>
      <c r="P114" t="n">
        <v>0</v>
      </c>
      <c r="Q114" t="n">
        <v>0</v>
      </c>
      <c r="S114" t="n">
        <v>0.6558</v>
      </c>
      <c r="T114" t="n">
        <v>0.8333</v>
      </c>
      <c r="U114" t="n">
        <v>0.2417</v>
      </c>
      <c r="V114" t="n">
        <v>0.2237</v>
      </c>
      <c r="W114" t="inlineStr">
        <is>
          <t>RENDAH</t>
        </is>
      </c>
      <c r="X114" t="n">
        <v>0</v>
      </c>
      <c r="Y114" t="n">
        <v>0</v>
      </c>
      <c r="Z114" t="b">
        <v>1</v>
      </c>
      <c r="AA114" t="n">
        <v>0.124</v>
      </c>
      <c r="AB114" t="n">
        <v>-0.0806</v>
      </c>
    </row>
    <row r="115">
      <c r="A115" t="n">
        <v>114</v>
      </c>
      <c r="B115" t="inlineStr">
        <is>
          <t>application</t>
        </is>
      </c>
      <c r="C115" t="inlineStr">
        <is>
          <t>4PAR</t>
        </is>
      </c>
      <c r="D115" s="3" t="inlineStr">
        <is>
          <t>Saya sedang mengerjakan soal latihan: 'rancang solusi untuk masalah penjadwalan kuliah di sebuah universitas kecil denga</t>
        </is>
      </c>
      <c r="E115" t="n">
        <v>1</v>
      </c>
      <c r="F115" t="n">
        <v>1</v>
      </c>
      <c r="G115" t="n">
        <v>0.74</v>
      </c>
      <c r="H115" t="n">
        <v>1</v>
      </c>
      <c r="I115" t="n">
        <v>0.8333</v>
      </c>
      <c r="J115" s="3" t="inlineStr">
        <is>
          <t>5PAI.txt, GT_CT01.txt, GT_CT02.txt, GT_DETAIL_PT01_Pendahuluan.txt, GT_SUBTOPIK_02_Abstraksi_Formulasi.txt</t>
        </is>
      </c>
      <c r="K115" t="n">
        <v>0.7675</v>
      </c>
      <c r="L115" t="n">
        <v>1</v>
      </c>
      <c r="M115" t="n">
        <v>0.2249</v>
      </c>
      <c r="N115" t="n">
        <v>0.1511</v>
      </c>
      <c r="O115" t="inlineStr">
        <is>
          <t>RENDAH</t>
        </is>
      </c>
      <c r="P115" t="n">
        <v>0</v>
      </c>
      <c r="Q115" t="n">
        <v>0</v>
      </c>
      <c r="R115" t="b">
        <v>1</v>
      </c>
      <c r="S115" t="n">
        <v>0.7736</v>
      </c>
      <c r="T115" t="n">
        <v>1</v>
      </c>
      <c r="U115" t="n">
        <v>0.2453</v>
      </c>
      <c r="V115" t="n">
        <v>0.1472</v>
      </c>
      <c r="W115" t="inlineStr">
        <is>
          <t>RENDAH</t>
        </is>
      </c>
      <c r="X115" t="n">
        <v>0</v>
      </c>
      <c r="Y115" t="n">
        <v>0</v>
      </c>
      <c r="Z115" t="b">
        <v>1</v>
      </c>
      <c r="AA115" t="n">
        <v>-0.0061</v>
      </c>
      <c r="AB115" t="n">
        <v>0.0039</v>
      </c>
    </row>
    <row r="116">
      <c r="A116" t="n">
        <v>115</v>
      </c>
      <c r="B116" t="inlineStr">
        <is>
          <t>out_of_scope</t>
        </is>
      </c>
      <c r="C116" t="inlineStr">
        <is>
          <t>1PAI</t>
        </is>
      </c>
      <c r="D116" s="3" t="inlineStr">
        <is>
          <t>Di slide CT ada konsep 'computational artifact' — sesuatu yang dibuat dengan bantuan komputer. Tapi saya tidak ngerti ap</t>
        </is>
      </c>
      <c r="E116" t="n">
        <v>1</v>
      </c>
      <c r="F116" t="n">
        <v>1</v>
      </c>
      <c r="G116" t="n">
        <v>0.7408</v>
      </c>
      <c r="H116" t="n">
        <v>1</v>
      </c>
      <c r="I116" t="n">
        <v>0.5</v>
      </c>
      <c r="J116" s="3" t="inlineStr">
        <is>
          <t>GT_CT01.txt, GT_DETAIL_PT01_Pendahuluan.txt, GT_SUBTOPIK_02_Abstraksi_Formulasi.txt</t>
        </is>
      </c>
      <c r="K116" t="n">
        <v>0.7761</v>
      </c>
      <c r="L116" t="n">
        <v>1</v>
      </c>
      <c r="M116" t="n">
        <v>0.2536</v>
      </c>
      <c r="N116" t="n">
        <v>0.1455</v>
      </c>
      <c r="O116" t="inlineStr">
        <is>
          <t>RENDAH</t>
        </is>
      </c>
      <c r="P116" t="n">
        <v>0</v>
      </c>
      <c r="Q116" t="n">
        <v>0</v>
      </c>
      <c r="R116" t="b">
        <v>1</v>
      </c>
      <c r="S116" t="n">
        <v>0.6354</v>
      </c>
      <c r="T116" t="n">
        <v>0.8333</v>
      </c>
      <c r="U116" t="n">
        <v>0.1736</v>
      </c>
      <c r="V116" t="n">
        <v>0.237</v>
      </c>
      <c r="W116" t="inlineStr">
        <is>
          <t>RENDAH</t>
        </is>
      </c>
      <c r="X116" t="n">
        <v>0</v>
      </c>
      <c r="Y116" t="n">
        <v>0</v>
      </c>
      <c r="Z116" t="b">
        <v>1</v>
      </c>
      <c r="AA116" t="n">
        <v>0.1407</v>
      </c>
      <c r="AB116" t="n">
        <v>-0.0915</v>
      </c>
    </row>
    <row r="117">
      <c r="A117" t="n">
        <v>116</v>
      </c>
      <c r="B117" t="inlineStr">
        <is>
          <t>confusion</t>
        </is>
      </c>
      <c r="C117" t="inlineStr">
        <is>
          <t>3TAI</t>
        </is>
      </c>
      <c r="D117" s="3" t="inlineStr">
        <is>
          <t>Saya punya tugas mendekomposisi masalah 'buat aplikasi kalkulator sederhana'. Saya sudah pecah jadi: input → hitung → ou</t>
        </is>
      </c>
      <c r="E117" t="n">
        <v>1</v>
      </c>
      <c r="F117" t="n">
        <v>1</v>
      </c>
      <c r="G117" t="n">
        <v>0.7589</v>
      </c>
      <c r="H117" t="n">
        <v>1</v>
      </c>
      <c r="I117" t="n">
        <v>1</v>
      </c>
      <c r="J117" s="3" t="inlineStr">
        <is>
          <t>GT_CT01.txt, GT_CT03.txt, GT_CT07.txt, GT_DETAIL_PT01_Pendahuluan.txt, GT_DETAIL_PT03_Dekomposisi.txt, GT_DETAIL_PT11_Perulangan.txt</t>
        </is>
      </c>
      <c r="K117" t="n">
        <v>0.7854</v>
      </c>
      <c r="L117" t="n">
        <v>1</v>
      </c>
      <c r="M117" t="n">
        <v>0.2846</v>
      </c>
      <c r="N117" t="n">
        <v>0.1695</v>
      </c>
      <c r="O117" t="inlineStr">
        <is>
          <t>RENDAH</t>
        </is>
      </c>
      <c r="P117" t="n">
        <v>0</v>
      </c>
      <c r="Q117" t="n">
        <v>0.2</v>
      </c>
      <c r="R117" t="b">
        <v>1</v>
      </c>
      <c r="S117" t="n">
        <v>0.7741</v>
      </c>
      <c r="T117" t="n">
        <v>1</v>
      </c>
      <c r="U117" t="n">
        <v>0.247</v>
      </c>
      <c r="V117" t="n">
        <v>0.1768</v>
      </c>
      <c r="W117" t="inlineStr">
        <is>
          <t>RENDAH</t>
        </is>
      </c>
      <c r="X117" t="n">
        <v>0</v>
      </c>
      <c r="Y117" t="n">
        <v>0.2</v>
      </c>
      <c r="Z117" t="b">
        <v>1</v>
      </c>
      <c r="AA117" t="n">
        <v>0.0113</v>
      </c>
      <c r="AB117" t="n">
        <v>-0.0073</v>
      </c>
    </row>
    <row r="118">
      <c r="A118" t="n">
        <v>117</v>
      </c>
      <c r="B118" t="inlineStr">
        <is>
          <t>application</t>
        </is>
      </c>
      <c r="C118" t="inlineStr">
        <is>
          <t>2PGR</t>
        </is>
      </c>
      <c r="D118" s="3" t="inlineStr">
        <is>
          <t>Di soal dekomposisi saya diminta analisis masalah berikut: 'Sebuah toko online menerima 1000 pesanan per hari. Setiap pe</t>
        </is>
      </c>
      <c r="E118" t="n">
        <v>1</v>
      </c>
      <c r="F118" t="n">
        <v>1</v>
      </c>
      <c r="G118" t="n">
        <v>0.774</v>
      </c>
      <c r="H118" t="n">
        <v>1</v>
      </c>
      <c r="I118" t="n">
        <v>0.8333</v>
      </c>
      <c r="J118" s="3" t="inlineStr">
        <is>
          <t>GT_CT01.txt, GT_CT03.txt, GT_CT13.txt, GT_DETAIL_PT04_Abstraksi.txt, GT_SUBTOPIK_02_Abstraksi_Formulasi.txt</t>
        </is>
      </c>
      <c r="K118" t="n">
        <v>0.7705</v>
      </c>
      <c r="L118" t="n">
        <v>1</v>
      </c>
      <c r="M118" t="n">
        <v>0.2351</v>
      </c>
      <c r="N118" t="n">
        <v>0.1492</v>
      </c>
      <c r="O118" t="inlineStr">
        <is>
          <t>RENDAH</t>
        </is>
      </c>
      <c r="P118" t="n">
        <v>0</v>
      </c>
      <c r="Q118" t="n">
        <v>0</v>
      </c>
      <c r="R118" t="b">
        <v>1</v>
      </c>
      <c r="S118" t="n">
        <v>0.6418</v>
      </c>
      <c r="T118" t="n">
        <v>0.8333</v>
      </c>
      <c r="U118" t="n">
        <v>0.195</v>
      </c>
      <c r="V118" t="n">
        <v>0.2328</v>
      </c>
      <c r="W118" t="inlineStr">
        <is>
          <t>RENDAH</t>
        </is>
      </c>
      <c r="X118" t="n">
        <v>0</v>
      </c>
      <c r="Y118" t="n">
        <v>0</v>
      </c>
      <c r="Z118" t="b">
        <v>1</v>
      </c>
      <c r="AA118" t="n">
        <v>0.1287</v>
      </c>
      <c r="AB118" t="n">
        <v>-0.08359999999999999</v>
      </c>
    </row>
    <row r="119">
      <c r="A119" t="n">
        <v>118</v>
      </c>
      <c r="B119" t="inlineStr">
        <is>
          <t>cross_topic</t>
        </is>
      </c>
      <c r="C119" t="inlineStr">
        <is>
          <t>5TAR</t>
        </is>
      </c>
      <c r="D119" s="3" t="inlineStr">
        <is>
          <t>Dosen bilang dekomposisi yang baik menghasilkan sub-masalah yang 'loosely coupled' dan 'highly cohesive'. Saya dengar is</t>
        </is>
      </c>
      <c r="E119" t="n">
        <v>1</v>
      </c>
      <c r="F119" t="n">
        <v>1</v>
      </c>
      <c r="G119" t="n">
        <v>0.7578</v>
      </c>
      <c r="H119" t="n">
        <v>1</v>
      </c>
      <c r="I119" t="n">
        <v>0.5</v>
      </c>
      <c r="J119" s="3" t="inlineStr">
        <is>
          <t>GT_CT01.txt, GT_CT03.txt, GT_DETAIL_PT03_Dekomposisi.txt</t>
        </is>
      </c>
      <c r="K119" t="n">
        <v>0.7852</v>
      </c>
      <c r="L119" t="n">
        <v>1</v>
      </c>
      <c r="M119" t="n">
        <v>0.2841</v>
      </c>
      <c r="N119" t="n">
        <v>0.1396</v>
      </c>
      <c r="O119" t="inlineStr">
        <is>
          <t>RENDAH</t>
        </is>
      </c>
      <c r="P119" t="n">
        <v>0</v>
      </c>
      <c r="Q119" t="n">
        <v>0</v>
      </c>
      <c r="R119" t="b">
        <v>1</v>
      </c>
      <c r="S119" t="n">
        <v>0.763</v>
      </c>
      <c r="T119" t="n">
        <v>1</v>
      </c>
      <c r="U119" t="n">
        <v>0.21</v>
      </c>
      <c r="V119" t="n">
        <v>0.154</v>
      </c>
      <c r="W119" t="inlineStr">
        <is>
          <t>RENDAH</t>
        </is>
      </c>
      <c r="X119" t="n">
        <v>0</v>
      </c>
      <c r="Y119" t="n">
        <v>0</v>
      </c>
      <c r="Z119" t="b">
        <v>1</v>
      </c>
      <c r="AA119" t="n">
        <v>0.0222</v>
      </c>
      <c r="AB119" t="n">
        <v>-0.0144</v>
      </c>
    </row>
    <row r="120">
      <c r="A120" t="n">
        <v>119</v>
      </c>
      <c r="B120" t="inlineStr">
        <is>
          <t>confusion</t>
        </is>
      </c>
      <c r="C120" t="inlineStr">
        <is>
          <t>2PAR</t>
        </is>
      </c>
      <c r="D120" s="3" t="inlineStr">
        <is>
          <t>Saya punya soal: 'Buat abstraksi dari sistem peminjaman buku perpustakaan.' Langkah pertama kata dosen adalah identifika</t>
        </is>
      </c>
      <c r="E120" t="n">
        <v>1</v>
      </c>
      <c r="F120" t="n">
        <v>0.8571</v>
      </c>
      <c r="G120" t="n">
        <v>0.7219</v>
      </c>
      <c r="H120" t="n">
        <v>1</v>
      </c>
      <c r="I120" t="n">
        <v>0.8333</v>
      </c>
      <c r="J120" s="3" t="inlineStr">
        <is>
          <t>GT_CT03.txt, GT_CT04.txt, GT_CT07.txt, GT_CT09.txt, GT_DETAIL_PT04_Abstraksi.txt</t>
        </is>
      </c>
      <c r="K120" t="n">
        <v>0.7786</v>
      </c>
      <c r="L120" t="n">
        <v>1</v>
      </c>
      <c r="M120" t="n">
        <v>0.2619</v>
      </c>
      <c r="N120" t="n">
        <v>0.1739</v>
      </c>
      <c r="O120" t="inlineStr">
        <is>
          <t>RENDAH</t>
        </is>
      </c>
      <c r="P120" t="n">
        <v>0</v>
      </c>
      <c r="Q120" t="n">
        <v>0.2</v>
      </c>
      <c r="S120" t="n">
        <v>0.4081</v>
      </c>
      <c r="T120" t="n">
        <v>0.5</v>
      </c>
      <c r="U120" t="n">
        <v>0.1936</v>
      </c>
      <c r="V120" t="n">
        <v>0.4147</v>
      </c>
      <c r="W120" t="inlineStr">
        <is>
          <t>SEDANG</t>
        </is>
      </c>
      <c r="X120" t="n">
        <v>0</v>
      </c>
      <c r="Y120" t="n">
        <v>0.2</v>
      </c>
      <c r="Z120" t="b">
        <v>1</v>
      </c>
      <c r="AA120" t="n">
        <v>0.3705</v>
      </c>
      <c r="AB120" t="n">
        <v>-0.2408</v>
      </c>
    </row>
    <row r="121">
      <c r="A121" t="n">
        <v>120</v>
      </c>
      <c r="B121" t="inlineStr">
        <is>
          <t>application</t>
        </is>
      </c>
      <c r="C121" t="inlineStr">
        <is>
          <t>3PGI</t>
        </is>
      </c>
      <c r="D121" s="3" t="inlineStr">
        <is>
          <t>Soal abstraksi dari GT: ada masalah 2 lift berkapasitas 30 kg dengan 9 berang-berang. Saya sudah bisa identifikasi goaln</t>
        </is>
      </c>
      <c r="E121" t="n">
        <v>1</v>
      </c>
      <c r="F121" t="n">
        <v>0.8571</v>
      </c>
      <c r="G121" t="n">
        <v>0.7897999999999999</v>
      </c>
      <c r="H121" t="n">
        <v>1</v>
      </c>
      <c r="I121" t="n">
        <v>0.8333</v>
      </c>
      <c r="J121" s="3" t="inlineStr">
        <is>
          <t>GT_CT04.txt, GT_DETAIL_PT03_Dekomposisi.txt, GT_DETAIL_PT04_Abstraksi.txt, GT_SUBTOPIK_01_Dekomposisi_Optimasi.txt, GT_SUBTOPIK_02_Abstraksi_Formulasi.txt</t>
        </is>
      </c>
      <c r="K121" t="n">
        <v>0.7904</v>
      </c>
      <c r="L121" t="n">
        <v>1</v>
      </c>
      <c r="M121" t="n">
        <v>0.3013</v>
      </c>
      <c r="N121" t="n">
        <v>0.1662</v>
      </c>
      <c r="O121" t="inlineStr">
        <is>
          <t>RENDAH</t>
        </is>
      </c>
      <c r="P121" t="n">
        <v>0</v>
      </c>
      <c r="Q121" t="n">
        <v>0.2</v>
      </c>
      <c r="R121" t="b">
        <v>1</v>
      </c>
      <c r="S121" t="n">
        <v>0.7831</v>
      </c>
      <c r="T121" t="n">
        <v>1</v>
      </c>
      <c r="U121" t="n">
        <v>0.277</v>
      </c>
      <c r="V121" t="n">
        <v>0.171</v>
      </c>
      <c r="W121" t="inlineStr">
        <is>
          <t>RENDAH</t>
        </is>
      </c>
      <c r="X121" t="n">
        <v>0</v>
      </c>
      <c r="Y121" t="n">
        <v>0.2</v>
      </c>
      <c r="Z121" t="b">
        <v>1</v>
      </c>
      <c r="AA121" t="n">
        <v>0.0073</v>
      </c>
      <c r="AB121" t="n">
        <v>-0.0048</v>
      </c>
    </row>
    <row r="122">
      <c r="A122" t="n">
        <v>121</v>
      </c>
      <c r="B122" t="inlineStr">
        <is>
          <t>gap</t>
        </is>
      </c>
      <c r="C122" t="inlineStr">
        <is>
          <t>4TGR</t>
        </is>
      </c>
      <c r="D122" s="3" t="inlineStr">
        <is>
          <t xml:space="preserve">Saya sedang belajar abstraksi dan bingung dengan konsep 'level abstraksi'. Katanya abstraksi bisa dilakukan di berbagai </t>
        </is>
      </c>
      <c r="E122" t="n">
        <v>1</v>
      </c>
      <c r="F122" t="n">
        <v>0.8571</v>
      </c>
      <c r="G122" t="n">
        <v>0.7184</v>
      </c>
      <c r="H122" t="n">
        <v>1</v>
      </c>
      <c r="I122" t="n">
        <v>0.8333</v>
      </c>
      <c r="J122" s="3" t="inlineStr">
        <is>
          <t>GT_CT01.txt, GT_CT04.txt, GT_CT07.txt, GT_DETAIL_PT01_Pendahuluan.txt, GT_SUBTOPIK_02_Abstraksi_Formulasi.txt</t>
        </is>
      </c>
      <c r="K122" t="n">
        <v>0.7909</v>
      </c>
      <c r="L122" t="n">
        <v>1</v>
      </c>
      <c r="M122" t="n">
        <v>0.3031</v>
      </c>
      <c r="N122" t="n">
        <v>0.1359</v>
      </c>
      <c r="O122" t="inlineStr">
        <is>
          <t>RENDAH</t>
        </is>
      </c>
      <c r="P122" t="n">
        <v>0</v>
      </c>
      <c r="Q122" t="n">
        <v>0</v>
      </c>
      <c r="R122" t="b">
        <v>1</v>
      </c>
      <c r="S122" t="n">
        <v>0.7791</v>
      </c>
      <c r="T122" t="n">
        <v>1</v>
      </c>
      <c r="U122" t="n">
        <v>0.2636</v>
      </c>
      <c r="V122" t="n">
        <v>0.1736</v>
      </c>
      <c r="W122" t="inlineStr">
        <is>
          <t>RENDAH</t>
        </is>
      </c>
      <c r="X122" t="n">
        <v>0</v>
      </c>
      <c r="Y122" t="n">
        <v>0.2</v>
      </c>
      <c r="Z122" t="b">
        <v>1</v>
      </c>
      <c r="AA122" t="n">
        <v>0.0118</v>
      </c>
      <c r="AB122" t="n">
        <v>-0.0377</v>
      </c>
    </row>
    <row r="123">
      <c r="A123" t="n">
        <v>122</v>
      </c>
      <c r="B123" t="inlineStr">
        <is>
          <t>application</t>
        </is>
      </c>
      <c r="C123" t="inlineStr">
        <is>
          <t>2PAI</t>
        </is>
      </c>
      <c r="D123" s="3" t="inlineStr">
        <is>
          <t>Soal CT: diberikan barisan 1, 1, 2, 3, 5, 8, 13, 21. Dosen minta identifikasi pola dan buat rumus rekursif serta tentuka</t>
        </is>
      </c>
      <c r="E123" t="n">
        <v>1</v>
      </c>
      <c r="F123" t="n">
        <v>1</v>
      </c>
      <c r="G123" t="n">
        <v>0.7429</v>
      </c>
      <c r="H123" t="n">
        <v>1</v>
      </c>
      <c r="I123" t="n">
        <v>0.6667</v>
      </c>
      <c r="J123" s="3" t="inlineStr">
        <is>
          <t>GT_CT07.txt, GT_DETAIL_PT05_Pattern_Recognition.txt, GT_SUBTOPIK_03_Pola_Bilangan_Deret.txt, GT_SUBTOPIK_04_Modulo_Siklus.txt</t>
        </is>
      </c>
      <c r="K123" t="n">
        <v>0.7602</v>
      </c>
      <c r="L123" t="n">
        <v>1</v>
      </c>
      <c r="M123" t="n">
        <v>0.2007</v>
      </c>
      <c r="N123" t="n">
        <v>0.1559</v>
      </c>
      <c r="O123" t="inlineStr">
        <is>
          <t>RENDAH</t>
        </is>
      </c>
      <c r="P123" t="n">
        <v>0</v>
      </c>
      <c r="Q123" t="n">
        <v>0</v>
      </c>
      <c r="S123" t="n">
        <v>0.632</v>
      </c>
      <c r="T123" t="n">
        <v>0.8333</v>
      </c>
      <c r="U123" t="n">
        <v>0.1624</v>
      </c>
      <c r="V123" t="n">
        <v>0.2392</v>
      </c>
      <c r="W123" t="inlineStr">
        <is>
          <t>RENDAH</t>
        </is>
      </c>
      <c r="X123" t="n">
        <v>0</v>
      </c>
      <c r="Y123" t="n">
        <v>0</v>
      </c>
      <c r="Z123" t="b">
        <v>1</v>
      </c>
      <c r="AA123" t="n">
        <v>0.1282</v>
      </c>
      <c r="AB123" t="n">
        <v>-0.0833</v>
      </c>
    </row>
    <row r="124">
      <c r="A124" t="n">
        <v>123</v>
      </c>
      <c r="B124" t="inlineStr">
        <is>
          <t>application</t>
        </is>
      </c>
      <c r="C124" t="inlineStr">
        <is>
          <t>3PGR</t>
        </is>
      </c>
      <c r="D124" s="3" t="inlineStr">
        <is>
          <t>Di soal pattern recognition saya diminta cari pola dari data: hari Senin 120 pengunjung, Selasa 85, Rabu 90, Kamis 88, J</t>
        </is>
      </c>
      <c r="E124" t="n">
        <v>1</v>
      </c>
      <c r="F124" t="n">
        <v>0.8571</v>
      </c>
      <c r="G124" t="n">
        <v>0.7171</v>
      </c>
      <c r="H124" t="n">
        <v>1</v>
      </c>
      <c r="I124" t="n">
        <v>1</v>
      </c>
      <c r="J124" s="3" t="inlineStr">
        <is>
          <t>GT_CT01.txt, GT_CT05.txt, GT_CT13.txt, GT_DETAIL_PT01_Pendahuluan.txt, GT_DETAIL_PT05_Pattern_Recognition.txt, GT_SUBTOPIK_04_Modulo_Siklus.txt</t>
        </is>
      </c>
      <c r="K124" t="n">
        <v>0.52</v>
      </c>
      <c r="L124" t="n">
        <v>0.6667</v>
      </c>
      <c r="M124" t="n">
        <v>0.1778</v>
      </c>
      <c r="N124" t="n">
        <v>0.312</v>
      </c>
      <c r="O124" t="inlineStr">
        <is>
          <t>RENDAH</t>
        </is>
      </c>
      <c r="P124" t="n">
        <v>0</v>
      </c>
      <c r="Q124" t="n">
        <v>0</v>
      </c>
      <c r="R124" t="b">
        <v>1</v>
      </c>
      <c r="S124" t="n">
        <v>0.3862</v>
      </c>
      <c r="T124" t="n">
        <v>0.5</v>
      </c>
      <c r="U124" t="n">
        <v>0.1206</v>
      </c>
      <c r="V124" t="n">
        <v>0.399</v>
      </c>
      <c r="W124" t="inlineStr">
        <is>
          <t>SEDANG</t>
        </is>
      </c>
      <c r="X124" t="n">
        <v>0</v>
      </c>
      <c r="Y124" t="n">
        <v>0</v>
      </c>
      <c r="Z124" t="b">
        <v>1</v>
      </c>
      <c r="AA124" t="n">
        <v>0.1338</v>
      </c>
      <c r="AB124" t="n">
        <v>-0.08699999999999999</v>
      </c>
    </row>
    <row r="125">
      <c r="A125" t="n">
        <v>124</v>
      </c>
      <c r="B125" t="inlineStr">
        <is>
          <t>application</t>
        </is>
      </c>
      <c r="C125" t="inlineStr">
        <is>
          <t>3TAR</t>
        </is>
      </c>
      <c r="D125" s="3" t="inlineStr">
        <is>
          <t xml:space="preserve">Di soal modulo saya diminta: sebuah lampu lalu lintas punya siklus merah 30 detik, kuning 5 detik, hijau 25 detik. Jika </t>
        </is>
      </c>
      <c r="E125" t="n">
        <v>1</v>
      </c>
      <c r="F125" t="n">
        <v>1</v>
      </c>
      <c r="G125" t="n">
        <v>0.7209</v>
      </c>
      <c r="H125" t="n">
        <v>1</v>
      </c>
      <c r="I125" t="n">
        <v>0.6667</v>
      </c>
      <c r="J125" s="3" t="inlineStr">
        <is>
          <t>GT_CT05.txt, GT_CT07.txt, GT_DETAIL_PT05_Pattern_Recognition.txt, GT_SUBTOPIK_03_Pola_Bilangan_Deret.txt</t>
        </is>
      </c>
      <c r="K125" t="n">
        <v>0.5263</v>
      </c>
      <c r="L125" t="n">
        <v>0.6667</v>
      </c>
      <c r="M125" t="n">
        <v>0.1989</v>
      </c>
      <c r="N125" t="n">
        <v>0.3079</v>
      </c>
      <c r="O125" t="inlineStr">
        <is>
          <t>RENDAH</t>
        </is>
      </c>
      <c r="P125" t="n">
        <v>0</v>
      </c>
      <c r="Q125" t="n">
        <v>0</v>
      </c>
      <c r="R125" t="b">
        <v>1</v>
      </c>
      <c r="S125" t="n">
        <v>0.3045</v>
      </c>
      <c r="T125" t="n">
        <v>0.3333</v>
      </c>
      <c r="U125" t="n">
        <v>0.2373</v>
      </c>
      <c r="V125" t="n">
        <v>0.4521</v>
      </c>
      <c r="W125" t="inlineStr">
        <is>
          <t>SEDANG</t>
        </is>
      </c>
      <c r="X125" t="n">
        <v>0</v>
      </c>
      <c r="Y125" t="n">
        <v>0</v>
      </c>
      <c r="Z125" t="b">
        <v>1</v>
      </c>
      <c r="AA125" t="n">
        <v>0.2218</v>
      </c>
      <c r="AB125" t="n">
        <v>-0.1442</v>
      </c>
    </row>
    <row r="126">
      <c r="A126" t="n">
        <v>125</v>
      </c>
      <c r="B126" t="inlineStr">
        <is>
          <t>application</t>
        </is>
      </c>
      <c r="C126" t="inlineStr">
        <is>
          <t>4PGR</t>
        </is>
      </c>
      <c r="D126" s="3" t="inlineStr">
        <is>
          <t>Saya dapat soal: digit terakhir dari 7 pangkat 2025. Dosen bilang gunakan pattern recognition pada siklus digit. Saya co</t>
        </is>
      </c>
      <c r="E126" t="n">
        <v>1</v>
      </c>
      <c r="F126" t="n">
        <v>1</v>
      </c>
      <c r="G126" t="n">
        <v>0.7858000000000001</v>
      </c>
      <c r="H126" t="n">
        <v>1</v>
      </c>
      <c r="I126" t="n">
        <v>0.8333</v>
      </c>
      <c r="J126" s="3" t="inlineStr">
        <is>
          <t>GT_CT05.txt, GT_DETAIL_PT05_Pattern_Recognition.txt, GT_SUBTOPIK_01_Dekomposisi_Optimasi.txt, GT_SUBTOPIK_04_Modulo_Siklus.txt, GT_SUBTOPIK_08_Perulangan_For_While.txt</t>
        </is>
      </c>
      <c r="K126" t="n">
        <v>0.7963</v>
      </c>
      <c r="L126" t="n">
        <v>1</v>
      </c>
      <c r="M126" t="n">
        <v>0.3211</v>
      </c>
      <c r="N126" t="n">
        <v>0.1324</v>
      </c>
      <c r="O126" t="inlineStr">
        <is>
          <t>RENDAH</t>
        </is>
      </c>
      <c r="P126" t="n">
        <v>0</v>
      </c>
      <c r="Q126" t="n">
        <v>0</v>
      </c>
      <c r="R126" t="b">
        <v>1</v>
      </c>
      <c r="S126" t="n">
        <v>0.752</v>
      </c>
      <c r="T126" t="n">
        <v>1</v>
      </c>
      <c r="U126" t="n">
        <v>0.1733</v>
      </c>
      <c r="V126" t="n">
        <v>0.1612</v>
      </c>
      <c r="W126" t="inlineStr">
        <is>
          <t>RENDAH</t>
        </is>
      </c>
      <c r="X126" t="n">
        <v>0</v>
      </c>
      <c r="Y126" t="n">
        <v>0</v>
      </c>
      <c r="Z126" t="b">
        <v>1</v>
      </c>
      <c r="AA126" t="n">
        <v>0.0443</v>
      </c>
      <c r="AB126" t="n">
        <v>-0.0288</v>
      </c>
    </row>
    <row r="127">
      <c r="A127" t="n">
        <v>126</v>
      </c>
      <c r="B127" t="inlineStr">
        <is>
          <t>application</t>
        </is>
      </c>
      <c r="C127" t="inlineStr">
        <is>
          <t>3PAR</t>
        </is>
      </c>
      <c r="D127" s="3" t="inlineStr">
        <is>
          <t>Di soal pseudocode saya diminta tulis algoritme untuk mengecek apakah sebuah bilangan adalah bilangan sempurna. Bilangan</t>
        </is>
      </c>
      <c r="E127" t="n">
        <v>1</v>
      </c>
      <c r="F127" t="n">
        <v>1</v>
      </c>
      <c r="G127" t="n">
        <v>0.8012</v>
      </c>
      <c r="H127" t="n">
        <v>1</v>
      </c>
      <c r="I127" t="n">
        <v>1</v>
      </c>
      <c r="J127" s="3" t="inlineStr">
        <is>
          <t>GT_CT07.txt, GT_DETAIL_PT07_Notasi_Algoritme.txt, GT_DETAIL_PT10_Percabangan.txt, GT_DETAIL_PT11_Perulangan.txt, GT_SUBTOPIK_04_Modulo_Siklus.txt, GT_SUBTOPIK_05_Pseudocode_Algoritme.txt</t>
        </is>
      </c>
      <c r="K127" t="n">
        <v>0.7806</v>
      </c>
      <c r="L127" t="n">
        <v>1</v>
      </c>
      <c r="M127" t="n">
        <v>0.2685</v>
      </c>
      <c r="N127" t="n">
        <v>0.1426</v>
      </c>
      <c r="O127" t="inlineStr">
        <is>
          <t>RENDAH</t>
        </is>
      </c>
      <c r="P127" t="n">
        <v>0</v>
      </c>
      <c r="Q127" t="n">
        <v>0</v>
      </c>
      <c r="S127" t="n">
        <v>0.646</v>
      </c>
      <c r="T127" t="n">
        <v>0.8333</v>
      </c>
      <c r="U127" t="n">
        <v>0.209</v>
      </c>
      <c r="V127" t="n">
        <v>0.2301</v>
      </c>
      <c r="W127" t="inlineStr">
        <is>
          <t>RENDAH</t>
        </is>
      </c>
      <c r="X127" t="n">
        <v>0</v>
      </c>
      <c r="Y127" t="n">
        <v>0</v>
      </c>
      <c r="AA127" t="n">
        <v>0.1346</v>
      </c>
      <c r="AB127" t="n">
        <v>-0.08749999999999999</v>
      </c>
    </row>
    <row r="128">
      <c r="A128" t="n">
        <v>127</v>
      </c>
      <c r="B128" t="inlineStr">
        <is>
          <t>application</t>
        </is>
      </c>
      <c r="C128" t="inlineStr">
        <is>
          <t>2TGI</t>
        </is>
      </c>
      <c r="D128" s="3" t="inlineStr">
        <is>
          <t xml:space="preserve">Saya latihan pseudocode untuk konversi suhu Celsius ke Fahrenheit dan Kelvin sekaligus. Rumusnya: F = C × 9/5 + 32, K = </t>
        </is>
      </c>
      <c r="E128" t="n">
        <v>1</v>
      </c>
      <c r="F128" t="n">
        <v>1</v>
      </c>
      <c r="G128" t="n">
        <v>0.8077</v>
      </c>
      <c r="H128" t="n">
        <v>1</v>
      </c>
      <c r="I128" t="n">
        <v>0.8333</v>
      </c>
      <c r="J128" s="3" t="inlineStr">
        <is>
          <t>GT_CT07.txt, GT_CT10.txt, GT_DETAIL_PT10_Percabangan.txt, GT_SUBTOPIK_04_Modulo_Siklus.txt, GT_SUBTOPIK_05_Pseudocode_Algoritme.txt</t>
        </is>
      </c>
      <c r="K128" t="n">
        <v>0.6891</v>
      </c>
      <c r="L128" t="n">
        <v>0.8333</v>
      </c>
      <c r="M128" t="n">
        <v>0.3525</v>
      </c>
      <c r="N128" t="n">
        <v>0.2021</v>
      </c>
      <c r="O128" t="inlineStr">
        <is>
          <t>RENDAH</t>
        </is>
      </c>
      <c r="P128" t="n">
        <v>0</v>
      </c>
      <c r="Q128" t="n">
        <v>0</v>
      </c>
      <c r="R128" t="b">
        <v>1</v>
      </c>
      <c r="S128" t="n">
        <v>0.3991</v>
      </c>
      <c r="T128" t="n">
        <v>0.5</v>
      </c>
      <c r="U128" t="n">
        <v>0.1638</v>
      </c>
      <c r="V128" t="n">
        <v>0.3906</v>
      </c>
      <c r="W128" t="inlineStr">
        <is>
          <t>SEDANG</t>
        </is>
      </c>
      <c r="X128" t="n">
        <v>0</v>
      </c>
      <c r="Y128" t="n">
        <v>0</v>
      </c>
      <c r="Z128" t="b">
        <v>1</v>
      </c>
      <c r="AA128" t="n">
        <v>0.29</v>
      </c>
      <c r="AB128" t="n">
        <v>-0.1885</v>
      </c>
    </row>
    <row r="129">
      <c r="A129" t="n">
        <v>128</v>
      </c>
      <c r="B129" t="inlineStr">
        <is>
          <t>application</t>
        </is>
      </c>
      <c r="C129" t="inlineStr">
        <is>
          <t>3TGR</t>
        </is>
      </c>
      <c r="D129" s="3" t="inlineStr">
        <is>
          <t>Saya diminta tulis pseudocode untuk menghitung nilai rata-rata, nilai terbesar, dan nilai terkecil dari array yang diinp</t>
        </is>
      </c>
      <c r="E129" t="n">
        <v>1</v>
      </c>
      <c r="F129" t="n">
        <v>0.8571</v>
      </c>
      <c r="G129" t="n">
        <v>0.7719</v>
      </c>
      <c r="H129" t="n">
        <v>1</v>
      </c>
      <c r="I129" t="n">
        <v>1</v>
      </c>
      <c r="J129" s="3" t="inlineStr">
        <is>
          <t>GT_CT07.txt, GT_CT10.txt, GT_DETAIL_PT07_Notasi_Algoritme.txt, GT_DETAIL_PT10_Percabangan.txt, GT_DETAIL_PT11_Perulangan.txt, GT_SUBTOPIK_05_Pseudocode_Algoritme.txt</t>
        </is>
      </c>
      <c r="K129" t="n">
        <v>0.319</v>
      </c>
      <c r="L129" t="n">
        <v>0.3333</v>
      </c>
      <c r="M129" t="n">
        <v>0.2857</v>
      </c>
      <c r="N129" t="n">
        <v>0.4427</v>
      </c>
      <c r="O129" t="inlineStr">
        <is>
          <t>SEDANG</t>
        </is>
      </c>
      <c r="P129" t="n">
        <v>0</v>
      </c>
      <c r="Q129" t="n">
        <v>0</v>
      </c>
      <c r="R129" t="b">
        <v>1</v>
      </c>
      <c r="S129" t="n">
        <v>0.5002</v>
      </c>
      <c r="T129" t="n">
        <v>0.6</v>
      </c>
      <c r="U129" t="n">
        <v>0.2674</v>
      </c>
      <c r="V129" t="n">
        <v>0.3249</v>
      </c>
      <c r="W129" t="inlineStr">
        <is>
          <t>SEDANG</t>
        </is>
      </c>
      <c r="X129" t="n">
        <v>0</v>
      </c>
      <c r="Y129" t="n">
        <v>0</v>
      </c>
      <c r="Z129" t="b">
        <v>1</v>
      </c>
      <c r="AA129" t="n">
        <v>-0.1812</v>
      </c>
      <c r="AB129" t="n">
        <v>0.1178</v>
      </c>
    </row>
    <row r="130">
      <c r="A130" t="n">
        <v>129</v>
      </c>
      <c r="B130" t="inlineStr">
        <is>
          <t>application</t>
        </is>
      </c>
      <c r="C130" t="inlineStr">
        <is>
          <t>4PAI</t>
        </is>
      </c>
      <c r="D130" s="3" t="inlineStr">
        <is>
          <t>Saya dapat soal: buat pseudocode untuk menampilkan semua bilangan prima antara 1 sampai N. Bukan hanya cek satu bilangan</t>
        </is>
      </c>
      <c r="E130" t="n">
        <v>1</v>
      </c>
      <c r="F130" t="n">
        <v>1</v>
      </c>
      <c r="G130" t="n">
        <v>0.7907</v>
      </c>
      <c r="H130" t="n">
        <v>1</v>
      </c>
      <c r="I130" t="n">
        <v>1</v>
      </c>
      <c r="J130" s="3" t="inlineStr">
        <is>
          <t>GT_CT07.txt, GT_CT11.txt, GT_DETAIL_PT07_Notasi_Algoritme.txt, GT_DETAIL_PT10_Percabangan.txt, GT_SUBTOPIK_04_Modulo_Siklus.txt, GT_SUBTOPIK_05_Pseudocode_Algoritme.txt</t>
        </is>
      </c>
      <c r="K130" t="n">
        <v>0.4344</v>
      </c>
      <c r="L130" t="n">
        <v>0.5</v>
      </c>
      <c r="M130" t="n">
        <v>0.2813</v>
      </c>
      <c r="N130" t="n">
        <v>0.3676</v>
      </c>
      <c r="O130" t="inlineStr">
        <is>
          <t>SEDANG</t>
        </is>
      </c>
      <c r="P130" t="n">
        <v>0</v>
      </c>
      <c r="Q130" t="n">
        <v>0</v>
      </c>
      <c r="R130" t="b">
        <v>1</v>
      </c>
      <c r="S130" t="n">
        <v>0.0694</v>
      </c>
      <c r="T130" t="n">
        <v>0</v>
      </c>
      <c r="U130" t="n">
        <v>0.2315</v>
      </c>
      <c r="V130" t="n">
        <v>0.6049</v>
      </c>
      <c r="W130" t="inlineStr">
        <is>
          <t>TINGGI</t>
        </is>
      </c>
      <c r="X130" t="n">
        <v>0</v>
      </c>
      <c r="Y130" t="n">
        <v>0</v>
      </c>
      <c r="Z130" t="b">
        <v>1</v>
      </c>
      <c r="AA130" t="n">
        <v>0.365</v>
      </c>
      <c r="AB130" t="n">
        <v>-0.2373</v>
      </c>
    </row>
    <row r="131">
      <c r="A131" t="n">
        <v>130</v>
      </c>
      <c r="B131" t="inlineStr">
        <is>
          <t>out_of_scope</t>
        </is>
      </c>
      <c r="C131" t="inlineStr">
        <is>
          <t>5TGI</t>
        </is>
      </c>
      <c r="D131" s="3" t="inlineStr">
        <is>
          <t>Dosen minta tulis pseudocode yang membaca string dan menghitung frekuensi setiap huruf yang muncul. Contoh: 'hello' → h=</t>
        </is>
      </c>
      <c r="E131" t="n">
        <v>1</v>
      </c>
      <c r="F131" t="n">
        <v>1</v>
      </c>
      <c r="G131" t="n">
        <v>0.7572</v>
      </c>
      <c r="H131" t="n">
        <v>1</v>
      </c>
      <c r="I131" t="n">
        <v>0.8333</v>
      </c>
      <c r="J131" s="3" t="inlineStr">
        <is>
          <t>GT_CT07.txt, GT_CT10.txt, GT_DETAIL_PT07_Notasi_Algoritme.txt, GT_DETAIL_PT10_Percabangan.txt, GT_SUBTOPIK_05_Pseudocode_Algoritme.txt</t>
        </is>
      </c>
      <c r="K131" t="n">
        <v>0.6589</v>
      </c>
      <c r="L131" t="n">
        <v>0.8333</v>
      </c>
      <c r="M131" t="n">
        <v>0.252</v>
      </c>
      <c r="N131" t="n">
        <v>0.2217</v>
      </c>
      <c r="O131" t="inlineStr">
        <is>
          <t>RENDAH</t>
        </is>
      </c>
      <c r="P131" t="n">
        <v>0</v>
      </c>
      <c r="Q131" t="n">
        <v>0</v>
      </c>
      <c r="R131" t="b">
        <v>1</v>
      </c>
      <c r="S131" t="n">
        <v>0.661</v>
      </c>
      <c r="T131" t="n">
        <v>0.8333</v>
      </c>
      <c r="U131" t="n">
        <v>0.2588</v>
      </c>
      <c r="V131" t="n">
        <v>0.2203</v>
      </c>
      <c r="W131" t="inlineStr">
        <is>
          <t>RENDAH</t>
        </is>
      </c>
      <c r="X131" t="n">
        <v>0</v>
      </c>
      <c r="Y131" t="n">
        <v>0</v>
      </c>
      <c r="AA131" t="n">
        <v>-0.0021</v>
      </c>
      <c r="AB131" t="n">
        <v>0.0014</v>
      </c>
    </row>
    <row r="132">
      <c r="A132" t="n">
        <v>131</v>
      </c>
      <c r="B132" t="inlineStr">
        <is>
          <t>confusion</t>
        </is>
      </c>
      <c r="C132" t="inlineStr">
        <is>
          <t>4TGR</t>
        </is>
      </c>
      <c r="D132" s="3" t="inlineStr">
        <is>
          <t>Di soal evaluasi ekspresi saya dapat: 2 ** 3 ** 2. Teman saya hitung (2**3)**2 = 8**2 = 64. Saya hitung 2**(3**2) = 2**9</t>
        </is>
      </c>
      <c r="E132" t="n">
        <v>1</v>
      </c>
      <c r="F132" t="n">
        <v>1</v>
      </c>
      <c r="G132" t="n">
        <v>0.7014</v>
      </c>
      <c r="H132" t="n">
        <v>1</v>
      </c>
      <c r="I132" t="n">
        <v>0.6667</v>
      </c>
      <c r="J132" s="3" t="inlineStr">
        <is>
          <t>GT_CT05.txt, GT_DETAIL_PT04_Abstraksi.txt, GT_DETAIL_PT05_Pattern_Recognition.txt, GT_SUBTOPIK_03_Pola_Bilangan_Deret.txt</t>
        </is>
      </c>
      <c r="K132" t="n">
        <v>0.8568</v>
      </c>
      <c r="L132" t="n">
        <v>1</v>
      </c>
      <c r="M132" t="n">
        <v>0.5225</v>
      </c>
      <c r="N132" t="n">
        <v>0.09950000000000001</v>
      </c>
      <c r="O132" t="inlineStr">
        <is>
          <t>RENDAH</t>
        </is>
      </c>
      <c r="P132" t="n">
        <v>0.0323</v>
      </c>
      <c r="Q132" t="n">
        <v>0</v>
      </c>
      <c r="R132" t="b">
        <v>1</v>
      </c>
      <c r="S132" t="n">
        <v>0.5336</v>
      </c>
      <c r="T132" t="n">
        <v>0.6667</v>
      </c>
      <c r="U132" t="n">
        <v>0.223</v>
      </c>
      <c r="V132" t="n">
        <v>0.3432</v>
      </c>
      <c r="W132" t="inlineStr">
        <is>
          <t>SEDANG</t>
        </is>
      </c>
      <c r="X132" t="n">
        <v>0.2</v>
      </c>
      <c r="Y132" t="n">
        <v>0</v>
      </c>
      <c r="Z132" t="b">
        <v>1</v>
      </c>
      <c r="AA132" t="n">
        <v>0.3232</v>
      </c>
      <c r="AB132" t="n">
        <v>-0.2437</v>
      </c>
    </row>
    <row r="133">
      <c r="A133" t="n">
        <v>132</v>
      </c>
      <c r="B133" t="inlineStr">
        <is>
          <t>application</t>
        </is>
      </c>
      <c r="C133" t="inlineStr">
        <is>
          <t>4PAR</t>
        </is>
      </c>
      <c r="D133" s="3" t="inlineStr">
        <is>
          <t>Saya diminta sederhanakan ekspresi boolean: (A AND B) OR (A AND NOT B). Teman saya langsung bilang jawabannya A tapi tid</t>
        </is>
      </c>
      <c r="E133" t="n">
        <v>1</v>
      </c>
      <c r="F133" t="n">
        <v>0.8571</v>
      </c>
      <c r="G133" t="n">
        <v>0.7411</v>
      </c>
      <c r="H133" t="n">
        <v>1</v>
      </c>
      <c r="I133" t="n">
        <v>0.8333</v>
      </c>
      <c r="J133" s="3" t="inlineStr">
        <is>
          <t>GT_CT07.txt, GT_CT09.txt, GT_CT10.txt, GT_DETAIL_PT04_Abstraksi.txt, GT_SUBTOPIK_05_Pseudocode_Algoritme.txt</t>
        </is>
      </c>
      <c r="K133" t="n">
        <v>0.7698</v>
      </c>
      <c r="L133" t="n">
        <v>1</v>
      </c>
      <c r="M133" t="n">
        <v>0.2327</v>
      </c>
      <c r="N133" t="n">
        <v>0.1496</v>
      </c>
      <c r="O133" t="inlineStr">
        <is>
          <t>RENDAH</t>
        </is>
      </c>
      <c r="P133" t="n">
        <v>0</v>
      </c>
      <c r="Q133" t="n">
        <v>0</v>
      </c>
      <c r="S133" t="n">
        <v>0.7598</v>
      </c>
      <c r="T133" t="n">
        <v>1</v>
      </c>
      <c r="U133" t="n">
        <v>0.1993</v>
      </c>
      <c r="V133" t="n">
        <v>0.1561</v>
      </c>
      <c r="W133" t="inlineStr">
        <is>
          <t>RENDAH</t>
        </is>
      </c>
      <c r="X133" t="n">
        <v>0</v>
      </c>
      <c r="Y133" t="n">
        <v>0</v>
      </c>
      <c r="Z133" t="b">
        <v>1</v>
      </c>
      <c r="AA133" t="n">
        <v>0.01</v>
      </c>
      <c r="AB133" t="n">
        <v>-0.0065</v>
      </c>
    </row>
    <row r="134">
      <c r="A134" t="n">
        <v>133</v>
      </c>
      <c r="B134" t="inlineStr">
        <is>
          <t>gap</t>
        </is>
      </c>
      <c r="C134" t="inlineStr">
        <is>
          <t>2TAI</t>
        </is>
      </c>
      <c r="D134" s="3" t="inlineStr">
        <is>
          <t>Saya bingung dengan ekspresi: x = 5 &gt; 3 AND 10 &lt; 20. Saya tidak tahu nilai x berakhir integer, boolean, atau error. Di P</t>
        </is>
      </c>
      <c r="E134" t="n">
        <v>1</v>
      </c>
      <c r="F134" t="n">
        <v>1</v>
      </c>
      <c r="G134" t="n">
        <v>0.7848000000000001</v>
      </c>
      <c r="H134" t="n">
        <v>1</v>
      </c>
      <c r="I134" t="n">
        <v>1</v>
      </c>
      <c r="J134" s="3" t="inlineStr">
        <is>
          <t>GT_DETAIL_PT07_Notasi_Algoritme.txt, GT_DETAIL_PT10_Percabangan.txt, GT_DETAIL_PT11_Perulangan.txt, GT_SUBTOPIK_04_Modulo_Siklus.txt, GT_SUBTOPIK_05_Pseudocode_Algoritme.txt, GT_SUBTOPIK_08_Perulangan_For_While.txt</t>
        </is>
      </c>
      <c r="K134" t="n">
        <v>0.7358</v>
      </c>
      <c r="L134" t="n">
        <v>1</v>
      </c>
      <c r="M134" t="n">
        <v>0.1193</v>
      </c>
      <c r="N134" t="n">
        <v>0.1717</v>
      </c>
      <c r="O134" t="inlineStr">
        <is>
          <t>RENDAH</t>
        </is>
      </c>
      <c r="P134" t="n">
        <v>0</v>
      </c>
      <c r="Q134" t="n">
        <v>0</v>
      </c>
      <c r="S134" t="n">
        <v>0.7396</v>
      </c>
      <c r="T134" t="n">
        <v>1</v>
      </c>
      <c r="U134" t="n">
        <v>0.1319</v>
      </c>
      <c r="V134" t="n">
        <v>0.1693</v>
      </c>
      <c r="W134" t="inlineStr">
        <is>
          <t>RENDAH</t>
        </is>
      </c>
      <c r="X134" t="n">
        <v>0</v>
      </c>
      <c r="Y134" t="n">
        <v>0</v>
      </c>
      <c r="AA134" t="n">
        <v>-0.0038</v>
      </c>
      <c r="AB134" t="n">
        <v>0.0024</v>
      </c>
    </row>
    <row r="135">
      <c r="A135" t="n">
        <v>134</v>
      </c>
      <c r="B135" t="inlineStr">
        <is>
          <t>application</t>
        </is>
      </c>
      <c r="C135" t="inlineStr">
        <is>
          <t>3TGI</t>
        </is>
      </c>
      <c r="D135" s="3" t="inlineStr">
        <is>
          <t>Soal trace: diberikan pseudocode berikut:
  read(tahun)
  if (tahun mod 4 == 0 AND tahun mod 100 != 0) OR (tahun mod 400</t>
        </is>
      </c>
      <c r="E135" t="n">
        <v>1</v>
      </c>
      <c r="F135" t="n">
        <v>0.8571</v>
      </c>
      <c r="G135" t="n">
        <v>0.8141</v>
      </c>
      <c r="H135" t="n">
        <v>1</v>
      </c>
      <c r="I135" t="n">
        <v>0.8333</v>
      </c>
      <c r="J135" s="3" t="inlineStr">
        <is>
          <t>GT_DETAIL_PT10_Percabangan.txt, GT_DETAIL_PT11_Perulangan.txt, GT_SUBTOPIK_05_Pseudocode_Algoritme.txt, GT_SUBTOPIK_07_Percabangan_Trace.txt, GT_SUBTOPIK_08_Perulangan_For_While.txt</t>
        </is>
      </c>
      <c r="K135" t="n">
        <v>0.761</v>
      </c>
      <c r="L135" t="n">
        <v>1</v>
      </c>
      <c r="M135" t="n">
        <v>0.2035</v>
      </c>
      <c r="N135" t="n">
        <v>0.1553</v>
      </c>
      <c r="O135" t="inlineStr">
        <is>
          <t>RENDAH</t>
        </is>
      </c>
      <c r="P135" t="n">
        <v>0</v>
      </c>
      <c r="Q135" t="n">
        <v>0</v>
      </c>
      <c r="R135" t="b">
        <v>1</v>
      </c>
      <c r="S135" t="n">
        <v>0.761</v>
      </c>
      <c r="T135" t="n">
        <v>1</v>
      </c>
      <c r="U135" t="n">
        <v>0.2035</v>
      </c>
      <c r="V135" t="n">
        <v>0.1553</v>
      </c>
      <c r="W135" t="inlineStr">
        <is>
          <t>RENDAH</t>
        </is>
      </c>
      <c r="X135" t="n">
        <v>0</v>
      </c>
      <c r="Y135" t="n">
        <v>0</v>
      </c>
      <c r="Z135" t="b">
        <v>1</v>
      </c>
      <c r="AA135" t="n">
        <v>0</v>
      </c>
      <c r="AB135" t="n">
        <v>0</v>
      </c>
    </row>
    <row r="136">
      <c r="A136" t="n">
        <v>135</v>
      </c>
      <c r="B136" t="inlineStr">
        <is>
          <t>application</t>
        </is>
      </c>
      <c r="C136" t="inlineStr">
        <is>
          <t>3PAI</t>
        </is>
      </c>
      <c r="D136" s="3" t="inlineStr">
        <is>
          <t xml:space="preserve">Saya diminta tulis pseudocode untuk kalkulator sederhana: baca dua bilangan dan satu operator (+, -, *, /), lalu hitung </t>
        </is>
      </c>
      <c r="E136" t="n">
        <v>1</v>
      </c>
      <c r="F136" t="n">
        <v>0.8571</v>
      </c>
      <c r="G136" t="n">
        <v>0.7711</v>
      </c>
      <c r="H136" t="n">
        <v>1</v>
      </c>
      <c r="I136" t="n">
        <v>1</v>
      </c>
      <c r="J136" s="3" t="inlineStr">
        <is>
          <t>GT_CT07.txt, GT_CT10.txt, GT_DETAIL_PT07_Notasi_Algoritme.txt, GT_DETAIL_PT10_Percabangan.txt, GT_DETAIL_PT11_Perulangan.txt, GT_SUBTOPIK_05_Pseudocode_Algoritme.txt</t>
        </is>
      </c>
      <c r="K136" t="n">
        <v>0.6107</v>
      </c>
      <c r="L136" t="n">
        <v>0.8333</v>
      </c>
      <c r="M136" t="n">
        <v>0.0912</v>
      </c>
      <c r="N136" t="n">
        <v>0.253</v>
      </c>
      <c r="O136" t="inlineStr">
        <is>
          <t>RENDAH</t>
        </is>
      </c>
      <c r="P136" t="n">
        <v>0</v>
      </c>
      <c r="Q136" t="n">
        <v>0</v>
      </c>
      <c r="R136" t="b">
        <v>1</v>
      </c>
      <c r="S136" t="n">
        <v>0.7559</v>
      </c>
      <c r="T136" t="n">
        <v>1</v>
      </c>
      <c r="U136" t="n">
        <v>0.1863</v>
      </c>
      <c r="V136" t="n">
        <v>0.1587</v>
      </c>
      <c r="W136" t="inlineStr">
        <is>
          <t>RENDAH</t>
        </is>
      </c>
      <c r="X136" t="n">
        <v>0</v>
      </c>
      <c r="Y136" t="n">
        <v>0</v>
      </c>
      <c r="Z136" t="b">
        <v>1</v>
      </c>
      <c r="AA136" t="n">
        <v>-0.1452</v>
      </c>
      <c r="AB136" t="n">
        <v>0.09429999999999999</v>
      </c>
    </row>
    <row r="137">
      <c r="A137" t="n">
        <v>136</v>
      </c>
      <c r="B137" t="inlineStr">
        <is>
          <t>application</t>
        </is>
      </c>
      <c r="C137" t="inlineStr">
        <is>
          <t>2PGI</t>
        </is>
      </c>
      <c r="D137" s="3" t="inlineStr">
        <is>
          <t>Saya dapat soal trace percabangan yang kompleks:
  read(a, b, c)
  if (a &gt; b) then
    if (a &gt; c) then print(a)
    else</t>
        </is>
      </c>
      <c r="E137" t="n">
        <v>1</v>
      </c>
      <c r="F137" t="n">
        <v>1</v>
      </c>
      <c r="G137" t="n">
        <v>0.8181</v>
      </c>
      <c r="H137" t="n">
        <v>1</v>
      </c>
      <c r="I137" t="n">
        <v>0.6667</v>
      </c>
      <c r="J137" s="3" t="inlineStr">
        <is>
          <t>GT_CT10.txt, GT_DETAIL_PT10_Percabangan.txt, GT_DETAIL_PT11_Perulangan.txt, GT_SUBTOPIK_07_Percabangan_Trace.txt</t>
        </is>
      </c>
      <c r="K137" t="n">
        <v>0.7847</v>
      </c>
      <c r="L137" t="n">
        <v>1</v>
      </c>
      <c r="M137" t="n">
        <v>0.2823</v>
      </c>
      <c r="N137" t="n">
        <v>0.1399</v>
      </c>
      <c r="O137" t="inlineStr">
        <is>
          <t>RENDAH</t>
        </is>
      </c>
      <c r="P137" t="n">
        <v>0</v>
      </c>
      <c r="Q137" t="n">
        <v>0</v>
      </c>
      <c r="R137" t="b">
        <v>1</v>
      </c>
      <c r="S137" t="n">
        <v>0.5223</v>
      </c>
      <c r="T137" t="n">
        <v>0.6667</v>
      </c>
      <c r="U137" t="n">
        <v>0.1854</v>
      </c>
      <c r="V137" t="n">
        <v>0.3105</v>
      </c>
      <c r="W137" t="inlineStr">
        <is>
          <t>RENDAH</t>
        </is>
      </c>
      <c r="X137" t="n">
        <v>0</v>
      </c>
      <c r="Y137" t="n">
        <v>0</v>
      </c>
      <c r="Z137" t="b">
        <v>1</v>
      </c>
      <c r="AA137" t="n">
        <v>0.2624</v>
      </c>
      <c r="AB137" t="n">
        <v>-0.1706</v>
      </c>
    </row>
    <row r="138">
      <c r="A138" t="n">
        <v>137</v>
      </c>
      <c r="B138" t="inlineStr">
        <is>
          <t>out_of_scope</t>
        </is>
      </c>
      <c r="C138" t="inlineStr">
        <is>
          <t>5TAI</t>
        </is>
      </c>
      <c r="D138" s="3" t="inlineStr">
        <is>
          <t>Dosen bilang ada perbedaan antara 'short-circuit evaluation' dalam ekspresi AND dan OR. Katanya kalau kondisi pertama Fa</t>
        </is>
      </c>
      <c r="E138" t="n">
        <v>1</v>
      </c>
      <c r="F138" t="n">
        <v>0.8571</v>
      </c>
      <c r="G138" t="n">
        <v>0.7554</v>
      </c>
      <c r="H138" t="n">
        <v>1</v>
      </c>
      <c r="I138" t="n">
        <v>1</v>
      </c>
      <c r="J138" s="3" t="inlineStr">
        <is>
          <t>GT_CT07.txt, GT_CT09.txt, GT_CT10.txt, GT_DETAIL_PT10_Percabangan.txt, GT_DETAIL_PT11_Perulangan.txt, GT_SUBTOPIK_05_Pseudocode_Algoritme.txt</t>
        </is>
      </c>
      <c r="K138" t="n">
        <v>0.8005</v>
      </c>
      <c r="L138" t="n">
        <v>1</v>
      </c>
      <c r="M138" t="n">
        <v>0.335</v>
      </c>
      <c r="N138" t="n">
        <v>0.1297</v>
      </c>
      <c r="O138" t="inlineStr">
        <is>
          <t>RENDAH</t>
        </is>
      </c>
      <c r="P138" t="n">
        <v>0</v>
      </c>
      <c r="Q138" t="n">
        <v>0</v>
      </c>
      <c r="R138" t="b">
        <v>0</v>
      </c>
      <c r="S138" t="n">
        <v>0.7674</v>
      </c>
      <c r="T138" t="n">
        <v>1</v>
      </c>
      <c r="U138" t="n">
        <v>0.2246</v>
      </c>
      <c r="V138" t="n">
        <v>0.1512</v>
      </c>
      <c r="W138" t="inlineStr">
        <is>
          <t>RENDAH</t>
        </is>
      </c>
      <c r="X138" t="n">
        <v>0</v>
      </c>
      <c r="Y138" t="n">
        <v>0</v>
      </c>
      <c r="AA138" t="n">
        <v>0.0331</v>
      </c>
      <c r="AB138" t="n">
        <v>-0.0215</v>
      </c>
    </row>
    <row r="139">
      <c r="A139" t="n">
        <v>138</v>
      </c>
      <c r="B139" t="inlineStr">
        <is>
          <t>application</t>
        </is>
      </c>
      <c r="C139" t="inlineStr">
        <is>
          <t>2TGR</t>
        </is>
      </c>
      <c r="D139" s="3" t="inlineStr">
        <is>
          <t>Soal CT: tulis pseudocode untuk menghitung nilai faktorial n menggunakan while loop (bukan rekursi). Saya bisa buat deng</t>
        </is>
      </c>
      <c r="E139" t="n">
        <v>1</v>
      </c>
      <c r="F139" t="n">
        <v>1</v>
      </c>
      <c r="G139" t="n">
        <v>0.7741</v>
      </c>
      <c r="H139" t="n">
        <v>1</v>
      </c>
      <c r="I139" t="n">
        <v>1</v>
      </c>
      <c r="J139" s="3" t="inlineStr">
        <is>
          <t>GT_CT07.txt, GT_CT10.txt, GT_CT11.txt, GT_DETAIL_PT07_Notasi_Algoritme.txt, GT_DETAIL_PT10_Percabangan.txt, GT_SUBTOPIK_05_Pseudocode_Algoritme.txt</t>
        </is>
      </c>
      <c r="K139" t="n">
        <v>0.6804</v>
      </c>
      <c r="L139" t="n">
        <v>0.8333</v>
      </c>
      <c r="M139" t="n">
        <v>0.3235</v>
      </c>
      <c r="N139" t="n">
        <v>0.2077</v>
      </c>
      <c r="O139" t="inlineStr">
        <is>
          <t>RENDAH</t>
        </is>
      </c>
      <c r="P139" t="n">
        <v>0</v>
      </c>
      <c r="Q139" t="n">
        <v>0</v>
      </c>
      <c r="R139" t="b">
        <v>1</v>
      </c>
      <c r="S139" t="n">
        <v>0.5399</v>
      </c>
      <c r="T139" t="n">
        <v>0.6667</v>
      </c>
      <c r="U139" t="n">
        <v>0.2442</v>
      </c>
      <c r="V139" t="n">
        <v>0.2991</v>
      </c>
      <c r="W139" t="inlineStr">
        <is>
          <t>RENDAH</t>
        </is>
      </c>
      <c r="X139" t="n">
        <v>0</v>
      </c>
      <c r="Y139" t="n">
        <v>0</v>
      </c>
      <c r="Z139" t="b">
        <v>1</v>
      </c>
      <c r="AA139" t="n">
        <v>0.1405</v>
      </c>
      <c r="AB139" t="n">
        <v>-0.0914</v>
      </c>
    </row>
    <row r="140">
      <c r="A140" t="n">
        <v>139</v>
      </c>
      <c r="B140" t="inlineStr">
        <is>
          <t>application</t>
        </is>
      </c>
      <c r="C140" t="inlineStr">
        <is>
          <t>2PAR</t>
        </is>
      </c>
      <c r="D140" s="3" t="inlineStr">
        <is>
          <t>Saya latihan trace while loop:
  x = 1
  jumlah = 0
  while (x &lt;= 5) do
    jumlah = jumlah + x * x
    x = x + 1
  prin</t>
        </is>
      </c>
      <c r="E140" t="n">
        <v>1</v>
      </c>
      <c r="F140" t="n">
        <v>1</v>
      </c>
      <c r="G140" t="n">
        <v>0.7593</v>
      </c>
      <c r="H140" t="n">
        <v>1</v>
      </c>
      <c r="I140" t="n">
        <v>0.6667</v>
      </c>
      <c r="J140" s="3" t="inlineStr">
        <is>
          <t>GT_CT11.txt, GT_DETAIL_PT11_Perulangan.txt, GT_SUBTOPIK_09_Nested_Loop.txt, GT_SUBTOPIK_14_Kompleksitas_BigO.txt</t>
        </is>
      </c>
      <c r="K140" t="n">
        <v>0.4286</v>
      </c>
      <c r="L140" t="n">
        <v>0.5</v>
      </c>
      <c r="M140" t="n">
        <v>0.262</v>
      </c>
      <c r="N140" t="n">
        <v>0.3791</v>
      </c>
      <c r="O140" t="inlineStr">
        <is>
          <t>SEDANG</t>
        </is>
      </c>
      <c r="P140" t="n">
        <v>0.0385</v>
      </c>
      <c r="Q140" t="n">
        <v>0</v>
      </c>
      <c r="R140" t="b">
        <v>1</v>
      </c>
      <c r="S140" t="n">
        <v>0.3093</v>
      </c>
      <c r="T140" t="n">
        <v>0.3333</v>
      </c>
      <c r="U140" t="n">
        <v>0.2534</v>
      </c>
      <c r="V140" t="n">
        <v>0.449</v>
      </c>
      <c r="W140" t="inlineStr">
        <is>
          <t>SEDANG</t>
        </is>
      </c>
      <c r="X140" t="n">
        <v>0</v>
      </c>
      <c r="Y140" t="n">
        <v>0</v>
      </c>
      <c r="Z140" t="b">
        <v>1</v>
      </c>
      <c r="AA140" t="n">
        <v>0.1193</v>
      </c>
      <c r="AB140" t="n">
        <v>-0.0699</v>
      </c>
    </row>
    <row r="141">
      <c r="A141" t="n">
        <v>140</v>
      </c>
      <c r="B141" t="inlineStr">
        <is>
          <t>application</t>
        </is>
      </c>
      <c r="C141" t="inlineStr">
        <is>
          <t>3TAR</t>
        </is>
      </c>
      <c r="D141" s="3" t="inlineStr">
        <is>
          <t xml:space="preserve">Di soal perulangan saya diminta hitung berapa banyak bilangan antara 1 sampai 1000 yang habis dibagi 3 TAPI tidak habis </t>
        </is>
      </c>
      <c r="E141" t="n">
        <v>1</v>
      </c>
      <c r="F141" t="n">
        <v>0.8571</v>
      </c>
      <c r="G141" t="n">
        <v>0.7675</v>
      </c>
      <c r="H141" t="n">
        <v>1</v>
      </c>
      <c r="I141" t="n">
        <v>0.8333</v>
      </c>
      <c r="J141" s="3" t="inlineStr">
        <is>
          <t>GT_CT07.txt, GT_DETAIL_PT07_Notasi_Algoritme.txt, GT_DETAIL_PT10_Percabangan.txt, GT_DETAIL_PT11_Perulangan.txt, GT_SUBTOPIK_05_Pseudocode_Algoritme.txt</t>
        </is>
      </c>
      <c r="K141" t="n">
        <v>0.7844</v>
      </c>
      <c r="L141" t="n">
        <v>1</v>
      </c>
      <c r="M141" t="n">
        <v>0.2814</v>
      </c>
      <c r="N141" t="n">
        <v>0.1401</v>
      </c>
      <c r="O141" t="inlineStr">
        <is>
          <t>RENDAH</t>
        </is>
      </c>
      <c r="P141" t="n">
        <v>0</v>
      </c>
      <c r="Q141" t="n">
        <v>0</v>
      </c>
      <c r="R141" t="b">
        <v>1</v>
      </c>
      <c r="S141" t="n">
        <v>0.7514</v>
      </c>
      <c r="T141" t="n">
        <v>1</v>
      </c>
      <c r="U141" t="n">
        <v>0.1715</v>
      </c>
      <c r="V141" t="n">
        <v>0.1616</v>
      </c>
      <c r="W141" t="inlineStr">
        <is>
          <t>RENDAH</t>
        </is>
      </c>
      <c r="X141" t="n">
        <v>0</v>
      </c>
      <c r="Y141" t="n">
        <v>0</v>
      </c>
      <c r="Z141" t="b">
        <v>1</v>
      </c>
      <c r="AA141" t="n">
        <v>0.033</v>
      </c>
      <c r="AB141" t="n">
        <v>-0.0215</v>
      </c>
    </row>
    <row r="142">
      <c r="A142" t="n">
        <v>141</v>
      </c>
      <c r="B142" t="inlineStr">
        <is>
          <t>application</t>
        </is>
      </c>
      <c r="C142" t="inlineStr">
        <is>
          <t>4PGI</t>
        </is>
      </c>
      <c r="D142" s="3" t="inlineStr">
        <is>
          <t>Saya buat pseudocode untuk cetak segitiga bintang tapi kali ini saya mau buat yang berbentuk berlian (diamond): baris pe</t>
        </is>
      </c>
      <c r="E142" t="n">
        <v>1</v>
      </c>
      <c r="F142" t="n">
        <v>0.8571</v>
      </c>
      <c r="G142" t="n">
        <v>0.7927999999999999</v>
      </c>
      <c r="H142" t="n">
        <v>1</v>
      </c>
      <c r="I142" t="n">
        <v>1</v>
      </c>
      <c r="J142" s="3" t="inlineStr">
        <is>
          <t>GT_CT07.txt, GT_CT10.txt, GT_DETAIL_PT07_Notasi_Algoritme.txt, GT_DETAIL_PT10_Percabangan.txt, GT_DETAIL_PT11_Perulangan.txt, GT_SUBTOPIK_05_Pseudocode_Algoritme.txt</t>
        </is>
      </c>
      <c r="K142" t="n">
        <v>0.6798</v>
      </c>
      <c r="L142" t="n">
        <v>0.8333</v>
      </c>
      <c r="M142" t="n">
        <v>0.3215</v>
      </c>
      <c r="N142" t="n">
        <v>0.2381</v>
      </c>
      <c r="O142" t="inlineStr">
        <is>
          <t>RENDAH</t>
        </is>
      </c>
      <c r="P142" t="n">
        <v>0</v>
      </c>
      <c r="Q142" t="n">
        <v>0.2</v>
      </c>
      <c r="R142" t="b">
        <v>1</v>
      </c>
      <c r="S142" t="n">
        <v>0.6619</v>
      </c>
      <c r="T142" t="n">
        <v>0.8333</v>
      </c>
      <c r="U142" t="n">
        <v>0.262</v>
      </c>
      <c r="V142" t="n">
        <v>0.2198</v>
      </c>
      <c r="W142" t="inlineStr">
        <is>
          <t>RENDAH</t>
        </is>
      </c>
      <c r="X142" t="n">
        <v>0</v>
      </c>
      <c r="Y142" t="n">
        <v>0</v>
      </c>
      <c r="Z142" t="b">
        <v>1</v>
      </c>
      <c r="AA142" t="n">
        <v>0.0179</v>
      </c>
      <c r="AB142" t="n">
        <v>0.0183</v>
      </c>
    </row>
    <row r="143">
      <c r="A143" t="n">
        <v>142</v>
      </c>
      <c r="B143" t="inlineStr">
        <is>
          <t>application</t>
        </is>
      </c>
      <c r="C143" t="inlineStr">
        <is>
          <t>4TGI</t>
        </is>
      </c>
      <c r="D143" s="3" t="inlineStr">
        <is>
          <t>Soal: berapa total iterasi yang dieksekusi dari pseudocode berikut?
  for i = 1 to n do
    for j = i to n do
      prin</t>
        </is>
      </c>
      <c r="E143" t="n">
        <v>1</v>
      </c>
      <c r="F143" t="n">
        <v>1</v>
      </c>
      <c r="G143" t="n">
        <v>0.8189</v>
      </c>
      <c r="H143" t="n">
        <v>1</v>
      </c>
      <c r="I143" t="n">
        <v>0.8333</v>
      </c>
      <c r="J143" s="3" t="inlineStr">
        <is>
          <t>GT_CT11.txt, GT_DETAIL_PT11_Perulangan.txt, GT_SUBTOPIK_01_Dekomposisi_Optimasi.txt, GT_SUBTOPIK_04_Modulo_Siklus.txt, GT_SUBTOPIK_05_Pseudocode_Algoritme.txt</t>
        </is>
      </c>
      <c r="K143" t="n">
        <v>0.7894</v>
      </c>
      <c r="L143" t="n">
        <v>1</v>
      </c>
      <c r="M143" t="n">
        <v>0.2979</v>
      </c>
      <c r="N143" t="n">
        <v>0.1474</v>
      </c>
      <c r="O143" t="inlineStr">
        <is>
          <t>RENDAH</t>
        </is>
      </c>
      <c r="P143" t="n">
        <v>0.0526</v>
      </c>
      <c r="Q143" t="n">
        <v>0</v>
      </c>
      <c r="R143" t="b">
        <v>1</v>
      </c>
      <c r="S143" t="n">
        <v>0.7528</v>
      </c>
      <c r="T143" t="n">
        <v>1</v>
      </c>
      <c r="U143" t="n">
        <v>0.1758</v>
      </c>
      <c r="V143" t="n">
        <v>0.174</v>
      </c>
      <c r="W143" t="inlineStr">
        <is>
          <t>RENDAH</t>
        </is>
      </c>
      <c r="X143" t="n">
        <v>0.0667</v>
      </c>
      <c r="Y143" t="n">
        <v>0</v>
      </c>
      <c r="Z143" t="b">
        <v>1</v>
      </c>
      <c r="AA143" t="n">
        <v>0.0366</v>
      </c>
      <c r="AB143" t="n">
        <v>-0.0266</v>
      </c>
    </row>
    <row r="144">
      <c r="A144" t="n">
        <v>143</v>
      </c>
      <c r="B144" t="inlineStr">
        <is>
          <t>gap</t>
        </is>
      </c>
      <c r="C144" t="inlineStr">
        <is>
          <t>4TAI</t>
        </is>
      </c>
      <c r="D144" s="3" t="inlineStr">
        <is>
          <t>Saya diminta buat fungsi pseudocode yang menerima array nilai mahasiswa dan mengembalikan: rata-rata, nilai tertinggi, d</t>
        </is>
      </c>
      <c r="E144" t="n">
        <v>1</v>
      </c>
      <c r="F144" t="n">
        <v>0.8571</v>
      </c>
      <c r="G144" t="n">
        <v>0.7752</v>
      </c>
      <c r="H144" t="n">
        <v>1</v>
      </c>
      <c r="I144" t="n">
        <v>1</v>
      </c>
      <c r="J144" s="3" t="inlineStr">
        <is>
          <t>GT_CT07.txt, GT_CT10.txt, GT_DETAIL_PT07_Notasi_Algoritme.txt, GT_DETAIL_PT10_Percabangan.txt, GT_DETAIL_PT12_Fungsi.txt, GT_SUBTOPIK_05_Pseudocode_Algoritme.txt</t>
        </is>
      </c>
      <c r="K144" t="n">
        <v>0.6724</v>
      </c>
      <c r="L144" t="n">
        <v>0.8333</v>
      </c>
      <c r="M144" t="n">
        <v>0.2971</v>
      </c>
      <c r="N144" t="n">
        <v>0.2129</v>
      </c>
      <c r="O144" t="inlineStr">
        <is>
          <t>RENDAH</t>
        </is>
      </c>
      <c r="P144" t="n">
        <v>0</v>
      </c>
      <c r="Q144" t="n">
        <v>0</v>
      </c>
      <c r="S144" t="n">
        <v>0.5339</v>
      </c>
      <c r="T144" t="n">
        <v>0.6667</v>
      </c>
      <c r="U144" t="n">
        <v>0.2239</v>
      </c>
      <c r="V144" t="n">
        <v>0.303</v>
      </c>
      <c r="W144" t="inlineStr">
        <is>
          <t>RENDAH</t>
        </is>
      </c>
      <c r="X144" t="n">
        <v>0</v>
      </c>
      <c r="Y144" t="n">
        <v>0</v>
      </c>
      <c r="Z144" t="b">
        <v>1</v>
      </c>
      <c r="AA144" t="n">
        <v>0.1385</v>
      </c>
      <c r="AB144" t="n">
        <v>-0.0901</v>
      </c>
    </row>
    <row r="145">
      <c r="A145" t="n">
        <v>144</v>
      </c>
      <c r="B145" t="inlineStr">
        <is>
          <t>application</t>
        </is>
      </c>
      <c r="C145" t="inlineStr">
        <is>
          <t>3PGR</t>
        </is>
      </c>
      <c r="D145" s="3" t="inlineStr">
        <is>
          <t>Saya latihan buat fungsi rekursif untuk KPK (Kelipatan Persekutuan Terkecil). Saya tahu KPK(a,b) = (a×b) / FPB(a,b). Jad</t>
        </is>
      </c>
      <c r="E145" t="n">
        <v>1</v>
      </c>
      <c r="F145" t="n">
        <v>0.8571</v>
      </c>
      <c r="G145" t="n">
        <v>0.7843</v>
      </c>
      <c r="H145" t="n">
        <v>1</v>
      </c>
      <c r="I145" t="n">
        <v>0.8333</v>
      </c>
      <c r="J145" s="3" t="inlineStr">
        <is>
          <t>GT_CT07.txt, GT_CT10.txt, GT_DETAIL_PT07_Notasi_Algoritme.txt, GT_DETAIL_PT10_Percabangan.txt, GT_SUBTOPIK_05_Pseudocode_Algoritme.txt</t>
        </is>
      </c>
      <c r="K145" t="n">
        <v>0.7655999999999999</v>
      </c>
      <c r="L145" t="n">
        <v>1</v>
      </c>
      <c r="M145" t="n">
        <v>0.2187</v>
      </c>
      <c r="N145" t="n">
        <v>0.1524</v>
      </c>
      <c r="O145" t="inlineStr">
        <is>
          <t>RENDAH</t>
        </is>
      </c>
      <c r="P145" t="n">
        <v>0</v>
      </c>
      <c r="Q145" t="n">
        <v>0</v>
      </c>
      <c r="R145" t="b">
        <v>1</v>
      </c>
      <c r="S145" t="n">
        <v>0.5624</v>
      </c>
      <c r="T145" t="n">
        <v>0.75</v>
      </c>
      <c r="U145" t="n">
        <v>0.1246</v>
      </c>
      <c r="V145" t="n">
        <v>0.2844</v>
      </c>
      <c r="W145" t="inlineStr">
        <is>
          <t>RENDAH</t>
        </is>
      </c>
      <c r="X145" t="n">
        <v>0</v>
      </c>
      <c r="Y145" t="n">
        <v>0</v>
      </c>
      <c r="Z145" t="b">
        <v>1</v>
      </c>
      <c r="AA145" t="n">
        <v>0.2032</v>
      </c>
      <c r="AB145" t="n">
        <v>-0.132</v>
      </c>
    </row>
    <row r="146">
      <c r="A146" t="n">
        <v>145</v>
      </c>
      <c r="B146" t="inlineStr">
        <is>
          <t>confusion</t>
        </is>
      </c>
      <c r="C146" t="inlineStr">
        <is>
          <t>3TGR</t>
        </is>
      </c>
      <c r="D146" s="3" t="inlineStr">
        <is>
          <t>Di tugas saya ada soal: buat prosedur 'tukar' untuk menukar nilai dua variabel a dan b. Saya tulis:
  procedure tukar(a,</t>
        </is>
      </c>
      <c r="E146" t="n">
        <v>1</v>
      </c>
      <c r="F146" t="n">
        <v>1</v>
      </c>
      <c r="G146" t="n">
        <v>0.7378</v>
      </c>
      <c r="H146" t="n">
        <v>1</v>
      </c>
      <c r="I146" t="n">
        <v>0.8333</v>
      </c>
      <c r="J146" s="3" t="inlineStr">
        <is>
          <t>GT_CT09.txt, GT_DETAIL_PT04_Abstraksi.txt, GT_DETAIL_PT11_Perulangan.txt, GT_DETAIL_PT12_Fungsi.txt, GT_SUBTOPIK_02_Abstraksi_Formulasi.txt</t>
        </is>
      </c>
      <c r="K146" t="n">
        <v>0.6391</v>
      </c>
      <c r="L146" t="n">
        <v>0.8333</v>
      </c>
      <c r="M146" t="n">
        <v>0.186</v>
      </c>
      <c r="N146" t="n">
        <v>0.2346</v>
      </c>
      <c r="O146" t="inlineStr">
        <is>
          <t>RENDAH</t>
        </is>
      </c>
      <c r="P146" t="n">
        <v>0</v>
      </c>
      <c r="Q146" t="n">
        <v>0</v>
      </c>
      <c r="R146" t="b">
        <v>1</v>
      </c>
      <c r="S146" t="n">
        <v>0.3374</v>
      </c>
      <c r="T146" t="n">
        <v>0.4</v>
      </c>
      <c r="U146" t="n">
        <v>0.1912</v>
      </c>
      <c r="V146" t="n">
        <v>0.4307</v>
      </c>
      <c r="W146" t="inlineStr">
        <is>
          <t>SEDANG</t>
        </is>
      </c>
      <c r="X146" t="n">
        <v>0</v>
      </c>
      <c r="Y146" t="n">
        <v>0</v>
      </c>
      <c r="Z146" t="b">
        <v>1</v>
      </c>
      <c r="AA146" t="n">
        <v>0.3017</v>
      </c>
      <c r="AB146" t="n">
        <v>-0.1961</v>
      </c>
    </row>
    <row r="147">
      <c r="A147" t="n">
        <v>146</v>
      </c>
      <c r="B147" t="inlineStr">
        <is>
          <t>application</t>
        </is>
      </c>
      <c r="C147" t="inlineStr">
        <is>
          <t>3PAI</t>
        </is>
      </c>
      <c r="D147" s="3" t="inlineStr">
        <is>
          <t>Soal rekursi: hitung jumlah semua bilangan bulat dari 1 sampai n. Saya diminta buat versi rekursif DAN versi iteratif, l</t>
        </is>
      </c>
      <c r="E147" t="n">
        <v>1</v>
      </c>
      <c r="F147" t="n">
        <v>0.8571</v>
      </c>
      <c r="G147" t="n">
        <v>0.7433999999999999</v>
      </c>
      <c r="H147" t="n">
        <v>1</v>
      </c>
      <c r="I147" t="n">
        <v>1</v>
      </c>
      <c r="J147" s="3" t="inlineStr">
        <is>
          <t>GT_CT07.txt, GT_CT09.txt, GT_DETAIL_PT01_Pendahuluan.txt, GT_SUBTOPIK_03_Pola_Bilangan_Deret.txt, GT_SUBTOPIK_13_Graph_Tree.txt, GT_SUBTOPIK_14_Kompleksitas_BigO.txt</t>
        </is>
      </c>
      <c r="K147" t="n">
        <v>0.3861</v>
      </c>
      <c r="L147" t="n">
        <v>0.5</v>
      </c>
      <c r="M147" t="n">
        <v>0.1203</v>
      </c>
      <c r="N147" t="n">
        <v>0.399</v>
      </c>
      <c r="O147" t="inlineStr">
        <is>
          <t>SEDANG</t>
        </is>
      </c>
      <c r="P147" t="n">
        <v>0</v>
      </c>
      <c r="Q147" t="n">
        <v>0</v>
      </c>
      <c r="R147" t="b">
        <v>1</v>
      </c>
      <c r="S147" t="n">
        <v>0.747</v>
      </c>
      <c r="T147" t="n">
        <v>1</v>
      </c>
      <c r="U147" t="n">
        <v>0.1566</v>
      </c>
      <c r="V147" t="n">
        <v>0.1645</v>
      </c>
      <c r="W147" t="inlineStr">
        <is>
          <t>RENDAH</t>
        </is>
      </c>
      <c r="X147" t="n">
        <v>0</v>
      </c>
      <c r="Y147" t="n">
        <v>0</v>
      </c>
      <c r="Z147" t="b">
        <v>1</v>
      </c>
      <c r="AA147" t="n">
        <v>-0.3609</v>
      </c>
      <c r="AB147" t="n">
        <v>0.2345</v>
      </c>
    </row>
    <row r="148">
      <c r="A148" t="n">
        <v>147</v>
      </c>
      <c r="B148" t="inlineStr">
        <is>
          <t>application</t>
        </is>
      </c>
      <c r="C148" t="inlineStr">
        <is>
          <t>4TGR</t>
        </is>
      </c>
      <c r="D148" s="3" t="inlineStr">
        <is>
          <t>Saya punya soal rekursi: fungsi myFunc(n) = myFunc(n-1) + myFunc(n-2) + 1, dengan myFunc(0) = 0 dan myFunc(1) = 1. Dimin</t>
        </is>
      </c>
      <c r="E148" t="n">
        <v>1</v>
      </c>
      <c r="F148" t="n">
        <v>0.8571</v>
      </c>
      <c r="G148" t="n">
        <v>0.7774</v>
      </c>
      <c r="H148" t="n">
        <v>1</v>
      </c>
      <c r="I148" t="n">
        <v>0.6667</v>
      </c>
      <c r="J148" s="3" t="inlineStr">
        <is>
          <t>GT_DETAIL_PT05_Pattern_Recognition.txt, GT_DETAIL_PT09_Variabel_TipeData_Operator_List.txt, GT_SUBTOPIK_03_Pola_Bilangan_Deret.txt, GT_SUBTOPIK_08_Perulangan_For_While.txt</t>
        </is>
      </c>
      <c r="K148" t="n">
        <v>0.6101</v>
      </c>
      <c r="L148" t="n">
        <v>0.8333</v>
      </c>
      <c r="M148" t="n">
        <v>0.0892</v>
      </c>
      <c r="N148" t="n">
        <v>0.2534</v>
      </c>
      <c r="O148" t="inlineStr">
        <is>
          <t>RENDAH</t>
        </is>
      </c>
      <c r="P148" t="n">
        <v>0</v>
      </c>
      <c r="Q148" t="n">
        <v>0</v>
      </c>
      <c r="R148" t="b">
        <v>1</v>
      </c>
      <c r="S148" t="n">
        <v>0.6306</v>
      </c>
      <c r="T148" t="n">
        <v>0.8333</v>
      </c>
      <c r="U148" t="n">
        <v>0.1576</v>
      </c>
      <c r="V148" t="n">
        <v>0.2401</v>
      </c>
      <c r="W148" t="inlineStr">
        <is>
          <t>RENDAH</t>
        </is>
      </c>
      <c r="X148" t="n">
        <v>0</v>
      </c>
      <c r="Y148" t="n">
        <v>0</v>
      </c>
      <c r="Z148" t="b">
        <v>1</v>
      </c>
      <c r="AA148" t="n">
        <v>-0.0205</v>
      </c>
      <c r="AB148" t="n">
        <v>0.0133</v>
      </c>
    </row>
    <row r="149">
      <c r="A149" t="n">
        <v>148</v>
      </c>
      <c r="B149" t="inlineStr">
        <is>
          <t>out_of_scope</t>
        </is>
      </c>
      <c r="C149" t="inlineStr">
        <is>
          <t>6TGR</t>
        </is>
      </c>
      <c r="D149" s="3" t="inlineStr">
        <is>
          <t>Saya baca bahwa ada teknik 'tail recursion' yang lebih efisien dari rekursi biasa karena tidak menumpuk call stack. Apak</t>
        </is>
      </c>
      <c r="E149" t="n">
        <v>1</v>
      </c>
      <c r="F149" t="n">
        <v>1</v>
      </c>
      <c r="G149" t="n">
        <v>0.7461</v>
      </c>
      <c r="H149" t="n">
        <v>1</v>
      </c>
      <c r="I149" t="n">
        <v>0.8333</v>
      </c>
      <c r="J149" s="3" t="inlineStr">
        <is>
          <t>GT_CT07.txt, GT_DETAIL_PT07_Notasi_Algoritme.txt, GT_DETAIL_PT10_Percabangan.txt, GT_DETAIL_PT11_Perulangan.txt, GT_SUBTOPIK_05_Pseudocode_Algoritme.txt</t>
        </is>
      </c>
      <c r="K149" t="n">
        <v>0.7711</v>
      </c>
      <c r="L149" t="n">
        <v>1</v>
      </c>
      <c r="M149" t="n">
        <v>0.237</v>
      </c>
      <c r="N149" t="n">
        <v>0.1488</v>
      </c>
      <c r="O149" t="inlineStr">
        <is>
          <t>RENDAH</t>
        </is>
      </c>
      <c r="P149" t="n">
        <v>0</v>
      </c>
      <c r="Q149" t="n">
        <v>0</v>
      </c>
      <c r="S149" t="n">
        <v>0.6544</v>
      </c>
      <c r="T149" t="n">
        <v>0.8333</v>
      </c>
      <c r="U149" t="n">
        <v>0.237</v>
      </c>
      <c r="V149" t="n">
        <v>0.2246</v>
      </c>
      <c r="W149" t="inlineStr">
        <is>
          <t>RENDAH</t>
        </is>
      </c>
      <c r="X149" t="n">
        <v>0</v>
      </c>
      <c r="Y149" t="n">
        <v>0</v>
      </c>
      <c r="AA149" t="n">
        <v>0.1167</v>
      </c>
      <c r="AB149" t="n">
        <v>-0.07580000000000001</v>
      </c>
    </row>
    <row r="150">
      <c r="A150" t="n">
        <v>149</v>
      </c>
      <c r="B150" t="inlineStr">
        <is>
          <t>application</t>
        </is>
      </c>
      <c r="C150" t="inlineStr">
        <is>
          <t>5PGR</t>
        </is>
      </c>
      <c r="D150" s="3" t="inlineStr">
        <is>
          <t>Soal rekursi: menara Hanoi dengan 3 cakram. Dosen minta hitung berapa minimum perpindahan yang diperlukan. Saya tahu rum</t>
        </is>
      </c>
      <c r="E150" t="n">
        <v>1</v>
      </c>
      <c r="F150" t="n">
        <v>0.8571</v>
      </c>
      <c r="G150" t="n">
        <v>0.7806999999999999</v>
      </c>
      <c r="H150" t="n">
        <v>1</v>
      </c>
      <c r="I150" t="n">
        <v>1</v>
      </c>
      <c r="J150" s="3" t="inlineStr">
        <is>
          <t>GT_CT07.txt, GT_CT10.txt, GT_DETAIL_PT07_Notasi_Algoritme.txt, GT_DETAIL_PT10_Percabangan.txt, GT_SUBTOPIK_04_Modulo_Siklus.txt, GT_SUBTOPIK_05_Pseudocode_Algoritme.txt</t>
        </is>
      </c>
      <c r="K150" t="n">
        <v>0.4125</v>
      </c>
      <c r="L150" t="n">
        <v>0.5</v>
      </c>
      <c r="M150" t="n">
        <v>0.2085</v>
      </c>
      <c r="N150" t="n">
        <v>0.3819</v>
      </c>
      <c r="O150" t="inlineStr">
        <is>
          <t>SEDANG</t>
        </is>
      </c>
      <c r="P150" t="n">
        <v>0</v>
      </c>
      <c r="Q150" t="n">
        <v>0</v>
      </c>
      <c r="R150" t="b">
        <v>1</v>
      </c>
      <c r="S150" t="n">
        <v>0.3001</v>
      </c>
      <c r="T150" t="n">
        <v>0.3333</v>
      </c>
      <c r="U150" t="n">
        <v>0.2225</v>
      </c>
      <c r="V150" t="n">
        <v>0.4549</v>
      </c>
      <c r="W150" t="inlineStr">
        <is>
          <t>SEDANG</t>
        </is>
      </c>
      <c r="X150" t="n">
        <v>0</v>
      </c>
      <c r="Y150" t="n">
        <v>0</v>
      </c>
      <c r="Z150" t="b">
        <v>1</v>
      </c>
      <c r="AA150" t="n">
        <v>0.1124</v>
      </c>
      <c r="AB150" t="n">
        <v>-0.073</v>
      </c>
    </row>
    <row r="151">
      <c r="A151" t="n">
        <v>150</v>
      </c>
      <c r="B151" t="inlineStr">
        <is>
          <t>application</t>
        </is>
      </c>
      <c r="C151" t="inlineStr">
        <is>
          <t>2PAR</t>
        </is>
      </c>
      <c r="D151" s="3" t="inlineStr">
        <is>
          <t xml:space="preserve">Soal: saya punya list [5, 2, 8, 1, 9, 3] dan diminta lakukan operasi berikut satu per satu: append(7), insert di indeks </t>
        </is>
      </c>
      <c r="E151" t="n">
        <v>1</v>
      </c>
      <c r="F151" t="n">
        <v>0.8571</v>
      </c>
      <c r="G151" t="n">
        <v>0.7239</v>
      </c>
      <c r="H151" t="n">
        <v>1</v>
      </c>
      <c r="I151" t="n">
        <v>0.6667</v>
      </c>
      <c r="J151" s="3" t="inlineStr">
        <is>
          <t>GT_CT09.txt, GT_CT13.txt, GT_DETAIL_PT01_Pendahuluan.txt, GT_DETAIL_PT13_Struktur_Data.txt</t>
        </is>
      </c>
      <c r="K151" t="n">
        <v>0.7502</v>
      </c>
      <c r="L151" t="n">
        <v>1</v>
      </c>
      <c r="M151" t="n">
        <v>0.1675</v>
      </c>
      <c r="N151" t="n">
        <v>0.1624</v>
      </c>
      <c r="O151" t="inlineStr">
        <is>
          <t>RENDAH</t>
        </is>
      </c>
      <c r="P151" t="n">
        <v>0</v>
      </c>
      <c r="Q151" t="n">
        <v>0</v>
      </c>
      <c r="R151" t="b">
        <v>1</v>
      </c>
      <c r="S151" t="n">
        <v>0.6185</v>
      </c>
      <c r="T151" t="n">
        <v>0.8333</v>
      </c>
      <c r="U151" t="n">
        <v>0.1174</v>
      </c>
      <c r="V151" t="n">
        <v>0.248</v>
      </c>
      <c r="W151" t="inlineStr">
        <is>
          <t>RENDAH</t>
        </is>
      </c>
      <c r="X151" t="n">
        <v>0</v>
      </c>
      <c r="Y151" t="n">
        <v>0</v>
      </c>
      <c r="Z151" t="b">
        <v>1</v>
      </c>
      <c r="AA151" t="n">
        <v>0.1317</v>
      </c>
      <c r="AB151" t="n">
        <v>-0.0856</v>
      </c>
    </row>
    <row r="152">
      <c r="A152" t="n">
        <v>151</v>
      </c>
      <c r="B152" t="inlineStr">
        <is>
          <t>confusion</t>
        </is>
      </c>
      <c r="C152" t="inlineStr">
        <is>
          <t>4TAR</t>
        </is>
      </c>
      <c r="D152" s="3" t="inlineStr">
        <is>
          <t>Dosen menjelaskan bahwa list di CT bisa dipakai sebagai implementasi stack dengan append dan pop, atau sebagai queue den</t>
        </is>
      </c>
      <c r="E152" t="n">
        <v>1</v>
      </c>
      <c r="F152" t="n">
        <v>0.8571</v>
      </c>
      <c r="G152" t="n">
        <v>0.77</v>
      </c>
      <c r="H152" t="n">
        <v>1</v>
      </c>
      <c r="I152" t="n">
        <v>0.5</v>
      </c>
      <c r="J152" s="3" t="inlineStr">
        <is>
          <t>GT_CT13.txt, GT_DETAIL_PT13_Struktur_Data.txt, GT_SUBTOPIK_12_Stack_Queue.txt</t>
        </is>
      </c>
      <c r="K152" t="n">
        <v>0.801</v>
      </c>
      <c r="L152" t="n">
        <v>1</v>
      </c>
      <c r="M152" t="n">
        <v>0.3366</v>
      </c>
      <c r="N152" t="n">
        <v>0.1593</v>
      </c>
      <c r="O152" t="inlineStr">
        <is>
          <t>RENDAH</t>
        </is>
      </c>
      <c r="P152" t="n">
        <v>0</v>
      </c>
      <c r="Q152" t="n">
        <v>0.2</v>
      </c>
      <c r="R152" t="b">
        <v>1</v>
      </c>
      <c r="S152" t="n">
        <v>0.777</v>
      </c>
      <c r="T152" t="n">
        <v>1</v>
      </c>
      <c r="U152" t="n">
        <v>0.2567</v>
      </c>
      <c r="V152" t="n">
        <v>0.1449</v>
      </c>
      <c r="W152" t="inlineStr">
        <is>
          <t>RENDAH</t>
        </is>
      </c>
      <c r="X152" t="n">
        <v>0</v>
      </c>
      <c r="Y152" t="n">
        <v>0</v>
      </c>
      <c r="Z152" t="b">
        <v>1</v>
      </c>
      <c r="AA152" t="n">
        <v>0.024</v>
      </c>
      <c r="AB152" t="n">
        <v>0.0144</v>
      </c>
    </row>
    <row r="153">
      <c r="A153" t="n">
        <v>152</v>
      </c>
      <c r="B153" t="inlineStr">
        <is>
          <t>application</t>
        </is>
      </c>
      <c r="C153" t="inlineStr">
        <is>
          <t>4PGI</t>
        </is>
      </c>
      <c r="D153" s="3" t="inlineStr">
        <is>
          <t>Saya diminta implementasikan operasi 'rotate' pada list: geser semua elemen k posisi ke kiri. Contoh: [1,2,3,4,5] rotasi</t>
        </is>
      </c>
      <c r="E153" t="n">
        <v>1</v>
      </c>
      <c r="F153" t="n">
        <v>0.8571</v>
      </c>
      <c r="G153" t="n">
        <v>0.7231</v>
      </c>
      <c r="H153" t="n">
        <v>1</v>
      </c>
      <c r="I153" t="n">
        <v>1</v>
      </c>
      <c r="J153" s="3" t="inlineStr">
        <is>
          <t>GT_CT07.txt, GT_CT10.txt, GT_DETAIL_PT07_Notasi_Algoritme.txt, GT_DETAIL_PT10_Percabangan.txt, GT_DETAIL_PT11_Perulangan.txt, GT_SUBTOPIK_05_Pseudocode_Algoritme.txt</t>
        </is>
      </c>
      <c r="K153" t="n">
        <v>0.6598000000000001</v>
      </c>
      <c r="L153" t="n">
        <v>0.8333</v>
      </c>
      <c r="M153" t="n">
        <v>0.2549</v>
      </c>
      <c r="N153" t="n">
        <v>0.2211</v>
      </c>
      <c r="O153" t="inlineStr">
        <is>
          <t>RENDAH</t>
        </is>
      </c>
      <c r="P153" t="n">
        <v>0</v>
      </c>
      <c r="Q153" t="n">
        <v>0</v>
      </c>
      <c r="R153" t="b">
        <v>1</v>
      </c>
      <c r="S153" t="n">
        <v>0.5247000000000001</v>
      </c>
      <c r="T153" t="n">
        <v>0.6667</v>
      </c>
      <c r="U153" t="n">
        <v>0.1934</v>
      </c>
      <c r="V153" t="n">
        <v>0.3089</v>
      </c>
      <c r="W153" t="inlineStr">
        <is>
          <t>RENDAH</t>
        </is>
      </c>
      <c r="X153" t="n">
        <v>0</v>
      </c>
      <c r="Y153" t="n">
        <v>0</v>
      </c>
      <c r="Z153" t="b">
        <v>1</v>
      </c>
      <c r="AA153" t="n">
        <v>0.1351</v>
      </c>
      <c r="AB153" t="n">
        <v>-0.0878</v>
      </c>
    </row>
    <row r="154">
      <c r="A154" t="n">
        <v>153</v>
      </c>
      <c r="B154" t="inlineStr">
        <is>
          <t>application</t>
        </is>
      </c>
      <c r="C154" t="inlineStr">
        <is>
          <t>5TAI</t>
        </is>
      </c>
      <c r="D154" s="3" t="inlineStr">
        <is>
          <t>Saya punya soal: gunakan DUA stack untuk mensimulasikan queue. Operasi: enqueue(1), enqueue(2), enqueue(3), dequeue, enq</t>
        </is>
      </c>
      <c r="E154" t="n">
        <v>1</v>
      </c>
      <c r="F154" t="n">
        <v>0.75</v>
      </c>
      <c r="G154" t="n">
        <v>0.8172</v>
      </c>
      <c r="H154" t="n">
        <v>1</v>
      </c>
      <c r="I154" t="n">
        <v>0.5</v>
      </c>
      <c r="J154" s="3" t="inlineStr">
        <is>
          <t>GT_CT13.txt, GT_DETAIL_PT13_Struktur_Data.txt, GT_SUBTOPIK_12_Stack_Queue.txt</t>
        </is>
      </c>
      <c r="K154" t="n">
        <v>0.66</v>
      </c>
      <c r="L154" t="n">
        <v>0.8333</v>
      </c>
      <c r="M154" t="n">
        <v>0.2555</v>
      </c>
      <c r="N154" t="n">
        <v>0.221</v>
      </c>
      <c r="O154" t="inlineStr">
        <is>
          <t>RENDAH</t>
        </is>
      </c>
      <c r="P154" t="n">
        <v>0</v>
      </c>
      <c r="Q154" t="n">
        <v>0</v>
      </c>
      <c r="R154" t="b">
        <v>1</v>
      </c>
      <c r="S154" t="n">
        <v>0.7766999999999999</v>
      </c>
      <c r="T154" t="n">
        <v>1</v>
      </c>
      <c r="U154" t="n">
        <v>0.2555</v>
      </c>
      <c r="V154" t="n">
        <v>0.1451</v>
      </c>
      <c r="W154" t="inlineStr">
        <is>
          <t>RENDAH</t>
        </is>
      </c>
      <c r="X154" t="n">
        <v>0</v>
      </c>
      <c r="Y154" t="n">
        <v>0</v>
      </c>
      <c r="Z154" t="b">
        <v>1</v>
      </c>
      <c r="AA154" t="n">
        <v>-0.1167</v>
      </c>
      <c r="AB154" t="n">
        <v>0.0759</v>
      </c>
    </row>
    <row r="155">
      <c r="A155" t="n">
        <v>154</v>
      </c>
      <c r="B155" t="inlineStr">
        <is>
          <t>application</t>
        </is>
      </c>
      <c r="C155" t="inlineStr">
        <is>
          <t>5TGR</t>
        </is>
      </c>
      <c r="D155" s="3" t="inlineStr">
        <is>
          <t>Soal simulasi stack: saya punya ekspresi postfix '3 4 + 2 * 7 -'. Dosen minta evaluasi menggunakan stack. Saya paham sta</t>
        </is>
      </c>
      <c r="E155" t="n">
        <v>1</v>
      </c>
      <c r="F155" t="n">
        <v>0.8571</v>
      </c>
      <c r="G155" t="n">
        <v>0.7567</v>
      </c>
      <c r="H155" t="n">
        <v>1</v>
      </c>
      <c r="I155" t="n">
        <v>0.5</v>
      </c>
      <c r="J155" s="3" t="inlineStr">
        <is>
          <t>GT_CT13.txt, GT_SUBTOPIK_12_Stack_Queue.txt, GT_SUBTOPIK_14_Kompleksitas_BigO.txt</t>
        </is>
      </c>
      <c r="K155" t="n">
        <v>0.6702</v>
      </c>
      <c r="L155" t="n">
        <v>0.8333</v>
      </c>
      <c r="M155" t="n">
        <v>0.2897</v>
      </c>
      <c r="N155" t="n">
        <v>0.2144</v>
      </c>
      <c r="O155" t="inlineStr">
        <is>
          <t>RENDAH</t>
        </is>
      </c>
      <c r="P155" t="n">
        <v>0</v>
      </c>
      <c r="Q155" t="n">
        <v>0</v>
      </c>
      <c r="R155" t="b">
        <v>1</v>
      </c>
      <c r="S155" t="n">
        <v>0.7498</v>
      </c>
      <c r="T155" t="n">
        <v>1</v>
      </c>
      <c r="U155" t="n">
        <v>0.1659</v>
      </c>
      <c r="V155" t="n">
        <v>0.1626</v>
      </c>
      <c r="W155" t="inlineStr">
        <is>
          <t>RENDAH</t>
        </is>
      </c>
      <c r="X155" t="n">
        <v>0</v>
      </c>
      <c r="Y155" t="n">
        <v>0</v>
      </c>
      <c r="Z155" t="b">
        <v>1</v>
      </c>
      <c r="AA155" t="n">
        <v>-0.0796</v>
      </c>
      <c r="AB155" t="n">
        <v>0.0518</v>
      </c>
    </row>
    <row r="156">
      <c r="A156" t="n">
        <v>155</v>
      </c>
      <c r="B156" t="inlineStr">
        <is>
          <t>scenario</t>
        </is>
      </c>
      <c r="C156" t="inlineStr">
        <is>
          <t>4PAR</t>
        </is>
      </c>
      <c r="D156" s="3" t="inlineStr">
        <is>
          <t>Saya diminta buat simulasi antrian pelanggan bank dengan queue. Ada 3 loket aktif. Setiap loket melayani satu pelanggan.</t>
        </is>
      </c>
      <c r="E156" t="n">
        <v>1</v>
      </c>
      <c r="F156" t="n">
        <v>0.8571</v>
      </c>
      <c r="G156" t="n">
        <v>0.7486</v>
      </c>
      <c r="H156" t="n">
        <v>1</v>
      </c>
      <c r="I156" t="n">
        <v>0.5</v>
      </c>
      <c r="J156" s="3" t="inlineStr">
        <is>
          <t>GT_CT13.txt, GT_DETAIL_PT13_Struktur_Data.txt, GT_SUBTOPIK_02_Abstraksi_Formulasi.txt</t>
        </is>
      </c>
      <c r="K156" t="n">
        <v>0.7675999999999999</v>
      </c>
      <c r="L156" t="n">
        <v>1</v>
      </c>
      <c r="M156" t="n">
        <v>0.2253</v>
      </c>
      <c r="N156" t="n">
        <v>0.1511</v>
      </c>
      <c r="O156" t="inlineStr">
        <is>
          <t>RENDAH</t>
        </is>
      </c>
      <c r="P156" t="n">
        <v>0</v>
      </c>
      <c r="Q156" t="n">
        <v>0</v>
      </c>
      <c r="R156" t="b">
        <v>1</v>
      </c>
      <c r="S156" t="n">
        <v>0.7631</v>
      </c>
      <c r="T156" t="n">
        <v>1</v>
      </c>
      <c r="U156" t="n">
        <v>0.2104</v>
      </c>
      <c r="V156" t="n">
        <v>0.154</v>
      </c>
      <c r="W156" t="inlineStr">
        <is>
          <t>RENDAH</t>
        </is>
      </c>
      <c r="X156" t="n">
        <v>0</v>
      </c>
      <c r="Y156" t="n">
        <v>0</v>
      </c>
      <c r="Z156" t="b">
        <v>1</v>
      </c>
      <c r="AA156" t="n">
        <v>0.0045</v>
      </c>
      <c r="AB156" t="n">
        <v>-0.0029</v>
      </c>
    </row>
    <row r="157">
      <c r="A157" t="n">
        <v>156</v>
      </c>
      <c r="B157" t="inlineStr">
        <is>
          <t>application</t>
        </is>
      </c>
      <c r="C157" t="inlineStr">
        <is>
          <t>3TGI</t>
        </is>
      </c>
      <c r="D157" s="3" t="inlineStr">
        <is>
          <t>Diberikan tree berikut:
       A
      / \
     B   C
    / \   \
   D   E   F
Dosen minta lakukan in-order traversal da</t>
        </is>
      </c>
      <c r="E157" t="n">
        <v>1</v>
      </c>
      <c r="F157" t="n">
        <v>0.8571</v>
      </c>
      <c r="G157" t="n">
        <v>0.7246</v>
      </c>
      <c r="H157" t="n">
        <v>1</v>
      </c>
      <c r="I157" t="n">
        <v>0.3333</v>
      </c>
      <c r="J157" s="3" t="inlineStr">
        <is>
          <t>GT_DETAIL_PT13_Struktur_Data.txt, GT_SUBTOPIK_13_Graph_Tree.txt</t>
        </is>
      </c>
      <c r="K157" t="n">
        <v>0.7796999999999999</v>
      </c>
      <c r="L157" t="n">
        <v>1</v>
      </c>
      <c r="M157" t="n">
        <v>0.2657</v>
      </c>
      <c r="N157" t="n">
        <v>0.1432</v>
      </c>
      <c r="O157" t="inlineStr">
        <is>
          <t>RENDAH</t>
        </is>
      </c>
      <c r="P157" t="n">
        <v>0</v>
      </c>
      <c r="Q157" t="n">
        <v>0</v>
      </c>
      <c r="R157" t="b">
        <v>1</v>
      </c>
      <c r="S157" t="n">
        <v>0.7591</v>
      </c>
      <c r="T157" t="n">
        <v>1</v>
      </c>
      <c r="U157" t="n">
        <v>0.1971</v>
      </c>
      <c r="V157" t="n">
        <v>0.1566</v>
      </c>
      <c r="W157" t="inlineStr">
        <is>
          <t>RENDAH</t>
        </is>
      </c>
      <c r="X157" t="n">
        <v>0</v>
      </c>
      <c r="Y157" t="n">
        <v>0</v>
      </c>
      <c r="Z157" t="b">
        <v>1</v>
      </c>
      <c r="AA157" t="n">
        <v>0.0206</v>
      </c>
      <c r="AB157" t="n">
        <v>-0.0134</v>
      </c>
    </row>
    <row r="158">
      <c r="A158" t="n">
        <v>157</v>
      </c>
      <c r="B158" t="inlineStr">
        <is>
          <t>application</t>
        </is>
      </c>
      <c r="C158" t="inlineStr">
        <is>
          <t>4TGR</t>
        </is>
      </c>
      <c r="D158" s="3" t="inlineStr">
        <is>
          <t>Di soal graph saya diminta tentukan apakah graph berikut memiliki cycle: A→B, B→C, C→D, D→B. Saya tidak tahu cara sistem</t>
        </is>
      </c>
      <c r="E158" t="n">
        <v>1</v>
      </c>
      <c r="F158" t="n">
        <v>0.8571</v>
      </c>
      <c r="G158" t="n">
        <v>0.7316</v>
      </c>
      <c r="H158" t="n">
        <v>1</v>
      </c>
      <c r="I158" t="n">
        <v>0.6667</v>
      </c>
      <c r="J158" s="3" t="inlineStr">
        <is>
          <t>GT_CT13.txt, GT_DETAIL_PT13_Struktur_Data.txt, GT_SUBTOPIK_02_Abstraksi_Formulasi.txt, GT_SUBTOPIK_13_Graph_Tree.txt</t>
        </is>
      </c>
      <c r="K158" t="n">
        <v>0.6353</v>
      </c>
      <c r="L158" t="n">
        <v>0.8333</v>
      </c>
      <c r="M158" t="n">
        <v>0.1732</v>
      </c>
      <c r="N158" t="n">
        <v>0.2371</v>
      </c>
      <c r="O158" t="inlineStr">
        <is>
          <t>RENDAH</t>
        </is>
      </c>
      <c r="P158" t="n">
        <v>0</v>
      </c>
      <c r="Q158" t="n">
        <v>0</v>
      </c>
      <c r="R158" t="b">
        <v>1</v>
      </c>
      <c r="S158" t="n">
        <v>0.7605</v>
      </c>
      <c r="T158" t="n">
        <v>1</v>
      </c>
      <c r="U158" t="n">
        <v>0.2016</v>
      </c>
      <c r="V158" t="n">
        <v>0.1557</v>
      </c>
      <c r="W158" t="inlineStr">
        <is>
          <t>RENDAH</t>
        </is>
      </c>
      <c r="X158" t="n">
        <v>0</v>
      </c>
      <c r="Y158" t="n">
        <v>0</v>
      </c>
      <c r="Z158" t="b">
        <v>1</v>
      </c>
      <c r="AA158" t="n">
        <v>-0.1252</v>
      </c>
      <c r="AB158" t="n">
        <v>0.0814</v>
      </c>
    </row>
    <row r="159">
      <c r="A159" t="n">
        <v>158</v>
      </c>
      <c r="B159" t="inlineStr">
        <is>
          <t>application</t>
        </is>
      </c>
      <c r="C159" t="inlineStr">
        <is>
          <t>3PAR</t>
        </is>
      </c>
      <c r="D159" s="3" t="inlineStr">
        <is>
          <t>Saya diminta tentukan apakah dua graph berikut merupakan 'connected graph' (semua node terhubung) atau tidak:
Graph 1: A</t>
        </is>
      </c>
      <c r="E159" t="n">
        <v>1</v>
      </c>
      <c r="F159" t="n">
        <v>0.8571</v>
      </c>
      <c r="G159" t="n">
        <v>0.7458</v>
      </c>
      <c r="H159" t="n">
        <v>1</v>
      </c>
      <c r="I159" t="n">
        <v>0.5</v>
      </c>
      <c r="J159" s="3" t="inlineStr">
        <is>
          <t>GT_CT13.txt, GT_DETAIL_PT13_Struktur_Data.txt, GT_SUBTOPIK_13_Graph_Tree.txt</t>
        </is>
      </c>
      <c r="K159" t="n">
        <v>0.7866</v>
      </c>
      <c r="L159" t="n">
        <v>1</v>
      </c>
      <c r="M159" t="n">
        <v>0.2887</v>
      </c>
      <c r="N159" t="n">
        <v>0.1387</v>
      </c>
      <c r="O159" t="inlineStr">
        <is>
          <t>RENDAH</t>
        </is>
      </c>
      <c r="P159" t="n">
        <v>0</v>
      </c>
      <c r="Q159" t="n">
        <v>0</v>
      </c>
      <c r="R159" t="b">
        <v>1</v>
      </c>
      <c r="S159" t="n">
        <v>0.7607</v>
      </c>
      <c r="T159" t="n">
        <v>1</v>
      </c>
      <c r="U159" t="n">
        <v>0.2024</v>
      </c>
      <c r="V159" t="n">
        <v>0.1555</v>
      </c>
      <c r="W159" t="inlineStr">
        <is>
          <t>RENDAH</t>
        </is>
      </c>
      <c r="X159" t="n">
        <v>0</v>
      </c>
      <c r="Y159" t="n">
        <v>0</v>
      </c>
      <c r="Z159" t="b">
        <v>1</v>
      </c>
      <c r="AA159" t="n">
        <v>0.0259</v>
      </c>
      <c r="AB159" t="n">
        <v>-0.0168</v>
      </c>
    </row>
    <row r="160">
      <c r="A160" t="n">
        <v>159</v>
      </c>
      <c r="B160" t="inlineStr">
        <is>
          <t>confusion</t>
        </is>
      </c>
      <c r="C160" t="inlineStr">
        <is>
          <t>5PAI</t>
        </is>
      </c>
      <c r="D160" s="3" t="inlineStr">
        <is>
          <t>Saya belajar tentang weighted graph dan ingin tahu: kalau saya pakai BFS pada weighted graph untuk cari jalur terpendek,</t>
        </is>
      </c>
      <c r="E160" t="n">
        <v>1</v>
      </c>
      <c r="F160" t="n">
        <v>1</v>
      </c>
      <c r="G160" t="n">
        <v>0.7207</v>
      </c>
      <c r="H160" t="n">
        <v>1</v>
      </c>
      <c r="I160" t="n">
        <v>0.6667</v>
      </c>
      <c r="J160" s="3" t="inlineStr">
        <is>
          <t>GT_CT13.txt, GT_DETAIL_PT13_Struktur_Data.txt, GT_SUBTOPIK_02_Abstraksi_Formulasi.txt, GT_SUBTOPIK_13_Graph_Tree.txt</t>
        </is>
      </c>
      <c r="K160" t="n">
        <v>0.7697000000000001</v>
      </c>
      <c r="L160" t="n">
        <v>1</v>
      </c>
      <c r="M160" t="n">
        <v>0.2323</v>
      </c>
      <c r="N160" t="n">
        <v>0.1497</v>
      </c>
      <c r="O160" t="inlineStr">
        <is>
          <t>RENDAH</t>
        </is>
      </c>
      <c r="P160" t="n">
        <v>0</v>
      </c>
      <c r="Q160" t="n">
        <v>0</v>
      </c>
      <c r="R160" t="b">
        <v>1</v>
      </c>
      <c r="S160" t="n">
        <v>0.7665</v>
      </c>
      <c r="T160" t="n">
        <v>1</v>
      </c>
      <c r="U160" t="n">
        <v>0.2217</v>
      </c>
      <c r="V160" t="n">
        <v>0.1518</v>
      </c>
      <c r="W160" t="inlineStr">
        <is>
          <t>RENDAH</t>
        </is>
      </c>
      <c r="X160" t="n">
        <v>0</v>
      </c>
      <c r="Y160" t="n">
        <v>0</v>
      </c>
      <c r="Z160" t="b">
        <v>1</v>
      </c>
      <c r="AA160" t="n">
        <v>0.0032</v>
      </c>
      <c r="AB160" t="n">
        <v>-0.0021</v>
      </c>
    </row>
    <row r="161">
      <c r="A161" t="n">
        <v>160</v>
      </c>
      <c r="B161" t="inlineStr">
        <is>
          <t>application</t>
        </is>
      </c>
      <c r="C161" t="inlineStr">
        <is>
          <t>2TGR</t>
        </is>
      </c>
      <c r="D161" s="3" t="inlineStr">
        <is>
          <t>Di soal graph saya diminta representasikan graph kota-kota Indonesia beserta jarak jalannya menggunakan adjacency matrix</t>
        </is>
      </c>
      <c r="E161" t="n">
        <v>1</v>
      </c>
      <c r="F161" t="n">
        <v>1</v>
      </c>
      <c r="G161" t="n">
        <v>0.6943</v>
      </c>
      <c r="H161" t="n">
        <v>1</v>
      </c>
      <c r="I161" t="n">
        <v>0.6667</v>
      </c>
      <c r="J161" s="3" t="inlineStr">
        <is>
          <t>GT_CT13.txt, GT_DETAIL_PT13_Struktur_Data.txt, GT_SUBTOPIK_02_Abstraksi_Formulasi.txt, GT_SUBTOPIK_13_Graph_Tree.txt</t>
        </is>
      </c>
      <c r="K161" t="n">
        <v>0.141</v>
      </c>
      <c r="L161" t="n">
        <v>0.1667</v>
      </c>
      <c r="M161" t="n">
        <v>0.08110000000000001</v>
      </c>
      <c r="N161" t="n">
        <v>0.5584</v>
      </c>
      <c r="O161" t="inlineStr">
        <is>
          <t>TINGGI</t>
        </is>
      </c>
      <c r="P161" t="n">
        <v>0</v>
      </c>
      <c r="Q161" t="n">
        <v>0</v>
      </c>
      <c r="S161" t="n">
        <v>0.5314</v>
      </c>
      <c r="T161" t="n">
        <v>0.6667</v>
      </c>
      <c r="U161" t="n">
        <v>0.2156</v>
      </c>
      <c r="V161" t="n">
        <v>0.3046</v>
      </c>
      <c r="W161" t="inlineStr">
        <is>
          <t>RENDAH</t>
        </is>
      </c>
      <c r="X161" t="n">
        <v>0</v>
      </c>
      <c r="Y161" t="n">
        <v>0</v>
      </c>
      <c r="Z161" t="b">
        <v>1</v>
      </c>
      <c r="AA161" t="n">
        <v>-0.3904</v>
      </c>
      <c r="AB161" t="n">
        <v>0.2538</v>
      </c>
    </row>
    <row r="162">
      <c r="A162" t="n">
        <v>161</v>
      </c>
      <c r="B162" t="inlineStr">
        <is>
          <t>scenario</t>
        </is>
      </c>
      <c r="C162" t="inlineStr">
        <is>
          <t>5PAR</t>
        </is>
      </c>
      <c r="D162" s="3" t="inlineStr">
        <is>
          <t>Saya punya dua algoritme untuk masalah yang sama:
Algoritme A: O(n log n) waktu, O(n) space
Algoritme B: O(n²) waktu, O(</t>
        </is>
      </c>
      <c r="E162" t="n">
        <v>1</v>
      </c>
      <c r="F162" t="n">
        <v>1</v>
      </c>
      <c r="G162" t="n">
        <v>0.7285</v>
      </c>
      <c r="H162" t="n">
        <v>1</v>
      </c>
      <c r="I162" t="n">
        <v>0.5</v>
      </c>
      <c r="J162" s="3" t="inlineStr">
        <is>
          <t>GT_DETAIL_PT04_Abstraksi.txt, GT_SUBTOPIK_04_Modulo_Siklus.txt, GT_SUBTOPIK_14_Kompleksitas_BigO.txt</t>
        </is>
      </c>
      <c r="K162" t="n">
        <v>0.1741</v>
      </c>
      <c r="L162" t="n">
        <v>0.1667</v>
      </c>
      <c r="M162" t="n">
        <v>0.1913</v>
      </c>
      <c r="N162" t="n">
        <v>0.5668</v>
      </c>
      <c r="O162" t="inlineStr">
        <is>
          <t>TINGGI</t>
        </is>
      </c>
      <c r="P162" t="n">
        <v>0</v>
      </c>
      <c r="Q162" t="n">
        <v>0.2</v>
      </c>
      <c r="R162" t="b">
        <v>1</v>
      </c>
      <c r="S162" t="n">
        <v>0.2983</v>
      </c>
      <c r="T162" t="n">
        <v>0.3333</v>
      </c>
      <c r="U162" t="n">
        <v>0.2166</v>
      </c>
      <c r="V162" t="n">
        <v>0.4861</v>
      </c>
      <c r="W162" t="inlineStr">
        <is>
          <t>SEDANG</t>
        </is>
      </c>
      <c r="X162" t="n">
        <v>0</v>
      </c>
      <c r="Y162" t="n">
        <v>0.2</v>
      </c>
      <c r="Z162" t="b">
        <v>1</v>
      </c>
      <c r="AA162" t="n">
        <v>-0.1242</v>
      </c>
      <c r="AB162" t="n">
        <v>0.08069999999999999</v>
      </c>
    </row>
    <row r="163">
      <c r="A163" t="n">
        <v>162</v>
      </c>
      <c r="B163" t="inlineStr">
        <is>
          <t>application</t>
        </is>
      </c>
      <c r="C163" t="inlineStr">
        <is>
          <t>6PAI</t>
        </is>
      </c>
      <c r="D163" s="3" t="inlineStr">
        <is>
          <t>Tentukan Big-O dari fungsi rekursif berikut:
  function f(n):
    if n &lt;= 1: return 1
    return f(n/2) + f(n/2) + n
Say</t>
        </is>
      </c>
      <c r="E163" t="n">
        <v>1</v>
      </c>
      <c r="F163" t="n">
        <v>1</v>
      </c>
      <c r="G163" t="n">
        <v>0.7751</v>
      </c>
      <c r="H163" t="n">
        <v>1</v>
      </c>
      <c r="I163" t="n">
        <v>0.6667</v>
      </c>
      <c r="J163" s="3" t="inlineStr">
        <is>
          <t>GT_DETAIL_PT12_Fungsi.txt, GT_SUBTOPIK_03_Pola_Bilangan_Deret.txt, GT_SUBTOPIK_11_Rekursi.txt, GT_SUBTOPIK_14_Kompleksitas_BigO.txt</t>
        </is>
      </c>
      <c r="K163" t="n">
        <v>0.6505</v>
      </c>
      <c r="L163" t="n">
        <v>0.8333</v>
      </c>
      <c r="M163" t="n">
        <v>0.2239</v>
      </c>
      <c r="N163" t="n">
        <v>0.2272</v>
      </c>
      <c r="O163" t="inlineStr">
        <is>
          <t>RENDAH</t>
        </is>
      </c>
      <c r="P163" t="n">
        <v>0</v>
      </c>
      <c r="Q163" t="n">
        <v>0</v>
      </c>
      <c r="R163" t="b">
        <v>1</v>
      </c>
      <c r="S163" t="n">
        <v>0.777</v>
      </c>
      <c r="T163" t="n">
        <v>1</v>
      </c>
      <c r="U163" t="n">
        <v>0.2568</v>
      </c>
      <c r="V163" t="n">
        <v>0.1449</v>
      </c>
      <c r="W163" t="inlineStr">
        <is>
          <t>RENDAH</t>
        </is>
      </c>
      <c r="X163" t="n">
        <v>0</v>
      </c>
      <c r="Y163" t="n">
        <v>0</v>
      </c>
      <c r="Z163" t="b">
        <v>1</v>
      </c>
      <c r="AA163" t="n">
        <v>-0.1265</v>
      </c>
      <c r="AB163" t="n">
        <v>0.0823</v>
      </c>
    </row>
    <row r="164">
      <c r="A164" t="n">
        <v>163</v>
      </c>
      <c r="B164" t="inlineStr">
        <is>
          <t>gap</t>
        </is>
      </c>
      <c r="C164" t="inlineStr">
        <is>
          <t>4TAI</t>
        </is>
      </c>
      <c r="D164" s="3" t="inlineStr">
        <is>
          <t>Dosen bilang best case, average case, dan worst case complexity bisa berbeda untuk algoritme yang sama. Untuk bubble sor</t>
        </is>
      </c>
      <c r="E164" t="n">
        <v>1</v>
      </c>
      <c r="F164" t="n">
        <v>0.8571</v>
      </c>
      <c r="G164" t="n">
        <v>0.7131</v>
      </c>
      <c r="H164" t="n">
        <v>1</v>
      </c>
      <c r="I164" t="n">
        <v>0.6667</v>
      </c>
      <c r="J164" s="3" t="inlineStr">
        <is>
          <t>GT_CT09.txt, GT_CT10.txt, GT_DETAIL_PT07_Notasi_Algoritme.txt, GT_SUBTOPIK_14_Kompleksitas_BigO.txt</t>
        </is>
      </c>
      <c r="K164" t="n">
        <v>0.6596</v>
      </c>
      <c r="L164" t="n">
        <v>0.8333</v>
      </c>
      <c r="M164" t="n">
        <v>0.2542</v>
      </c>
      <c r="N164" t="n">
        <v>0.2213</v>
      </c>
      <c r="O164" t="inlineStr">
        <is>
          <t>RENDAH</t>
        </is>
      </c>
      <c r="P164" t="n">
        <v>0</v>
      </c>
      <c r="Q164" t="n">
        <v>0</v>
      </c>
      <c r="R164" t="b">
        <v>0</v>
      </c>
      <c r="S164" t="n">
        <v>0.761</v>
      </c>
      <c r="T164" t="n">
        <v>1</v>
      </c>
      <c r="U164" t="n">
        <v>0.2034</v>
      </c>
      <c r="V164" t="n">
        <v>0.1553</v>
      </c>
      <c r="W164" t="inlineStr">
        <is>
          <t>RENDAH</t>
        </is>
      </c>
      <c r="X164" t="n">
        <v>0</v>
      </c>
      <c r="Y164" t="n">
        <v>0</v>
      </c>
      <c r="Z164" t="b">
        <v>1</v>
      </c>
      <c r="AA164" t="n">
        <v>-0.1014</v>
      </c>
      <c r="AB164" t="n">
        <v>0.066</v>
      </c>
    </row>
    <row r="165">
      <c r="A165" t="n">
        <v>164</v>
      </c>
      <c r="B165" t="inlineStr">
        <is>
          <t>out_of_scope</t>
        </is>
      </c>
      <c r="C165" t="inlineStr">
        <is>
          <t>6TGI</t>
        </is>
      </c>
      <c r="D165" s="3" t="inlineStr">
        <is>
          <t>Saya bingung dengan notasi big-Omega (Ω) dan big-Theta (Θ). Di kuliah CT kita hanya belajar Big-O. Apa perbedaan O, Ω, d</t>
        </is>
      </c>
      <c r="E165" t="n">
        <v>1</v>
      </c>
      <c r="F165" t="n">
        <v>0.8571</v>
      </c>
      <c r="G165" t="n">
        <v>0.7087</v>
      </c>
      <c r="H165" t="n">
        <v>1</v>
      </c>
      <c r="I165" t="n">
        <v>1</v>
      </c>
      <c r="J165" s="3" t="inlineStr">
        <is>
          <t>5PAI.txt, 6TGI.txt, GT_CT07.txt, GT_CT09.txt, GT_CT11.txt, GT_SUBTOPIK_04_Modulo_Siklus.txt</t>
        </is>
      </c>
      <c r="K165" t="n">
        <v>0.7563</v>
      </c>
      <c r="L165" t="n">
        <v>1</v>
      </c>
      <c r="M165" t="n">
        <v>0.1877</v>
      </c>
      <c r="N165" t="n">
        <v>0.1884</v>
      </c>
      <c r="O165" t="inlineStr">
        <is>
          <t>RENDAH</t>
        </is>
      </c>
      <c r="P165" t="n">
        <v>0</v>
      </c>
      <c r="Q165" t="n">
        <v>0.2</v>
      </c>
      <c r="R165" t="b">
        <v>0</v>
      </c>
      <c r="S165" t="n">
        <v>0.766</v>
      </c>
      <c r="T165" t="n">
        <v>1</v>
      </c>
      <c r="U165" t="n">
        <v>0.2202</v>
      </c>
      <c r="V165" t="n">
        <v>0.1521</v>
      </c>
      <c r="W165" t="inlineStr">
        <is>
          <t>RENDAH</t>
        </is>
      </c>
      <c r="X165" t="n">
        <v>0</v>
      </c>
      <c r="Y165" t="n">
        <v>0</v>
      </c>
      <c r="Z165" t="b">
        <v>1</v>
      </c>
      <c r="AA165" t="n">
        <v>-0.0097</v>
      </c>
      <c r="AB165" t="n">
        <v>0.0363</v>
      </c>
    </row>
    <row r="166">
      <c r="A166" t="n">
        <v>165</v>
      </c>
      <c r="B166" t="inlineStr">
        <is>
          <t>application</t>
        </is>
      </c>
      <c r="C166" t="inlineStr">
        <is>
          <t>2TGI</t>
        </is>
      </c>
      <c r="D166" s="3" t="inlineStr">
        <is>
          <t>Soal: lakukan binary search pada array [2, 5, 8, 12, 16, 23, 38, 56, 72, 91] untuk mencari nilai 23. Tunjukkan nilai low</t>
        </is>
      </c>
      <c r="E166" t="n">
        <v>1</v>
      </c>
      <c r="F166" t="n">
        <v>0.8571</v>
      </c>
      <c r="G166" t="n">
        <v>0.751</v>
      </c>
      <c r="H166" t="n">
        <v>1</v>
      </c>
      <c r="I166" t="n">
        <v>0.8333</v>
      </c>
      <c r="J166" s="3" t="inlineStr">
        <is>
          <t>GT_DETAIL_PT07_Notasi_Algoritme.txt, GT_SUBTOPIK_04_Modulo_Siklus.txt, GT_SUBTOPIK_05_Pseudocode_Algoritme.txt, GT_SUBTOPIK_11_Rekursi.txt, GT_SUBTOPIK_14_Kompleksitas_BigO.txt</t>
        </is>
      </c>
      <c r="K166" t="n">
        <v>0.5318000000000001</v>
      </c>
      <c r="L166" t="n">
        <v>0.6667</v>
      </c>
      <c r="M166" t="n">
        <v>0.2169</v>
      </c>
      <c r="N166" t="n">
        <v>0.3043</v>
      </c>
      <c r="O166" t="inlineStr">
        <is>
          <t>RENDAH</t>
        </is>
      </c>
      <c r="P166" t="n">
        <v>0</v>
      </c>
      <c r="Q166" t="n">
        <v>0</v>
      </c>
      <c r="R166" t="b">
        <v>1</v>
      </c>
      <c r="S166" t="n">
        <v>0.2277</v>
      </c>
      <c r="T166" t="n">
        <v>0.25</v>
      </c>
      <c r="U166" t="n">
        <v>0.1755</v>
      </c>
      <c r="V166" t="n">
        <v>0.502</v>
      </c>
      <c r="W166" t="inlineStr">
        <is>
          <t>SEDANG</t>
        </is>
      </c>
      <c r="X166" t="n">
        <v>0</v>
      </c>
      <c r="Y166" t="n">
        <v>0</v>
      </c>
      <c r="Z166" t="b">
        <v>0</v>
      </c>
      <c r="AA166" t="n">
        <v>0.3041</v>
      </c>
      <c r="AB166" t="n">
        <v>-0.1977</v>
      </c>
    </row>
    <row r="167">
      <c r="A167" t="n">
        <v>166</v>
      </c>
      <c r="B167" t="inlineStr">
        <is>
          <t>application</t>
        </is>
      </c>
      <c r="C167" t="inlineStr">
        <is>
          <t>3TAR</t>
        </is>
      </c>
      <c r="D167" s="3" t="inlineStr">
        <is>
          <t>Soal: lakukan insertion sort pada array [8, 3, 6, 1, 9, 2]. Saya tahu bubble dan selection sort tapi belum pernah latiha</t>
        </is>
      </c>
      <c r="E167" t="n">
        <v>1</v>
      </c>
      <c r="F167" t="n">
        <v>0.8571</v>
      </c>
      <c r="G167" t="n">
        <v>0.7494</v>
      </c>
      <c r="H167" t="n">
        <v>1</v>
      </c>
      <c r="I167" t="n">
        <v>0.3333</v>
      </c>
      <c r="J167" s="3" t="inlineStr">
        <is>
          <t>GT_DETAIL_PT07_Notasi_Algoritme.txt, GT_SUBTOPIK_14_Kompleksitas_BigO.txt</t>
        </is>
      </c>
      <c r="K167" t="n">
        <v>0.7617</v>
      </c>
      <c r="L167" t="n">
        <v>1</v>
      </c>
      <c r="M167" t="n">
        <v>0.2056</v>
      </c>
      <c r="N167" t="n">
        <v>0.1549</v>
      </c>
      <c r="O167" t="inlineStr">
        <is>
          <t>RENDAH</t>
        </is>
      </c>
      <c r="P167" t="n">
        <v>0</v>
      </c>
      <c r="Q167" t="n">
        <v>0</v>
      </c>
      <c r="R167" t="b">
        <v>0</v>
      </c>
      <c r="S167" t="n">
        <v>0.5304</v>
      </c>
      <c r="T167" t="n">
        <v>0.6667</v>
      </c>
      <c r="U167" t="n">
        <v>0.2122</v>
      </c>
      <c r="V167" t="n">
        <v>0.3052</v>
      </c>
      <c r="W167" t="inlineStr">
        <is>
          <t>RENDAH</t>
        </is>
      </c>
      <c r="X167" t="n">
        <v>0</v>
      </c>
      <c r="Y167" t="n">
        <v>0</v>
      </c>
      <c r="Z167" t="b">
        <v>1</v>
      </c>
      <c r="AA167" t="n">
        <v>0.2313</v>
      </c>
      <c r="AB167" t="n">
        <v>-0.1503</v>
      </c>
    </row>
    <row r="168">
      <c r="A168" t="n">
        <v>167</v>
      </c>
      <c r="B168" t="inlineStr">
        <is>
          <t>application</t>
        </is>
      </c>
      <c r="C168" t="inlineStr">
        <is>
          <t>3PGR</t>
        </is>
      </c>
      <c r="D168" s="3" t="inlineStr">
        <is>
          <t>Di ujian ada soal: 'jelaskan cara kerja merge sort dan trace untuk array [6, 3, 8, 2, 9, 1, 5, 4]'. Saya paham prinsipny</t>
        </is>
      </c>
      <c r="E168" t="n">
        <v>1</v>
      </c>
      <c r="F168" t="n">
        <v>0.8571</v>
      </c>
      <c r="G168" t="n">
        <v>0.7526</v>
      </c>
      <c r="H168" t="n">
        <v>1</v>
      </c>
      <c r="I168" t="n">
        <v>0.5</v>
      </c>
      <c r="J168" s="3" t="inlineStr">
        <is>
          <t>GT_DETAIL_PT07_Notasi_Algoritme.txt, GT_SUBTOPIK_12_Stack_Queue.txt, GT_SUBTOPIK_14_Kompleksitas_BigO.txt</t>
        </is>
      </c>
      <c r="K168" t="n">
        <v>0.6428</v>
      </c>
      <c r="L168" t="n">
        <v>0.8333</v>
      </c>
      <c r="M168" t="n">
        <v>0.1983</v>
      </c>
      <c r="N168" t="n">
        <v>0.2322</v>
      </c>
      <c r="O168" t="inlineStr">
        <is>
          <t>RENDAH</t>
        </is>
      </c>
      <c r="P168" t="n">
        <v>0</v>
      </c>
      <c r="Q168" t="n">
        <v>0</v>
      </c>
      <c r="R168" t="b">
        <v>1</v>
      </c>
      <c r="S168" t="n">
        <v>0.7553</v>
      </c>
      <c r="T168" t="n">
        <v>1</v>
      </c>
      <c r="U168" t="n">
        <v>0.1845</v>
      </c>
      <c r="V168" t="n">
        <v>0.1591</v>
      </c>
      <c r="W168" t="inlineStr">
        <is>
          <t>RENDAH</t>
        </is>
      </c>
      <c r="X168" t="n">
        <v>0</v>
      </c>
      <c r="Y168" t="n">
        <v>0</v>
      </c>
      <c r="Z168" t="b">
        <v>1</v>
      </c>
      <c r="AA168" t="n">
        <v>-0.1125</v>
      </c>
      <c r="AB168" t="n">
        <v>0.0731</v>
      </c>
    </row>
    <row r="169">
      <c r="A169" t="n">
        <v>168</v>
      </c>
      <c r="B169" t="inlineStr">
        <is>
          <t>scenario</t>
        </is>
      </c>
      <c r="C169" t="inlineStr">
        <is>
          <t>5TGR</t>
        </is>
      </c>
      <c r="D169" s="3" t="inlineStr">
        <is>
          <t>Saya diminta memilih algoritme sorting terbaik untuk kasus berikut: data 10.000 elemen yang sudah terurut TERBALIK (desc</t>
        </is>
      </c>
      <c r="E169" t="n">
        <v>1</v>
      </c>
      <c r="F169" t="n">
        <v>0.8571</v>
      </c>
      <c r="G169" t="n">
        <v>0.7568</v>
      </c>
      <c r="H169" t="n">
        <v>1</v>
      </c>
      <c r="I169" t="n">
        <v>0.6667</v>
      </c>
      <c r="J169" s="3" t="inlineStr">
        <is>
          <t>GT_CT13.txt, GT_DETAIL_PT07_Notasi_Algoritme.txt, GT_SUBTOPIK_02_Abstraksi_Formulasi.txt, GT_SUBTOPIK_14_Kompleksitas_BigO.txt</t>
        </is>
      </c>
      <c r="K169" t="n">
        <v>0.7682</v>
      </c>
      <c r="L169" t="n">
        <v>1</v>
      </c>
      <c r="M169" t="n">
        <v>0.2273</v>
      </c>
      <c r="N169" t="n">
        <v>0.1807</v>
      </c>
      <c r="O169" t="inlineStr">
        <is>
          <t>RENDAH</t>
        </is>
      </c>
      <c r="P169" t="n">
        <v>0</v>
      </c>
      <c r="Q169" t="n">
        <v>0.2</v>
      </c>
      <c r="R169" t="b">
        <v>1</v>
      </c>
      <c r="S169" t="n">
        <v>0.7726</v>
      </c>
      <c r="T169" t="n">
        <v>1</v>
      </c>
      <c r="U169" t="n">
        <v>0.2419</v>
      </c>
      <c r="V169" t="n">
        <v>0.1478</v>
      </c>
      <c r="W169" t="inlineStr">
        <is>
          <t>RENDAH</t>
        </is>
      </c>
      <c r="X169" t="n">
        <v>0</v>
      </c>
      <c r="Y169" t="n">
        <v>0</v>
      </c>
      <c r="Z169" t="b">
        <v>1</v>
      </c>
      <c r="AA169" t="n">
        <v>-0.0044</v>
      </c>
      <c r="AB169" t="n">
        <v>0.0329</v>
      </c>
    </row>
    <row r="170">
      <c r="A170" t="n">
        <v>169</v>
      </c>
      <c r="B170" t="inlineStr">
        <is>
          <t>application</t>
        </is>
      </c>
      <c r="C170" t="inlineStr">
        <is>
          <t>4PAI</t>
        </is>
      </c>
      <c r="D170" s="3" t="inlineStr">
        <is>
          <t>Saya punya array yang sangat besar (10 juta elemen) dan perlu cari suatu elemen. Data sudah terurut. Saya tahu binary se</t>
        </is>
      </c>
      <c r="E170" t="n">
        <v>1</v>
      </c>
      <c r="F170" t="n">
        <v>0.8571</v>
      </c>
      <c r="G170" t="n">
        <v>0.7322</v>
      </c>
      <c r="H170" t="n">
        <v>1</v>
      </c>
      <c r="I170" t="n">
        <v>0.5</v>
      </c>
      <c r="J170" s="3" t="inlineStr">
        <is>
          <t>GT_SUBTOPIK_05_Pseudocode_Algoritme.txt, GT_SUBTOPIK_11_Rekursi.txt, GT_SUBTOPIK_14_Kompleksitas_BigO.txt</t>
        </is>
      </c>
      <c r="K170" t="n">
        <v>0.6607</v>
      </c>
      <c r="L170" t="n">
        <v>0.8333</v>
      </c>
      <c r="M170" t="n">
        <v>0.2579</v>
      </c>
      <c r="N170" t="n">
        <v>0.2205</v>
      </c>
      <c r="O170" t="inlineStr">
        <is>
          <t>RENDAH</t>
        </is>
      </c>
      <c r="P170" t="n">
        <v>0</v>
      </c>
      <c r="Q170" t="n">
        <v>0</v>
      </c>
      <c r="R170" t="b">
        <v>1</v>
      </c>
      <c r="S170" t="n">
        <v>0.6562</v>
      </c>
      <c r="T170" t="n">
        <v>0.8333</v>
      </c>
      <c r="U170" t="n">
        <v>0.2431</v>
      </c>
      <c r="V170" t="n">
        <v>0.2235</v>
      </c>
      <c r="W170" t="inlineStr">
        <is>
          <t>RENDAH</t>
        </is>
      </c>
      <c r="X170" t="n">
        <v>0</v>
      </c>
      <c r="Y170" t="n">
        <v>0</v>
      </c>
      <c r="Z170" t="b">
        <v>1</v>
      </c>
      <c r="AA170" t="n">
        <v>0.0045</v>
      </c>
      <c r="AB170" t="n">
        <v>-0.003</v>
      </c>
    </row>
    <row r="171">
      <c r="A171" t="n">
        <v>170</v>
      </c>
      <c r="B171" t="inlineStr">
        <is>
          <t>application</t>
        </is>
      </c>
      <c r="C171" t="inlineStr">
        <is>
          <t>4TGI</t>
        </is>
      </c>
      <c r="D171" s="3" t="inlineStr">
        <is>
          <t>Saya diminta buat program untuk cek apakah sebuah angka adalah 'bilangan Armstrong' (jumlah pangkat digit = angkanya sen</t>
        </is>
      </c>
      <c r="E171" t="n">
        <v>1</v>
      </c>
      <c r="F171" t="n">
        <v>0.8571</v>
      </c>
      <c r="G171" t="n">
        <v>0.7983</v>
      </c>
      <c r="H171" t="n">
        <v>1</v>
      </c>
      <c r="I171" t="n">
        <v>1</v>
      </c>
      <c r="J171" s="3" t="inlineStr">
        <is>
          <t>GT_CT07.txt, GT_DETAIL_PT07_Notasi_Algoritme.txt, GT_DETAIL_PT10_Percabangan.txt, GT_SUBTOPIK_04_Modulo_Siklus.txt, GT_SUBTOPIK_05_Pseudocode_Algoritme.txt, GT_SUBTOPIK_08_Perulangan_For_While.txt</t>
        </is>
      </c>
      <c r="K171" t="n">
        <v>0.5583</v>
      </c>
      <c r="L171" t="n">
        <v>0.6667</v>
      </c>
      <c r="M171" t="n">
        <v>0.3055</v>
      </c>
      <c r="N171" t="n">
        <v>0.2871</v>
      </c>
      <c r="O171" t="inlineStr">
        <is>
          <t>RENDAH</t>
        </is>
      </c>
      <c r="P171" t="n">
        <v>0</v>
      </c>
      <c r="Q171" t="n">
        <v>0</v>
      </c>
      <c r="R171" t="b">
        <v>1</v>
      </c>
      <c r="S171" t="n">
        <v>0.5563</v>
      </c>
      <c r="T171" t="n">
        <v>0.6667</v>
      </c>
      <c r="U171" t="n">
        <v>0.2988</v>
      </c>
      <c r="V171" t="n">
        <v>0.2884</v>
      </c>
      <c r="W171" t="inlineStr">
        <is>
          <t>RENDAH</t>
        </is>
      </c>
      <c r="X171" t="n">
        <v>0</v>
      </c>
      <c r="Y171" t="n">
        <v>0</v>
      </c>
      <c r="AA171" t="n">
        <v>0.002</v>
      </c>
      <c r="AB171" t="n">
        <v>-0.0013</v>
      </c>
    </row>
    <row r="172">
      <c r="A172" t="n">
        <v>171</v>
      </c>
      <c r="B172" t="inlineStr">
        <is>
          <t>application</t>
        </is>
      </c>
      <c r="C172" t="inlineStr">
        <is>
          <t>4PGR</t>
        </is>
      </c>
      <c r="D172" s="3" t="inlineStr">
        <is>
          <t>Saya punya dua array terurut: A=[1,3,5,7,9] dan B=[2,4,6,8,10]. Saya diminta gabungkan keduanya menjadi satu array terur</t>
        </is>
      </c>
      <c r="E172" t="n">
        <v>1</v>
      </c>
      <c r="F172" t="n">
        <v>0.8571</v>
      </c>
      <c r="G172" t="n">
        <v>0.7371</v>
      </c>
      <c r="H172" t="n">
        <v>1</v>
      </c>
      <c r="I172" t="n">
        <v>0.8333</v>
      </c>
      <c r="J172" s="3" t="inlineStr">
        <is>
          <t>GT_CT01.txt, GT_DETAIL_PT07_Notasi_Algoritme.txt, GT_DETAIL_PT10_Percabangan.txt, GT_DETAIL_PT11_Perulangan.txt, GT_SUBTOPIK_14_Kompleksitas_BigO.txt</t>
        </is>
      </c>
      <c r="K172" t="n">
        <v>0.4397</v>
      </c>
      <c r="L172" t="n">
        <v>0.5</v>
      </c>
      <c r="M172" t="n">
        <v>0.2991</v>
      </c>
      <c r="N172" t="n">
        <v>0.3642</v>
      </c>
      <c r="O172" t="inlineStr">
        <is>
          <t>SEDANG</t>
        </is>
      </c>
      <c r="P172" t="n">
        <v>0</v>
      </c>
      <c r="Q172" t="n">
        <v>0</v>
      </c>
      <c r="R172" t="b">
        <v>1</v>
      </c>
      <c r="S172" t="n">
        <v>0.1598</v>
      </c>
      <c r="T172" t="n">
        <v>0.1667</v>
      </c>
      <c r="U172" t="n">
        <v>0.1438</v>
      </c>
      <c r="V172" t="n">
        <v>0.5461</v>
      </c>
      <c r="W172" t="inlineStr">
        <is>
          <t>SEDANG</t>
        </is>
      </c>
      <c r="X172" t="n">
        <v>0</v>
      </c>
      <c r="Y172" t="n">
        <v>0</v>
      </c>
      <c r="AA172" t="n">
        <v>0.2799</v>
      </c>
      <c r="AB172" t="n">
        <v>-0.1819</v>
      </c>
    </row>
    <row r="173">
      <c r="A173" t="n">
        <v>172</v>
      </c>
      <c r="B173" t="inlineStr">
        <is>
          <t>scenario</t>
        </is>
      </c>
      <c r="C173" t="inlineStr">
        <is>
          <t>5PAR</t>
        </is>
      </c>
      <c r="D173" s="3" t="inlineStr">
        <is>
          <t>Soal CT kompleks: saya punya list nilai 100 mahasiswa. Saya perlu: (1) urutkan secara descending, (2) cari median, (3) h</t>
        </is>
      </c>
      <c r="E173" t="n">
        <v>1</v>
      </c>
      <c r="F173" t="n">
        <v>0.8571</v>
      </c>
      <c r="G173" t="n">
        <v>0.7673</v>
      </c>
      <c r="H173" t="n">
        <v>1</v>
      </c>
      <c r="I173" t="n">
        <v>1</v>
      </c>
      <c r="J173" s="3" t="inlineStr">
        <is>
          <t>GT_CT01.txt, GT_CT07.txt, GT_DETAIL_PT04_Abstraksi.txt, GT_DETAIL_PT05_Pattern_Recognition.txt, GT_DETAIL_PT07_Notasi_Algoritme.txt, GT_DETAIL_PT12_Fungsi.txt</t>
        </is>
      </c>
      <c r="K173" t="n">
        <v>0.7897999999999999</v>
      </c>
      <c r="L173" t="n">
        <v>1</v>
      </c>
      <c r="M173" t="n">
        <v>0.2992</v>
      </c>
      <c r="N173" t="n">
        <v>0.1366</v>
      </c>
      <c r="O173" t="inlineStr">
        <is>
          <t>RENDAH</t>
        </is>
      </c>
      <c r="P173" t="n">
        <v>0</v>
      </c>
      <c r="Q173" t="n">
        <v>0</v>
      </c>
      <c r="S173" t="n">
        <v>0.7659</v>
      </c>
      <c r="T173" t="n">
        <v>1</v>
      </c>
      <c r="U173" t="n">
        <v>0.2198</v>
      </c>
      <c r="V173" t="n">
        <v>0.1522</v>
      </c>
      <c r="W173" t="inlineStr">
        <is>
          <t>RENDAH</t>
        </is>
      </c>
      <c r="X173" t="n">
        <v>0</v>
      </c>
      <c r="Y173" t="n">
        <v>0</v>
      </c>
      <c r="Z173" t="b">
        <v>0</v>
      </c>
      <c r="AA173" t="n">
        <v>0.0239</v>
      </c>
      <c r="AB173" t="n">
        <v>-0.0156</v>
      </c>
    </row>
    <row r="174">
      <c r="A174" t="n">
        <v>173</v>
      </c>
      <c r="B174" t="inlineStr">
        <is>
          <t>scenario</t>
        </is>
      </c>
      <c r="C174" t="inlineStr">
        <is>
          <t>4TAI</t>
        </is>
      </c>
      <c r="D174" s="3" t="inlineStr">
        <is>
          <t>Di tugas saya harus buat sistem sederhana untuk riwayat browser: bisa push URL baru, back (kembali), dan forward (maju).</t>
        </is>
      </c>
      <c r="E174" t="n">
        <v>1</v>
      </c>
      <c r="F174" t="n">
        <v>0.8571</v>
      </c>
      <c r="G174" t="n">
        <v>0.7753</v>
      </c>
      <c r="H174" t="n">
        <v>1</v>
      </c>
      <c r="I174" t="n">
        <v>0.3333</v>
      </c>
      <c r="J174" s="3" t="inlineStr">
        <is>
          <t>GT_CT13.txt, GT_DETAIL_PT13_Struktur_Data.txt</t>
        </is>
      </c>
      <c r="K174" t="n">
        <v>0.2744</v>
      </c>
      <c r="L174" t="n">
        <v>0.3333</v>
      </c>
      <c r="M174" t="n">
        <v>0.1371</v>
      </c>
      <c r="N174" t="n">
        <v>0.4716</v>
      </c>
      <c r="O174" t="inlineStr">
        <is>
          <t>SEDANG</t>
        </is>
      </c>
      <c r="P174" t="n">
        <v>0</v>
      </c>
      <c r="Q174" t="n">
        <v>0</v>
      </c>
      <c r="R174" t="b">
        <v>1</v>
      </c>
      <c r="S174" t="n">
        <v>0.6478</v>
      </c>
      <c r="T174" t="n">
        <v>0.8333</v>
      </c>
      <c r="U174" t="n">
        <v>0.2151</v>
      </c>
      <c r="V174" t="n">
        <v>0.2289</v>
      </c>
      <c r="W174" t="inlineStr">
        <is>
          <t>RENDAH</t>
        </is>
      </c>
      <c r="X174" t="n">
        <v>0</v>
      </c>
      <c r="Y174" t="n">
        <v>0</v>
      </c>
      <c r="Z174" t="b">
        <v>1</v>
      </c>
      <c r="AA174" t="n">
        <v>-0.3734</v>
      </c>
      <c r="AB174" t="n">
        <v>0.2427</v>
      </c>
    </row>
    <row r="175">
      <c r="A175" t="n">
        <v>174</v>
      </c>
      <c r="B175" t="inlineStr">
        <is>
          <t>application</t>
        </is>
      </c>
      <c r="C175" t="inlineStr">
        <is>
          <t>4PGI</t>
        </is>
      </c>
      <c r="D175" s="3" t="inlineStr">
        <is>
          <t xml:space="preserve">Saya mendapat soal: diberikan graph kota dengan jalan searah. Tentukan apakah setiap kota bisa dicapai dari kota A. Ini </t>
        </is>
      </c>
      <c r="E175" t="n">
        <v>1</v>
      </c>
      <c r="F175" t="n">
        <v>0.8571</v>
      </c>
      <c r="G175" t="n">
        <v>0.735</v>
      </c>
      <c r="H175" t="n">
        <v>1</v>
      </c>
      <c r="I175" t="n">
        <v>0.5</v>
      </c>
      <c r="J175" s="3" t="inlineStr">
        <is>
          <t>GT_CT13.txt, GT_DETAIL_PT13_Struktur_Data.txt, GT_SUBTOPIK_13_Graph_Tree.txt</t>
        </is>
      </c>
      <c r="K175" t="n">
        <v>0.7773</v>
      </c>
      <c r="L175" t="n">
        <v>1</v>
      </c>
      <c r="M175" t="n">
        <v>0.2575</v>
      </c>
      <c r="N175" t="n">
        <v>0.1448</v>
      </c>
      <c r="O175" t="inlineStr">
        <is>
          <t>RENDAH</t>
        </is>
      </c>
      <c r="P175" t="n">
        <v>0</v>
      </c>
      <c r="Q175" t="n">
        <v>0</v>
      </c>
      <c r="R175" t="b">
        <v>0</v>
      </c>
      <c r="S175" t="n">
        <v>0.7725</v>
      </c>
      <c r="T175" t="n">
        <v>1</v>
      </c>
      <c r="U175" t="n">
        <v>0.2415</v>
      </c>
      <c r="V175" t="n">
        <v>0.1479</v>
      </c>
      <c r="W175" t="inlineStr">
        <is>
          <t>RENDAH</t>
        </is>
      </c>
      <c r="X175" t="n">
        <v>0</v>
      </c>
      <c r="Y175" t="n">
        <v>0</v>
      </c>
      <c r="Z175" t="b">
        <v>1</v>
      </c>
      <c r="AA175" t="n">
        <v>0.0048</v>
      </c>
      <c r="AB175" t="n">
        <v>-0.0031</v>
      </c>
    </row>
    <row r="176">
      <c r="A176" t="n">
        <v>175</v>
      </c>
      <c r="B176" t="inlineStr">
        <is>
          <t>scenario</t>
        </is>
      </c>
      <c r="C176" t="inlineStr">
        <is>
          <t>5TGI</t>
        </is>
      </c>
      <c r="D176" s="3" t="inlineStr">
        <is>
          <t>Soal CT akhir semester: diberi list kata-kata dan diminta cari kata terpanjang yang merupakan palindrom. Dosen minta pak</t>
        </is>
      </c>
      <c r="E176" t="n">
        <v>1</v>
      </c>
      <c r="F176" t="n">
        <v>0.8571</v>
      </c>
      <c r="G176" t="n">
        <v>0.7425</v>
      </c>
      <c r="H176" t="n">
        <v>1</v>
      </c>
      <c r="I176" t="n">
        <v>1</v>
      </c>
      <c r="J176" s="3" t="inlineStr">
        <is>
          <t>3TAR.txt, 3TGI.txt, 3TGR.txt, GT_CT01.txt, GT_CT03.txt, GT_DETAIL_PT01_Pendahuluan.txt</t>
        </is>
      </c>
      <c r="K176" t="n">
        <v>0.4931</v>
      </c>
      <c r="L176" t="n">
        <v>0.6667</v>
      </c>
      <c r="M176" t="n">
        <v>0.0881</v>
      </c>
      <c r="N176" t="n">
        <v>0.3295</v>
      </c>
      <c r="O176" t="inlineStr">
        <is>
          <t>SEDANG</t>
        </is>
      </c>
      <c r="P176" t="n">
        <v>0</v>
      </c>
      <c r="Q176" t="n">
        <v>0</v>
      </c>
      <c r="R176" t="b">
        <v>1</v>
      </c>
      <c r="S176" t="n">
        <v>0.6618000000000001</v>
      </c>
      <c r="T176" t="n">
        <v>0.8333</v>
      </c>
      <c r="U176" t="n">
        <v>0.2615</v>
      </c>
      <c r="V176" t="n">
        <v>0.2198</v>
      </c>
      <c r="W176" t="inlineStr">
        <is>
          <t>RENDAH</t>
        </is>
      </c>
      <c r="X176" t="n">
        <v>0</v>
      </c>
      <c r="Y176" t="n">
        <v>0</v>
      </c>
      <c r="Z176" t="b">
        <v>1</v>
      </c>
      <c r="AA176" t="n">
        <v>-0.1687</v>
      </c>
      <c r="AB176" t="n">
        <v>0.1097</v>
      </c>
    </row>
    <row r="177">
      <c r="A177" t="n">
        <v>176</v>
      </c>
      <c r="B177" t="inlineStr">
        <is>
          <t>confusion</t>
        </is>
      </c>
      <c r="C177" t="inlineStr">
        <is>
          <t>1PAR</t>
        </is>
      </c>
      <c r="D177" s="3" t="inlineStr">
        <is>
          <t>Saya bingung antara 'increment' dan 'accumulate' dalam loop. Di kode saya:
  total = total + 1  (increment counter)
  to</t>
        </is>
      </c>
      <c r="E177" t="n">
        <v>1</v>
      </c>
      <c r="F177" t="n">
        <v>0.8571</v>
      </c>
      <c r="G177" t="n">
        <v>0.7137</v>
      </c>
      <c r="H177" t="n">
        <v>1</v>
      </c>
      <c r="I177" t="n">
        <v>0.5</v>
      </c>
      <c r="J177" s="3" t="inlineStr">
        <is>
          <t>GT_CT11.txt, GT_DETAIL_PT11_Perulangan.txt, GT_SUBTOPIK_08_Perulangan_For_While.txt</t>
        </is>
      </c>
      <c r="K177" t="n">
        <v>0.7831</v>
      </c>
      <c r="L177" t="n">
        <v>1</v>
      </c>
      <c r="M177" t="n">
        <v>0.2772</v>
      </c>
      <c r="N177" t="n">
        <v>0.141</v>
      </c>
      <c r="O177" t="inlineStr">
        <is>
          <t>RENDAH</t>
        </is>
      </c>
      <c r="P177" t="n">
        <v>0</v>
      </c>
      <c r="Q177" t="n">
        <v>0</v>
      </c>
      <c r="R177" t="b">
        <v>1</v>
      </c>
      <c r="S177" t="n">
        <v>0.6552</v>
      </c>
      <c r="T177" t="n">
        <v>0.8333</v>
      </c>
      <c r="U177" t="n">
        <v>0.2397</v>
      </c>
      <c r="V177" t="n">
        <v>0.2241</v>
      </c>
      <c r="W177" t="inlineStr">
        <is>
          <t>RENDAH</t>
        </is>
      </c>
      <c r="X177" t="n">
        <v>0</v>
      </c>
      <c r="Y177" t="n">
        <v>0</v>
      </c>
      <c r="Z177" t="b">
        <v>1</v>
      </c>
      <c r="AA177" t="n">
        <v>0.1279</v>
      </c>
      <c r="AB177" t="n">
        <v>-0.08309999999999999</v>
      </c>
    </row>
    <row r="178">
      <c r="A178" t="n">
        <v>177</v>
      </c>
      <c r="B178" t="inlineStr">
        <is>
          <t>confusion</t>
        </is>
      </c>
      <c r="C178" t="inlineStr">
        <is>
          <t>2TGR</t>
        </is>
      </c>
      <c r="D178" s="3" t="inlineStr">
        <is>
          <t>Saya punya soal trace:
  a = 3
  b = a
  a = a + 1
  print(b)
Saya dapat 3, teman dapat 4. Dia bilang b 'mengikuti' a ka</t>
        </is>
      </c>
      <c r="E178" t="n">
        <v>1</v>
      </c>
      <c r="F178" t="n">
        <v>0.8571</v>
      </c>
      <c r="G178" t="n">
        <v>0.7567</v>
      </c>
      <c r="H178" t="n">
        <v>1</v>
      </c>
      <c r="I178" t="n">
        <v>0.8333</v>
      </c>
      <c r="J178" s="3" t="inlineStr">
        <is>
          <t>GT_CT07.txt, GT_CT09.txt, GT_CT10.txt, GT_DETAIL_PT05_Pattern_Recognition.txt, GT_DETAIL_PT11_Perulangan.txt</t>
        </is>
      </c>
      <c r="K178" t="n">
        <v>0.5341</v>
      </c>
      <c r="L178" t="n">
        <v>0.6667</v>
      </c>
      <c r="M178" t="n">
        <v>0.2246</v>
      </c>
      <c r="N178" t="n">
        <v>0.3028</v>
      </c>
      <c r="O178" t="inlineStr">
        <is>
          <t>RENDAH</t>
        </is>
      </c>
      <c r="P178" t="n">
        <v>0</v>
      </c>
      <c r="Q178" t="n">
        <v>0</v>
      </c>
      <c r="R178" t="b">
        <v>1</v>
      </c>
      <c r="S178" t="n">
        <v>0.5231</v>
      </c>
      <c r="T178" t="n">
        <v>0.6667</v>
      </c>
      <c r="U178" t="n">
        <v>0.1882</v>
      </c>
      <c r="V178" t="n">
        <v>0.3322</v>
      </c>
      <c r="W178" t="inlineStr">
        <is>
          <t>SEDANG</t>
        </is>
      </c>
      <c r="X178" t="n">
        <v>0.1111</v>
      </c>
      <c r="Y178" t="n">
        <v>0</v>
      </c>
      <c r="Z178" t="b">
        <v>1</v>
      </c>
      <c r="AA178" t="n">
        <v>0.011</v>
      </c>
      <c r="AB178" t="n">
        <v>-0.0294</v>
      </c>
    </row>
    <row r="179">
      <c r="A179" t="n">
        <v>178</v>
      </c>
      <c r="B179" t="inlineStr">
        <is>
          <t>confusion</t>
        </is>
      </c>
      <c r="C179" t="inlineStr">
        <is>
          <t>2PAI</t>
        </is>
      </c>
      <c r="D179" s="3" t="inlineStr">
        <is>
          <t>Di soal saya ada operasi: x = x + 1 ditulis sebelum loop, di dalam loop, dan setelah loop. Dosen bilang posisinya sangat</t>
        </is>
      </c>
      <c r="E179" t="n">
        <v>1</v>
      </c>
      <c r="F179" t="n">
        <v>0.8571</v>
      </c>
      <c r="G179" t="n">
        <v>0.718</v>
      </c>
      <c r="H179" t="n">
        <v>1</v>
      </c>
      <c r="I179" t="n">
        <v>0.6667</v>
      </c>
      <c r="J179" s="3" t="inlineStr">
        <is>
          <t>GT_CT07.txt, GT_CT11.txt, GT_DETAIL_PT11_Perulangan.txt, GT_SUBTOPIK_14_Kompleksitas_BigO.txt</t>
        </is>
      </c>
      <c r="K179" t="n">
        <v>0.7367</v>
      </c>
      <c r="L179" t="n">
        <v>1</v>
      </c>
      <c r="M179" t="n">
        <v>0.1223</v>
      </c>
      <c r="N179" t="n">
        <v>0.1711</v>
      </c>
      <c r="O179" t="inlineStr">
        <is>
          <t>RENDAH</t>
        </is>
      </c>
      <c r="P179" t="n">
        <v>0</v>
      </c>
      <c r="Q179" t="n">
        <v>0</v>
      </c>
      <c r="R179" t="b">
        <v>1</v>
      </c>
      <c r="S179" t="n">
        <v>0.7731</v>
      </c>
      <c r="T179" t="n">
        <v>1</v>
      </c>
      <c r="U179" t="n">
        <v>0.2438</v>
      </c>
      <c r="V179" t="n">
        <v>0.1475</v>
      </c>
      <c r="W179" t="inlineStr">
        <is>
          <t>RENDAH</t>
        </is>
      </c>
      <c r="X179" t="n">
        <v>0</v>
      </c>
      <c r="Y179" t="n">
        <v>0</v>
      </c>
      <c r="Z179" t="b">
        <v>1</v>
      </c>
      <c r="AA179" t="n">
        <v>-0.0364</v>
      </c>
      <c r="AB179" t="n">
        <v>0.0236</v>
      </c>
    </row>
    <row r="180">
      <c r="A180" t="n">
        <v>179</v>
      </c>
      <c r="B180" t="inlineStr">
        <is>
          <t>application</t>
        </is>
      </c>
      <c r="C180" t="inlineStr">
        <is>
          <t>2TAI</t>
        </is>
      </c>
      <c r="D180" s="3" t="inlineStr">
        <is>
          <t>Saya latihan trace kode ini:
  i = 10
  while (i &gt; 0) do
    print(i)
    i = i - 3
Berapa baris yang tercetak dan apa n</t>
        </is>
      </c>
      <c r="E180" t="n">
        <v>1</v>
      </c>
      <c r="F180" t="n">
        <v>0.8571</v>
      </c>
      <c r="G180" t="n">
        <v>0.7699</v>
      </c>
      <c r="H180" t="n">
        <v>1</v>
      </c>
      <c r="I180" t="n">
        <v>0.3333</v>
      </c>
      <c r="J180" s="3" t="inlineStr">
        <is>
          <t>GT_CT11.txt, GT_DETAIL_PT11_Perulangan.txt</t>
        </is>
      </c>
      <c r="K180" t="n">
        <v>0.5697</v>
      </c>
      <c r="L180" t="n">
        <v>0.6667</v>
      </c>
      <c r="M180" t="n">
        <v>0.3434</v>
      </c>
      <c r="N180" t="n">
        <v>0.2797</v>
      </c>
      <c r="O180" t="inlineStr">
        <is>
          <t>RENDAH</t>
        </is>
      </c>
      <c r="P180" t="n">
        <v>0</v>
      </c>
      <c r="Q180" t="n">
        <v>0</v>
      </c>
      <c r="R180" t="b">
        <v>1</v>
      </c>
      <c r="S180" t="n">
        <v>0.4156</v>
      </c>
      <c r="T180" t="n">
        <v>0.5</v>
      </c>
      <c r="U180" t="n">
        <v>0.2188</v>
      </c>
      <c r="V180" t="n">
        <v>0.3799</v>
      </c>
      <c r="W180" t="inlineStr">
        <is>
          <t>SEDANG</t>
        </is>
      </c>
      <c r="X180" t="n">
        <v>0</v>
      </c>
      <c r="Y180" t="n">
        <v>0</v>
      </c>
      <c r="Z180" t="b">
        <v>1</v>
      </c>
      <c r="AA180" t="n">
        <v>0.1541</v>
      </c>
      <c r="AB180" t="n">
        <v>-0.1002</v>
      </c>
    </row>
    <row r="181">
      <c r="A181" t="n">
        <v>180</v>
      </c>
      <c r="B181" t="inlineStr">
        <is>
          <t>confusion</t>
        </is>
      </c>
      <c r="C181" t="inlineStr">
        <is>
          <t>3TGI</t>
        </is>
      </c>
      <c r="D181" s="3" t="inlineStr">
        <is>
          <t>Di pseudocode CT, saya lihat dua cara tulis pengulangan:
  for i = 1 to 10 do ...
  for i = 0 to 9 do ...
Keduanya 10 it</t>
        </is>
      </c>
      <c r="E181" t="n">
        <v>1</v>
      </c>
      <c r="F181" t="n">
        <v>0.8571</v>
      </c>
      <c r="G181" t="n">
        <v>0.8109</v>
      </c>
      <c r="H181" t="n">
        <v>1</v>
      </c>
      <c r="I181" t="n">
        <v>0.8333</v>
      </c>
      <c r="J181" s="3" t="inlineStr">
        <is>
          <t>GT_CT07.txt, GT_CT11.txt, GT_DETAIL_PT07_Notasi_Algoritme.txt, GT_DETAIL_PT10_Percabangan.txt, GT_DETAIL_PT11_Perulangan.txt</t>
        </is>
      </c>
      <c r="K181" t="n">
        <v>0.7687</v>
      </c>
      <c r="L181" t="n">
        <v>1</v>
      </c>
      <c r="M181" t="n">
        <v>0.2291</v>
      </c>
      <c r="N181" t="n">
        <v>0.1503</v>
      </c>
      <c r="O181" t="inlineStr">
        <is>
          <t>RENDAH</t>
        </is>
      </c>
      <c r="P181" t="n">
        <v>0</v>
      </c>
      <c r="Q181" t="n">
        <v>0</v>
      </c>
      <c r="R181" t="b">
        <v>1</v>
      </c>
      <c r="S181" t="n">
        <v>0.6326000000000001</v>
      </c>
      <c r="T181" t="n">
        <v>0.8333</v>
      </c>
      <c r="U181" t="n">
        <v>0.1644</v>
      </c>
      <c r="V181" t="n">
        <v>0.2388</v>
      </c>
      <c r="W181" t="inlineStr">
        <is>
          <t>RENDAH</t>
        </is>
      </c>
      <c r="X181" t="n">
        <v>0</v>
      </c>
      <c r="Y181" t="n">
        <v>0</v>
      </c>
      <c r="Z181" t="b">
        <v>0</v>
      </c>
      <c r="AA181" t="n">
        <v>0.1361</v>
      </c>
      <c r="AB181" t="n">
        <v>-0.0885</v>
      </c>
    </row>
    <row r="182">
      <c r="A182" t="n">
        <v>181</v>
      </c>
      <c r="B182" t="inlineStr">
        <is>
          <t>application</t>
        </is>
      </c>
      <c r="C182" t="inlineStr">
        <is>
          <t>4PGR</t>
        </is>
      </c>
      <c r="D182" s="3" t="inlineStr">
        <is>
          <t>Soal: diberikan deret 2, 6, 12, 20, 30, 42. Dosen minta identifikasi pola, tuliskan rumus eksplisit suku ke-n, dan hitun</t>
        </is>
      </c>
      <c r="E182" t="n">
        <v>1</v>
      </c>
      <c r="F182" t="n">
        <v>1</v>
      </c>
      <c r="G182" t="n">
        <v>0.8088</v>
      </c>
      <c r="H182" t="n">
        <v>1</v>
      </c>
      <c r="I182" t="n">
        <v>0.5</v>
      </c>
      <c r="J182" s="3" t="inlineStr">
        <is>
          <t>GT_CT05.txt, GT_DETAIL_PT05_Pattern_Recognition.txt, GT_SUBTOPIK_03_Pola_Bilangan_Deret.txt</t>
        </is>
      </c>
      <c r="K182" t="n">
        <v>0.6264999999999999</v>
      </c>
      <c r="L182" t="n">
        <v>0.8333</v>
      </c>
      <c r="M182" t="n">
        <v>0.1438</v>
      </c>
      <c r="N182" t="n">
        <v>0.2428</v>
      </c>
      <c r="O182" t="inlineStr">
        <is>
          <t>RENDAH</t>
        </is>
      </c>
      <c r="P182" t="n">
        <v>0</v>
      </c>
      <c r="Q182" t="n">
        <v>0</v>
      </c>
      <c r="R182" t="b">
        <v>1</v>
      </c>
      <c r="S182" t="n">
        <v>0.659</v>
      </c>
      <c r="T182" t="n">
        <v>0.8333</v>
      </c>
      <c r="U182" t="n">
        <v>0.2524</v>
      </c>
      <c r="V182" t="n">
        <v>0.2216</v>
      </c>
      <c r="W182" t="inlineStr">
        <is>
          <t>RENDAH</t>
        </is>
      </c>
      <c r="X182" t="n">
        <v>0</v>
      </c>
      <c r="Y182" t="n">
        <v>0</v>
      </c>
      <c r="Z182" t="b">
        <v>1</v>
      </c>
      <c r="AA182" t="n">
        <v>-0.0325</v>
      </c>
      <c r="AB182" t="n">
        <v>0.0212</v>
      </c>
    </row>
    <row r="183">
      <c r="A183" t="n">
        <v>182</v>
      </c>
      <c r="B183" t="inlineStr">
        <is>
          <t>application</t>
        </is>
      </c>
      <c r="C183" t="inlineStr">
        <is>
          <t>3PAR</t>
        </is>
      </c>
      <c r="D183" s="3" t="inlineStr">
        <is>
          <t>Soal: berapa banyak jabat tangan yang terjadi jika ada 20 orang di sebuah ruangan dan setiap orang berjabat tangan denga</t>
        </is>
      </c>
      <c r="E183" t="n">
        <v>1</v>
      </c>
      <c r="F183" t="n">
        <v>1</v>
      </c>
      <c r="G183" t="n">
        <v>0.7373</v>
      </c>
      <c r="H183" t="n">
        <v>1</v>
      </c>
      <c r="I183" t="n">
        <v>0.8333</v>
      </c>
      <c r="J183" s="3" t="inlineStr">
        <is>
          <t>GT_CT05.txt, GT_CT07.txt, GT_CT09.txt, GT_DETAIL_PT09_Variabel_TipeData_Operator_List.txt, GT_SUBTOPIK_02_Abstraksi_Formulasi.txt</t>
        </is>
      </c>
      <c r="K183" t="n">
        <v>0.82</v>
      </c>
      <c r="L183" t="n">
        <v>1</v>
      </c>
      <c r="M183" t="n">
        <v>0.3998</v>
      </c>
      <c r="N183" t="n">
        <v>0.117</v>
      </c>
      <c r="O183" t="inlineStr">
        <is>
          <t>RENDAH</t>
        </is>
      </c>
      <c r="P183" t="n">
        <v>0</v>
      </c>
      <c r="Q183" t="n">
        <v>0</v>
      </c>
      <c r="R183" t="b">
        <v>0</v>
      </c>
      <c r="S183" t="n">
        <v>0.0487</v>
      </c>
      <c r="T183" t="n">
        <v>0</v>
      </c>
      <c r="U183" t="n">
        <v>0.1624</v>
      </c>
      <c r="V183" t="n">
        <v>0.6483</v>
      </c>
      <c r="W183" t="inlineStr">
        <is>
          <t>TINGGI</t>
        </is>
      </c>
      <c r="X183" t="n">
        <v>0</v>
      </c>
      <c r="Y183" t="n">
        <v>0.2</v>
      </c>
      <c r="Z183" t="b">
        <v>1</v>
      </c>
      <c r="AA183" t="n">
        <v>0.7713</v>
      </c>
      <c r="AB183" t="n">
        <v>-0.5313</v>
      </c>
    </row>
    <row r="184">
      <c r="A184" t="n">
        <v>183</v>
      </c>
      <c r="B184" t="inlineStr">
        <is>
          <t>application</t>
        </is>
      </c>
      <c r="C184" t="inlineStr">
        <is>
          <t>3TGR</t>
        </is>
      </c>
      <c r="D184" s="3" t="inlineStr">
        <is>
          <t>Di soal pattern recognition saya diminta cari rumus untuk pola kotak-kotak dalam grid: baris pertama 1 kotak, baris kedu</t>
        </is>
      </c>
      <c r="E184" t="n">
        <v>1</v>
      </c>
      <c r="F184" t="n">
        <v>1</v>
      </c>
      <c r="G184" t="n">
        <v>0.7327</v>
      </c>
      <c r="H184" t="n">
        <v>1</v>
      </c>
      <c r="I184" t="n">
        <v>1</v>
      </c>
      <c r="J184" s="3" t="inlineStr">
        <is>
          <t>GT_CT01.txt, GT_CT03.txt, GT_CT13.txt, GT_DETAIL_PT05_Pattern_Recognition.txt, GT_SUBTOPIK_02_Abstraksi_Formulasi.txt, GT_SUBTOPIK_11_Rekursi.txt</t>
        </is>
      </c>
      <c r="K184" t="n">
        <v>0.5394</v>
      </c>
      <c r="L184" t="n">
        <v>0.6667</v>
      </c>
      <c r="M184" t="n">
        <v>0.2425</v>
      </c>
      <c r="N184" t="n">
        <v>0.2994</v>
      </c>
      <c r="O184" t="inlineStr">
        <is>
          <t>RENDAH</t>
        </is>
      </c>
      <c r="P184" t="n">
        <v>0</v>
      </c>
      <c r="Q184" t="n">
        <v>0</v>
      </c>
      <c r="R184" t="b">
        <v>1</v>
      </c>
      <c r="S184" t="n">
        <v>0.6238</v>
      </c>
      <c r="T184" t="n">
        <v>0.8333</v>
      </c>
      <c r="U184" t="n">
        <v>0.135</v>
      </c>
      <c r="V184" t="n">
        <v>0.2445</v>
      </c>
      <c r="W184" t="inlineStr">
        <is>
          <t>RENDAH</t>
        </is>
      </c>
      <c r="X184" t="n">
        <v>0</v>
      </c>
      <c r="Y184" t="n">
        <v>0</v>
      </c>
      <c r="Z184" t="b">
        <v>1</v>
      </c>
      <c r="AA184" t="n">
        <v>-0.0844</v>
      </c>
      <c r="AB184" t="n">
        <v>0.0549</v>
      </c>
    </row>
    <row r="185">
      <c r="A185" t="n">
        <v>184</v>
      </c>
      <c r="B185" t="inlineStr">
        <is>
          <t>out_of_scope</t>
        </is>
      </c>
      <c r="C185" t="inlineStr">
        <is>
          <t>6PAR</t>
        </is>
      </c>
      <c r="D185" s="3" t="inlineStr">
        <is>
          <t>Saya dengar ada algoritme sorting yang lebih cepat dari O(n log n) untuk kasus tertentu — namanya Counting Sort atau Rad</t>
        </is>
      </c>
      <c r="E185" t="n">
        <v>1</v>
      </c>
      <c r="F185" t="n">
        <v>1</v>
      </c>
      <c r="G185" t="n">
        <v>0.7528</v>
      </c>
      <c r="H185" t="n">
        <v>1</v>
      </c>
      <c r="I185" t="n">
        <v>0.5</v>
      </c>
      <c r="J185" s="3" t="inlineStr">
        <is>
          <t>GT_CT09.txt, GT_DETAIL_PT07_Notasi_Algoritme.txt, GT_SUBTOPIK_14_Kompleksitas_BigO.txt</t>
        </is>
      </c>
      <c r="K185" t="n">
        <v>0.7631</v>
      </c>
      <c r="L185" t="n">
        <v>1</v>
      </c>
      <c r="M185" t="n">
        <v>0.2104</v>
      </c>
      <c r="N185" t="n">
        <v>0.154</v>
      </c>
      <c r="O185" t="inlineStr">
        <is>
          <t>RENDAH</t>
        </is>
      </c>
      <c r="P185" t="n">
        <v>0</v>
      </c>
      <c r="Q185" t="n">
        <v>0</v>
      </c>
      <c r="R185" t="b">
        <v>1</v>
      </c>
      <c r="S185" t="n">
        <v>0.7668</v>
      </c>
      <c r="T185" t="n">
        <v>1</v>
      </c>
      <c r="U185" t="n">
        <v>0.2227</v>
      </c>
      <c r="V185" t="n">
        <v>0.1516</v>
      </c>
      <c r="W185" t="inlineStr">
        <is>
          <t>RENDAH</t>
        </is>
      </c>
      <c r="X185" t="n">
        <v>0</v>
      </c>
      <c r="Y185" t="n">
        <v>0</v>
      </c>
      <c r="Z185" t="b">
        <v>1</v>
      </c>
      <c r="AA185" t="n">
        <v>-0.0037</v>
      </c>
      <c r="AB185" t="n">
        <v>0.0024</v>
      </c>
    </row>
    <row r="186">
      <c r="A186" t="n">
        <v>185</v>
      </c>
      <c r="B186" t="inlineStr">
        <is>
          <t>out_of_scope</t>
        </is>
      </c>
      <c r="C186" t="inlineStr">
        <is>
          <t>5TGI</t>
        </is>
      </c>
      <c r="D186" s="3" t="inlineStr">
        <is>
          <t>Saya tertarik dengan algoritme greedy dan dynamic programming yang sering muncul di lomba programming. Apakah kedua tekn</t>
        </is>
      </c>
      <c r="E186" t="n">
        <v>1</v>
      </c>
      <c r="F186" t="n">
        <v>1</v>
      </c>
      <c r="G186" t="n">
        <v>0.7512</v>
      </c>
      <c r="H186" t="n">
        <v>1</v>
      </c>
      <c r="I186" t="n">
        <v>0.5</v>
      </c>
      <c r="J186" s="3" t="inlineStr">
        <is>
          <t>GT_CT01.txt, GT_CT06.txt, GT_SUBTOPIK_02_Abstraksi_Formulasi.txt</t>
        </is>
      </c>
      <c r="K186" t="n">
        <v>0.7707000000000001</v>
      </c>
      <c r="L186" t="n">
        <v>1</v>
      </c>
      <c r="M186" t="n">
        <v>0.2357</v>
      </c>
      <c r="N186" t="n">
        <v>0.149</v>
      </c>
      <c r="O186" t="inlineStr">
        <is>
          <t>RENDAH</t>
        </is>
      </c>
      <c r="P186" t="n">
        <v>0</v>
      </c>
      <c r="Q186" t="n">
        <v>0</v>
      </c>
      <c r="R186" t="b">
        <v>1</v>
      </c>
      <c r="S186" t="n">
        <v>0.4312</v>
      </c>
      <c r="T186" t="n">
        <v>0.5</v>
      </c>
      <c r="U186" t="n">
        <v>0.2707</v>
      </c>
      <c r="V186" t="n">
        <v>0.3697</v>
      </c>
      <c r="W186" t="inlineStr">
        <is>
          <t>SEDANG</t>
        </is>
      </c>
      <c r="X186" t="n">
        <v>0</v>
      </c>
      <c r="Y186" t="n">
        <v>0</v>
      </c>
      <c r="Z186" t="b">
        <v>1</v>
      </c>
      <c r="AA186" t="n">
        <v>0.3395</v>
      </c>
      <c r="AB186" t="n">
        <v>-0.2207</v>
      </c>
    </row>
    <row r="187">
      <c r="A187" t="n">
        <v>186</v>
      </c>
      <c r="B187" t="inlineStr">
        <is>
          <t>out_of_scope</t>
        </is>
      </c>
      <c r="C187" t="inlineStr">
        <is>
          <t>6TGR</t>
        </is>
      </c>
      <c r="D187" s="3" t="inlineStr">
        <is>
          <t>Di internet saya baca tentang 'P vs NP problem' yang katanya salah satu masalah matematika terbesar yang belum terpecahk</t>
        </is>
      </c>
      <c r="E187" t="n">
        <v>1</v>
      </c>
      <c r="F187" t="n">
        <v>1</v>
      </c>
      <c r="G187" t="n">
        <v>0.7696</v>
      </c>
      <c r="H187" t="n">
        <v>1</v>
      </c>
      <c r="I187" t="n">
        <v>1</v>
      </c>
      <c r="J187" s="3" t="inlineStr">
        <is>
          <t>GT_CT01.txt, GT_CT04.txt, GT_DETAIL_PT01_Pendahuluan.txt, GT_DETAIL_PT02_ICT_Literacy_Ethics.txt, GT_DETAIL_PT04_Abstraksi.txt, GT_SUBTOPIK_02_Abstraksi_Formulasi.txt</t>
        </is>
      </c>
      <c r="K187" t="n">
        <v>0.7477</v>
      </c>
      <c r="L187" t="n">
        <v>1</v>
      </c>
      <c r="M187" t="n">
        <v>0.1589</v>
      </c>
      <c r="N187" t="n">
        <v>0.194</v>
      </c>
      <c r="O187" t="inlineStr">
        <is>
          <t>RENDAH</t>
        </is>
      </c>
      <c r="P187" t="n">
        <v>0</v>
      </c>
      <c r="Q187" t="n">
        <v>0.2</v>
      </c>
      <c r="R187" t="b">
        <v>1</v>
      </c>
      <c r="S187" t="n">
        <v>0.6593</v>
      </c>
      <c r="T187" t="n">
        <v>0.8333</v>
      </c>
      <c r="U187" t="n">
        <v>0.2533</v>
      </c>
      <c r="V187" t="n">
        <v>0.2515</v>
      </c>
      <c r="W187" t="inlineStr">
        <is>
          <t>RENDAH</t>
        </is>
      </c>
      <c r="X187" t="n">
        <v>0</v>
      </c>
      <c r="Y187" t="n">
        <v>0.2</v>
      </c>
      <c r="Z187" t="b">
        <v>1</v>
      </c>
      <c r="AA187" t="n">
        <v>0.08840000000000001</v>
      </c>
      <c r="AB187" t="n">
        <v>-0.0575</v>
      </c>
    </row>
    <row r="188">
      <c r="A188" t="n">
        <v>187</v>
      </c>
      <c r="B188" t="inlineStr">
        <is>
          <t>comparative</t>
        </is>
      </c>
      <c r="C188" t="inlineStr">
        <is>
          <t>5TAR</t>
        </is>
      </c>
      <c r="D188" s="3" t="inlineStr">
        <is>
          <t>Dosen minta saya bandingkan tiga cara menghitung faktorial: rekursi biasa, iterasi for loop, dan dengan rumus langsung (</t>
        </is>
      </c>
      <c r="E188" t="n">
        <v>1</v>
      </c>
      <c r="F188" t="n">
        <v>0.8571</v>
      </c>
      <c r="G188" t="n">
        <v>0.7043</v>
      </c>
      <c r="H188" t="n">
        <v>1</v>
      </c>
      <c r="I188" t="n">
        <v>0.8333</v>
      </c>
      <c r="J188" s="3" t="inlineStr">
        <is>
          <t>5TAI.txt, GT_CT09.txt, GT_CT10.txt, GT_DETAIL_PT01_Pendahuluan.txt, GT_DETAIL_PT02_ICT_Literacy_Ethics.txt</t>
        </is>
      </c>
      <c r="K188" t="n">
        <v>0.7657</v>
      </c>
      <c r="L188" t="n">
        <v>1</v>
      </c>
      <c r="M188" t="n">
        <v>0.2192</v>
      </c>
      <c r="N188" t="n">
        <v>0.1823</v>
      </c>
      <c r="O188" t="inlineStr">
        <is>
          <t>RENDAH</t>
        </is>
      </c>
      <c r="P188" t="n">
        <v>0</v>
      </c>
      <c r="Q188" t="n">
        <v>0.2</v>
      </c>
      <c r="R188" t="b">
        <v>1</v>
      </c>
      <c r="S188" t="n">
        <v>0.641</v>
      </c>
      <c r="T188" t="n">
        <v>0.8333</v>
      </c>
      <c r="U188" t="n">
        <v>0.1924</v>
      </c>
      <c r="V188" t="n">
        <v>0.2334</v>
      </c>
      <c r="W188" t="inlineStr">
        <is>
          <t>RENDAH</t>
        </is>
      </c>
      <c r="X188" t="n">
        <v>0</v>
      </c>
      <c r="Y188" t="n">
        <v>0</v>
      </c>
      <c r="Z188" t="b">
        <v>1</v>
      </c>
      <c r="AA188" t="n">
        <v>0.1247</v>
      </c>
      <c r="AB188" t="n">
        <v>-0.0511</v>
      </c>
    </row>
    <row r="189">
      <c r="A189" t="n">
        <v>188</v>
      </c>
      <c r="B189" t="inlineStr">
        <is>
          <t>comparative</t>
        </is>
      </c>
      <c r="C189" t="inlineStr">
        <is>
          <t>3TAI</t>
        </is>
      </c>
      <c r="D189" s="3" t="inlineStr">
        <is>
          <t>Saya bingung memilih antara nested if dan switch/case untuk menentukan hari kerja berdasarkan angka 1-7. Di pseudocode C</t>
        </is>
      </c>
      <c r="E189" t="n">
        <v>1</v>
      </c>
      <c r="F189" t="n">
        <v>0.8571</v>
      </c>
      <c r="G189" t="n">
        <v>0.7475000000000001</v>
      </c>
      <c r="H189" t="n">
        <v>1</v>
      </c>
      <c r="I189" t="n">
        <v>0.8333</v>
      </c>
      <c r="J189" s="3" t="inlineStr">
        <is>
          <t>GT_CT07.txt, GT_CT09.txt, GT_CT10.txt, GT_DETAIL_PT10_Percabangan.txt, GT_SUBTOPIK_05_Pseudocode_Algoritme.txt</t>
        </is>
      </c>
      <c r="K189" t="n">
        <v>0.7869</v>
      </c>
      <c r="L189" t="n">
        <v>1</v>
      </c>
      <c r="M189" t="n">
        <v>0.2895</v>
      </c>
      <c r="N189" t="n">
        <v>0.1385</v>
      </c>
      <c r="O189" t="inlineStr">
        <is>
          <t>RENDAH</t>
        </is>
      </c>
      <c r="P189" t="n">
        <v>0</v>
      </c>
      <c r="Q189" t="n">
        <v>0</v>
      </c>
      <c r="S189" t="n">
        <v>0.7791</v>
      </c>
      <c r="T189" t="n">
        <v>1</v>
      </c>
      <c r="U189" t="n">
        <v>0.2638</v>
      </c>
      <c r="V189" t="n">
        <v>0.1736</v>
      </c>
      <c r="W189" t="inlineStr">
        <is>
          <t>RENDAH</t>
        </is>
      </c>
      <c r="X189" t="n">
        <v>0</v>
      </c>
      <c r="Y189" t="n">
        <v>0.2</v>
      </c>
      <c r="Z189" t="b">
        <v>1</v>
      </c>
      <c r="AA189" t="n">
        <v>0.0078</v>
      </c>
      <c r="AB189" t="n">
        <v>-0.0351</v>
      </c>
    </row>
    <row r="190">
      <c r="A190" t="n">
        <v>189</v>
      </c>
      <c r="B190" t="inlineStr">
        <is>
          <t>comparative</t>
        </is>
      </c>
      <c r="C190" t="inlineStr">
        <is>
          <t>4PAR</t>
        </is>
      </c>
      <c r="D190" s="3" t="inlineStr">
        <is>
          <t>Saya mau bandingkan: untuk mencari nilai terbesar dalam array n elemen, apakah lebih efisien linear scan satu pass, atau</t>
        </is>
      </c>
      <c r="E190" t="n">
        <v>1</v>
      </c>
      <c r="F190" t="n">
        <v>0.8571</v>
      </c>
      <c r="G190" t="n">
        <v>0.723</v>
      </c>
      <c r="H190" t="n">
        <v>1</v>
      </c>
      <c r="I190" t="n">
        <v>0.5</v>
      </c>
      <c r="J190" s="3" t="inlineStr">
        <is>
          <t>GT_SUBTOPIK_04_Modulo_Siklus.txt, GT_SUBTOPIK_05_Pseudocode_Algoritme.txt, GT_SUBTOPIK_14_Kompleksitas_BigO.txt</t>
        </is>
      </c>
      <c r="K190" t="n">
        <v>0.782</v>
      </c>
      <c r="L190" t="n">
        <v>1</v>
      </c>
      <c r="M190" t="n">
        <v>0.2733</v>
      </c>
      <c r="N190" t="n">
        <v>0.1717</v>
      </c>
      <c r="O190" t="inlineStr">
        <is>
          <t>RENDAH</t>
        </is>
      </c>
      <c r="P190" t="n">
        <v>0</v>
      </c>
      <c r="Q190" t="n">
        <v>0.2</v>
      </c>
      <c r="R190" t="b">
        <v>0</v>
      </c>
      <c r="S190" t="n">
        <v>0.7839</v>
      </c>
      <c r="T190" t="n">
        <v>1</v>
      </c>
      <c r="U190" t="n">
        <v>0.2796</v>
      </c>
      <c r="V190" t="n">
        <v>0.1405</v>
      </c>
      <c r="W190" t="inlineStr">
        <is>
          <t>RENDAH</t>
        </is>
      </c>
      <c r="X190" t="n">
        <v>0</v>
      </c>
      <c r="Y190" t="n">
        <v>0</v>
      </c>
      <c r="Z190" t="b">
        <v>1</v>
      </c>
      <c r="AA190" t="n">
        <v>-0.0019</v>
      </c>
      <c r="AB190" t="n">
        <v>0.0312</v>
      </c>
    </row>
    <row r="191">
      <c r="A191" t="n">
        <v>190</v>
      </c>
      <c r="B191" t="inlineStr">
        <is>
          <t>scenario</t>
        </is>
      </c>
      <c r="C191" t="inlineStr">
        <is>
          <t>5PAR</t>
        </is>
      </c>
      <c r="D191" s="3" t="inlineStr">
        <is>
          <t>Saya diminta rancang algoritme untuk sistem rekomendasi film sederhana. Diketahui: user bisa kasih rating 1-5 untuk film</t>
        </is>
      </c>
      <c r="E191" t="n">
        <v>1</v>
      </c>
      <c r="F191" t="n">
        <v>0.8571</v>
      </c>
      <c r="G191" t="n">
        <v>0.7015</v>
      </c>
      <c r="H191" t="n">
        <v>1</v>
      </c>
      <c r="I191" t="n">
        <v>0.8333</v>
      </c>
      <c r="J191" s="3" t="inlineStr">
        <is>
          <t>5PAI.txt, GT_CT01.txt, GT_CT03.txt, GT_DETAIL_PT01_Pendahuluan.txt, GT_DETAIL_PT02_ICT_Literacy_Ethics.txt</t>
        </is>
      </c>
      <c r="K191" t="n">
        <v>0.3699</v>
      </c>
      <c r="L191" t="n">
        <v>0.5</v>
      </c>
      <c r="M191" t="n">
        <v>0.0663</v>
      </c>
      <c r="N191" t="n">
        <v>0.4396</v>
      </c>
      <c r="O191" t="inlineStr">
        <is>
          <t>SEDANG</t>
        </is>
      </c>
      <c r="P191" t="n">
        <v>0</v>
      </c>
      <c r="Q191" t="n">
        <v>0.2</v>
      </c>
      <c r="R191" t="b">
        <v>1</v>
      </c>
      <c r="S191" t="n">
        <v>0.5233</v>
      </c>
      <c r="T191" t="n">
        <v>0.6667</v>
      </c>
      <c r="U191" t="n">
        <v>0.1888</v>
      </c>
      <c r="V191" t="n">
        <v>0.3099</v>
      </c>
      <c r="W191" t="inlineStr">
        <is>
          <t>RENDAH</t>
        </is>
      </c>
      <c r="X191" t="n">
        <v>0</v>
      </c>
      <c r="Y191" t="n">
        <v>0</v>
      </c>
      <c r="Z191" t="b">
        <v>1</v>
      </c>
      <c r="AA191" t="n">
        <v>-0.1534</v>
      </c>
      <c r="AB191" t="n">
        <v>0.1297</v>
      </c>
    </row>
    <row r="192">
      <c r="A192" t="n">
        <v>191</v>
      </c>
      <c r="B192" t="inlineStr">
        <is>
          <t>scenario</t>
        </is>
      </c>
      <c r="C192" t="inlineStr">
        <is>
          <t>3TGR</t>
        </is>
      </c>
      <c r="D192" s="3" t="inlineStr">
        <is>
          <t>Saya sedang bikin aplikasi to-do list dan perlu fitur: tambah tugas, hapus tugas selesai, dan tampilkan tugas berdasarka</t>
        </is>
      </c>
      <c r="E192" t="n">
        <v>1</v>
      </c>
      <c r="F192" t="n">
        <v>0.8571</v>
      </c>
      <c r="G192" t="n">
        <v>0.7677</v>
      </c>
      <c r="H192" t="n">
        <v>1</v>
      </c>
      <c r="I192" t="n">
        <v>1</v>
      </c>
      <c r="J192" s="3" t="inlineStr">
        <is>
          <t>GT_CT07.txt, GT_CT09.txt, GT_CT10.txt, GT_CT11.txt, GT_CT13.txt, GT_DETAIL_PT10_Percabangan.txt</t>
        </is>
      </c>
      <c r="K192" t="n">
        <v>0.7842</v>
      </c>
      <c r="L192" t="n">
        <v>1</v>
      </c>
      <c r="M192" t="n">
        <v>0.2808</v>
      </c>
      <c r="N192" t="n">
        <v>0.1403</v>
      </c>
      <c r="O192" t="inlineStr">
        <is>
          <t>RENDAH</t>
        </is>
      </c>
      <c r="P192" t="n">
        <v>0</v>
      </c>
      <c r="Q192" t="n">
        <v>0</v>
      </c>
      <c r="R192" t="b">
        <v>1</v>
      </c>
      <c r="S192" t="n">
        <v>0.7762</v>
      </c>
      <c r="T192" t="n">
        <v>1</v>
      </c>
      <c r="U192" t="n">
        <v>0.254</v>
      </c>
      <c r="V192" t="n">
        <v>0.1455</v>
      </c>
      <c r="W192" t="inlineStr">
        <is>
          <t>RENDAH</t>
        </is>
      </c>
      <c r="X192" t="n">
        <v>0</v>
      </c>
      <c r="Y192" t="n">
        <v>0</v>
      </c>
      <c r="Z192" t="b">
        <v>1</v>
      </c>
      <c r="AA192" t="n">
        <v>0.008</v>
      </c>
      <c r="AB192" t="n">
        <v>-0.0052</v>
      </c>
    </row>
    <row r="193">
      <c r="A193" t="n">
        <v>192</v>
      </c>
      <c r="B193" t="inlineStr">
        <is>
          <t>application</t>
        </is>
      </c>
      <c r="C193" t="inlineStr">
        <is>
          <t>5TGI</t>
        </is>
      </c>
      <c r="D193" s="3" t="inlineStr">
        <is>
          <t>Saya diminta analisis kompleksitas program cek duplikat dalam array: apakah ada elemen yang muncul lebih dari sekali. Pe</t>
        </is>
      </c>
      <c r="E193" t="n">
        <v>1</v>
      </c>
      <c r="F193" t="n">
        <v>0.8571</v>
      </c>
      <c r="G193" t="n">
        <v>0.7383</v>
      </c>
      <c r="H193" t="n">
        <v>1</v>
      </c>
      <c r="I193" t="n">
        <v>1</v>
      </c>
      <c r="J193" s="3" t="inlineStr">
        <is>
          <t>GT_CT01.txt, GT_CT03.txt, GT_CT06.txt, GT_CT07.txt, GT_DETAIL_PT01_Pendahuluan.txt, GT_SUBTOPIK_02_Abstraksi_Formulasi.txt</t>
        </is>
      </c>
      <c r="K193" t="n">
        <v>0.6435</v>
      </c>
      <c r="L193" t="n">
        <v>0.8333</v>
      </c>
      <c r="M193" t="n">
        <v>0.2006</v>
      </c>
      <c r="N193" t="n">
        <v>0.2617</v>
      </c>
      <c r="O193" t="inlineStr">
        <is>
          <t>RENDAH</t>
        </is>
      </c>
      <c r="P193" t="n">
        <v>0</v>
      </c>
      <c r="Q193" t="n">
        <v>0.2</v>
      </c>
      <c r="R193" t="b">
        <v>0</v>
      </c>
      <c r="S193" t="n">
        <v>0.7576000000000001</v>
      </c>
      <c r="T193" t="n">
        <v>1</v>
      </c>
      <c r="U193" t="n">
        <v>0.1921</v>
      </c>
      <c r="V193" t="n">
        <v>0.1576</v>
      </c>
      <c r="W193" t="inlineStr">
        <is>
          <t>RENDAH</t>
        </is>
      </c>
      <c r="X193" t="n">
        <v>0</v>
      </c>
      <c r="Y193" t="n">
        <v>0</v>
      </c>
      <c r="Z193" t="b">
        <v>1</v>
      </c>
      <c r="AA193" t="n">
        <v>-0.1141</v>
      </c>
      <c r="AB193" t="n">
        <v>0.1041</v>
      </c>
    </row>
    <row r="194">
      <c r="A194" t="n">
        <v>193</v>
      </c>
      <c r="B194" t="inlineStr">
        <is>
          <t>application</t>
        </is>
      </c>
      <c r="C194" t="inlineStr">
        <is>
          <t>5TGR</t>
        </is>
      </c>
      <c r="D194" s="3" t="inlineStr">
        <is>
          <t>Trace fungsi rekursif ini untuk input n=4:
  function mystery(n):
    if n == 0: return 0
    if n mod 2 == 0: return my</t>
        </is>
      </c>
      <c r="E194" t="n">
        <v>1</v>
      </c>
      <c r="F194" t="n">
        <v>0.8571</v>
      </c>
      <c r="G194" t="n">
        <v>0.7927</v>
      </c>
      <c r="H194" t="n">
        <v>1</v>
      </c>
      <c r="I194" t="n">
        <v>0.6667</v>
      </c>
      <c r="J194" s="3" t="inlineStr">
        <is>
          <t>GT_DETAIL_PT12_Fungsi.txt, GT_SUBTOPIK_05_Pseudocode_Algoritme.txt, GT_SUBTOPIK_08_Perulangan_For_While.txt, GT_SUBTOPIK_11_Rekursi.txt</t>
        </is>
      </c>
      <c r="K194" t="n">
        <v>0.7725</v>
      </c>
      <c r="L194" t="n">
        <v>1</v>
      </c>
      <c r="M194" t="n">
        <v>0.2418</v>
      </c>
      <c r="N194" t="n">
        <v>0.1479</v>
      </c>
      <c r="O194" t="inlineStr">
        <is>
          <t>RENDAH</t>
        </is>
      </c>
      <c r="P194" t="n">
        <v>0</v>
      </c>
      <c r="Q194" t="n">
        <v>0</v>
      </c>
      <c r="R194" t="b">
        <v>1</v>
      </c>
      <c r="S194" t="n">
        <v>0.7697000000000001</v>
      </c>
      <c r="T194" t="n">
        <v>1</v>
      </c>
      <c r="U194" t="n">
        <v>0.2325</v>
      </c>
      <c r="V194" t="n">
        <v>0.1497</v>
      </c>
      <c r="W194" t="inlineStr">
        <is>
          <t>RENDAH</t>
        </is>
      </c>
      <c r="X194" t="n">
        <v>0</v>
      </c>
      <c r="Y194" t="n">
        <v>0</v>
      </c>
      <c r="Z194" t="b">
        <v>0</v>
      </c>
      <c r="AA194" t="n">
        <v>0.0028</v>
      </c>
      <c r="AB194" t="n">
        <v>-0.0018</v>
      </c>
    </row>
    <row r="195">
      <c r="A195" t="n">
        <v>194</v>
      </c>
      <c r="B195" t="inlineStr">
        <is>
          <t>application</t>
        </is>
      </c>
      <c r="C195" t="inlineStr">
        <is>
          <t>3PAI</t>
        </is>
      </c>
      <c r="D195" s="3" t="inlineStr">
        <is>
          <t>Trace program berikut untuk input array [3,1,4,1,5,9,2,6]:
  found = false
  i = 0
  while (i &lt; panjang(arr) AND NOT fou</t>
        </is>
      </c>
      <c r="E195" t="n">
        <v>1</v>
      </c>
      <c r="F195" t="n">
        <v>0.8571</v>
      </c>
      <c r="G195" t="n">
        <v>0.7501</v>
      </c>
      <c r="H195" t="n">
        <v>1</v>
      </c>
      <c r="I195" t="n">
        <v>0.6667</v>
      </c>
      <c r="J195" s="3" t="inlineStr">
        <is>
          <t>GT_CT11.txt, GT_DETAIL_PT11_Perulangan.txt, GT_SUBTOPIK_11_Rekursi.txt, GT_SUBTOPIK_14_Kompleksitas_BigO.txt</t>
        </is>
      </c>
      <c r="K195" t="n">
        <v>0.6758</v>
      </c>
      <c r="L195" t="n">
        <v>0.8333</v>
      </c>
      <c r="M195" t="n">
        <v>0.3083</v>
      </c>
      <c r="N195" t="n">
        <v>0.2107</v>
      </c>
      <c r="O195" t="inlineStr">
        <is>
          <t>RENDAH</t>
        </is>
      </c>
      <c r="P195" t="n">
        <v>0</v>
      </c>
      <c r="Q195" t="n">
        <v>0</v>
      </c>
      <c r="R195" t="b">
        <v>0</v>
      </c>
      <c r="S195" t="n">
        <v>0.5452</v>
      </c>
      <c r="T195" t="n">
        <v>0.6667</v>
      </c>
      <c r="U195" t="n">
        <v>0.2619</v>
      </c>
      <c r="V195" t="n">
        <v>0.3256</v>
      </c>
      <c r="W195" t="inlineStr">
        <is>
          <t>SEDANG</t>
        </is>
      </c>
      <c r="X195" t="n">
        <v>0</v>
      </c>
      <c r="Y195" t="n">
        <v>0.2</v>
      </c>
      <c r="Z195" t="b">
        <v>1</v>
      </c>
      <c r="AA195" t="n">
        <v>0.1306</v>
      </c>
      <c r="AB195" t="n">
        <v>-0.1149</v>
      </c>
    </row>
    <row r="196">
      <c r="A196" t="n">
        <v>195</v>
      </c>
      <c r="B196" t="inlineStr">
        <is>
          <t>application</t>
        </is>
      </c>
      <c r="C196" t="inlineStr">
        <is>
          <t>3TGI</t>
        </is>
      </c>
      <c r="D196" s="3" t="inlineStr">
        <is>
          <t>Saya trace kode ini:
  x = 5
  y = 3
  x = x + y
  y = x - y
  x = x - y
  print(x, y)
Saya dapat x=3, y=5. Tapi teman d</t>
        </is>
      </c>
      <c r="E196" t="n">
        <v>1</v>
      </c>
      <c r="F196" t="n">
        <v>1</v>
      </c>
      <c r="G196" t="n">
        <v>0.7645999999999999</v>
      </c>
      <c r="H196" t="n">
        <v>1</v>
      </c>
      <c r="I196" t="n">
        <v>1</v>
      </c>
      <c r="J196" s="3" t="inlineStr">
        <is>
          <t>GT_CT11.txt, GT_DETAIL_PT09_Variabel_TipeData_Operator_List.txt, GT_DETAIL_PT11_Perulangan.txt, GT_SUBTOPIK_01_Dekomposisi_Optimasi.txt, GT_SUBTOPIK_09_Nested_Loop.txt, GT_SUBTOPIK_14_Kompleksitas_BigO.txt</t>
        </is>
      </c>
      <c r="K196" t="n">
        <v>0.7663</v>
      </c>
      <c r="L196" t="n">
        <v>1</v>
      </c>
      <c r="M196" t="n">
        <v>0.2209</v>
      </c>
      <c r="N196" t="n">
        <v>0.1819</v>
      </c>
      <c r="O196" t="inlineStr">
        <is>
          <t>RENDAH</t>
        </is>
      </c>
      <c r="P196" t="n">
        <v>0</v>
      </c>
      <c r="Q196" t="n">
        <v>0.2</v>
      </c>
      <c r="R196" t="b">
        <v>1</v>
      </c>
      <c r="S196" t="n">
        <v>0.498</v>
      </c>
      <c r="T196" t="n">
        <v>0.6667</v>
      </c>
      <c r="U196" t="n">
        <v>0.1044</v>
      </c>
      <c r="V196" t="n">
        <v>0.3263</v>
      </c>
      <c r="W196" t="inlineStr">
        <is>
          <t>SEDANG</t>
        </is>
      </c>
      <c r="X196" t="n">
        <v>0</v>
      </c>
      <c r="Y196" t="n">
        <v>0</v>
      </c>
      <c r="Z196" t="b">
        <v>1</v>
      </c>
      <c r="AA196" t="n">
        <v>0.2683</v>
      </c>
      <c r="AB196" t="n">
        <v>-0.1444</v>
      </c>
    </row>
    <row r="197">
      <c r="A197" t="n">
        <v>196</v>
      </c>
      <c r="B197" t="inlineStr">
        <is>
          <t>cross_topic</t>
        </is>
      </c>
      <c r="C197" t="inlineStr">
        <is>
          <t>4TGI</t>
        </is>
      </c>
      <c r="D197" s="3" t="inlineStr">
        <is>
          <t>Saya belajar bahwa pattern recognition dan abstraksi sering digunakan bersama-sama. Dosen beri contoh: 'mengidentifikasi</t>
        </is>
      </c>
      <c r="E197" t="n">
        <v>1</v>
      </c>
      <c r="F197" t="n">
        <v>0.8571</v>
      </c>
      <c r="G197" t="n">
        <v>0.7419</v>
      </c>
      <c r="H197" t="n">
        <v>1</v>
      </c>
      <c r="I197" t="n">
        <v>0.8333</v>
      </c>
      <c r="J197" s="3" t="inlineStr">
        <is>
          <t>GT_CT05.txt, GT_CT07.txt, GT_CT09.txt, GT_DETAIL_PT01_Pendahuluan.txt, GT_DETAIL_PT05_Pattern_Recognition.txt</t>
        </is>
      </c>
      <c r="K197" t="n">
        <v>0.7734</v>
      </c>
      <c r="L197" t="n">
        <v>1</v>
      </c>
      <c r="M197" t="n">
        <v>0.2446</v>
      </c>
      <c r="N197" t="n">
        <v>0.1473</v>
      </c>
      <c r="O197" t="inlineStr">
        <is>
          <t>RENDAH</t>
        </is>
      </c>
      <c r="P197" t="n">
        <v>0</v>
      </c>
      <c r="Q197" t="n">
        <v>0</v>
      </c>
      <c r="R197" t="b">
        <v>1</v>
      </c>
      <c r="S197" t="n">
        <v>0.7648</v>
      </c>
      <c r="T197" t="n">
        <v>1</v>
      </c>
      <c r="U197" t="n">
        <v>0.2159</v>
      </c>
      <c r="V197" t="n">
        <v>0.1529</v>
      </c>
      <c r="W197" t="inlineStr">
        <is>
          <t>RENDAH</t>
        </is>
      </c>
      <c r="X197" t="n">
        <v>0</v>
      </c>
      <c r="Y197" t="n">
        <v>0</v>
      </c>
      <c r="Z197" t="b">
        <v>1</v>
      </c>
      <c r="AA197" t="n">
        <v>0.0086</v>
      </c>
      <c r="AB197" t="n">
        <v>-0.0056</v>
      </c>
    </row>
    <row r="198">
      <c r="A198" t="n">
        <v>197</v>
      </c>
      <c r="B198" t="inlineStr">
        <is>
          <t>cross_topic</t>
        </is>
      </c>
      <c r="C198" t="inlineStr">
        <is>
          <t>5PAR</t>
        </is>
      </c>
      <c r="D198" s="3" t="inlineStr">
        <is>
          <t xml:space="preserve">Dosen bilang kompleksitas binary search O(log n) 'berasal dari' strategi divide and conquer yang merupakan implementasi </t>
        </is>
      </c>
      <c r="E198" t="n">
        <v>1</v>
      </c>
      <c r="F198" t="n">
        <v>1</v>
      </c>
      <c r="G198" t="n">
        <v>0.7369</v>
      </c>
      <c r="H198" t="n">
        <v>1</v>
      </c>
      <c r="I198" t="n">
        <v>0.8333</v>
      </c>
      <c r="J198" s="3" t="inlineStr">
        <is>
          <t>GT_CT10.txt, GT_DETAIL_PT07_Notasi_Algoritme.txt, GT_SUBTOPIK_01_Dekomposisi_Optimasi.txt, GT_SUBTOPIK_05_Pseudocode_Algoritme.txt, GT_SUBTOPIK_14_Kompleksitas_BigO.txt</t>
        </is>
      </c>
      <c r="K198" t="n">
        <v>0.7873</v>
      </c>
      <c r="L198" t="n">
        <v>1</v>
      </c>
      <c r="M198" t="n">
        <v>0.2908</v>
      </c>
      <c r="N198" t="n">
        <v>0.1383</v>
      </c>
      <c r="O198" t="inlineStr">
        <is>
          <t>RENDAH</t>
        </is>
      </c>
      <c r="P198" t="n">
        <v>0</v>
      </c>
      <c r="Q198" t="n">
        <v>0</v>
      </c>
      <c r="R198" t="b">
        <v>0</v>
      </c>
      <c r="S198" t="n">
        <v>0.7719</v>
      </c>
      <c r="T198" t="n">
        <v>1</v>
      </c>
      <c r="U198" t="n">
        <v>0.2397</v>
      </c>
      <c r="V198" t="n">
        <v>0.1483</v>
      </c>
      <c r="W198" t="inlineStr">
        <is>
          <t>RENDAH</t>
        </is>
      </c>
      <c r="X198" t="n">
        <v>0</v>
      </c>
      <c r="Y198" t="n">
        <v>0</v>
      </c>
      <c r="Z198" t="b">
        <v>1</v>
      </c>
      <c r="AA198" t="n">
        <v>0.0154</v>
      </c>
      <c r="AB198" t="n">
        <v>-0.01</v>
      </c>
    </row>
    <row r="199">
      <c r="A199" t="n">
        <v>198</v>
      </c>
      <c r="B199" t="inlineStr">
        <is>
          <t>cross_topic</t>
        </is>
      </c>
      <c r="C199" t="inlineStr">
        <is>
          <t>5TGR</t>
        </is>
      </c>
      <c r="D199" s="3" t="inlineStr">
        <is>
          <t>Saya sedang belajar graph dan structure data sekaligus. Ternyata tree bisa ditraversal rekursif karena setiap subtree ad</t>
        </is>
      </c>
      <c r="E199" t="n">
        <v>1</v>
      </c>
      <c r="F199" t="n">
        <v>0.8571</v>
      </c>
      <c r="G199" t="n">
        <v>0.7345</v>
      </c>
      <c r="H199" t="n">
        <v>1</v>
      </c>
      <c r="I199" t="n">
        <v>0.5</v>
      </c>
      <c r="J199" s="3" t="inlineStr">
        <is>
          <t>GT_CT13.txt, GT_DETAIL_PT13_Struktur_Data.txt, GT_SUBTOPIK_13_Graph_Tree.txt</t>
        </is>
      </c>
      <c r="K199" t="n">
        <v>0.7731</v>
      </c>
      <c r="L199" t="n">
        <v>1</v>
      </c>
      <c r="M199" t="n">
        <v>0.2435</v>
      </c>
      <c r="N199" t="n">
        <v>0.1775</v>
      </c>
      <c r="O199" t="inlineStr">
        <is>
          <t>RENDAH</t>
        </is>
      </c>
      <c r="P199" t="n">
        <v>0</v>
      </c>
      <c r="Q199" t="n">
        <v>0.2</v>
      </c>
      <c r="R199" t="b">
        <v>1</v>
      </c>
      <c r="S199" t="n">
        <v>0.7643</v>
      </c>
      <c r="T199" t="n">
        <v>1</v>
      </c>
      <c r="U199" t="n">
        <v>0.2143</v>
      </c>
      <c r="V199" t="n">
        <v>0.1532</v>
      </c>
      <c r="W199" t="inlineStr">
        <is>
          <t>RENDAH</t>
        </is>
      </c>
      <c r="X199" t="n">
        <v>0</v>
      </c>
      <c r="Y199" t="n">
        <v>0</v>
      </c>
      <c r="AA199" t="n">
        <v>0.008800000000000001</v>
      </c>
      <c r="AB199" t="n">
        <v>0.0243</v>
      </c>
    </row>
    <row r="200">
      <c r="A200" t="n">
        <v>199</v>
      </c>
      <c r="B200" t="inlineStr">
        <is>
          <t>cross_topic</t>
        </is>
      </c>
      <c r="C200" t="inlineStr">
        <is>
          <t>5PAI</t>
        </is>
      </c>
      <c r="D200" s="3" t="inlineStr">
        <is>
          <t>Di kelas abstraksi saya belajar bahwa kita 'menyembunyikan detail'. Di kelas fungsi saya belajar bahwa fungsi 'menyembun</t>
        </is>
      </c>
      <c r="E200" t="n">
        <v>1</v>
      </c>
      <c r="F200" t="n">
        <v>0.8571</v>
      </c>
      <c r="G200" t="n">
        <v>0.7694</v>
      </c>
      <c r="H200" t="n">
        <v>1</v>
      </c>
      <c r="I200" t="n">
        <v>0.6667</v>
      </c>
      <c r="J200" s="3" t="inlineStr">
        <is>
          <t>GT_CT07.txt, GT_CT09.txt, GT_CT13.txt, GT_DETAIL_PT01_Pendahuluan.txt</t>
        </is>
      </c>
      <c r="K200" t="n">
        <v>0.7804</v>
      </c>
      <c r="L200" t="n">
        <v>1</v>
      </c>
      <c r="M200" t="n">
        <v>0.2679</v>
      </c>
      <c r="N200" t="n">
        <v>0.1727</v>
      </c>
      <c r="O200" t="inlineStr">
        <is>
          <t>RENDAH</t>
        </is>
      </c>
      <c r="P200" t="n">
        <v>0</v>
      </c>
      <c r="Q200" t="n">
        <v>0.2</v>
      </c>
      <c r="R200" t="b">
        <v>1</v>
      </c>
      <c r="S200" t="n">
        <v>0.6331</v>
      </c>
      <c r="T200" t="n">
        <v>0.8333</v>
      </c>
      <c r="U200" t="n">
        <v>0.1659</v>
      </c>
      <c r="V200" t="n">
        <v>0.2385</v>
      </c>
      <c r="W200" t="inlineStr">
        <is>
          <t>RENDAH</t>
        </is>
      </c>
      <c r="X200" t="n">
        <v>0</v>
      </c>
      <c r="Y200" t="n">
        <v>0</v>
      </c>
      <c r="Z200" t="b">
        <v>1</v>
      </c>
      <c r="AA200" t="n">
        <v>0.1473</v>
      </c>
      <c r="AB200" t="n">
        <v>-0.0658</v>
      </c>
    </row>
    <row r="201">
      <c r="A201" t="n">
        <v>200</v>
      </c>
      <c r="B201" t="inlineStr">
        <is>
          <t>cross_topic</t>
        </is>
      </c>
      <c r="C201" t="inlineStr">
        <is>
          <t>5TGI</t>
        </is>
      </c>
      <c r="D201" s="3" t="inlineStr">
        <is>
          <t xml:space="preserve">Dosen pernah bilang bahwa DFS menggunakan stack secara implisit melalui rekursi, sementara BFS menggunakan queue secara </t>
        </is>
      </c>
      <c r="E201" t="n">
        <v>1</v>
      </c>
      <c r="F201" t="n">
        <v>0.8571</v>
      </c>
      <c r="G201" t="n">
        <v>0.7393999999999999</v>
      </c>
      <c r="H201" t="n">
        <v>1</v>
      </c>
      <c r="I201" t="n">
        <v>0.5</v>
      </c>
      <c r="J201" s="3" t="inlineStr">
        <is>
          <t>GT_CT13.txt, GT_DETAIL_PT13_Struktur_Data.txt, GT_SUBTOPIK_12_Stack_Queue.txt</t>
        </is>
      </c>
      <c r="K201" t="n">
        <v>0.5497</v>
      </c>
      <c r="L201" t="n">
        <v>0.6667</v>
      </c>
      <c r="M201" t="n">
        <v>0.2768</v>
      </c>
      <c r="N201" t="n">
        <v>0.2927</v>
      </c>
      <c r="O201" t="inlineStr">
        <is>
          <t>RENDAH</t>
        </is>
      </c>
      <c r="P201" t="n">
        <v>0</v>
      </c>
      <c r="Q201" t="n">
        <v>0</v>
      </c>
      <c r="R201" t="b">
        <v>1</v>
      </c>
      <c r="S201" t="n">
        <v>0.6584</v>
      </c>
      <c r="T201" t="n">
        <v>0.8333</v>
      </c>
      <c r="U201" t="n">
        <v>0.2504</v>
      </c>
      <c r="V201" t="n">
        <v>0.222</v>
      </c>
      <c r="W201" t="inlineStr">
        <is>
          <t>RENDAH</t>
        </is>
      </c>
      <c r="X201" t="n">
        <v>0</v>
      </c>
      <c r="Y201" t="n">
        <v>0</v>
      </c>
      <c r="Z201" t="b">
        <v>1</v>
      </c>
      <c r="AA201" t="n">
        <v>-0.1087</v>
      </c>
      <c r="AB201" t="n">
        <v>0.0707</v>
      </c>
    </row>
    <row r="202">
      <c r="A202" t="n">
        <v>201</v>
      </c>
      <c r="B202" t="inlineStr">
        <is>
          <t>application</t>
        </is>
      </c>
      <c r="C202" t="inlineStr">
        <is>
          <t>4TAR</t>
        </is>
      </c>
      <c r="D202" s="3" t="inlineStr">
        <is>
          <t>Soal CT: buat pseudocode untuk mengecek apakah sebuah string merupakan anagram dari string lain. Contoh: 'listen' dan 's</t>
        </is>
      </c>
      <c r="E202" t="n">
        <v>1</v>
      </c>
      <c r="F202" t="n">
        <v>0.8571</v>
      </c>
      <c r="G202" t="n">
        <v>0.7776999999999999</v>
      </c>
      <c r="H202" t="n">
        <v>1</v>
      </c>
      <c r="I202" t="n">
        <v>1</v>
      </c>
      <c r="J202" s="3" t="inlineStr">
        <is>
          <t>GT_CT07.txt, GT_DETAIL_PT07_Notasi_Algoritme.txt, GT_DETAIL_PT10_Percabangan.txt, GT_DETAIL_PT11_Perulangan.txt, GT_SUBTOPIK_04_Modulo_Siklus.txt, GT_SUBTOPIK_05_Pseudocode_Algoritme.txt</t>
        </is>
      </c>
      <c r="K202" t="n">
        <v>0.3479</v>
      </c>
      <c r="L202" t="n">
        <v>0.3333</v>
      </c>
      <c r="M202" t="n">
        <v>0.382</v>
      </c>
      <c r="N202" t="n">
        <v>0.4239</v>
      </c>
      <c r="O202" t="inlineStr">
        <is>
          <t>SEDANG</t>
        </is>
      </c>
      <c r="P202" t="n">
        <v>0</v>
      </c>
      <c r="Q202" t="n">
        <v>0</v>
      </c>
      <c r="R202" t="b">
        <v>1</v>
      </c>
      <c r="S202" t="n">
        <v>0.6506999999999999</v>
      </c>
      <c r="T202" t="n">
        <v>0.8333</v>
      </c>
      <c r="U202" t="n">
        <v>0.2246</v>
      </c>
      <c r="V202" t="n">
        <v>0.227</v>
      </c>
      <c r="W202" t="inlineStr">
        <is>
          <t>RENDAH</t>
        </is>
      </c>
      <c r="X202" t="n">
        <v>0</v>
      </c>
      <c r="Y202" t="n">
        <v>0</v>
      </c>
      <c r="Z202" t="b">
        <v>0</v>
      </c>
      <c r="AA202" t="n">
        <v>-0.3028</v>
      </c>
      <c r="AB202" t="n">
        <v>0.1969</v>
      </c>
    </row>
    <row r="203">
      <c r="A203" t="n">
        <v>202</v>
      </c>
      <c r="B203" t="inlineStr">
        <is>
          <t>application</t>
        </is>
      </c>
      <c r="C203" t="inlineStr">
        <is>
          <t>3PGI</t>
        </is>
      </c>
      <c r="D203" s="3" t="inlineStr">
        <is>
          <t>Saya diminta buat pseudocode untuk binary to decimal conversion. Input: string binary seperti '1011'. Output: nilai deci</t>
        </is>
      </c>
      <c r="E203" t="n">
        <v>1</v>
      </c>
      <c r="F203" t="n">
        <v>0.8571</v>
      </c>
      <c r="G203" t="n">
        <v>0.772</v>
      </c>
      <c r="H203" t="n">
        <v>1</v>
      </c>
      <c r="I203" t="n">
        <v>0.6667</v>
      </c>
      <c r="J203" s="3" t="inlineStr">
        <is>
          <t>GT_DETAIL_PT11_Perulangan.txt, GT_SUBTOPIK_04_Modulo_Siklus.txt, GT_SUBTOPIK_05_Pseudocode_Algoritme.txt, GT_SUBTOPIK_08_Perulangan_For_While.txt</t>
        </is>
      </c>
      <c r="K203" t="n">
        <v>0.428</v>
      </c>
      <c r="L203" t="n">
        <v>0.5</v>
      </c>
      <c r="M203" t="n">
        <v>0.2599</v>
      </c>
      <c r="N203" t="n">
        <v>0.3718</v>
      </c>
      <c r="O203" t="inlineStr">
        <is>
          <t>SEDANG</t>
        </is>
      </c>
      <c r="P203" t="n">
        <v>0</v>
      </c>
      <c r="Q203" t="n">
        <v>0</v>
      </c>
      <c r="R203" t="b">
        <v>1</v>
      </c>
      <c r="S203" t="n">
        <v>0.7728</v>
      </c>
      <c r="T203" t="n">
        <v>1</v>
      </c>
      <c r="U203" t="n">
        <v>0.2427</v>
      </c>
      <c r="V203" t="n">
        <v>0.1477</v>
      </c>
      <c r="W203" t="inlineStr">
        <is>
          <t>RENDAH</t>
        </is>
      </c>
      <c r="X203" t="n">
        <v>0</v>
      </c>
      <c r="Y203" t="n">
        <v>0</v>
      </c>
      <c r="Z203" t="b">
        <v>1</v>
      </c>
      <c r="AA203" t="n">
        <v>-0.3448</v>
      </c>
      <c r="AB203" t="n">
        <v>0.2241</v>
      </c>
    </row>
    <row r="204">
      <c r="A204" t="n">
        <v>203</v>
      </c>
      <c r="B204" t="inlineStr">
        <is>
          <t>application</t>
        </is>
      </c>
      <c r="C204" t="inlineStr">
        <is>
          <t>5TAI</t>
        </is>
      </c>
      <c r="D204" s="3" t="inlineStr">
        <is>
          <t>Soal: buat pseudocode untuk mencari semua pasangan bilangan dalam array yang jumlahnya sama dengan nilai target K. Conto</t>
        </is>
      </c>
      <c r="E204" t="n">
        <v>1</v>
      </c>
      <c r="F204" t="n">
        <v>0.8571</v>
      </c>
      <c r="G204" t="n">
        <v>0.7943</v>
      </c>
      <c r="H204" t="n">
        <v>1</v>
      </c>
      <c r="I204" t="n">
        <v>1</v>
      </c>
      <c r="J204" s="3" t="inlineStr">
        <is>
          <t>GT_CT07.txt, GT_CT10.txt, GT_DETAIL_PT07_Notasi_Algoritme.txt, GT_DETAIL_PT10_Percabangan.txt, GT_DETAIL_PT11_Perulangan.txt, GT_SUBTOPIK_05_Pseudocode_Algoritme.txt</t>
        </is>
      </c>
      <c r="K204" t="n">
        <v>0.5506</v>
      </c>
      <c r="L204" t="n">
        <v>0.6667</v>
      </c>
      <c r="M204" t="n">
        <v>0.2797</v>
      </c>
      <c r="N204" t="n">
        <v>0.2921</v>
      </c>
      <c r="O204" t="inlineStr">
        <is>
          <t>RENDAH</t>
        </is>
      </c>
      <c r="P204" t="n">
        <v>0</v>
      </c>
      <c r="Q204" t="n">
        <v>0</v>
      </c>
      <c r="R204" t="b">
        <v>1</v>
      </c>
      <c r="S204" t="n">
        <v>0.1747</v>
      </c>
      <c r="T204" t="n">
        <v>0.1667</v>
      </c>
      <c r="U204" t="n">
        <v>0.1934</v>
      </c>
      <c r="V204" t="n">
        <v>0.5364</v>
      </c>
      <c r="W204" t="inlineStr">
        <is>
          <t>SEDANG</t>
        </is>
      </c>
      <c r="X204" t="n">
        <v>0</v>
      </c>
      <c r="Y204" t="n">
        <v>0</v>
      </c>
      <c r="Z204" t="b">
        <v>1</v>
      </c>
      <c r="AA204" t="n">
        <v>0.3759</v>
      </c>
      <c r="AB204" t="n">
        <v>-0.2443</v>
      </c>
    </row>
    <row r="205">
      <c r="A205" t="n">
        <v>204</v>
      </c>
      <c r="B205" t="inlineStr">
        <is>
          <t>application</t>
        </is>
      </c>
      <c r="C205" t="inlineStr">
        <is>
          <t>4PGR</t>
        </is>
      </c>
      <c r="D205" s="3" t="inlineStr">
        <is>
          <t>Tugas CT saya: buat pseudocode untuk konversi Roman numeral ke integer. Contoh: 'XIV' = 14, 'IX' = 9. Saya tahu aturanny</t>
        </is>
      </c>
      <c r="E205" t="n">
        <v>1</v>
      </c>
      <c r="F205" t="n">
        <v>0.8571</v>
      </c>
      <c r="G205" t="n">
        <v>0.8166</v>
      </c>
      <c r="H205" t="n">
        <v>1</v>
      </c>
      <c r="I205" t="n">
        <v>1</v>
      </c>
      <c r="J205" s="3" t="inlineStr">
        <is>
          <t>GT_CT07.txt, GT_DETAIL_PT07_Notasi_Algoritme.txt, GT_DETAIL_PT10_Percabangan.txt, GT_SUBTOPIK_01_Dekomposisi_Optimasi.txt, GT_SUBTOPIK_04_Modulo_Siklus.txt, GT_SUBTOPIK_05_Pseudocode_Algoritme.txt</t>
        </is>
      </c>
      <c r="K205" t="n">
        <v>0.5683</v>
      </c>
      <c r="L205" t="n">
        <v>0.6667</v>
      </c>
      <c r="M205" t="n">
        <v>0.3387</v>
      </c>
      <c r="N205" t="n">
        <v>0.2806</v>
      </c>
      <c r="O205" t="inlineStr">
        <is>
          <t>RENDAH</t>
        </is>
      </c>
      <c r="P205" t="n">
        <v>0</v>
      </c>
      <c r="Q205" t="n">
        <v>0</v>
      </c>
      <c r="R205" t="b">
        <v>1</v>
      </c>
      <c r="S205" t="n">
        <v>0.7554999999999999</v>
      </c>
      <c r="T205" t="n">
        <v>1</v>
      </c>
      <c r="U205" t="n">
        <v>0.1851</v>
      </c>
      <c r="V205" t="n">
        <v>0.1589</v>
      </c>
      <c r="W205" t="inlineStr">
        <is>
          <t>RENDAH</t>
        </is>
      </c>
      <c r="X205" t="n">
        <v>0</v>
      </c>
      <c r="Y205" t="n">
        <v>0</v>
      </c>
      <c r="Z205" t="b">
        <v>1</v>
      </c>
      <c r="AA205" t="n">
        <v>-0.1872</v>
      </c>
      <c r="AB205" t="n">
        <v>0.1217</v>
      </c>
    </row>
    <row r="206">
      <c r="A206" t="n">
        <v>205</v>
      </c>
      <c r="B206" t="inlineStr">
        <is>
          <t>application</t>
        </is>
      </c>
      <c r="C206" t="inlineStr">
        <is>
          <t>5PGI</t>
        </is>
      </c>
      <c r="D206" s="3" t="inlineStr">
        <is>
          <t>Saya perlu buat fungsi untuk menghitung nilai Pi (π) menggunakan deret Leibniz: π/4 = 1 - 1/3 + 1/5 - 1/7 + ... Dosen mi</t>
        </is>
      </c>
      <c r="E206" t="n">
        <v>1</v>
      </c>
      <c r="F206" t="n">
        <v>0.8571</v>
      </c>
      <c r="G206" t="n">
        <v>0.778</v>
      </c>
      <c r="H206" t="n">
        <v>1</v>
      </c>
      <c r="I206" t="n">
        <v>1</v>
      </c>
      <c r="J206" s="3" t="inlineStr">
        <is>
          <t>GT_CT10.txt, GT_CT11.txt, GT_DETAIL_PT07_Notasi_Algoritme.txt, GT_DETAIL_PT10_Percabangan.txt, GT_DETAIL_PT11_Perulangan.txt, GT_SUBTOPIK_05_Pseudocode_Algoritme.txt</t>
        </is>
      </c>
      <c r="K206" t="n">
        <v>0.0779</v>
      </c>
      <c r="L206" t="n">
        <v>0</v>
      </c>
      <c r="M206" t="n">
        <v>0.2597</v>
      </c>
      <c r="N206" t="n">
        <v>0.5994</v>
      </c>
      <c r="O206" t="inlineStr">
        <is>
          <t>TINGGI</t>
        </is>
      </c>
      <c r="P206" t="n">
        <v>0</v>
      </c>
      <c r="Q206" t="n">
        <v>0</v>
      </c>
      <c r="R206" t="b">
        <v>1</v>
      </c>
      <c r="S206" t="n">
        <v>0.1773</v>
      </c>
      <c r="T206" t="n">
        <v>0.1667</v>
      </c>
      <c r="U206" t="n">
        <v>0.2021</v>
      </c>
      <c r="V206" t="n">
        <v>0.5348000000000001</v>
      </c>
      <c r="W206" t="inlineStr">
        <is>
          <t>SEDANG</t>
        </is>
      </c>
      <c r="X206" t="n">
        <v>0</v>
      </c>
      <c r="Y206" t="n">
        <v>0</v>
      </c>
      <c r="Z206" t="b">
        <v>1</v>
      </c>
      <c r="AA206" t="n">
        <v>-0.0994</v>
      </c>
      <c r="AB206" t="n">
        <v>0.0646</v>
      </c>
    </row>
    <row r="207">
      <c r="A207" t="n">
        <v>206</v>
      </c>
      <c r="B207" t="inlineStr">
        <is>
          <t>gap</t>
        </is>
      </c>
      <c r="C207" t="inlineStr">
        <is>
          <t>2TAR</t>
        </is>
      </c>
      <c r="D207" s="3" t="inlineStr">
        <is>
          <t>Di pseudocode CT saya selalu menulis komentar seperti ini: # ini adalah variabel counter. Dosen bilang komentar yang bai</t>
        </is>
      </c>
      <c r="E207" t="n">
        <v>1</v>
      </c>
      <c r="F207" t="n">
        <v>1</v>
      </c>
      <c r="G207" t="n">
        <v>0.8108</v>
      </c>
      <c r="H207" t="n">
        <v>1</v>
      </c>
      <c r="I207" t="n">
        <v>0.8333</v>
      </c>
      <c r="J207" s="3" t="inlineStr">
        <is>
          <t>GT_CT07.txt, GT_CT09.txt, GT_CT10.txt, GT_DETAIL_PT10_Percabangan.txt, GT_SUBTOPIK_05_Pseudocode_Algoritme.txt</t>
        </is>
      </c>
      <c r="K207" t="n">
        <v>0.7715</v>
      </c>
      <c r="L207" t="n">
        <v>1</v>
      </c>
      <c r="M207" t="n">
        <v>0.2384</v>
      </c>
      <c r="N207" t="n">
        <v>0.1485</v>
      </c>
      <c r="O207" t="inlineStr">
        <is>
          <t>RENDAH</t>
        </is>
      </c>
      <c r="P207" t="n">
        <v>0</v>
      </c>
      <c r="Q207" t="n">
        <v>0</v>
      </c>
      <c r="R207" t="b">
        <v>1</v>
      </c>
      <c r="S207" t="n">
        <v>0.7623</v>
      </c>
      <c r="T207" t="n">
        <v>1</v>
      </c>
      <c r="U207" t="n">
        <v>0.2075</v>
      </c>
      <c r="V207" t="n">
        <v>0.1845</v>
      </c>
      <c r="W207" t="inlineStr">
        <is>
          <t>RENDAH</t>
        </is>
      </c>
      <c r="X207" t="n">
        <v>0</v>
      </c>
      <c r="Y207" t="n">
        <v>0.2</v>
      </c>
      <c r="Z207" t="b">
        <v>1</v>
      </c>
      <c r="AA207" t="n">
        <v>0.0092</v>
      </c>
      <c r="AB207" t="n">
        <v>-0.036</v>
      </c>
    </row>
    <row r="208">
      <c r="A208" t="n">
        <v>207</v>
      </c>
      <c r="B208" t="inlineStr">
        <is>
          <t>out_of_scope</t>
        </is>
      </c>
      <c r="C208" t="inlineStr">
        <is>
          <t>3TAI</t>
        </is>
      </c>
      <c r="D208" s="3" t="inlineStr">
        <is>
          <t>Saya dengar ada prinsip 'KISS' (Keep It Simple, Stupid) dalam programming. Apakah prinsip ini berkaitan dengan pilar CT?</t>
        </is>
      </c>
      <c r="E208" t="n">
        <v>1</v>
      </c>
      <c r="F208" t="n">
        <v>0.8571</v>
      </c>
      <c r="G208" t="n">
        <v>0.7245</v>
      </c>
      <c r="H208" t="n">
        <v>1</v>
      </c>
      <c r="I208" t="n">
        <v>0.6667</v>
      </c>
      <c r="J208" s="3" t="inlineStr">
        <is>
          <t>GT_CT06.txt, GT_CT07.txt, GT_CT10.txt, GT_DETAIL_PT12_Fungsi.txt</t>
        </is>
      </c>
      <c r="K208" t="n">
        <v>0.6512</v>
      </c>
      <c r="L208" t="n">
        <v>0.8333</v>
      </c>
      <c r="M208" t="n">
        <v>0.2262</v>
      </c>
      <c r="N208" t="n">
        <v>0.2267</v>
      </c>
      <c r="O208" t="inlineStr">
        <is>
          <t>RENDAH</t>
        </is>
      </c>
      <c r="P208" t="n">
        <v>0</v>
      </c>
      <c r="Q208" t="n">
        <v>0</v>
      </c>
      <c r="R208" t="b">
        <v>1</v>
      </c>
      <c r="S208" t="n">
        <v>0.6395999999999999</v>
      </c>
      <c r="T208" t="n">
        <v>0.8333</v>
      </c>
      <c r="U208" t="n">
        <v>0.1876</v>
      </c>
      <c r="V208" t="n">
        <v>0.2343</v>
      </c>
      <c r="W208" t="inlineStr">
        <is>
          <t>RENDAH</t>
        </is>
      </c>
      <c r="X208" t="n">
        <v>0</v>
      </c>
      <c r="Y208" t="n">
        <v>0</v>
      </c>
      <c r="Z208" t="b">
        <v>1</v>
      </c>
      <c r="AA208" t="n">
        <v>0.0116</v>
      </c>
      <c r="AB208" t="n">
        <v>-0.0076</v>
      </c>
    </row>
    <row r="209">
      <c r="A209" t="n">
        <v>208</v>
      </c>
      <c r="B209" t="inlineStr">
        <is>
          <t>gap</t>
        </is>
      </c>
      <c r="C209" t="inlineStr">
        <is>
          <t>4TGR</t>
        </is>
      </c>
      <c r="D209" s="3" t="inlineStr">
        <is>
          <t>Dosen bilang salah satu manfaat CT adalah kemampuan 'transfer learning' — solusi untuk satu masalah bisa ditransfer ke m</t>
        </is>
      </c>
      <c r="E209" t="n">
        <v>1</v>
      </c>
      <c r="F209" t="n">
        <v>0.8571</v>
      </c>
      <c r="G209" t="n">
        <v>0.7251</v>
      </c>
      <c r="H209" t="n">
        <v>1</v>
      </c>
      <c r="I209" t="n">
        <v>1</v>
      </c>
      <c r="J209" s="3" t="inlineStr">
        <is>
          <t>2PAI.txt, 2PAR.txt, 2PGR.txt, 2TAR.txt, 2TGI.txt, 2TGR.txt</t>
        </is>
      </c>
      <c r="K209" t="n">
        <v>0.8</v>
      </c>
      <c r="L209" t="n">
        <v>1</v>
      </c>
      <c r="M209" t="n">
        <v>0.3332</v>
      </c>
      <c r="N209" t="n">
        <v>0.13</v>
      </c>
      <c r="O209" t="inlineStr">
        <is>
          <t>RENDAH</t>
        </is>
      </c>
      <c r="P209" t="n">
        <v>0</v>
      </c>
      <c r="Q209" t="n">
        <v>0</v>
      </c>
      <c r="S209" t="n">
        <v>0.7572</v>
      </c>
      <c r="T209" t="n">
        <v>1</v>
      </c>
      <c r="U209" t="n">
        <v>0.1905</v>
      </c>
      <c r="V209" t="n">
        <v>0.1578</v>
      </c>
      <c r="W209" t="inlineStr">
        <is>
          <t>RENDAH</t>
        </is>
      </c>
      <c r="X209" t="n">
        <v>0</v>
      </c>
      <c r="Y209" t="n">
        <v>0</v>
      </c>
      <c r="Z209" t="b">
        <v>0</v>
      </c>
      <c r="AA209" t="n">
        <v>0.0428</v>
      </c>
      <c r="AB209" t="n">
        <v>-0.0278</v>
      </c>
    </row>
    <row r="210">
      <c r="A210" t="n">
        <v>209</v>
      </c>
      <c r="B210" t="inlineStr">
        <is>
          <t>cross_topic</t>
        </is>
      </c>
      <c r="C210" t="inlineStr">
        <is>
          <t>3PGI</t>
        </is>
      </c>
      <c r="D210" s="3" t="inlineStr">
        <is>
          <t>Dosen saya bilang debugging kode itu sebenarnya latihan CT — khususnya dekomposisi dan pattern recognition. Saya tidak m</t>
        </is>
      </c>
      <c r="E210" t="n">
        <v>1</v>
      </c>
      <c r="F210" t="n">
        <v>0.8571</v>
      </c>
      <c r="G210" t="n">
        <v>0.7463</v>
      </c>
      <c r="H210" t="n">
        <v>1</v>
      </c>
      <c r="I210" t="n">
        <v>0.8333</v>
      </c>
      <c r="J210" s="3" t="inlineStr">
        <is>
          <t>GT_CT01.txt, GT_CT03.txt, GT_CT06.txt, GT_CT13.txt, GT_DETAIL_PT06_Block_Programming.txt</t>
        </is>
      </c>
      <c r="K210" t="n">
        <v>0.7684</v>
      </c>
      <c r="L210" t="n">
        <v>1</v>
      </c>
      <c r="M210" t="n">
        <v>0.2278</v>
      </c>
      <c r="N210" t="n">
        <v>0.1805</v>
      </c>
      <c r="O210" t="inlineStr">
        <is>
          <t>RENDAH</t>
        </is>
      </c>
      <c r="P210" t="n">
        <v>0</v>
      </c>
      <c r="Q210" t="n">
        <v>0.2</v>
      </c>
      <c r="R210" t="b">
        <v>1</v>
      </c>
      <c r="S210" t="n">
        <v>0.7727000000000001</v>
      </c>
      <c r="T210" t="n">
        <v>1</v>
      </c>
      <c r="U210" t="n">
        <v>0.2424</v>
      </c>
      <c r="V210" t="n">
        <v>0.1477</v>
      </c>
      <c r="W210" t="inlineStr">
        <is>
          <t>RENDAH</t>
        </is>
      </c>
      <c r="X210" t="n">
        <v>0</v>
      </c>
      <c r="Y210" t="n">
        <v>0</v>
      </c>
      <c r="Z210" t="b">
        <v>1</v>
      </c>
      <c r="AA210" t="n">
        <v>-0.0043</v>
      </c>
      <c r="AB210" t="n">
        <v>0.0328</v>
      </c>
    </row>
    <row r="211">
      <c r="A211" t="n">
        <v>210</v>
      </c>
      <c r="B211" t="inlineStr">
        <is>
          <t>gap</t>
        </is>
      </c>
      <c r="C211" t="inlineStr">
        <is>
          <t>6PAR</t>
        </is>
      </c>
      <c r="D211" s="3" t="inlineStr">
        <is>
          <t>Saya hampir selesai belajar CT semester ini dan ingin tahu: dari semua yang dipelajari — dekomposisi, abstraksi, pattern</t>
        </is>
      </c>
      <c r="E211" t="n">
        <v>1</v>
      </c>
      <c r="F211" t="n">
        <v>0.8571</v>
      </c>
      <c r="G211" t="n">
        <v>0.7685</v>
      </c>
      <c r="H211" t="n">
        <v>1</v>
      </c>
      <c r="I211" t="n">
        <v>1</v>
      </c>
      <c r="J211" s="3" t="inlineStr">
        <is>
          <t>5PGI.txt, 6PGR.txt, 6TAI.txt, GT_CT01.txt, GT_CT03.txt, GT_SUBTOPIK_02_Abstraksi_Formulasi.txt</t>
        </is>
      </c>
      <c r="K211" t="n">
        <v>0.7883</v>
      </c>
      <c r="L211" t="n">
        <v>1</v>
      </c>
      <c r="M211" t="n">
        <v>0.2945</v>
      </c>
      <c r="N211" t="n">
        <v>0.1376</v>
      </c>
      <c r="O211" t="inlineStr">
        <is>
          <t>RENDAH</t>
        </is>
      </c>
      <c r="P211" t="n">
        <v>0</v>
      </c>
      <c r="Q211" t="n">
        <v>0</v>
      </c>
      <c r="R211" t="b">
        <v>1</v>
      </c>
      <c r="S211" t="n">
        <v>0.7645999999999999</v>
      </c>
      <c r="T211" t="n">
        <v>1</v>
      </c>
      <c r="U211" t="n">
        <v>0.2153</v>
      </c>
      <c r="V211" t="n">
        <v>0.153</v>
      </c>
      <c r="W211" t="inlineStr">
        <is>
          <t>RENDAH</t>
        </is>
      </c>
      <c r="X211" t="n">
        <v>0</v>
      </c>
      <c r="Y211" t="n">
        <v>0</v>
      </c>
      <c r="Z211" t="b">
        <v>1</v>
      </c>
      <c r="AA211" t="n">
        <v>0.0237</v>
      </c>
      <c r="AB211" t="n">
        <v>-0.0154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0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22" customWidth="1" min="3" max="3"/>
    <col width="46" customWidth="1" min="4" max="4"/>
    <col width="60" customWidth="1" min="5" max="5"/>
    <col width="10" customWidth="1" min="6" max="6"/>
    <col width="46" customWidth="1" min="7" max="7"/>
  </cols>
  <sheetData>
    <row r="1">
      <c r="A1" s="1" t="inlineStr">
        <is>
          <t>test_id</t>
        </is>
      </c>
      <c r="B1" s="1" t="inlineStr">
        <is>
          <t>kondisi</t>
        </is>
      </c>
      <c r="C1" s="1" t="inlineStr">
        <is>
          <t>metrik</t>
        </is>
      </c>
      <c r="D1" s="1" t="inlineStr">
        <is>
          <t>rumus</t>
        </is>
      </c>
      <c r="E1" s="1" t="inlineStr">
        <is>
          <t>substitusi / langkah</t>
        </is>
      </c>
      <c r="F1" s="1" t="inlineStr">
        <is>
          <t>hasil</t>
        </is>
      </c>
      <c r="G1" s="1" t="inlineStr">
        <is>
          <t>keterangan</t>
        </is>
      </c>
    </row>
    <row r="2">
      <c r="A2" t="n">
        <v>1</v>
      </c>
      <c r="B2" t="inlineStr">
        <is>
          <t>A</t>
        </is>
      </c>
      <c r="C2" t="inlineStr">
        <is>
          <t>Precision@K (Pers. 2)</t>
        </is>
      </c>
      <c r="D2" s="3" t="inlineStr">
        <is>
          <t>Precision@K = |{d ∈ TopK : sim(q,d) ≥ θ}| / K</t>
        </is>
      </c>
      <c r="E2" s="3" t="inlineStr">
        <is>
          <t>skor = [0.7468, 0.7353, 0.7336, 0.727, 0.7261, 0.7258] → 6 / 6</t>
        </is>
      </c>
      <c r="F2" t="n">
        <v>1</v>
      </c>
      <c r="G2" s="3" t="inlineStr">
        <is>
          <t>basis: skor chunk nyata (sesuai contoh Pers. 2 skripsi)</t>
        </is>
      </c>
    </row>
    <row r="3">
      <c r="A3" t="n">
        <v>1</v>
      </c>
      <c r="B3" t="inlineStr">
        <is>
          <t>A</t>
        </is>
      </c>
      <c r="C3" t="inlineStr">
        <is>
          <t>Recall@K (Pers. 4)</t>
        </is>
      </c>
      <c r="D3" s="3" t="inlineStr">
        <is>
          <t>Recall@K = |{kata kunci ditemukan : sim ≥ θ}| / |R|</t>
        </is>
      </c>
      <c r="E3" s="3" t="inlineStr">
        <is>
          <t>skor = [0.7466, 0.6291, 0.5406, 0.4982, 0.4327] → 5 / 5</t>
        </is>
      </c>
      <c r="F3" t="n">
        <v>1</v>
      </c>
      <c r="G3" s="3" t="inlineStr"/>
    </row>
    <row r="4">
      <c r="A4" t="n">
        <v>1</v>
      </c>
      <c r="B4" t="inlineStr">
        <is>
          <t>A</t>
        </is>
      </c>
      <c r="C4" t="inlineStr">
        <is>
          <t>Mean Similarity (Pers. 6)</t>
        </is>
      </c>
      <c r="D4" s="3" t="inlineStr">
        <is>
          <t>MeanSim = (1/K) × Σ sim(q, dᵢ)</t>
        </is>
      </c>
      <c r="E4" s="3" t="inlineStr">
        <is>
          <t>skor = [0.7468, 0.7353, 0.7336, 0.727, 0.7261, 0.7258] → (0.7468 + 0.7353 + 0.7336 + 0.7270 + 0.7261 + 0.7258) / 6</t>
        </is>
      </c>
      <c r="F4" t="n">
        <v>0.7324000000000001</v>
      </c>
      <c r="G4" s="3" t="inlineStr"/>
    </row>
    <row r="5">
      <c r="A5" t="n">
        <v>1</v>
      </c>
      <c r="B5" t="inlineStr">
        <is>
          <t>A</t>
        </is>
      </c>
      <c r="C5" t="inlineStr">
        <is>
          <t>Coverage (Pers. 8)</t>
        </is>
      </c>
      <c r="D5" s="3" t="inlineStr">
        <is>
          <t>Coverage = |{dᵢ ∈ TopK : sim(q,dᵢ) ≥ θc}| / K</t>
        </is>
      </c>
      <c r="E5" s="3" t="inlineStr">
        <is>
          <t>skor = [0.7468, 0.7353, 0.7336, 0.727, 0.7261, 0.7258] → 6 / 6</t>
        </is>
      </c>
      <c r="F5" t="n">
        <v>1</v>
      </c>
      <c r="G5" s="3" t="inlineStr"/>
    </row>
    <row r="6">
      <c r="A6" t="n">
        <v>1</v>
      </c>
      <c r="B6" t="inlineStr">
        <is>
          <t>A</t>
        </is>
      </c>
      <c r="C6" t="inlineStr">
        <is>
          <t>Source Diversity (Pers. 10)</t>
        </is>
      </c>
      <c r="D6" s="3" t="inlineStr">
        <is>
          <t>Diversity = |sumber unik dalam TopK| / K</t>
        </is>
      </c>
      <c r="E6" s="3" t="inlineStr">
        <is>
          <t>skor = ['GT_CT03.txt', 'GT_CT05.txt', 'GT_CT07.txt', 'GT_CT09.txt', 'GT_DETAIL_PT09_Variabel_TipeData_Operator_List.txt', 'GT_SUBTOPIK_02_Abstraksi_Formulasi.txt'] → 6 / 6</t>
        </is>
      </c>
      <c r="F6" t="n">
        <v>1</v>
      </c>
      <c r="G6" s="3" t="inlineStr">
        <is>
          <t>file unik: GT_CT03.txt, GT_CT05.txt, GT_CT07.txt, GT_CT09.txt, GT_DETAIL_PT09_Variabel_TipeData_Operator_List.txt, GT_SUBTOPIK_02_Abstraksi_Formulasi.txt</t>
        </is>
      </c>
    </row>
    <row r="7">
      <c r="A7" t="n">
        <v>1</v>
      </c>
      <c r="B7" t="inlineStr">
        <is>
          <t>A</t>
        </is>
      </c>
      <c r="C7" t="inlineStr">
        <is>
          <t>Faithfulness (Pers. 15)</t>
        </is>
      </c>
      <c r="D7" s="3" t="inlineStr">
        <is>
          <t>F = 0,70×Entailment + 0,30×KWoverlap</t>
        </is>
      </c>
      <c r="E7" s="3" t="inlineStr">
        <is>
          <t>Faithfulness = 0,70×Entailment + 0,30×KWoverlap = 0,70×1.0000 + 0,30×0.4061 = 0.8218  (entailment: 6/6 klaim didukung; KWoverlap = (|∩|/|ctx|)^0,65 = (66/264)^0,65 = 0.2500^0,65 = 0.4061)</t>
        </is>
      </c>
      <c r="F7" t="n">
        <v>0.8218</v>
      </c>
      <c r="G7" s="3" t="inlineStr">
        <is>
          <t>metode: llm_entailment + keyword</t>
        </is>
      </c>
    </row>
    <row r="8">
      <c r="A8" t="n">
        <v>1</v>
      </c>
      <c r="B8" t="inlineStr">
        <is>
          <t>A</t>
        </is>
      </c>
      <c r="C8" t="inlineStr">
        <is>
          <t>— Entailment (Pers. 12-13)</t>
        </is>
      </c>
      <c r="D8" s="3" t="inlineStr">
        <is>
          <t>Entailment = Σverdict(sᵢ)/m</t>
        </is>
      </c>
      <c r="E8" s="3" t="inlineStr">
        <is>
          <t>6 klaim YA dari 6 klaim dievaluasi</t>
        </is>
      </c>
      <c r="F8" t="n">
        <v>1</v>
      </c>
      <c r="G8" s="3" t="inlineStr">
        <is>
          <t>verdict per klaim: sheet 'Entailment Detail'</t>
        </is>
      </c>
    </row>
    <row r="9">
      <c r="A9" t="n">
        <v>1</v>
      </c>
      <c r="B9" t="inlineStr">
        <is>
          <t>A</t>
        </is>
      </c>
      <c r="C9" t="inlineStr">
        <is>
          <t>— Keyword Overlap (Pers. 14)</t>
        </is>
      </c>
      <c r="D9" s="3" t="inlineStr">
        <is>
          <t>KWoverlap = (|Stems(ans)∩Stems(ctx)| / |Stems(ctx)|)^0,65</t>
        </is>
      </c>
      <c r="E9" s="3" t="inlineStr">
        <is>
          <t>KWoverlap = (|∩|/|ctx|)^0,65 = (66/264)^0,65 = 0.2500^0,65 = 0.4061</t>
        </is>
      </c>
      <c r="F9" t="n">
        <v>0.4061</v>
      </c>
      <c r="G9" s="3" t="inlineStr"/>
    </row>
    <row r="10">
      <c r="A10" t="n">
        <v>1</v>
      </c>
      <c r="B10" t="inlineStr">
        <is>
          <t>A</t>
        </is>
      </c>
      <c r="C10" t="inlineStr">
        <is>
          <t>Hallucination Risk (Pers. 18)</t>
        </is>
      </c>
      <c r="D10" s="3" t="inlineStr">
        <is>
          <t>Risk = 0,65×(1-F) + 0,20×Contradiction + 0,15×Uncertainty</t>
        </is>
      </c>
      <c r="E10" s="3" t="inlineStr">
        <is>
          <t>Risk = 0,65×OutOfContext + 0,20×Contradiction + 0,15×Uncertainty = 0,65×0.1782 + 0,20×0.0000 + 0,15×0.00 = 0.1158 [RENDAH]</t>
        </is>
      </c>
      <c r="F10" t="n">
        <v>0.1158</v>
      </c>
      <c r="G10" s="3" t="inlineStr">
        <is>
          <t>label: RENDAH; kontradiksi 0/9 kalimat; uncertainty flag: False</t>
        </is>
      </c>
    </row>
    <row r="11">
      <c r="A11" t="n">
        <v>1</v>
      </c>
      <c r="B11" t="inlineStr">
        <is>
          <t>A</t>
        </is>
      </c>
      <c r="C11" t="inlineStr">
        <is>
          <t>Answer Accuracy (Pers. 20)</t>
        </is>
      </c>
      <c r="D11" s="3" t="inlineStr">
        <is>
          <t>Correctᵢ ∈ {0,1} via LLM-as-Judge (HASIL: BENAR/SALAH)</t>
        </is>
      </c>
      <c r="E11" s="3" t="inlineStr">
        <is>
          <t>Ragam referensi yang dikemukakan sebelumnya memang mencakup definisi Computational Thinking (CT) sebagai "formulasi masalah dan solusi", namun jawaban sistem juga menjelaskan bahwa CT lebih dari sekadar formulasi masalah, seperti identifikasi pattern dan pola dalam data, serta menggunakan logika dan analisis untuk menyelesaikan masalah. Dengan demikian, jawaban sistem telah mencakup konsep utama y</t>
        </is>
      </c>
      <c r="F11" t="inlineStr">
        <is>
          <t>BENAR</t>
        </is>
      </c>
      <c r="G11" s="3" t="inlineStr">
        <is>
          <t>evaluator: ollama/llama3</t>
        </is>
      </c>
    </row>
    <row r="12">
      <c r="A12" t="n">
        <v>1</v>
      </c>
      <c r="B12" t="inlineStr">
        <is>
          <t>B</t>
        </is>
      </c>
      <c r="C12" t="inlineStr">
        <is>
          <t>Faithfulness (Pers. 15)</t>
        </is>
      </c>
      <c r="D12" s="3" t="inlineStr">
        <is>
          <t>F = 0,70×Entailment + 0,30×KWoverlap</t>
        </is>
      </c>
      <c r="E12" s="3" t="inlineStr">
        <is>
          <t>Faithfulness = 0,70×Entailment + 0,30×KWoverlap = 0,70×1.0000 + 0,30×0.2380 = 0.7714  (entailment: 6/6 klaim didukung; KWoverlap = (|∩|/|ctx|)^0,65 = (29/264)^0,65 = 0.1098^0,65 = 0.2380)</t>
        </is>
      </c>
      <c r="F12" t="n">
        <v>0.7714</v>
      </c>
      <c r="G12" s="3" t="inlineStr">
        <is>
          <t>metode: llm_entailment + keyword</t>
        </is>
      </c>
    </row>
    <row r="13">
      <c r="A13" t="n">
        <v>1</v>
      </c>
      <c r="B13" t="inlineStr">
        <is>
          <t>B</t>
        </is>
      </c>
      <c r="C13" t="inlineStr">
        <is>
          <t>— Entailment (Pers. 12-13)</t>
        </is>
      </c>
      <c r="D13" s="3" t="inlineStr">
        <is>
          <t>Entailment = Σverdict(sᵢ)/m</t>
        </is>
      </c>
      <c r="E13" s="3" t="inlineStr">
        <is>
          <t>6 klaim YA dari 6 klaim dievaluasi</t>
        </is>
      </c>
      <c r="F13" t="n">
        <v>1</v>
      </c>
      <c r="G13" s="3" t="inlineStr">
        <is>
          <t>verdict per klaim: sheet 'Entailment Detail'</t>
        </is>
      </c>
    </row>
    <row r="14">
      <c r="A14" t="n">
        <v>1</v>
      </c>
      <c r="B14" t="inlineStr">
        <is>
          <t>B</t>
        </is>
      </c>
      <c r="C14" t="inlineStr">
        <is>
          <t>— Keyword Overlap (Pers. 14)</t>
        </is>
      </c>
      <c r="D14" s="3" t="inlineStr">
        <is>
          <t>KWoverlap = (|Stems(ans)∩Stems(ctx)| / |Stems(ctx)|)^0,65</t>
        </is>
      </c>
      <c r="E14" s="3" t="inlineStr">
        <is>
          <t>KWoverlap = (|∩|/|ctx|)^0,65 = (29/264)^0,65 = 0.1098^0,65 = 0.2380</t>
        </is>
      </c>
      <c r="F14" t="n">
        <v>0.238</v>
      </c>
      <c r="G14" s="3" t="inlineStr"/>
    </row>
    <row r="15">
      <c r="A15" t="n">
        <v>1</v>
      </c>
      <c r="B15" t="inlineStr">
        <is>
          <t>B</t>
        </is>
      </c>
      <c r="C15" t="inlineStr">
        <is>
          <t>Hallucination Risk (Pers. 18)</t>
        </is>
      </c>
      <c r="D15" s="3" t="inlineStr">
        <is>
          <t>Risk = 0,65×(1-F) + 0,20×Contradiction + 0,15×Uncertainty</t>
        </is>
      </c>
      <c r="E15" s="3" t="inlineStr">
        <is>
          <t>Risk = 0,65×OutOfContext + 0,20×Contradiction + 0,15×Uncertainty = 0,65×0.2286 + 0,20×0.0000 + 0,15×0.00 = 0.1486 [RENDAH]</t>
        </is>
      </c>
      <c r="F15" t="n">
        <v>0.1486</v>
      </c>
      <c r="G15" s="3" t="inlineStr">
        <is>
          <t>label: RENDAH; kontradiksi 0/11 kalimat; uncertainty flag: False</t>
        </is>
      </c>
    </row>
    <row r="16">
      <c r="A16" t="n">
        <v>2</v>
      </c>
      <c r="B16" t="inlineStr">
        <is>
          <t>A</t>
        </is>
      </c>
      <c r="C16" t="inlineStr">
        <is>
          <t>Precision@K (Pers. 2)</t>
        </is>
      </c>
      <c r="D16" s="3" t="inlineStr">
        <is>
          <t>Precision@K = |{d ∈ TopK : sim(q,d) ≥ θ}| / K</t>
        </is>
      </c>
      <c r="E16" s="3" t="inlineStr">
        <is>
          <t>skor = [0.7148, 0.7105, 0.6985, 0.6985, 0.6957, 0.6915] → 6 / 6</t>
        </is>
      </c>
      <c r="F16" t="n">
        <v>1</v>
      </c>
      <c r="G16" s="3" t="inlineStr">
        <is>
          <t>basis: skor chunk nyata (sesuai contoh Pers. 2 skripsi)</t>
        </is>
      </c>
    </row>
    <row r="17">
      <c r="A17" t="n">
        <v>2</v>
      </c>
      <c r="B17" t="inlineStr">
        <is>
          <t>A</t>
        </is>
      </c>
      <c r="C17" t="inlineStr">
        <is>
          <t>Recall@K (Pers. 4)</t>
        </is>
      </c>
      <c r="D17" s="3" t="inlineStr">
        <is>
          <t>Recall@K = |{kata kunci ditemukan : sim ≥ θ}| / |R|</t>
        </is>
      </c>
      <c r="E17" s="3" t="inlineStr">
        <is>
          <t>skor = [0.6368, 0.6328, 0.4574, 0.4538, 0.4275] → 5 / 5</t>
        </is>
      </c>
      <c r="F17" t="n">
        <v>1</v>
      </c>
      <c r="G17" s="3" t="inlineStr"/>
    </row>
    <row r="18">
      <c r="A18" t="n">
        <v>2</v>
      </c>
      <c r="B18" t="inlineStr">
        <is>
          <t>A</t>
        </is>
      </c>
      <c r="C18" t="inlineStr">
        <is>
          <t>Mean Similarity (Pers. 6)</t>
        </is>
      </c>
      <c r="D18" s="3" t="inlineStr">
        <is>
          <t>MeanSim = (1/K) × Σ sim(q, dᵢ)</t>
        </is>
      </c>
      <c r="E18" s="3" t="inlineStr">
        <is>
          <t>skor = [0.7148, 0.7105, 0.6985, 0.6985, 0.6957, 0.6915] → (0.7148 + 0.7105 + 0.6985 + 0.6985 + 0.6957 + 0.6915) / 6</t>
        </is>
      </c>
      <c r="F18" t="n">
        <v>0.7016</v>
      </c>
      <c r="G18" s="3" t="inlineStr"/>
    </row>
    <row r="19">
      <c r="A19" t="n">
        <v>2</v>
      </c>
      <c r="B19" t="inlineStr">
        <is>
          <t>A</t>
        </is>
      </c>
      <c r="C19" t="inlineStr">
        <is>
          <t>Coverage (Pers. 8)</t>
        </is>
      </c>
      <c r="D19" s="3" t="inlineStr">
        <is>
          <t>Coverage = |{dᵢ ∈ TopK : sim(q,dᵢ) ≥ θc}| / K</t>
        </is>
      </c>
      <c r="E19" s="3" t="inlineStr">
        <is>
          <t>skor = [0.7148, 0.7105, 0.6985, 0.6985, 0.6957, 0.6915] → 6 / 6</t>
        </is>
      </c>
      <c r="F19" t="n">
        <v>1</v>
      </c>
      <c r="G19" s="3" t="inlineStr"/>
    </row>
    <row r="20">
      <c r="A20" t="n">
        <v>2</v>
      </c>
      <c r="B20" t="inlineStr">
        <is>
          <t>A</t>
        </is>
      </c>
      <c r="C20" t="inlineStr">
        <is>
          <t>Source Diversity (Pers. 10)</t>
        </is>
      </c>
      <c r="D20" s="3" t="inlineStr">
        <is>
          <t>Diversity = |sumber unik dalam TopK| / K</t>
        </is>
      </c>
      <c r="E20" s="3" t="inlineStr">
        <is>
          <t>skor = ['GT_CT09.txt', 'GT_CT11.txt', 'GT_DETAIL_PT04_Abstraksi.txt', 'GT_DETAIL_PT09_Variabel_TipeData_Operator_List.txt', 'GT_DETAIL_PT11_Perulangan.txt', 'GT_SUBTOPIK_05_Pseudocode_Algoritme.txt'] → 6 / 6</t>
        </is>
      </c>
      <c r="F20" t="n">
        <v>1</v>
      </c>
      <c r="G20" s="3" t="inlineStr">
        <is>
          <t>file unik: GT_CT09.txt, GT_CT11.txt, GT_DETAIL_PT04_Abstraksi.txt, GT_DETAIL_PT09_Variabel_TipeData_Operator_List.txt, GT_DETAIL_PT11_Perulangan.txt, GT_SUBTOPIK_05_Pseudocode_Algoritme.txt</t>
        </is>
      </c>
    </row>
    <row r="21">
      <c r="A21" t="n">
        <v>2</v>
      </c>
      <c r="B21" t="inlineStr">
        <is>
          <t>A</t>
        </is>
      </c>
      <c r="C21" t="inlineStr">
        <is>
          <t>Faithfulness (Pers. 15)</t>
        </is>
      </c>
      <c r="D21" s="3" t="inlineStr">
        <is>
          <t>F = 0,70×Entailment + 0,30×KWoverlap</t>
        </is>
      </c>
      <c r="E21" s="3" t="inlineStr">
        <is>
          <t>Faithfulness = 0,70×Entailment + 0,30×KWoverlap = 0,70×1.0000 + 0,30×0.2147 = 0.7644  (entailment: 6/6 klaim didukung; KWoverlap = (|∩|/|ctx|)^0,65 = (27/288)^0,65 = 0.0938^0,65 = 0.2147)</t>
        </is>
      </c>
      <c r="F21" t="n">
        <v>0.7644</v>
      </c>
      <c r="G21" s="3" t="inlineStr">
        <is>
          <t>metode: llm_entailment + keyword</t>
        </is>
      </c>
    </row>
    <row r="22">
      <c r="A22" t="n">
        <v>2</v>
      </c>
      <c r="B22" t="inlineStr">
        <is>
          <t>A</t>
        </is>
      </c>
      <c r="C22" t="inlineStr">
        <is>
          <t>— Entailment (Pers. 12-13)</t>
        </is>
      </c>
      <c r="D22" s="3" t="inlineStr">
        <is>
          <t>Entailment = Σverdict(sᵢ)/m</t>
        </is>
      </c>
      <c r="E22" s="3" t="inlineStr">
        <is>
          <t>6 klaim YA dari 6 klaim dievaluasi</t>
        </is>
      </c>
      <c r="F22" t="n">
        <v>1</v>
      </c>
      <c r="G22" s="3" t="inlineStr">
        <is>
          <t>verdict per klaim: sheet 'Entailment Detail'</t>
        </is>
      </c>
    </row>
    <row r="23">
      <c r="A23" t="n">
        <v>2</v>
      </c>
      <c r="B23" t="inlineStr">
        <is>
          <t>A</t>
        </is>
      </c>
      <c r="C23" t="inlineStr">
        <is>
          <t>— Keyword Overlap (Pers. 14)</t>
        </is>
      </c>
      <c r="D23" s="3" t="inlineStr">
        <is>
          <t>KWoverlap = (|Stems(ans)∩Stems(ctx)| / |Stems(ctx)|)^0,65</t>
        </is>
      </c>
      <c r="E23" s="3" t="inlineStr">
        <is>
          <t>KWoverlap = (|∩|/|ctx|)^0,65 = (27/288)^0,65 = 0.0938^0,65 = 0.2147</t>
        </is>
      </c>
      <c r="F23" t="n">
        <v>0.2147</v>
      </c>
      <c r="G23" s="3" t="inlineStr"/>
    </row>
    <row r="24">
      <c r="A24" t="n">
        <v>2</v>
      </c>
      <c r="B24" t="inlineStr">
        <is>
          <t>A</t>
        </is>
      </c>
      <c r="C24" t="inlineStr">
        <is>
          <t>Hallucination Risk (Pers. 18)</t>
        </is>
      </c>
      <c r="D24" s="3" t="inlineStr">
        <is>
          <t>Risk = 0,65×(1-F) + 0,20×Contradiction + 0,15×Uncertainty</t>
        </is>
      </c>
      <c r="E24" s="3" t="inlineStr">
        <is>
          <t>Risk = 0,65×OutOfContext + 0,20×Contradiction + 0,15×Uncertainty = 0,65×0.2356 + 0,20×0.0000 + 0,15×0.00 = 0.1531 [RENDAH]</t>
        </is>
      </c>
      <c r="F24" t="n">
        <v>0.1531</v>
      </c>
      <c r="G24" s="3" t="inlineStr">
        <is>
          <t>label: RENDAH; kontradiksi 0/10 kalimat; uncertainty flag: False</t>
        </is>
      </c>
    </row>
    <row r="25">
      <c r="A25" t="n">
        <v>2</v>
      </c>
      <c r="B25" t="inlineStr">
        <is>
          <t>A</t>
        </is>
      </c>
      <c r="C25" t="inlineStr">
        <is>
          <t>Answer Accuracy (Pers. 20)</t>
        </is>
      </c>
      <c r="D25" s="3" t="inlineStr">
        <is>
          <t>Correctᵢ ∈ {0,1} via LLM-as-Judge (HASIL: BENAR/SALAH)</t>
        </is>
      </c>
      <c r="E25" s="3" t="inlineStr">
        <is>
          <t>BENAR
Ragam alasannya:
1. AADP (Abstraksi → Algoritme → Dekomposisi → Pattern Recognition) adalah urutan proses yang digunakan untuk menyelesaikan masalah computational thinking, sejalan dengan referensi dokumen materi GT.
2. Abstraksi, algoritme, dekomposisi, dan pattern recognition adalah langkah-langkah yang tercakup dalam konsep AADP, juga sejalan dengan referensi dokumen materi GT.
Jadi, j</t>
        </is>
      </c>
      <c r="F25" t="inlineStr">
        <is>
          <t>BENAR</t>
        </is>
      </c>
      <c r="G25" s="3" t="inlineStr">
        <is>
          <t>evaluator: ollama/llama3</t>
        </is>
      </c>
    </row>
    <row r="26">
      <c r="A26" t="n">
        <v>2</v>
      </c>
      <c r="B26" t="inlineStr">
        <is>
          <t>B</t>
        </is>
      </c>
      <c r="C26" t="inlineStr">
        <is>
          <t>Faithfulness (Pers. 15)</t>
        </is>
      </c>
      <c r="D26" s="3" t="inlineStr">
        <is>
          <t>F = 0,70×Entailment + 0,30×KWoverlap</t>
        </is>
      </c>
      <c r="E26" s="3" t="inlineStr">
        <is>
          <t>Faithfulness = 0,70×Entailment + 0,30×KWoverlap = 0,70×1.0000 + 0,30×0.1335 = 0.7400  (entailment: 5/5 klaim didukung; KWoverlap = (|∩|/|ctx|)^0,65 = (13/288)^0,65 = 0.0451^0,65 = 0.1335)</t>
        </is>
      </c>
      <c r="F26" t="n">
        <v>0.74</v>
      </c>
      <c r="G26" s="3" t="inlineStr">
        <is>
          <t>metode: llm_entailment + keyword</t>
        </is>
      </c>
    </row>
    <row r="27">
      <c r="A27" t="n">
        <v>2</v>
      </c>
      <c r="B27" t="inlineStr">
        <is>
          <t>B</t>
        </is>
      </c>
      <c r="C27" t="inlineStr">
        <is>
          <t>— Entailment (Pers. 12-13)</t>
        </is>
      </c>
      <c r="D27" s="3" t="inlineStr">
        <is>
          <t>Entailment = Σverdict(sᵢ)/m</t>
        </is>
      </c>
      <c r="E27" s="3" t="inlineStr">
        <is>
          <t>5 klaim YA dari 5 klaim dievaluasi</t>
        </is>
      </c>
      <c r="F27" t="n">
        <v>1</v>
      </c>
      <c r="G27" s="3" t="inlineStr">
        <is>
          <t>verdict per klaim: sheet 'Entailment Detail'</t>
        </is>
      </c>
    </row>
    <row r="28">
      <c r="A28" t="n">
        <v>2</v>
      </c>
      <c r="B28" t="inlineStr">
        <is>
          <t>B</t>
        </is>
      </c>
      <c r="C28" t="inlineStr">
        <is>
          <t>— Keyword Overlap (Pers. 14)</t>
        </is>
      </c>
      <c r="D28" s="3" t="inlineStr">
        <is>
          <t>KWoverlap = (|Stems(ans)∩Stems(ctx)| / |Stems(ctx)|)^0,65</t>
        </is>
      </c>
      <c r="E28" s="3" t="inlineStr">
        <is>
          <t>KWoverlap = (|∩|/|ctx|)^0,65 = (13/288)^0,65 = 0.0451^0,65 = 0.1335</t>
        </is>
      </c>
      <c r="F28" t="n">
        <v>0.1335</v>
      </c>
      <c r="G28" s="3" t="inlineStr"/>
    </row>
    <row r="29">
      <c r="A29" t="n">
        <v>2</v>
      </c>
      <c r="B29" t="inlineStr">
        <is>
          <t>B</t>
        </is>
      </c>
      <c r="C29" t="inlineStr">
        <is>
          <t>Hallucination Risk (Pers. 18)</t>
        </is>
      </c>
      <c r="D29" s="3" t="inlineStr">
        <is>
          <t>Risk = 0,65×(1-F) + 0,20×Contradiction + 0,15×Uncertainty</t>
        </is>
      </c>
      <c r="E29" s="3" t="inlineStr">
        <is>
          <t>Risk = 0,65×OutOfContext + 0,20×Contradiction + 0,15×Uncertainty = 0,65×0.2600 + 0,20×0.0000 + 0,15×0.00 = 0.1690 [RENDAH]</t>
        </is>
      </c>
      <c r="F29" t="n">
        <v>0.169</v>
      </c>
      <c r="G29" s="3" t="inlineStr">
        <is>
          <t>label: RENDAH; kontradiksi 0/5 kalimat; uncertainty flag: False</t>
        </is>
      </c>
    </row>
    <row r="30">
      <c r="A30" t="n">
        <v>2</v>
      </c>
      <c r="B30" t="inlineStr">
        <is>
          <t>B</t>
        </is>
      </c>
      <c r="C30" t="inlineStr">
        <is>
          <t>Answer Accuracy (Pers. 20)</t>
        </is>
      </c>
      <c r="D30" s="3" t="inlineStr">
        <is>
          <t>Correctᵢ ∈ {0,1} via LLM-as-Judge (HASIL: BENAR/SALAH)</t>
        </is>
      </c>
      <c r="E30" s="3" t="inlineStr">
        <is>
          <t>BENAR</t>
        </is>
      </c>
      <c r="F30" t="inlineStr">
        <is>
          <t>BENAR</t>
        </is>
      </c>
      <c r="G30" s="3" t="inlineStr">
        <is>
          <t>evaluator: ollama/llama3</t>
        </is>
      </c>
    </row>
    <row r="31">
      <c r="A31" t="n">
        <v>3</v>
      </c>
      <c r="B31" t="inlineStr">
        <is>
          <t>A</t>
        </is>
      </c>
      <c r="C31" t="inlineStr">
        <is>
          <t>Precision@K (Pers. 2)</t>
        </is>
      </c>
      <c r="D31" s="3" t="inlineStr">
        <is>
          <t>Precision@K = |{d ∈ TopK : sim(q,d) ≥ θ}| / K</t>
        </is>
      </c>
      <c r="E31" s="3" t="inlineStr">
        <is>
          <t>skor = [0.7575, 0.7366, 0.7297, 0.7256, 0.7154, 0.7152] → 6 / 6</t>
        </is>
      </c>
      <c r="F31" t="n">
        <v>1</v>
      </c>
      <c r="G31" s="3" t="inlineStr">
        <is>
          <t>basis: skor chunk nyata (sesuai contoh Pers. 2 skripsi)</t>
        </is>
      </c>
    </row>
    <row r="32">
      <c r="A32" t="n">
        <v>3</v>
      </c>
      <c r="B32" t="inlineStr">
        <is>
          <t>A</t>
        </is>
      </c>
      <c r="C32" t="inlineStr">
        <is>
          <t>Recall@K (Pers. 4)</t>
        </is>
      </c>
      <c r="D32" s="3" t="inlineStr">
        <is>
          <t>Recall@K = |{kata kunci ditemukan : sim ≥ θ}| / |R|</t>
        </is>
      </c>
      <c r="E32" s="3" t="inlineStr">
        <is>
          <t>skor = [0.5486, 0.5189, 0.5174, 0.5007, 0.3981] → 5 / 5</t>
        </is>
      </c>
      <c r="F32" t="n">
        <v>1</v>
      </c>
      <c r="G32" s="3" t="inlineStr"/>
    </row>
    <row r="33">
      <c r="A33" t="n">
        <v>3</v>
      </c>
      <c r="B33" t="inlineStr">
        <is>
          <t>A</t>
        </is>
      </c>
      <c r="C33" t="inlineStr">
        <is>
          <t>Mean Similarity (Pers. 6)</t>
        </is>
      </c>
      <c r="D33" s="3" t="inlineStr">
        <is>
          <t>MeanSim = (1/K) × Σ sim(q, dᵢ)</t>
        </is>
      </c>
      <c r="E33" s="3" t="inlineStr">
        <is>
          <t>skor = [0.7575, 0.7366, 0.7297, 0.7256, 0.7154, 0.7152] → (0.7575 + 0.7366 + 0.7297 + 0.7256 + 0.7154 + 0.7152) / 6</t>
        </is>
      </c>
      <c r="F33" t="n">
        <v>0.73</v>
      </c>
      <c r="G33" s="3" t="inlineStr"/>
    </row>
    <row r="34">
      <c r="A34" t="n">
        <v>3</v>
      </c>
      <c r="B34" t="inlineStr">
        <is>
          <t>A</t>
        </is>
      </c>
      <c r="C34" t="inlineStr">
        <is>
          <t>Coverage (Pers. 8)</t>
        </is>
      </c>
      <c r="D34" s="3" t="inlineStr">
        <is>
          <t>Coverage = |{dᵢ ∈ TopK : sim(q,dᵢ) ≥ θc}| / K</t>
        </is>
      </c>
      <c r="E34" s="3" t="inlineStr">
        <is>
          <t>skor = [0.7575, 0.7366, 0.7297, 0.7256, 0.7154, 0.7152] → 6 / 6</t>
        </is>
      </c>
      <c r="F34" t="n">
        <v>1</v>
      </c>
      <c r="G34" s="3" t="inlineStr"/>
    </row>
    <row r="35">
      <c r="A35" t="n">
        <v>3</v>
      </c>
      <c r="B35" t="inlineStr">
        <is>
          <t>A</t>
        </is>
      </c>
      <c r="C35" t="inlineStr">
        <is>
          <t>Source Diversity (Pers. 10)</t>
        </is>
      </c>
      <c r="D35" s="3" t="inlineStr">
        <is>
          <t>Diversity = |sumber unik dalam TopK| / K</t>
        </is>
      </c>
      <c r="E35" s="3" t="inlineStr">
        <is>
          <t>skor = ['GT_CT01.txt', 'GT_CT02.txt', 'GT_CT06.txt', 'GT_DETAIL_PT01_Pendahuluan.txt', 'GT_DETAIL_PT02_ICT_Literacy_Ethics.txt', 'GT_DETAIL_PT04_Abstraksi.txt'] → 6 / 6</t>
        </is>
      </c>
      <c r="F35" t="n">
        <v>1</v>
      </c>
      <c r="G35" s="3" t="inlineStr">
        <is>
          <t>file unik: GT_CT01.txt, GT_CT02.txt, GT_CT06.txt, GT_DETAIL_PT01_Pendahuluan.txt, GT_DETAIL_PT02_ICT_Literacy_Ethics.txt, GT_DETAIL_PT04_Abstraksi.txt</t>
        </is>
      </c>
    </row>
    <row r="36">
      <c r="A36" t="n">
        <v>3</v>
      </c>
      <c r="B36" t="inlineStr">
        <is>
          <t>A</t>
        </is>
      </c>
      <c r="C36" t="inlineStr">
        <is>
          <t>Faithfulness (Pers. 15)</t>
        </is>
      </c>
      <c r="D36" s="3" t="inlineStr">
        <is>
          <t>F = 0,70×Entailment + 0,30×KWoverlap</t>
        </is>
      </c>
      <c r="E36" s="3" t="inlineStr">
        <is>
          <t>Faithfulness = 0,70×Entailment + 0,30×KWoverlap = 0,70×1.0000 + 0,30×0.2145 = 0.7644  (entailment: 6/6 klaim didukung; KWoverlap = (|∩|/|ctx|)^0,65 = (34/363)^0,65 = 0.0937^0,65 = 0.2145)</t>
        </is>
      </c>
      <c r="F36" t="n">
        <v>0.7644</v>
      </c>
      <c r="G36" s="3" t="inlineStr">
        <is>
          <t>metode: llm_entailment + keyword</t>
        </is>
      </c>
    </row>
    <row r="37">
      <c r="A37" t="n">
        <v>3</v>
      </c>
      <c r="B37" t="inlineStr">
        <is>
          <t>A</t>
        </is>
      </c>
      <c r="C37" t="inlineStr">
        <is>
          <t>— Entailment (Pers. 12-13)</t>
        </is>
      </c>
      <c r="D37" s="3" t="inlineStr">
        <is>
          <t>Entailment = Σverdict(sᵢ)/m</t>
        </is>
      </c>
      <c r="E37" s="3" t="inlineStr">
        <is>
          <t>6 klaim YA dari 6 klaim dievaluasi</t>
        </is>
      </c>
      <c r="F37" t="n">
        <v>1</v>
      </c>
      <c r="G37" s="3" t="inlineStr">
        <is>
          <t>verdict per klaim: sheet 'Entailment Detail'</t>
        </is>
      </c>
    </row>
    <row r="38">
      <c r="A38" t="n">
        <v>3</v>
      </c>
      <c r="B38" t="inlineStr">
        <is>
          <t>A</t>
        </is>
      </c>
      <c r="C38" t="inlineStr">
        <is>
          <t>— Keyword Overlap (Pers. 14)</t>
        </is>
      </c>
      <c r="D38" s="3" t="inlineStr">
        <is>
          <t>KWoverlap = (|Stems(ans)∩Stems(ctx)| / |Stems(ctx)|)^0,65</t>
        </is>
      </c>
      <c r="E38" s="3" t="inlineStr">
        <is>
          <t>KWoverlap = (|∩|/|ctx|)^0,65 = (34/363)^0,65 = 0.0937^0,65 = 0.2145</t>
        </is>
      </c>
      <c r="F38" t="n">
        <v>0.2145</v>
      </c>
      <c r="G38" s="3" t="inlineStr"/>
    </row>
    <row r="39">
      <c r="A39" t="n">
        <v>3</v>
      </c>
      <c r="B39" t="inlineStr">
        <is>
          <t>A</t>
        </is>
      </c>
      <c r="C39" t="inlineStr">
        <is>
          <t>Hallucination Risk (Pers. 18)</t>
        </is>
      </c>
      <c r="D39" s="3" t="inlineStr">
        <is>
          <t>Risk = 0,65×(1-F) + 0,20×Contradiction + 0,15×Uncertainty</t>
        </is>
      </c>
      <c r="E39" s="3" t="inlineStr">
        <is>
          <t>Risk = 0,65×OutOfContext + 0,20×Contradiction + 0,15×Uncertainty = 0,65×0.2356 + 0,20×0.0000 + 0,15×0.20 = 0.1831 [RENDAH]</t>
        </is>
      </c>
      <c r="F39" t="n">
        <v>0.1831</v>
      </c>
      <c r="G39" s="3" t="inlineStr">
        <is>
          <t>label: RENDAH; kontradiksi 0/12 kalimat; uncertainty flag: True</t>
        </is>
      </c>
    </row>
    <row r="40">
      <c r="A40" t="n">
        <v>3</v>
      </c>
      <c r="B40" t="inlineStr">
        <is>
          <t>A</t>
        </is>
      </c>
      <c r="C40" t="inlineStr">
        <is>
          <t>Answer Accuracy (Pers. 20)</t>
        </is>
      </c>
      <c r="D40" s="3" t="inlineStr">
        <is>
          <t>Correctᵢ ∈ {0,1} via LLM-as-Judge (HASIL: BENAR/SALAH)</t>
        </is>
      </c>
      <c r="E40" s="3" t="inlineStr">
        <is>
          <t>BENAR</t>
        </is>
      </c>
      <c r="F40" t="inlineStr">
        <is>
          <t>BENAR</t>
        </is>
      </c>
      <c r="G40" s="3" t="inlineStr">
        <is>
          <t>evaluator: ollama/llama3</t>
        </is>
      </c>
    </row>
    <row r="41">
      <c r="A41" t="n">
        <v>3</v>
      </c>
      <c r="B41" t="inlineStr">
        <is>
          <t>B</t>
        </is>
      </c>
      <c r="C41" t="inlineStr">
        <is>
          <t>Faithfulness (Pers. 15)</t>
        </is>
      </c>
      <c r="D41" s="3" t="inlineStr">
        <is>
          <t>F = 0,70×Entailment + 0,30×KWoverlap</t>
        </is>
      </c>
      <c r="E41" s="3" t="inlineStr">
        <is>
          <t>Faithfulness = 0,70×Entailment + 0,30×KWoverlap = 0,70×0.8333 + 0,30×0.1935 = 0.6414  (entailment: 5/6 klaim didukung; KWoverlap = (|∩|/|ctx|)^0,65 = (29/363)^0,65 = 0.0799^0,65 = 0.1935)</t>
        </is>
      </c>
      <c r="F41" t="n">
        <v>0.6414</v>
      </c>
      <c r="G41" s="3" t="inlineStr">
        <is>
          <t>metode: llm_entailment + keyword</t>
        </is>
      </c>
    </row>
    <row r="42">
      <c r="A42" t="n">
        <v>3</v>
      </c>
      <c r="B42" t="inlineStr">
        <is>
          <t>B</t>
        </is>
      </c>
      <c r="C42" t="inlineStr">
        <is>
          <t>— Entailment (Pers. 12-13)</t>
        </is>
      </c>
      <c r="D42" s="3" t="inlineStr">
        <is>
          <t>Entailment = Σverdict(sᵢ)/m</t>
        </is>
      </c>
      <c r="E42" s="3" t="inlineStr">
        <is>
          <t>5 klaim YA dari 6 klaim dievaluasi</t>
        </is>
      </c>
      <c r="F42" t="n">
        <v>0.8333</v>
      </c>
      <c r="G42" s="3" t="inlineStr">
        <is>
          <t>verdict per klaim: sheet 'Entailment Detail'</t>
        </is>
      </c>
    </row>
    <row r="43">
      <c r="A43" t="n">
        <v>3</v>
      </c>
      <c r="B43" t="inlineStr">
        <is>
          <t>B</t>
        </is>
      </c>
      <c r="C43" t="inlineStr">
        <is>
          <t>— Keyword Overlap (Pers. 14)</t>
        </is>
      </c>
      <c r="D43" s="3" t="inlineStr">
        <is>
          <t>KWoverlap = (|Stems(ans)∩Stems(ctx)| / |Stems(ctx)|)^0,65</t>
        </is>
      </c>
      <c r="E43" s="3" t="inlineStr">
        <is>
          <t>KWoverlap = (|∩|/|ctx|)^0,65 = (29/363)^0,65 = 0.0799^0,65 = 0.1935</t>
        </is>
      </c>
      <c r="F43" t="n">
        <v>0.1935</v>
      </c>
      <c r="G43" s="3" t="inlineStr"/>
    </row>
    <row r="44">
      <c r="A44" t="n">
        <v>3</v>
      </c>
      <c r="B44" t="inlineStr">
        <is>
          <t>B</t>
        </is>
      </c>
      <c r="C44" t="inlineStr">
        <is>
          <t>Hallucination Risk (Pers. 18)</t>
        </is>
      </c>
      <c r="D44" s="3" t="inlineStr">
        <is>
          <t>Risk = 0,65×(1-F) + 0,20×Contradiction + 0,15×Uncertainty</t>
        </is>
      </c>
      <c r="E44" s="3" t="inlineStr">
        <is>
          <t>Risk = 0,65×OutOfContext + 0,20×Contradiction + 0,15×Uncertainty = 0,65×0.3586 + 0,20×0.0000 + 0,15×0.20 = 0.2631 [RENDAH]</t>
        </is>
      </c>
      <c r="F44" t="n">
        <v>0.2631</v>
      </c>
      <c r="G44" s="3" t="inlineStr">
        <is>
          <t>label: RENDAH; kontradiksi 0/15 kalimat; uncertainty flag: True</t>
        </is>
      </c>
    </row>
    <row r="45">
      <c r="A45" t="n">
        <v>3</v>
      </c>
      <c r="B45" t="inlineStr">
        <is>
          <t>B</t>
        </is>
      </c>
      <c r="C45" t="inlineStr">
        <is>
          <t>Answer Accuracy (Pers. 20)</t>
        </is>
      </c>
      <c r="D45" s="3" t="inlineStr">
        <is>
          <t>Correctᵢ ∈ {0,1} via LLM-as-Judge (HASIL: BENAR/SALAH)</t>
        </is>
      </c>
      <c r="E45" s="3" t="inlineStr"/>
      <c r="F45" t="inlineStr">
        <is>
          <t>BENAR</t>
        </is>
      </c>
      <c r="G45" s="3" t="inlineStr">
        <is>
          <t>evaluator: ollama/llama3</t>
        </is>
      </c>
    </row>
    <row r="46">
      <c r="A46" t="n">
        <v>4</v>
      </c>
      <c r="B46" t="inlineStr">
        <is>
          <t>A</t>
        </is>
      </c>
      <c r="C46" t="inlineStr">
        <is>
          <t>Precision@K (Pers. 2)</t>
        </is>
      </c>
      <c r="D46" s="3" t="inlineStr">
        <is>
          <t>Precision@K = |{d ∈ TopK : sim(q,d) ≥ θ}| / K</t>
        </is>
      </c>
      <c r="E46" s="3" t="inlineStr">
        <is>
          <t>skor = [0.7173, 0.7139, 0.7037, 0.6939, 0.6933, 0.6932] → 6 / 6</t>
        </is>
      </c>
      <c r="F46" t="n">
        <v>1</v>
      </c>
      <c r="G46" s="3" t="inlineStr">
        <is>
          <t>basis: skor chunk nyata (sesuai contoh Pers. 2 skripsi)</t>
        </is>
      </c>
    </row>
    <row r="47">
      <c r="A47" t="n">
        <v>4</v>
      </c>
      <c r="B47" t="inlineStr">
        <is>
          <t>A</t>
        </is>
      </c>
      <c r="C47" t="inlineStr">
        <is>
          <t>Recall@K (Pers. 4)</t>
        </is>
      </c>
      <c r="D47" s="3" t="inlineStr">
        <is>
          <t>Recall@K = |{kata kunci ditemukan : sim ≥ θ}| / |R|</t>
        </is>
      </c>
      <c r="E47" s="3" t="inlineStr">
        <is>
          <t>skor = [0.5405, 0.5293, 0.4929, 0.4602, 0.4555] → 5 / 5</t>
        </is>
      </c>
      <c r="F47" t="n">
        <v>1</v>
      </c>
      <c r="G47" s="3" t="inlineStr"/>
    </row>
    <row r="48">
      <c r="A48" t="n">
        <v>4</v>
      </c>
      <c r="B48" t="inlineStr">
        <is>
          <t>A</t>
        </is>
      </c>
      <c r="C48" t="inlineStr">
        <is>
          <t>Mean Similarity (Pers. 6)</t>
        </is>
      </c>
      <c r="D48" s="3" t="inlineStr">
        <is>
          <t>MeanSim = (1/K) × Σ sim(q, dᵢ)</t>
        </is>
      </c>
      <c r="E48" s="3" t="inlineStr">
        <is>
          <t>skor = [0.7173, 0.7139, 0.7037, 0.6939, 0.6933, 0.6932] → (0.7173 + 0.7139 + 0.7037 + 0.6939 + 0.6933 + 0.6932) / 6</t>
        </is>
      </c>
      <c r="F48" t="n">
        <v>0.7026</v>
      </c>
      <c r="G48" s="3" t="inlineStr"/>
    </row>
    <row r="49">
      <c r="A49" t="n">
        <v>4</v>
      </c>
      <c r="B49" t="inlineStr">
        <is>
          <t>A</t>
        </is>
      </c>
      <c r="C49" t="inlineStr">
        <is>
          <t>Coverage (Pers. 8)</t>
        </is>
      </c>
      <c r="D49" s="3" t="inlineStr">
        <is>
          <t>Coverage = |{dᵢ ∈ TopK : sim(q,dᵢ) ≥ θc}| / K</t>
        </is>
      </c>
      <c r="E49" s="3" t="inlineStr">
        <is>
          <t>skor = [0.7173, 0.7139, 0.7037, 0.6939, 0.6933, 0.6932] → 6 / 6</t>
        </is>
      </c>
      <c r="F49" t="n">
        <v>1</v>
      </c>
      <c r="G49" s="3" t="inlineStr"/>
    </row>
    <row r="50">
      <c r="A50" t="n">
        <v>4</v>
      </c>
      <c r="B50" t="inlineStr">
        <is>
          <t>A</t>
        </is>
      </c>
      <c r="C50" t="inlineStr">
        <is>
          <t>Source Diversity (Pers. 10)</t>
        </is>
      </c>
      <c r="D50" s="3" t="inlineStr">
        <is>
          <t>Diversity = |sumber unik dalam TopK| / K</t>
        </is>
      </c>
      <c r="E50" s="3" t="inlineStr">
        <is>
          <t>skor = ['GT_CT03.txt', 'GT_CT07.txt', 'GT_CT09.txt', 'GT_DETAIL_PT01_Pendahuluan.txt', 'GT_DETAIL_PT04_Abstraksi.txt', 'GT_SUBTOPIK_01_Dekomposisi_Optimasi.txt'] → 6 / 6</t>
        </is>
      </c>
      <c r="F50" t="n">
        <v>1</v>
      </c>
      <c r="G50" s="3" t="inlineStr">
        <is>
          <t>file unik: GT_CT03.txt, GT_CT07.txt, GT_CT09.txt, GT_DETAIL_PT01_Pendahuluan.txt, GT_DETAIL_PT04_Abstraksi.txt, GT_SUBTOPIK_01_Dekomposisi_Optimasi.txt</t>
        </is>
      </c>
    </row>
    <row r="51">
      <c r="A51" t="n">
        <v>4</v>
      </c>
      <c r="B51" t="inlineStr">
        <is>
          <t>A</t>
        </is>
      </c>
      <c r="C51" t="inlineStr">
        <is>
          <t>Faithfulness (Pers. 15)</t>
        </is>
      </c>
      <c r="D51" s="3" t="inlineStr">
        <is>
          <t>F = 0,70×Entailment + 0,30×KWoverlap</t>
        </is>
      </c>
      <c r="E51" s="3" t="inlineStr">
        <is>
          <t>Faithfulness = 0,70×Entailment + 0,30×KWoverlap = 0,70×1.0000 + 0,30×0.1899 = 0.7570  (entailment: 6/6 klaim didukung; KWoverlap = (|∩|/|ctx|)^0,65 = (26/335)^0,65 = 0.0776^0,65 = 0.1899)</t>
        </is>
      </c>
      <c r="F51" t="n">
        <v>0.757</v>
      </c>
      <c r="G51" s="3" t="inlineStr">
        <is>
          <t>metode: llm_entailment + keyword</t>
        </is>
      </c>
    </row>
    <row r="52">
      <c r="A52" t="n">
        <v>4</v>
      </c>
      <c r="B52" t="inlineStr">
        <is>
          <t>A</t>
        </is>
      </c>
      <c r="C52" t="inlineStr">
        <is>
          <t>— Entailment (Pers. 12-13)</t>
        </is>
      </c>
      <c r="D52" s="3" t="inlineStr">
        <is>
          <t>Entailment = Σverdict(sᵢ)/m</t>
        </is>
      </c>
      <c r="E52" s="3" t="inlineStr">
        <is>
          <t>6 klaim YA dari 6 klaim dievaluasi</t>
        </is>
      </c>
      <c r="F52" t="n">
        <v>1</v>
      </c>
      <c r="G52" s="3" t="inlineStr">
        <is>
          <t>verdict per klaim: sheet 'Entailment Detail'</t>
        </is>
      </c>
    </row>
    <row r="53">
      <c r="A53" t="n">
        <v>4</v>
      </c>
      <c r="B53" t="inlineStr">
        <is>
          <t>A</t>
        </is>
      </c>
      <c r="C53" t="inlineStr">
        <is>
          <t>— Keyword Overlap (Pers. 14)</t>
        </is>
      </c>
      <c r="D53" s="3" t="inlineStr">
        <is>
          <t>KWoverlap = (|Stems(ans)∩Stems(ctx)| / |Stems(ctx)|)^0,65</t>
        </is>
      </c>
      <c r="E53" s="3" t="inlineStr">
        <is>
          <t>KWoverlap = (|∩|/|ctx|)^0,65 = (26/335)^0,65 = 0.0776^0,65 = 0.1899</t>
        </is>
      </c>
      <c r="F53" t="n">
        <v>0.1899</v>
      </c>
      <c r="G53" s="3" t="inlineStr"/>
    </row>
    <row r="54">
      <c r="A54" t="n">
        <v>4</v>
      </c>
      <c r="B54" t="inlineStr">
        <is>
          <t>A</t>
        </is>
      </c>
      <c r="C54" t="inlineStr">
        <is>
          <t>Hallucination Risk (Pers. 18)</t>
        </is>
      </c>
      <c r="D54" s="3" t="inlineStr">
        <is>
          <t>Risk = 0,65×(1-F) + 0,20×Contradiction + 0,15×Uncertainty</t>
        </is>
      </c>
      <c r="E54" s="3" t="inlineStr">
        <is>
          <t>Risk = 0,65×OutOfContext + 0,20×Contradiction + 0,15×Uncertainty = 0,65×0.2430 + 0,20×0.0000 + 0,15×0.00 = 0.1580 [RENDAH]</t>
        </is>
      </c>
      <c r="F54" t="n">
        <v>0.158</v>
      </c>
      <c r="G54" s="3" t="inlineStr">
        <is>
          <t>label: RENDAH; kontradiksi 0/11 kalimat; uncertainty flag: False</t>
        </is>
      </c>
    </row>
    <row r="55">
      <c r="A55" t="n">
        <v>4</v>
      </c>
      <c r="B55" t="inlineStr">
        <is>
          <t>A</t>
        </is>
      </c>
      <c r="C55" t="inlineStr">
        <is>
          <t>Answer Accuracy (Pers. 20)</t>
        </is>
      </c>
      <c r="D55" s="3" t="inlineStr">
        <is>
          <t>Correctᵢ ∈ {0,1} via LLM-as-Judge (HASIL: BENAR/SALAH)</t>
        </is>
      </c>
      <c r="E55" s="3" t="inlineStr">
        <is>
          <t>JAWABAN: 
Alasan: Meskipun sistem jawaban menjawab pertanyaan dengan singkat, namun jawabannya tidak sesuai dengan referensi yang diberikan. Referensi hanya memberikan definisi tentang CT dan ICT Literacy, tetapi tidak menjelaskan apakah keduanya sama atau berbeda. Oleh karena itu, jawaban sistem tidak sesuai dengan kriteria "berdasarkan referensi".</t>
        </is>
      </c>
      <c r="F55" t="inlineStr">
        <is>
          <t>SALAH</t>
        </is>
      </c>
      <c r="G55" s="3" t="inlineStr">
        <is>
          <t>evaluator: ollama/llama3</t>
        </is>
      </c>
    </row>
    <row r="56">
      <c r="A56" t="n">
        <v>4</v>
      </c>
      <c r="B56" t="inlineStr">
        <is>
          <t>B</t>
        </is>
      </c>
      <c r="C56" t="inlineStr">
        <is>
          <t>Faithfulness (Pers. 15)</t>
        </is>
      </c>
      <c r="D56" s="3" t="inlineStr">
        <is>
          <t>F = 0,70×Entailment + 0,30×KWoverlap</t>
        </is>
      </c>
      <c r="E56" s="3" t="inlineStr">
        <is>
          <t>Faithfulness = 0,70×Entailment + 0,30×KWoverlap = 0,70×1.0000 + 0,30×0.1653 = 0.7496  (entailment: 6/6 klaim didukung; KWoverlap = (|∩|/|ctx|)^0,65 = (21/335)^0,65 = 0.0627^0,65 = 0.1653)</t>
        </is>
      </c>
      <c r="F56" t="n">
        <v>0.7496</v>
      </c>
      <c r="G56" s="3" t="inlineStr">
        <is>
          <t>metode: llm_entailment + keyword</t>
        </is>
      </c>
    </row>
    <row r="57">
      <c r="A57" t="n">
        <v>4</v>
      </c>
      <c r="B57" t="inlineStr">
        <is>
          <t>B</t>
        </is>
      </c>
      <c r="C57" t="inlineStr">
        <is>
          <t>— Entailment (Pers. 12-13)</t>
        </is>
      </c>
      <c r="D57" s="3" t="inlineStr">
        <is>
          <t>Entailment = Σverdict(sᵢ)/m</t>
        </is>
      </c>
      <c r="E57" s="3" t="inlineStr">
        <is>
          <t>6 klaim YA dari 6 klaim dievaluasi</t>
        </is>
      </c>
      <c r="F57" t="n">
        <v>1</v>
      </c>
      <c r="G57" s="3" t="inlineStr">
        <is>
          <t>verdict per klaim: sheet 'Entailment Detail'</t>
        </is>
      </c>
    </row>
    <row r="58">
      <c r="A58" t="n">
        <v>4</v>
      </c>
      <c r="B58" t="inlineStr">
        <is>
          <t>B</t>
        </is>
      </c>
      <c r="C58" t="inlineStr">
        <is>
          <t>— Keyword Overlap (Pers. 14)</t>
        </is>
      </c>
      <c r="D58" s="3" t="inlineStr">
        <is>
          <t>KWoverlap = (|Stems(ans)∩Stems(ctx)| / |Stems(ctx)|)^0,65</t>
        </is>
      </c>
      <c r="E58" s="3" t="inlineStr">
        <is>
          <t>KWoverlap = (|∩|/|ctx|)^0,65 = (21/335)^0,65 = 0.0627^0,65 = 0.1653</t>
        </is>
      </c>
      <c r="F58" t="n">
        <v>0.1653</v>
      </c>
      <c r="G58" s="3" t="inlineStr"/>
    </row>
    <row r="59">
      <c r="A59" t="n">
        <v>4</v>
      </c>
      <c r="B59" t="inlineStr">
        <is>
          <t>B</t>
        </is>
      </c>
      <c r="C59" t="inlineStr">
        <is>
          <t>Hallucination Risk (Pers. 18)</t>
        </is>
      </c>
      <c r="D59" s="3" t="inlineStr">
        <is>
          <t>Risk = 0,65×(1-F) + 0,20×Contradiction + 0,15×Uncertainty</t>
        </is>
      </c>
      <c r="E59" s="3" t="inlineStr">
        <is>
          <t>Risk = 0,65×OutOfContext + 0,20×Contradiction + 0,15×Uncertainty = 0,65×0.2504 + 0,20×0.0000 + 0,15×0.00 = 0.1628 [RENDAH]</t>
        </is>
      </c>
      <c r="F59" t="n">
        <v>0.1628</v>
      </c>
      <c r="G59" s="3" t="inlineStr">
        <is>
          <t>label: RENDAH; kontradiksi 0/9 kalimat; uncertainty flag: False</t>
        </is>
      </c>
    </row>
    <row r="60">
      <c r="A60" t="n">
        <v>4</v>
      </c>
      <c r="B60" t="inlineStr">
        <is>
          <t>B</t>
        </is>
      </c>
      <c r="C60" t="inlineStr">
        <is>
          <t>Answer Accuracy (Pers. 20)</t>
        </is>
      </c>
      <c r="D60" s="3" t="inlineStr">
        <is>
          <t>Correctᵢ ∈ {0,1} via LLM-as-Judge (HASIL: BENAR/SALAH)</t>
        </is>
      </c>
      <c r="E60" s="3" t="inlineStr">
        <is>
          <t>BENAR</t>
        </is>
      </c>
      <c r="F60" t="inlineStr">
        <is>
          <t>BENAR</t>
        </is>
      </c>
      <c r="G60" s="3" t="inlineStr">
        <is>
          <t>evaluator: ollama/llama3</t>
        </is>
      </c>
    </row>
    <row r="61">
      <c r="A61" t="n">
        <v>5</v>
      </c>
      <c r="B61" t="inlineStr">
        <is>
          <t>A</t>
        </is>
      </c>
      <c r="C61" t="inlineStr">
        <is>
          <t>Precision@K (Pers. 2)</t>
        </is>
      </c>
      <c r="D61" s="3" t="inlineStr">
        <is>
          <t>Precision@K = |{d ∈ TopK : sim(q,d) ≥ θ}| / K</t>
        </is>
      </c>
      <c r="E61" s="3" t="inlineStr">
        <is>
          <t>skor = [0.7281, 0.7063, 0.706, 0.7015, 0.6972, 0.6887] → 6 / 6</t>
        </is>
      </c>
      <c r="F61" t="n">
        <v>1</v>
      </c>
      <c r="G61" s="3" t="inlineStr">
        <is>
          <t>basis: skor chunk nyata (sesuai contoh Pers. 2 skripsi)</t>
        </is>
      </c>
    </row>
    <row r="62">
      <c r="A62" t="n">
        <v>5</v>
      </c>
      <c r="B62" t="inlineStr">
        <is>
          <t>A</t>
        </is>
      </c>
      <c r="C62" t="inlineStr">
        <is>
          <t>Recall@K (Pers. 4)</t>
        </is>
      </c>
      <c r="D62" s="3" t="inlineStr">
        <is>
          <t>Recall@K = |{kata kunci ditemukan : sim ≥ θ}| / |R|</t>
        </is>
      </c>
      <c r="E62" s="3" t="inlineStr">
        <is>
          <t>skor = [0.673, 0.6156, 0.5237, 0.5175, 0.4277] → 5 / 5</t>
        </is>
      </c>
      <c r="F62" t="n">
        <v>1</v>
      </c>
      <c r="G62" s="3" t="inlineStr"/>
    </row>
    <row r="63">
      <c r="A63" t="n">
        <v>5</v>
      </c>
      <c r="B63" t="inlineStr">
        <is>
          <t>A</t>
        </is>
      </c>
      <c r="C63" t="inlineStr">
        <is>
          <t>Mean Similarity (Pers. 6)</t>
        </is>
      </c>
      <c r="D63" s="3" t="inlineStr">
        <is>
          <t>MeanSim = (1/K) × Σ sim(q, dᵢ)</t>
        </is>
      </c>
      <c r="E63" s="3" t="inlineStr">
        <is>
          <t>skor = [0.7281, 0.7063, 0.706, 0.7015, 0.6972, 0.6887] → (0.7281 + 0.7063 + 0.7060 + 0.7015 + 0.6972 + 0.6887) / 6</t>
        </is>
      </c>
      <c r="F63" t="n">
        <v>0.7046</v>
      </c>
      <c r="G63" s="3" t="inlineStr"/>
    </row>
    <row r="64">
      <c r="A64" t="n">
        <v>5</v>
      </c>
      <c r="B64" t="inlineStr">
        <is>
          <t>A</t>
        </is>
      </c>
      <c r="C64" t="inlineStr">
        <is>
          <t>Coverage (Pers. 8)</t>
        </is>
      </c>
      <c r="D64" s="3" t="inlineStr">
        <is>
          <t>Coverage = |{dᵢ ∈ TopK : sim(q,dᵢ) ≥ θc}| / K</t>
        </is>
      </c>
      <c r="E64" s="3" t="inlineStr">
        <is>
          <t>skor = [0.7281, 0.7063, 0.706, 0.7015, 0.6972, 0.6887] → 6 / 6</t>
        </is>
      </c>
      <c r="F64" t="n">
        <v>1</v>
      </c>
      <c r="G64" s="3" t="inlineStr"/>
    </row>
    <row r="65">
      <c r="A65" t="n">
        <v>5</v>
      </c>
      <c r="B65" t="inlineStr">
        <is>
          <t>A</t>
        </is>
      </c>
      <c r="C65" t="inlineStr">
        <is>
          <t>Source Diversity (Pers. 10)</t>
        </is>
      </c>
      <c r="D65" s="3" t="inlineStr">
        <is>
          <t>Diversity = |sumber unik dalam TopK| / K</t>
        </is>
      </c>
      <c r="E65" s="3" t="inlineStr">
        <is>
          <t>skor = ['GT_CT01.txt', 'GT_CT02.txt', 'GT_DETAIL_PT01_Pendahuluan.txt', 'GT_DETAIL_PT02_ICT_Literacy_Ethics.txt'] → 4 / 6</t>
        </is>
      </c>
      <c r="F65" t="n">
        <v>0.6667</v>
      </c>
      <c r="G65" s="3" t="inlineStr">
        <is>
          <t>file unik: GT_CT01.txt, GT_CT02.txt, GT_DETAIL_PT01_Pendahuluan.txt, GT_DETAIL_PT02_ICT_Literacy_Ethics.txt</t>
        </is>
      </c>
    </row>
    <row r="66">
      <c r="A66" t="n">
        <v>5</v>
      </c>
      <c r="B66" t="inlineStr">
        <is>
          <t>A</t>
        </is>
      </c>
      <c r="C66" t="inlineStr">
        <is>
          <t>Faithfulness (Pers. 15)</t>
        </is>
      </c>
      <c r="D66" s="3" t="inlineStr">
        <is>
          <t>F = 0,70×Entailment + 0,30×KWoverlap</t>
        </is>
      </c>
      <c r="E66" s="3" t="inlineStr">
        <is>
          <t>Faithfulness = 0,70×Entailment + 0,30×KWoverlap = 0,70×1.0000 + 0,30×0.2612 = 0.7784  (entailment: 6/6 klaim didukung; KWoverlap = (|∩|/|ctx|)^0,65 = (44/347)^0,65 = 0.1268^0,65 = 0.2612)</t>
        </is>
      </c>
      <c r="F66" t="n">
        <v>0.7784</v>
      </c>
      <c r="G66" s="3" t="inlineStr">
        <is>
          <t>metode: llm_entailment + keyword</t>
        </is>
      </c>
    </row>
    <row r="67">
      <c r="A67" t="n">
        <v>5</v>
      </c>
      <c r="B67" t="inlineStr">
        <is>
          <t>A</t>
        </is>
      </c>
      <c r="C67" t="inlineStr">
        <is>
          <t>— Entailment (Pers. 12-13)</t>
        </is>
      </c>
      <c r="D67" s="3" t="inlineStr">
        <is>
          <t>Entailment = Σverdict(sᵢ)/m</t>
        </is>
      </c>
      <c r="E67" s="3" t="inlineStr">
        <is>
          <t>6 klaim YA dari 6 klaim dievaluasi</t>
        </is>
      </c>
      <c r="F67" t="n">
        <v>1</v>
      </c>
      <c r="G67" s="3" t="inlineStr">
        <is>
          <t>verdict per klaim: sheet 'Entailment Detail'</t>
        </is>
      </c>
    </row>
    <row r="68">
      <c r="A68" t="n">
        <v>5</v>
      </c>
      <c r="B68" t="inlineStr">
        <is>
          <t>A</t>
        </is>
      </c>
      <c r="C68" t="inlineStr">
        <is>
          <t>— Keyword Overlap (Pers. 14)</t>
        </is>
      </c>
      <c r="D68" s="3" t="inlineStr">
        <is>
          <t>KWoverlap = (|Stems(ans)∩Stems(ctx)| / |Stems(ctx)|)^0,65</t>
        </is>
      </c>
      <c r="E68" s="3" t="inlineStr">
        <is>
          <t>KWoverlap = (|∩|/|ctx|)^0,65 = (44/347)^0,65 = 0.1268^0,65 = 0.2612</t>
        </is>
      </c>
      <c r="F68" t="n">
        <v>0.2612</v>
      </c>
      <c r="G68" s="3" t="inlineStr"/>
    </row>
    <row r="69">
      <c r="A69" t="n">
        <v>5</v>
      </c>
      <c r="B69" t="inlineStr">
        <is>
          <t>A</t>
        </is>
      </c>
      <c r="C69" t="inlineStr">
        <is>
          <t>Hallucination Risk (Pers. 18)</t>
        </is>
      </c>
      <c r="D69" s="3" t="inlineStr">
        <is>
          <t>Risk = 0,65×(1-F) + 0,20×Contradiction + 0,15×Uncertainty</t>
        </is>
      </c>
      <c r="E69" s="3" t="inlineStr">
        <is>
          <t>Risk = 0,65×OutOfContext + 0,20×Contradiction + 0,15×Uncertainty = 0,65×0.2216 + 0,20×0.0000 + 0,15×0.20 = 0.1740 [RENDAH]</t>
        </is>
      </c>
      <c r="F69" t="n">
        <v>0.174</v>
      </c>
      <c r="G69" s="3" t="inlineStr">
        <is>
          <t>label: RENDAH; kontradiksi 0/11 kalimat; uncertainty flag: True</t>
        </is>
      </c>
    </row>
    <row r="70">
      <c r="A70" t="n">
        <v>5</v>
      </c>
      <c r="B70" t="inlineStr">
        <is>
          <t>B</t>
        </is>
      </c>
      <c r="C70" t="inlineStr">
        <is>
          <t>Faithfulness (Pers. 15)</t>
        </is>
      </c>
      <c r="D70" s="3" t="inlineStr">
        <is>
          <t>F = 0,70×Entailment + 0,30×KWoverlap</t>
        </is>
      </c>
      <c r="E70" s="3" t="inlineStr">
        <is>
          <t>Faithfulness = 0,70×Entailment + 0,30×KWoverlap = 0,70×0.8333 + 0,30×0.1762 = 0.6362  (entailment: 5/6 klaim didukung; KWoverlap = (|∩|/|ctx|)^0,65 = (24/347)^0,65 = 0.0692^0,65 = 0.1762)</t>
        </is>
      </c>
      <c r="F70" t="n">
        <v>0.6362</v>
      </c>
      <c r="G70" s="3" t="inlineStr">
        <is>
          <t>metode: llm_entailment + keyword</t>
        </is>
      </c>
    </row>
    <row r="71">
      <c r="A71" t="n">
        <v>5</v>
      </c>
      <c r="B71" t="inlineStr">
        <is>
          <t>B</t>
        </is>
      </c>
      <c r="C71" t="inlineStr">
        <is>
          <t>— Entailment (Pers. 12-13)</t>
        </is>
      </c>
      <c r="D71" s="3" t="inlineStr">
        <is>
          <t>Entailment = Σverdict(sᵢ)/m</t>
        </is>
      </c>
      <c r="E71" s="3" t="inlineStr">
        <is>
          <t>5 klaim YA dari 6 klaim dievaluasi</t>
        </is>
      </c>
      <c r="F71" t="n">
        <v>0.8333</v>
      </c>
      <c r="G71" s="3" t="inlineStr">
        <is>
          <t>verdict per klaim: sheet 'Entailment Detail'</t>
        </is>
      </c>
    </row>
    <row r="72">
      <c r="A72" t="n">
        <v>5</v>
      </c>
      <c r="B72" t="inlineStr">
        <is>
          <t>B</t>
        </is>
      </c>
      <c r="C72" t="inlineStr">
        <is>
          <t>— Keyword Overlap (Pers. 14)</t>
        </is>
      </c>
      <c r="D72" s="3" t="inlineStr">
        <is>
          <t>KWoverlap = (|Stems(ans)∩Stems(ctx)| / |Stems(ctx)|)^0,65</t>
        </is>
      </c>
      <c r="E72" s="3" t="inlineStr">
        <is>
          <t>KWoverlap = (|∩|/|ctx|)^0,65 = (24/347)^0,65 = 0.0692^0,65 = 0.1762</t>
        </is>
      </c>
      <c r="F72" t="n">
        <v>0.1762</v>
      </c>
      <c r="G72" s="3" t="inlineStr"/>
    </row>
    <row r="73">
      <c r="A73" t="n">
        <v>5</v>
      </c>
      <c r="B73" t="inlineStr">
        <is>
          <t>B</t>
        </is>
      </c>
      <c r="C73" t="inlineStr">
        <is>
          <t>Hallucination Risk (Pers. 18)</t>
        </is>
      </c>
      <c r="D73" s="3" t="inlineStr">
        <is>
          <t>Risk = 0,65×(1-F) + 0,20×Contradiction + 0,15×Uncertainty</t>
        </is>
      </c>
      <c r="E73" s="3" t="inlineStr">
        <is>
          <t>Risk = 0,65×OutOfContext + 0,20×Contradiction + 0,15×Uncertainty = 0,65×0.3638 + 0,20×0.0000 + 0,15×0.20 = 0.2665 [RENDAH]</t>
        </is>
      </c>
      <c r="F73" t="n">
        <v>0.2665</v>
      </c>
      <c r="G73" s="3" t="inlineStr">
        <is>
          <t>label: RENDAH; kontradiksi 0/15 kalimat; uncertainty flag: True</t>
        </is>
      </c>
    </row>
    <row r="74">
      <c r="A74" t="n">
        <v>5</v>
      </c>
      <c r="B74" t="inlineStr">
        <is>
          <t>B</t>
        </is>
      </c>
      <c r="C74" t="inlineStr">
        <is>
          <t>Answer Accuracy (Pers. 20)</t>
        </is>
      </c>
      <c r="D74" s="3" t="inlineStr">
        <is>
          <t>Correctᵢ ∈ {0,1} via LLM-as-Judge (HASIL: BENAR/SALAH)</t>
        </is>
      </c>
      <c r="E74" s="3" t="inlineStr">
        <is>
          <t>BENAR</t>
        </is>
      </c>
      <c r="F74" t="inlineStr">
        <is>
          <t>BENAR</t>
        </is>
      </c>
      <c r="G74" s="3" t="inlineStr">
        <is>
          <t>evaluator: ollama/llama3</t>
        </is>
      </c>
    </row>
    <row r="75">
      <c r="A75" t="n">
        <v>6</v>
      </c>
      <c r="B75" t="inlineStr">
        <is>
          <t>A</t>
        </is>
      </c>
      <c r="C75" t="inlineStr">
        <is>
          <t>Precision@K (Pers. 2)</t>
        </is>
      </c>
      <c r="D75" s="3" t="inlineStr">
        <is>
          <t>Precision@K = |{d ∈ TopK : sim(q,d) ≥ θ}| / K</t>
        </is>
      </c>
      <c r="E75" s="3" t="inlineStr">
        <is>
          <t>skor = [0.7719, 0.7371, 0.7328, 0.7327, 0.7233, 0.7213] → 6 / 6</t>
        </is>
      </c>
      <c r="F75" t="n">
        <v>1</v>
      </c>
      <c r="G75" s="3" t="inlineStr">
        <is>
          <t>basis: skor chunk nyata (sesuai contoh Pers. 2 skripsi)</t>
        </is>
      </c>
    </row>
    <row r="76">
      <c r="A76" t="n">
        <v>6</v>
      </c>
      <c r="B76" t="inlineStr">
        <is>
          <t>A</t>
        </is>
      </c>
      <c r="C76" t="inlineStr">
        <is>
          <t>Recall@K (Pers. 4)</t>
        </is>
      </c>
      <c r="D76" s="3" t="inlineStr">
        <is>
          <t>Recall@K = |{kata kunci ditemukan : sim ≥ θ}| / |R|</t>
        </is>
      </c>
      <c r="E76" s="3" t="inlineStr">
        <is>
          <t>skor = [0.6465, 0.5978, 0.5445, 0.4757, 0.458] → 5 / 5</t>
        </is>
      </c>
      <c r="F76" t="n">
        <v>1</v>
      </c>
      <c r="G76" s="3" t="inlineStr"/>
    </row>
    <row r="77">
      <c r="A77" t="n">
        <v>6</v>
      </c>
      <c r="B77" t="inlineStr">
        <is>
          <t>A</t>
        </is>
      </c>
      <c r="C77" t="inlineStr">
        <is>
          <t>Mean Similarity (Pers. 6)</t>
        </is>
      </c>
      <c r="D77" s="3" t="inlineStr">
        <is>
          <t>MeanSim = (1/K) × Σ sim(q, dᵢ)</t>
        </is>
      </c>
      <c r="E77" s="3" t="inlineStr">
        <is>
          <t>skor = [0.7719, 0.7371, 0.7328, 0.7327, 0.7233, 0.7213] → (0.7719 + 0.7371 + 0.7328 + 0.7327 + 0.7233 + 0.7213) / 6</t>
        </is>
      </c>
      <c r="F77" t="n">
        <v>0.7365</v>
      </c>
      <c r="G77" s="3" t="inlineStr"/>
    </row>
    <row r="78">
      <c r="A78" t="n">
        <v>6</v>
      </c>
      <c r="B78" t="inlineStr">
        <is>
          <t>A</t>
        </is>
      </c>
      <c r="C78" t="inlineStr">
        <is>
          <t>Coverage (Pers. 8)</t>
        </is>
      </c>
      <c r="D78" s="3" t="inlineStr">
        <is>
          <t>Coverage = |{dᵢ ∈ TopK : sim(q,dᵢ) ≥ θc}| / K</t>
        </is>
      </c>
      <c r="E78" s="3" t="inlineStr">
        <is>
          <t>skor = [0.7719, 0.7371, 0.7328, 0.7327, 0.7233, 0.7213] → 6 / 6</t>
        </is>
      </c>
      <c r="F78" t="n">
        <v>1</v>
      </c>
      <c r="G78" s="3" t="inlineStr"/>
    </row>
    <row r="79">
      <c r="A79" t="n">
        <v>6</v>
      </c>
      <c r="B79" t="inlineStr">
        <is>
          <t>A</t>
        </is>
      </c>
      <c r="C79" t="inlineStr">
        <is>
          <t>Source Diversity (Pers. 10)</t>
        </is>
      </c>
      <c r="D79" s="3" t="inlineStr">
        <is>
          <t>Diversity = |sumber unik dalam TopK| / K</t>
        </is>
      </c>
      <c r="E79" s="3" t="inlineStr">
        <is>
          <t>skor = ['GT_CT01.txt', 'GT_CT07.txt', 'GT_CT09.txt', 'GT_DETAIL_PT01_Pendahuluan.txt'] → 4 / 6</t>
        </is>
      </c>
      <c r="F79" t="n">
        <v>0.6667</v>
      </c>
      <c r="G79" s="3" t="inlineStr">
        <is>
          <t>file unik: GT_CT01.txt, GT_CT07.txt, GT_CT09.txt, GT_DETAIL_PT01_Pendahuluan.txt</t>
        </is>
      </c>
    </row>
    <row r="80">
      <c r="A80" t="n">
        <v>6</v>
      </c>
      <c r="B80" t="inlineStr">
        <is>
          <t>A</t>
        </is>
      </c>
      <c r="C80" t="inlineStr">
        <is>
          <t>Faithfulness (Pers. 15)</t>
        </is>
      </c>
      <c r="D80" s="3" t="inlineStr">
        <is>
          <t>F = 0,70×Entailment + 0,30×KWoverlap</t>
        </is>
      </c>
      <c r="E80" s="3" t="inlineStr">
        <is>
          <t>Faithfulness = 0,70×Entailment + 0,30×KWoverlap = 0,70×0.6667 + 0,30×0.1970 = 0.5258  (entailment: 4/6 klaim didukung; KWoverlap = (|∩|/|ctx|)^0,65 = (28/341)^0,65 = 0.0821^0,65 = 0.1970)</t>
        </is>
      </c>
      <c r="F80" t="n">
        <v>0.5258</v>
      </c>
      <c r="G80" s="3" t="inlineStr">
        <is>
          <t>metode: llm_entailment + keyword</t>
        </is>
      </c>
    </row>
    <row r="81">
      <c r="A81" t="n">
        <v>6</v>
      </c>
      <c r="B81" t="inlineStr">
        <is>
          <t>A</t>
        </is>
      </c>
      <c r="C81" t="inlineStr">
        <is>
          <t>— Entailment (Pers. 12-13)</t>
        </is>
      </c>
      <c r="D81" s="3" t="inlineStr">
        <is>
          <t>Entailment = Σverdict(sᵢ)/m</t>
        </is>
      </c>
      <c r="E81" s="3" t="inlineStr">
        <is>
          <t>4 klaim YA dari 6 klaim dievaluasi</t>
        </is>
      </c>
      <c r="F81" t="n">
        <v>0.6667</v>
      </c>
      <c r="G81" s="3" t="inlineStr">
        <is>
          <t>verdict per klaim: sheet 'Entailment Detail'</t>
        </is>
      </c>
    </row>
    <row r="82">
      <c r="A82" t="n">
        <v>6</v>
      </c>
      <c r="B82" t="inlineStr">
        <is>
          <t>A</t>
        </is>
      </c>
      <c r="C82" t="inlineStr">
        <is>
          <t>— Keyword Overlap (Pers. 14)</t>
        </is>
      </c>
      <c r="D82" s="3" t="inlineStr">
        <is>
          <t>KWoverlap = (|Stems(ans)∩Stems(ctx)| / |Stems(ctx)|)^0,65</t>
        </is>
      </c>
      <c r="E82" s="3" t="inlineStr">
        <is>
          <t>KWoverlap = (|∩|/|ctx|)^0,65 = (28/341)^0,65 = 0.0821^0,65 = 0.1970</t>
        </is>
      </c>
      <c r="F82" t="n">
        <v>0.197</v>
      </c>
      <c r="G82" s="3" t="inlineStr"/>
    </row>
    <row r="83">
      <c r="A83" t="n">
        <v>6</v>
      </c>
      <c r="B83" t="inlineStr">
        <is>
          <t>A</t>
        </is>
      </c>
      <c r="C83" t="inlineStr">
        <is>
          <t>Hallucination Risk (Pers. 18)</t>
        </is>
      </c>
      <c r="D83" s="3" t="inlineStr">
        <is>
          <t>Risk = 0,65×(1-F) + 0,20×Contradiction + 0,15×Uncertainty</t>
        </is>
      </c>
      <c r="E83" s="3" t="inlineStr">
        <is>
          <t>Risk = 0,65×OutOfContext + 0,20×Contradiction + 0,15×Uncertainty = 0,65×0.4742 + 0,20×0.0000 + 0,15×0.00 = 0.3082 [RENDAH]</t>
        </is>
      </c>
      <c r="F83" t="n">
        <v>0.3082</v>
      </c>
      <c r="G83" s="3" t="inlineStr">
        <is>
          <t>label: RENDAH; kontradiksi 0/6 kalimat; uncertainty flag: False</t>
        </is>
      </c>
    </row>
    <row r="84">
      <c r="A84" t="n">
        <v>6</v>
      </c>
      <c r="B84" t="inlineStr">
        <is>
          <t>A</t>
        </is>
      </c>
      <c r="C84" t="inlineStr">
        <is>
          <t>Answer Accuracy (Pers. 20)</t>
        </is>
      </c>
      <c r="D84" s="3" t="inlineStr">
        <is>
          <t>Correctᵢ ∈ {0,1} via LLM-as-Judge (HASIL: BENAR/SALAH)</t>
        </is>
      </c>
      <c r="E84" s="3" t="inlineStr">
        <is>
          <t>BENAR
Alasan: Jawaban sistem menjawab pertanyaan dengan benar karena referensi (dokumen materi GT) hanya memberikan informasi tentang dua istilah tersebut tanpa menjelaskan perbedaan yang signifikan antara keduanya. Dalam jawaban, sistem menggunakan istilah teknis yang ada dalam materi referensi dan menjawab pertanyaan dengan cara yang sesuai dengan konteks.</t>
        </is>
      </c>
      <c r="F84" t="inlineStr">
        <is>
          <t>BENAR</t>
        </is>
      </c>
      <c r="G84" s="3" t="inlineStr">
        <is>
          <t>evaluator: ollama/llama3</t>
        </is>
      </c>
    </row>
    <row r="85">
      <c r="A85" t="n">
        <v>6</v>
      </c>
      <c r="B85" t="inlineStr">
        <is>
          <t>B</t>
        </is>
      </c>
      <c r="C85" t="inlineStr">
        <is>
          <t>Faithfulness (Pers. 15)</t>
        </is>
      </c>
      <c r="D85" s="3" t="inlineStr">
        <is>
          <t>F = 0,70×Entailment + 0,30×KWoverlap</t>
        </is>
      </c>
      <c r="E85" s="3" t="inlineStr">
        <is>
          <t>Faithfulness = 0,70×Entailment + 0,30×KWoverlap = 0,70×0.6667 + 0,30×0.1970 = 0.5258  (entailment: 4/6 klaim didukung; KWoverlap = (|∩|/|ctx|)^0,65 = (28/341)^0,65 = 0.0821^0,65 = 0.1970)</t>
        </is>
      </c>
      <c r="F85" t="n">
        <v>0.5258</v>
      </c>
      <c r="G85" s="3" t="inlineStr">
        <is>
          <t>metode: llm_entailment + keyword</t>
        </is>
      </c>
    </row>
    <row r="86">
      <c r="A86" t="n">
        <v>6</v>
      </c>
      <c r="B86" t="inlineStr">
        <is>
          <t>B</t>
        </is>
      </c>
      <c r="C86" t="inlineStr">
        <is>
          <t>— Entailment (Pers. 12-13)</t>
        </is>
      </c>
      <c r="D86" s="3" t="inlineStr">
        <is>
          <t>Entailment = Σverdict(sᵢ)/m</t>
        </is>
      </c>
      <c r="E86" s="3" t="inlineStr">
        <is>
          <t>4 klaim YA dari 6 klaim dievaluasi</t>
        </is>
      </c>
      <c r="F86" t="n">
        <v>0.6667</v>
      </c>
      <c r="G86" s="3" t="inlineStr">
        <is>
          <t>verdict per klaim: sheet 'Entailment Detail'</t>
        </is>
      </c>
    </row>
    <row r="87">
      <c r="A87" t="n">
        <v>6</v>
      </c>
      <c r="B87" t="inlineStr">
        <is>
          <t>B</t>
        </is>
      </c>
      <c r="C87" t="inlineStr">
        <is>
          <t>— Keyword Overlap (Pers. 14)</t>
        </is>
      </c>
      <c r="D87" s="3" t="inlineStr">
        <is>
          <t>KWoverlap = (|Stems(ans)∩Stems(ctx)| / |Stems(ctx)|)^0,65</t>
        </is>
      </c>
      <c r="E87" s="3" t="inlineStr">
        <is>
          <t>KWoverlap = (|∩|/|ctx|)^0,65 = (28/341)^0,65 = 0.0821^0,65 = 0.1970</t>
        </is>
      </c>
      <c r="F87" t="n">
        <v>0.197</v>
      </c>
      <c r="G87" s="3" t="inlineStr"/>
    </row>
    <row r="88">
      <c r="A88" t="n">
        <v>6</v>
      </c>
      <c r="B88" t="inlineStr">
        <is>
          <t>B</t>
        </is>
      </c>
      <c r="C88" t="inlineStr">
        <is>
          <t>Hallucination Risk (Pers. 18)</t>
        </is>
      </c>
      <c r="D88" s="3" t="inlineStr">
        <is>
          <t>Risk = 0,65×(1-F) + 0,20×Contradiction + 0,15×Uncertainty</t>
        </is>
      </c>
      <c r="E88" s="3" t="inlineStr">
        <is>
          <t>Risk = 0,65×OutOfContext + 0,20×Contradiction + 0,15×Uncertainty = 0,65×0.4742 + 0,20×0.0000 + 0,15×0.00 = 0.3082 [RENDAH]</t>
        </is>
      </c>
      <c r="F88" t="n">
        <v>0.3082</v>
      </c>
      <c r="G88" s="3" t="inlineStr">
        <is>
          <t>label: RENDAH; kontradiksi 0/9 kalimat; uncertainty flag: False</t>
        </is>
      </c>
    </row>
    <row r="89">
      <c r="A89" t="n">
        <v>6</v>
      </c>
      <c r="B89" t="inlineStr">
        <is>
          <t>B</t>
        </is>
      </c>
      <c r="C89" t="inlineStr">
        <is>
          <t>Answer Accuracy (Pers. 20)</t>
        </is>
      </c>
      <c r="D89" s="3" t="inlineStr">
        <is>
          <t>Correctᵢ ∈ {0,1} via LLM-as-Judge (HASIL: BENAR/SALAH)</t>
        </is>
      </c>
      <c r="E89" s="3" t="inlineStr"/>
      <c r="F89" t="inlineStr">
        <is>
          <t>BENAR</t>
        </is>
      </c>
      <c r="G89" s="3" t="inlineStr">
        <is>
          <t>evaluator: ollama/llama3</t>
        </is>
      </c>
    </row>
    <row r="90">
      <c r="A90" t="n">
        <v>7</v>
      </c>
      <c r="B90" t="inlineStr">
        <is>
          <t>A</t>
        </is>
      </c>
      <c r="C90" t="inlineStr">
        <is>
          <t>Precision@K (Pers. 2)</t>
        </is>
      </c>
      <c r="D90" s="3" t="inlineStr">
        <is>
          <t>Precision@K = |{d ∈ TopK : sim(q,d) ≥ θ}| / K</t>
        </is>
      </c>
      <c r="E90" s="3" t="inlineStr">
        <is>
          <t>skor = [0.7667, 0.7634, 0.744, 0.7404, 0.7339, 0.7304] → 6 / 6</t>
        </is>
      </c>
      <c r="F90" t="n">
        <v>1</v>
      </c>
      <c r="G90" s="3" t="inlineStr">
        <is>
          <t>basis: skor chunk nyata (sesuai contoh Pers. 2 skripsi)</t>
        </is>
      </c>
    </row>
    <row r="91">
      <c r="A91" t="n">
        <v>7</v>
      </c>
      <c r="B91" t="inlineStr">
        <is>
          <t>A</t>
        </is>
      </c>
      <c r="C91" t="inlineStr">
        <is>
          <t>Recall@K (Pers. 4)</t>
        </is>
      </c>
      <c r="D91" s="3" t="inlineStr">
        <is>
          <t>Recall@K = |{kata kunci ditemukan : sim ≥ θ}| / |R|</t>
        </is>
      </c>
      <c r="E91" s="3" t="inlineStr">
        <is>
          <t>skor = [0.5992, 0.5918, 0.444, 0.4397, 0.3399] → 5 / 5</t>
        </is>
      </c>
      <c r="F91" t="n">
        <v>1</v>
      </c>
      <c r="G91" s="3" t="inlineStr"/>
    </row>
    <row r="92">
      <c r="A92" t="n">
        <v>7</v>
      </c>
      <c r="B92" t="inlineStr">
        <is>
          <t>A</t>
        </is>
      </c>
      <c r="C92" t="inlineStr">
        <is>
          <t>Mean Similarity (Pers. 6)</t>
        </is>
      </c>
      <c r="D92" s="3" t="inlineStr">
        <is>
          <t>MeanSim = (1/K) × Σ sim(q, dᵢ)</t>
        </is>
      </c>
      <c r="E92" s="3" t="inlineStr">
        <is>
          <t>skor = [0.7667, 0.7634, 0.744, 0.7404, 0.7339, 0.7304] → (0.7667 + 0.7634 + 0.7440 + 0.7404 + 0.7339 + 0.7304) / 6</t>
        </is>
      </c>
      <c r="F92" t="n">
        <v>0.7465000000000001</v>
      </c>
      <c r="G92" s="3" t="inlineStr"/>
    </row>
    <row r="93">
      <c r="A93" t="n">
        <v>7</v>
      </c>
      <c r="B93" t="inlineStr">
        <is>
          <t>A</t>
        </is>
      </c>
      <c r="C93" t="inlineStr">
        <is>
          <t>Coverage (Pers. 8)</t>
        </is>
      </c>
      <c r="D93" s="3" t="inlineStr">
        <is>
          <t>Coverage = |{dᵢ ∈ TopK : sim(q,dᵢ) ≥ θc}| / K</t>
        </is>
      </c>
      <c r="E93" s="3" t="inlineStr">
        <is>
          <t>skor = [0.7667, 0.7634, 0.744, 0.7404, 0.7339, 0.7304] → 6 / 6</t>
        </is>
      </c>
      <c r="F93" t="n">
        <v>1</v>
      </c>
      <c r="G93" s="3" t="inlineStr"/>
    </row>
    <row r="94">
      <c r="A94" t="n">
        <v>7</v>
      </c>
      <c r="B94" t="inlineStr">
        <is>
          <t>A</t>
        </is>
      </c>
      <c r="C94" t="inlineStr">
        <is>
          <t>Source Diversity (Pers. 10)</t>
        </is>
      </c>
      <c r="D94" s="3" t="inlineStr">
        <is>
          <t>Diversity = |sumber unik dalam TopK| / K</t>
        </is>
      </c>
      <c r="E94" s="3" t="inlineStr">
        <is>
          <t>skor = ['GT_CT02.txt', 'GT_DETAIL_PT01_Pendahuluan.txt', 'GT_DETAIL_PT02_ICT_Literacy_Ethics.txt', 'GT_SUBTOPIK_02_Abstraksi_Formulasi.txt'] → 4 / 6</t>
        </is>
      </c>
      <c r="F94" t="n">
        <v>0.6667</v>
      </c>
      <c r="G94" s="3" t="inlineStr">
        <is>
          <t>file unik: GT_CT02.txt, GT_DETAIL_PT01_Pendahuluan.txt, GT_DETAIL_PT02_ICT_Literacy_Ethics.txt, GT_SUBTOPIK_02_Abstraksi_Formulasi.txt</t>
        </is>
      </c>
    </row>
    <row r="95">
      <c r="A95" t="n">
        <v>7</v>
      </c>
      <c r="B95" t="inlineStr">
        <is>
          <t>A</t>
        </is>
      </c>
      <c r="C95" t="inlineStr">
        <is>
          <t>Faithfulness (Pers. 15)</t>
        </is>
      </c>
      <c r="D95" s="3" t="inlineStr">
        <is>
          <t>F = 0,70×Entailment + 0,30×KWoverlap</t>
        </is>
      </c>
      <c r="E95" s="3" t="inlineStr">
        <is>
          <t>Faithfulness = 0,70×Entailment + 0,30×KWoverlap = 0,70×1.0000 + 0,30×0.2159 = 0.7648  (entailment: 6/6 klaim didukung; KWoverlap = (|∩|/|ctx|)^0,65 = (35/370)^0,65 = 0.0946^0,65 = 0.2159)</t>
        </is>
      </c>
      <c r="F95" t="n">
        <v>0.7648</v>
      </c>
      <c r="G95" s="3" t="inlineStr">
        <is>
          <t>metode: llm_entailment + keyword</t>
        </is>
      </c>
    </row>
    <row r="96">
      <c r="A96" t="n">
        <v>7</v>
      </c>
      <c r="B96" t="inlineStr">
        <is>
          <t>A</t>
        </is>
      </c>
      <c r="C96" t="inlineStr">
        <is>
          <t>— Entailment (Pers. 12-13)</t>
        </is>
      </c>
      <c r="D96" s="3" t="inlineStr">
        <is>
          <t>Entailment = Σverdict(sᵢ)/m</t>
        </is>
      </c>
      <c r="E96" s="3" t="inlineStr">
        <is>
          <t>6 klaim YA dari 6 klaim dievaluasi</t>
        </is>
      </c>
      <c r="F96" t="n">
        <v>1</v>
      </c>
      <c r="G96" s="3" t="inlineStr">
        <is>
          <t>verdict per klaim: sheet 'Entailment Detail'</t>
        </is>
      </c>
    </row>
    <row r="97">
      <c r="A97" t="n">
        <v>7</v>
      </c>
      <c r="B97" t="inlineStr">
        <is>
          <t>A</t>
        </is>
      </c>
      <c r="C97" t="inlineStr">
        <is>
          <t>— Keyword Overlap (Pers. 14)</t>
        </is>
      </c>
      <c r="D97" s="3" t="inlineStr">
        <is>
          <t>KWoverlap = (|Stems(ans)∩Stems(ctx)| / |Stems(ctx)|)^0,65</t>
        </is>
      </c>
      <c r="E97" s="3" t="inlineStr">
        <is>
          <t>KWoverlap = (|∩|/|ctx|)^0,65 = (35/370)^0,65 = 0.0946^0,65 = 0.2159</t>
        </is>
      </c>
      <c r="F97" t="n">
        <v>0.2159</v>
      </c>
      <c r="G97" s="3" t="inlineStr"/>
    </row>
    <row r="98">
      <c r="A98" t="n">
        <v>7</v>
      </c>
      <c r="B98" t="inlineStr">
        <is>
          <t>A</t>
        </is>
      </c>
      <c r="C98" t="inlineStr">
        <is>
          <t>Hallucination Risk (Pers. 18)</t>
        </is>
      </c>
      <c r="D98" s="3" t="inlineStr">
        <is>
          <t>Risk = 0,65×(1-F) + 0,20×Contradiction + 0,15×Uncertainty</t>
        </is>
      </c>
      <c r="E98" s="3" t="inlineStr">
        <is>
          <t>Risk = 0,65×OutOfContext + 0,20×Contradiction + 0,15×Uncertainty = 0,65×0.2352 + 0,20×0.0000 + 0,15×0.00 = 0.1529 [RENDAH]</t>
        </is>
      </c>
      <c r="F98" t="n">
        <v>0.1529</v>
      </c>
      <c r="G98" s="3" t="inlineStr">
        <is>
          <t>label: RENDAH; kontradiksi 0/9 kalimat; uncertainty flag: False</t>
        </is>
      </c>
    </row>
    <row r="99">
      <c r="A99" t="n">
        <v>7</v>
      </c>
      <c r="B99" t="inlineStr">
        <is>
          <t>A</t>
        </is>
      </c>
      <c r="C99" t="inlineStr">
        <is>
          <t>Answer Accuracy (Pers. 20)</t>
        </is>
      </c>
      <c r="D99" s="3" t="inlineStr">
        <is>
          <t>Correctᵢ ∈ {0,1} via LLM-as-Judge (HASIL: BENAR/SALAH)</t>
        </is>
      </c>
      <c r="E99" s="3" t="inlineStr"/>
      <c r="F99" t="inlineStr">
        <is>
          <t>BENAR</t>
        </is>
      </c>
      <c r="G99" s="3" t="inlineStr">
        <is>
          <t>evaluator: ollama/llama3</t>
        </is>
      </c>
    </row>
    <row r="100">
      <c r="A100" t="n">
        <v>7</v>
      </c>
      <c r="B100" t="inlineStr">
        <is>
          <t>B</t>
        </is>
      </c>
      <c r="C100" t="inlineStr">
        <is>
          <t>Faithfulness (Pers. 15)</t>
        </is>
      </c>
      <c r="D100" s="3" t="inlineStr">
        <is>
          <t>F = 0,70×Entailment + 0,30×KWoverlap</t>
        </is>
      </c>
      <c r="E100" s="3" t="inlineStr">
        <is>
          <t>Faithfulness = 0,70×Entailment + 0,30×KWoverlap = 0,70×1.0000 + 0,30×0.2037 = 0.7611  (entailment: 6/6 klaim didukung; KWoverlap = (|∩|/|ctx|)^0,65 = (32/370)^0,65 = 0.0865^0,65 = 0.2037)</t>
        </is>
      </c>
      <c r="F100" t="n">
        <v>0.7611</v>
      </c>
      <c r="G100" s="3" t="inlineStr">
        <is>
          <t>metode: llm_entailment + keyword</t>
        </is>
      </c>
    </row>
    <row r="101">
      <c r="A101" t="n">
        <v>7</v>
      </c>
      <c r="B101" t="inlineStr">
        <is>
          <t>B</t>
        </is>
      </c>
      <c r="C101" t="inlineStr">
        <is>
          <t>— Entailment (Pers. 12-13)</t>
        </is>
      </c>
      <c r="D101" s="3" t="inlineStr">
        <is>
          <t>Entailment = Σverdict(sᵢ)/m</t>
        </is>
      </c>
      <c r="E101" s="3" t="inlineStr">
        <is>
          <t>6 klaim YA dari 6 klaim dievaluasi</t>
        </is>
      </c>
      <c r="F101" t="n">
        <v>1</v>
      </c>
      <c r="G101" s="3" t="inlineStr">
        <is>
          <t>verdict per klaim: sheet 'Entailment Detail'</t>
        </is>
      </c>
    </row>
    <row r="102">
      <c r="A102" t="n">
        <v>7</v>
      </c>
      <c r="B102" t="inlineStr">
        <is>
          <t>B</t>
        </is>
      </c>
      <c r="C102" t="inlineStr">
        <is>
          <t>— Keyword Overlap (Pers. 14)</t>
        </is>
      </c>
      <c r="D102" s="3" t="inlineStr">
        <is>
          <t>KWoverlap = (|Stems(ans)∩Stems(ctx)| / |Stems(ctx)|)^0,65</t>
        </is>
      </c>
      <c r="E102" s="3" t="inlineStr">
        <is>
          <t>KWoverlap = (|∩|/|ctx|)^0,65 = (32/370)^0,65 = 0.0865^0,65 = 0.2037</t>
        </is>
      </c>
      <c r="F102" t="n">
        <v>0.2037</v>
      </c>
      <c r="G102" s="3" t="inlineStr"/>
    </row>
    <row r="103">
      <c r="A103" t="n">
        <v>7</v>
      </c>
      <c r="B103" t="inlineStr">
        <is>
          <t>B</t>
        </is>
      </c>
      <c r="C103" t="inlineStr">
        <is>
          <t>Hallucination Risk (Pers. 18)</t>
        </is>
      </c>
      <c r="D103" s="3" t="inlineStr">
        <is>
          <t>Risk = 0,65×(1-F) + 0,20×Contradiction + 0,15×Uncertainty</t>
        </is>
      </c>
      <c r="E103" s="3" t="inlineStr">
        <is>
          <t>Risk = 0,65×OutOfContext + 0,20×Contradiction + 0,15×Uncertainty = 0,65×0.2389 + 0,20×0.0000 + 0,15×0.00 = 0.1553 [RENDAH]</t>
        </is>
      </c>
      <c r="F103" t="n">
        <v>0.1553</v>
      </c>
      <c r="G103" s="3" t="inlineStr">
        <is>
          <t>label: RENDAH; kontradiksi 0/8 kalimat; uncertainty flag: False</t>
        </is>
      </c>
    </row>
    <row r="104">
      <c r="A104" t="n">
        <v>7</v>
      </c>
      <c r="B104" t="inlineStr">
        <is>
          <t>B</t>
        </is>
      </c>
      <c r="C104" t="inlineStr">
        <is>
          <t>Answer Accuracy (Pers. 20)</t>
        </is>
      </c>
      <c r="D104" s="3" t="inlineStr">
        <is>
          <t>Correctᵢ ∈ {0,1} via LLM-as-Judge (HASIL: BENAR/SALAH)</t>
        </is>
      </c>
      <c r="E104" s="3" t="inlineStr"/>
      <c r="F104" t="inlineStr">
        <is>
          <t>BENAR</t>
        </is>
      </c>
      <c r="G104" s="3" t="inlineStr">
        <is>
          <t>evaluator: ollama/llama3</t>
        </is>
      </c>
    </row>
    <row r="105">
      <c r="A105" t="n">
        <v>8</v>
      </c>
      <c r="B105" t="inlineStr">
        <is>
          <t>A</t>
        </is>
      </c>
      <c r="C105" t="inlineStr">
        <is>
          <t>Precision@K (Pers. 2)</t>
        </is>
      </c>
      <c r="D105" s="3" t="inlineStr">
        <is>
          <t>Precision@K = |{d ∈ TopK : sim(q,d) ≥ θ}| / K</t>
        </is>
      </c>
      <c r="E105" s="3" t="inlineStr">
        <is>
          <t>skor = [0.7311, 0.7252, 0.7124, 0.7076, 0.7006, 0.6969] → 6 / 6</t>
        </is>
      </c>
      <c r="F105" t="n">
        <v>1</v>
      </c>
      <c r="G105" s="3" t="inlineStr">
        <is>
          <t>basis: skor chunk nyata (sesuai contoh Pers. 2 skripsi)</t>
        </is>
      </c>
    </row>
    <row r="106">
      <c r="A106" t="n">
        <v>8</v>
      </c>
      <c r="B106" t="inlineStr">
        <is>
          <t>A</t>
        </is>
      </c>
      <c r="C106" t="inlineStr">
        <is>
          <t>Recall@K (Pers. 4)</t>
        </is>
      </c>
      <c r="D106" s="3" t="inlineStr">
        <is>
          <t>Recall@K = |{kata kunci ditemukan : sim ≥ θ}| / |R|</t>
        </is>
      </c>
      <c r="E106" s="3" t="inlineStr">
        <is>
          <t>skor = [0.7074, 0.657, 0.5493, 0.5041, 0.3842] → 5 / 5</t>
        </is>
      </c>
      <c r="F106" t="n">
        <v>1</v>
      </c>
      <c r="G106" s="3" t="inlineStr"/>
    </row>
    <row r="107">
      <c r="A107" t="n">
        <v>8</v>
      </c>
      <c r="B107" t="inlineStr">
        <is>
          <t>A</t>
        </is>
      </c>
      <c r="C107" t="inlineStr">
        <is>
          <t>Mean Similarity (Pers. 6)</t>
        </is>
      </c>
      <c r="D107" s="3" t="inlineStr">
        <is>
          <t>MeanSim = (1/K) × Σ sim(q, dᵢ)</t>
        </is>
      </c>
      <c r="E107" s="3" t="inlineStr">
        <is>
          <t>skor = [0.7311, 0.7252, 0.7124, 0.7076, 0.7006, 0.6969] → (0.7311 + 0.7252 + 0.7124 + 0.7076 + 0.7006 + 0.6969) / 6</t>
        </is>
      </c>
      <c r="F107" t="n">
        <v>0.7123</v>
      </c>
      <c r="G107" s="3" t="inlineStr"/>
    </row>
    <row r="108">
      <c r="A108" t="n">
        <v>8</v>
      </c>
      <c r="B108" t="inlineStr">
        <is>
          <t>A</t>
        </is>
      </c>
      <c r="C108" t="inlineStr">
        <is>
          <t>Coverage (Pers. 8)</t>
        </is>
      </c>
      <c r="D108" s="3" t="inlineStr">
        <is>
          <t>Coverage = |{dᵢ ∈ TopK : sim(q,dᵢ) ≥ θc}| / K</t>
        </is>
      </c>
      <c r="E108" s="3" t="inlineStr">
        <is>
          <t>skor = [0.7311, 0.7252, 0.7124, 0.7076, 0.7006, 0.6969] → 6 / 6</t>
        </is>
      </c>
      <c r="F108" t="n">
        <v>1</v>
      </c>
      <c r="G108" s="3" t="inlineStr"/>
    </row>
    <row r="109">
      <c r="A109" t="n">
        <v>8</v>
      </c>
      <c r="B109" t="inlineStr">
        <is>
          <t>A</t>
        </is>
      </c>
      <c r="C109" t="inlineStr">
        <is>
          <t>Source Diversity (Pers. 10)</t>
        </is>
      </c>
      <c r="D109" s="3" t="inlineStr">
        <is>
          <t>Diversity = |sumber unik dalam TopK| / K</t>
        </is>
      </c>
      <c r="E109" s="3" t="inlineStr">
        <is>
          <t>skor = ['GT_CT03.txt', 'GT_CT09.txt', 'GT_CT10.txt', 'GT_DETAIL_PT01_Pendahuluan.txt', 'GT_SUBTOPIK_02_Abstraksi_Formulasi.txt'] → 5 / 6</t>
        </is>
      </c>
      <c r="F109" t="n">
        <v>0.8333</v>
      </c>
      <c r="G109" s="3" t="inlineStr">
        <is>
          <t>file unik: GT_CT03.txt, GT_CT09.txt, GT_CT10.txt, GT_DETAIL_PT01_Pendahuluan.txt, GT_SUBTOPIK_02_Abstraksi_Formulasi.txt</t>
        </is>
      </c>
    </row>
    <row r="110">
      <c r="A110" t="n">
        <v>8</v>
      </c>
      <c r="B110" t="inlineStr">
        <is>
          <t>A</t>
        </is>
      </c>
      <c r="C110" t="inlineStr">
        <is>
          <t>Faithfulness (Pers. 15)</t>
        </is>
      </c>
      <c r="D110" s="3" t="inlineStr">
        <is>
          <t>F = 0,70×Entailment + 0,30×KWoverlap</t>
        </is>
      </c>
      <c r="E110" s="3" t="inlineStr">
        <is>
          <t>Faithfulness = 0,70×Entailment + 0,30×KWoverlap = 0,70×0.8333 + 0,30×0.1341 = 0.6235  (entailment: 5/6 klaim didukung; KWoverlap = (|∩|/|ctx|)^0,65 = (13/286)^0,65 = 0.0455^0,65 = 0.1341)</t>
        </is>
      </c>
      <c r="F110" t="n">
        <v>0.6235000000000001</v>
      </c>
      <c r="G110" s="3" t="inlineStr">
        <is>
          <t>metode: llm_entailment + keyword</t>
        </is>
      </c>
    </row>
    <row r="111">
      <c r="A111" t="n">
        <v>8</v>
      </c>
      <c r="B111" t="inlineStr">
        <is>
          <t>A</t>
        </is>
      </c>
      <c r="C111" t="inlineStr">
        <is>
          <t>— Entailment (Pers. 12-13)</t>
        </is>
      </c>
      <c r="D111" s="3" t="inlineStr">
        <is>
          <t>Entailment = Σverdict(sᵢ)/m</t>
        </is>
      </c>
      <c r="E111" s="3" t="inlineStr">
        <is>
          <t>5 klaim YA dari 6 klaim dievaluasi</t>
        </is>
      </c>
      <c r="F111" t="n">
        <v>0.8333</v>
      </c>
      <c r="G111" s="3" t="inlineStr">
        <is>
          <t>verdict per klaim: sheet 'Entailment Detail'</t>
        </is>
      </c>
    </row>
    <row r="112">
      <c r="A112" t="n">
        <v>8</v>
      </c>
      <c r="B112" t="inlineStr">
        <is>
          <t>A</t>
        </is>
      </c>
      <c r="C112" t="inlineStr">
        <is>
          <t>— Keyword Overlap (Pers. 14)</t>
        </is>
      </c>
      <c r="D112" s="3" t="inlineStr">
        <is>
          <t>KWoverlap = (|Stems(ans)∩Stems(ctx)| / |Stems(ctx)|)^0,65</t>
        </is>
      </c>
      <c r="E112" s="3" t="inlineStr">
        <is>
          <t>KWoverlap = (|∩|/|ctx|)^0,65 = (13/286)^0,65 = 0.0455^0,65 = 0.1341</t>
        </is>
      </c>
      <c r="F112" t="n">
        <v>0.1341</v>
      </c>
      <c r="G112" s="3" t="inlineStr"/>
    </row>
    <row r="113">
      <c r="A113" t="n">
        <v>8</v>
      </c>
      <c r="B113" t="inlineStr">
        <is>
          <t>A</t>
        </is>
      </c>
      <c r="C113" t="inlineStr">
        <is>
          <t>Hallucination Risk (Pers. 18)</t>
        </is>
      </c>
      <c r="D113" s="3" t="inlineStr">
        <is>
          <t>Risk = 0,65×(1-F) + 0,20×Contradiction + 0,15×Uncertainty</t>
        </is>
      </c>
      <c r="E113" s="3" t="inlineStr">
        <is>
          <t>Risk = 0,65×OutOfContext + 0,20×Contradiction + 0,15×Uncertainty = 0,65×0.3765 + 0,20×0.0000 + 0,15×0.00 = 0.2447 [RENDAH]</t>
        </is>
      </c>
      <c r="F113" t="n">
        <v>0.2447</v>
      </c>
      <c r="G113" s="3" t="inlineStr">
        <is>
          <t>label: RENDAH; kontradiksi 0/19 kalimat; uncertainty flag: False</t>
        </is>
      </c>
    </row>
    <row r="114">
      <c r="A114" t="n">
        <v>8</v>
      </c>
      <c r="B114" t="inlineStr">
        <is>
          <t>A</t>
        </is>
      </c>
      <c r="C114" t="inlineStr">
        <is>
          <t>Answer Accuracy (Pers. 20)</t>
        </is>
      </c>
      <c r="D114" s="3" t="inlineStr">
        <is>
          <t>Correctᵢ ∈ {0,1} via LLM-as-Judge (HASIL: BENAR/SALAH)</t>
        </is>
      </c>
      <c r="E114" s="3" t="inlineStr">
        <is>
          <t>BENAR</t>
        </is>
      </c>
      <c r="F114" t="inlineStr">
        <is>
          <t>BENAR</t>
        </is>
      </c>
      <c r="G114" s="3" t="inlineStr">
        <is>
          <t>evaluator: ollama/llama3</t>
        </is>
      </c>
    </row>
    <row r="115">
      <c r="A115" t="n">
        <v>8</v>
      </c>
      <c r="B115" t="inlineStr">
        <is>
          <t>B</t>
        </is>
      </c>
      <c r="C115" t="inlineStr">
        <is>
          <t>Faithfulness (Pers. 15)</t>
        </is>
      </c>
      <c r="D115" s="3" t="inlineStr">
        <is>
          <t>F = 0,70×Entailment + 0,30×KWoverlap</t>
        </is>
      </c>
      <c r="E115" s="3" t="inlineStr">
        <is>
          <t>Faithfulness = 0,70×Entailment + 0,30×KWoverlap = 0,70×0.8333 + 0,30×0.2309 = 0.6526  (entailment: 5/6 klaim didukung; KWoverlap = (|∩|/|ctx|)^0,65 = (30/286)^0,65 = 0.1049^0,65 = 0.2309)</t>
        </is>
      </c>
      <c r="F115" t="n">
        <v>0.6526</v>
      </c>
      <c r="G115" s="3" t="inlineStr">
        <is>
          <t>metode: llm_entailment + keyword</t>
        </is>
      </c>
    </row>
    <row r="116">
      <c r="A116" t="n">
        <v>8</v>
      </c>
      <c r="B116" t="inlineStr">
        <is>
          <t>B</t>
        </is>
      </c>
      <c r="C116" t="inlineStr">
        <is>
          <t>— Entailment (Pers. 12-13)</t>
        </is>
      </c>
      <c r="D116" s="3" t="inlineStr">
        <is>
          <t>Entailment = Σverdict(sᵢ)/m</t>
        </is>
      </c>
      <c r="E116" s="3" t="inlineStr">
        <is>
          <t>5 klaim YA dari 6 klaim dievaluasi</t>
        </is>
      </c>
      <c r="F116" t="n">
        <v>0.8333</v>
      </c>
      <c r="G116" s="3" t="inlineStr">
        <is>
          <t>verdict per klaim: sheet 'Entailment Detail'</t>
        </is>
      </c>
    </row>
    <row r="117">
      <c r="A117" t="n">
        <v>8</v>
      </c>
      <c r="B117" t="inlineStr">
        <is>
          <t>B</t>
        </is>
      </c>
      <c r="C117" t="inlineStr">
        <is>
          <t>— Keyword Overlap (Pers. 14)</t>
        </is>
      </c>
      <c r="D117" s="3" t="inlineStr">
        <is>
          <t>KWoverlap = (|Stems(ans)∩Stems(ctx)| / |Stems(ctx)|)^0,65</t>
        </is>
      </c>
      <c r="E117" s="3" t="inlineStr">
        <is>
          <t>KWoverlap = (|∩|/|ctx|)^0,65 = (30/286)^0,65 = 0.1049^0,65 = 0.2309</t>
        </is>
      </c>
      <c r="F117" t="n">
        <v>0.2309</v>
      </c>
      <c r="G117" s="3" t="inlineStr"/>
    </row>
    <row r="118">
      <c r="A118" t="n">
        <v>8</v>
      </c>
      <c r="B118" t="inlineStr">
        <is>
          <t>B</t>
        </is>
      </c>
      <c r="C118" t="inlineStr">
        <is>
          <t>Hallucination Risk (Pers. 18)</t>
        </is>
      </c>
      <c r="D118" s="3" t="inlineStr">
        <is>
          <t>Risk = 0,65×(1-F) + 0,20×Contradiction + 0,15×Uncertainty</t>
        </is>
      </c>
      <c r="E118" s="3" t="inlineStr">
        <is>
          <t>Risk = 0,65×OutOfContext + 0,20×Contradiction + 0,15×Uncertainty = 0,65×0.3474 + 0,20×0.0000 + 0,15×0.00 = 0.2258 [RENDAH]</t>
        </is>
      </c>
      <c r="F118" t="n">
        <v>0.2258</v>
      </c>
      <c r="G118" s="3" t="inlineStr">
        <is>
          <t>label: RENDAH; kontradiksi 0/8 kalimat; uncertainty flag: False</t>
        </is>
      </c>
    </row>
    <row r="119">
      <c r="A119" t="n">
        <v>8</v>
      </c>
      <c r="B119" t="inlineStr">
        <is>
          <t>B</t>
        </is>
      </c>
      <c r="C119" t="inlineStr">
        <is>
          <t>Answer Accuracy (Pers. 20)</t>
        </is>
      </c>
      <c r="D119" s="3" t="inlineStr">
        <is>
          <t>Correctᵢ ∈ {0,1} via LLM-as-Judge (HASIL: BENAR/SALAH)</t>
        </is>
      </c>
      <c r="E119" s="3" t="inlineStr">
        <is>
          <t>BENAR</t>
        </is>
      </c>
      <c r="F119" t="inlineStr">
        <is>
          <t>BENAR</t>
        </is>
      </c>
      <c r="G119" s="3" t="inlineStr">
        <is>
          <t>evaluator: ollama/llama3</t>
        </is>
      </c>
    </row>
    <row r="120">
      <c r="A120" t="n">
        <v>9</v>
      </c>
      <c r="B120" t="inlineStr">
        <is>
          <t>A</t>
        </is>
      </c>
      <c r="C120" t="inlineStr">
        <is>
          <t>Precision@K (Pers. 2)</t>
        </is>
      </c>
      <c r="D120" s="3" t="inlineStr">
        <is>
          <t>Precision@K = |{d ∈ TopK : sim(q,d) ≥ θ}| / K</t>
        </is>
      </c>
      <c r="E120" s="3" t="inlineStr">
        <is>
          <t>skor = [0.8732, 0.8318, 0.8016, 0.7827, 0.7764, 0.7658] → 6 / 6</t>
        </is>
      </c>
      <c r="F120" t="n">
        <v>1</v>
      </c>
      <c r="G120" s="3" t="inlineStr">
        <is>
          <t>basis: skor chunk nyata (sesuai contoh Pers. 2 skripsi)</t>
        </is>
      </c>
    </row>
    <row r="121">
      <c r="A121" t="n">
        <v>9</v>
      </c>
      <c r="B121" t="inlineStr">
        <is>
          <t>A</t>
        </is>
      </c>
      <c r="C121" t="inlineStr">
        <is>
          <t>Recall@K (Pers. 4)</t>
        </is>
      </c>
      <c r="D121" s="3" t="inlineStr">
        <is>
          <t>Recall@K = |{kata kunci ditemukan : sim ≥ θ}| / |R|</t>
        </is>
      </c>
      <c r="E121" s="3" t="inlineStr">
        <is>
          <t>skor = [0.6285, 0.6175, 0.5442, 0.4502, 0.4438, 0.4013] → 6 / 6</t>
        </is>
      </c>
      <c r="F121" t="n">
        <v>1</v>
      </c>
      <c r="G121" s="3" t="inlineStr"/>
    </row>
    <row r="122">
      <c r="A122" t="n">
        <v>9</v>
      </c>
      <c r="B122" t="inlineStr">
        <is>
          <t>A</t>
        </is>
      </c>
      <c r="C122" t="inlineStr">
        <is>
          <t>Mean Similarity (Pers. 6)</t>
        </is>
      </c>
      <c r="D122" s="3" t="inlineStr">
        <is>
          <t>MeanSim = (1/K) × Σ sim(q, dᵢ)</t>
        </is>
      </c>
      <c r="E122" s="3" t="inlineStr">
        <is>
          <t>skor = [0.8732, 0.8318, 0.8016, 0.7827, 0.7764, 0.7658] → (0.8732 + 0.8318 + 0.8016 + 0.7827 + 0.7764 + 0.7658) / 6</t>
        </is>
      </c>
      <c r="F122" t="n">
        <v>0.8053</v>
      </c>
      <c r="G122" s="3" t="inlineStr"/>
    </row>
    <row r="123">
      <c r="A123" t="n">
        <v>9</v>
      </c>
      <c r="B123" t="inlineStr">
        <is>
          <t>A</t>
        </is>
      </c>
      <c r="C123" t="inlineStr">
        <is>
          <t>Coverage (Pers. 8)</t>
        </is>
      </c>
      <c r="D123" s="3" t="inlineStr">
        <is>
          <t>Coverage = |{dᵢ ∈ TopK : sim(q,dᵢ) ≥ θc}| / K</t>
        </is>
      </c>
      <c r="E123" s="3" t="inlineStr">
        <is>
          <t>skor = [0.8732, 0.8318, 0.8016, 0.7827, 0.7764, 0.7658] → 6 / 6</t>
        </is>
      </c>
      <c r="F123" t="n">
        <v>1</v>
      </c>
      <c r="G123" s="3" t="inlineStr"/>
    </row>
    <row r="124">
      <c r="A124" t="n">
        <v>9</v>
      </c>
      <c r="B124" t="inlineStr">
        <is>
          <t>A</t>
        </is>
      </c>
      <c r="C124" t="inlineStr">
        <is>
          <t>Source Diversity (Pers. 10)</t>
        </is>
      </c>
      <c r="D124" s="3" t="inlineStr">
        <is>
          <t>Diversity = |sumber unik dalam TopK| / K</t>
        </is>
      </c>
      <c r="E124" s="3" t="inlineStr">
        <is>
          <t>skor = ['GT_CT04.txt', 'GT_DETAIL_PT03_Dekomposisi.txt', 'GT_DETAIL_PT04_Abstraksi.txt', 'GT_SUBTOPIK_01_Dekomposisi_Optimasi.txt', 'GT_SUBTOPIK_02_Abstraksi_Formulasi.txt'] → 5 / 6</t>
        </is>
      </c>
      <c r="F124" t="n">
        <v>0.8333</v>
      </c>
      <c r="G124" s="3" t="inlineStr">
        <is>
          <t>file unik: GT_CT04.txt, GT_DETAIL_PT03_Dekomposisi.txt, GT_DETAIL_PT04_Abstraksi.txt, GT_SUBTOPIK_01_Dekomposisi_Optimasi.txt, GT_SUBTOPIK_02_Abstraksi_Formulasi.txt</t>
        </is>
      </c>
    </row>
    <row r="125">
      <c r="A125" t="n">
        <v>9</v>
      </c>
      <c r="B125" t="inlineStr">
        <is>
          <t>A</t>
        </is>
      </c>
      <c r="C125" t="inlineStr">
        <is>
          <t>Faithfulness (Pers. 15)</t>
        </is>
      </c>
      <c r="D125" s="3" t="inlineStr">
        <is>
          <t>F = 0,70×Entailment + 0,30×KWoverlap</t>
        </is>
      </c>
      <c r="E125" s="3" t="inlineStr">
        <is>
          <t>Faithfulness = 0,70×Entailment + 0,30×KWoverlap = 0,70×1.0000 + 0,30×0.4190 = 0.8257  (entailment: 6/6 klaim didukung; KWoverlap = (|∩|/|ctx|)^0,65 = (48/183)^0,65 = 0.2623^0,65 = 0.4190)</t>
        </is>
      </c>
      <c r="F125" t="n">
        <v>0.8257</v>
      </c>
      <c r="G125" s="3" t="inlineStr">
        <is>
          <t>metode: llm_entailment + keyword</t>
        </is>
      </c>
    </row>
    <row r="126">
      <c r="A126" t="n">
        <v>9</v>
      </c>
      <c r="B126" t="inlineStr">
        <is>
          <t>A</t>
        </is>
      </c>
      <c r="C126" t="inlineStr">
        <is>
          <t>— Entailment (Pers. 12-13)</t>
        </is>
      </c>
      <c r="D126" s="3" t="inlineStr">
        <is>
          <t>Entailment = Σverdict(sᵢ)/m</t>
        </is>
      </c>
      <c r="E126" s="3" t="inlineStr">
        <is>
          <t>6 klaim YA dari 6 klaim dievaluasi</t>
        </is>
      </c>
      <c r="F126" t="n">
        <v>1</v>
      </c>
      <c r="G126" s="3" t="inlineStr">
        <is>
          <t>verdict per klaim: sheet 'Entailment Detail'</t>
        </is>
      </c>
    </row>
    <row r="127">
      <c r="A127" t="n">
        <v>9</v>
      </c>
      <c r="B127" t="inlineStr">
        <is>
          <t>A</t>
        </is>
      </c>
      <c r="C127" t="inlineStr">
        <is>
          <t>— Keyword Overlap (Pers. 14)</t>
        </is>
      </c>
      <c r="D127" s="3" t="inlineStr">
        <is>
          <t>KWoverlap = (|Stems(ans)∩Stems(ctx)| / |Stems(ctx)|)^0,65</t>
        </is>
      </c>
      <c r="E127" s="3" t="inlineStr">
        <is>
          <t>KWoverlap = (|∩|/|ctx|)^0,65 = (48/183)^0,65 = 0.2623^0,65 = 0.4190</t>
        </is>
      </c>
      <c r="F127" t="n">
        <v>0.419</v>
      </c>
      <c r="G127" s="3" t="inlineStr"/>
    </row>
    <row r="128">
      <c r="A128" t="n">
        <v>9</v>
      </c>
      <c r="B128" t="inlineStr">
        <is>
          <t>A</t>
        </is>
      </c>
      <c r="C128" t="inlineStr">
        <is>
          <t>Hallucination Risk (Pers. 18)</t>
        </is>
      </c>
      <c r="D128" s="3" t="inlineStr">
        <is>
          <t>Risk = 0,65×(1-F) + 0,20×Contradiction + 0,15×Uncertainty</t>
        </is>
      </c>
      <c r="E128" s="3" t="inlineStr">
        <is>
          <t>Risk = 0,65×OutOfContext + 0,20×Contradiction + 0,15×Uncertainty = 0,65×0.1743 + 0,20×0.0000 + 0,15×0.20 = 0.1433 [RENDAH]</t>
        </is>
      </c>
      <c r="F128" t="n">
        <v>0.1433</v>
      </c>
      <c r="G128" s="3" t="inlineStr">
        <is>
          <t>label: RENDAH; kontradiksi 0/14 kalimat; uncertainty flag: True</t>
        </is>
      </c>
    </row>
    <row r="129">
      <c r="A129" t="n">
        <v>9</v>
      </c>
      <c r="B129" t="inlineStr">
        <is>
          <t>B</t>
        </is>
      </c>
      <c r="C129" t="inlineStr">
        <is>
          <t>Faithfulness (Pers. 15)</t>
        </is>
      </c>
      <c r="D129" s="3" t="inlineStr">
        <is>
          <t>F = 0,70×Entailment + 0,30×KWoverlap</t>
        </is>
      </c>
      <c r="E129" s="3" t="inlineStr">
        <is>
          <t>Faithfulness = 0,70×Entailment + 0,30×KWoverlap = 0,70×1.0000 + 0,30×0.2523 = 0.7757  (entailment: 6/6 klaim didukung; KWoverlap = (|∩|/|ctx|)^0,65 = (22/183)^0,65 = 0.1202^0,65 = 0.2523)</t>
        </is>
      </c>
      <c r="F129" t="n">
        <v>0.7756999999999999</v>
      </c>
      <c r="G129" s="3" t="inlineStr">
        <is>
          <t>metode: llm_entailment + keyword</t>
        </is>
      </c>
    </row>
    <row r="130">
      <c r="A130" t="n">
        <v>9</v>
      </c>
      <c r="B130" t="inlineStr">
        <is>
          <t>B</t>
        </is>
      </c>
      <c r="C130" t="inlineStr">
        <is>
          <t>— Entailment (Pers. 12-13)</t>
        </is>
      </c>
      <c r="D130" s="3" t="inlineStr">
        <is>
          <t>Entailment = Σverdict(sᵢ)/m</t>
        </is>
      </c>
      <c r="E130" s="3" t="inlineStr">
        <is>
          <t>6 klaim YA dari 6 klaim dievaluasi</t>
        </is>
      </c>
      <c r="F130" t="n">
        <v>1</v>
      </c>
      <c r="G130" s="3" t="inlineStr">
        <is>
          <t>verdict per klaim: sheet 'Entailment Detail'</t>
        </is>
      </c>
    </row>
    <row r="131">
      <c r="A131" t="n">
        <v>9</v>
      </c>
      <c r="B131" t="inlineStr">
        <is>
          <t>B</t>
        </is>
      </c>
      <c r="C131" t="inlineStr">
        <is>
          <t>— Keyword Overlap (Pers. 14)</t>
        </is>
      </c>
      <c r="D131" s="3" t="inlineStr">
        <is>
          <t>KWoverlap = (|Stems(ans)∩Stems(ctx)| / |Stems(ctx)|)^0,65</t>
        </is>
      </c>
      <c r="E131" s="3" t="inlineStr">
        <is>
          <t>KWoverlap = (|∩|/|ctx|)^0,65 = (22/183)^0,65 = 0.1202^0,65 = 0.2523</t>
        </is>
      </c>
      <c r="F131" t="n">
        <v>0.2523</v>
      </c>
      <c r="G131" s="3" t="inlineStr"/>
    </row>
    <row r="132">
      <c r="A132" t="n">
        <v>9</v>
      </c>
      <c r="B132" t="inlineStr">
        <is>
          <t>B</t>
        </is>
      </c>
      <c r="C132" t="inlineStr">
        <is>
          <t>Hallucination Risk (Pers. 18)</t>
        </is>
      </c>
      <c r="D132" s="3" t="inlineStr">
        <is>
          <t>Risk = 0,65×(1-F) + 0,20×Contradiction + 0,15×Uncertainty</t>
        </is>
      </c>
      <c r="E132" s="3" t="inlineStr">
        <is>
          <t>Risk = 0,65×OutOfContext + 0,20×Contradiction + 0,15×Uncertainty = 0,65×0.2243 + 0,20×0.0000 + 0,15×0.00 = 0.1458 [RENDAH]</t>
        </is>
      </c>
      <c r="F132" t="n">
        <v>0.1458</v>
      </c>
      <c r="G132" s="3" t="inlineStr">
        <is>
          <t>label: RENDAH; kontradiksi 0/14 kalimat; uncertainty flag: False</t>
        </is>
      </c>
    </row>
    <row r="133">
      <c r="A133" t="n">
        <v>9</v>
      </c>
      <c r="B133" t="inlineStr">
        <is>
          <t>B</t>
        </is>
      </c>
      <c r="C133" t="inlineStr">
        <is>
          <t>Answer Accuracy (Pers. 20)</t>
        </is>
      </c>
      <c r="D133" s="3" t="inlineStr">
        <is>
          <t>Correctᵢ ∈ {0,1} via LLM-as-Judge (HASIL: BENAR/SALAH)</t>
        </is>
      </c>
      <c r="E133" s="3" t="inlineStr"/>
      <c r="F133" t="inlineStr">
        <is>
          <t>BENAR</t>
        </is>
      </c>
      <c r="G133" s="3" t="inlineStr">
        <is>
          <t>evaluator: ollama/llama3</t>
        </is>
      </c>
    </row>
    <row r="134">
      <c r="A134" t="n">
        <v>10</v>
      </c>
      <c r="B134" t="inlineStr">
        <is>
          <t>A</t>
        </is>
      </c>
      <c r="C134" t="inlineStr">
        <is>
          <t>Precision@K (Pers. 2)</t>
        </is>
      </c>
      <c r="D134" s="3" t="inlineStr">
        <is>
          <t>Precision@K = |{d ∈ TopK : sim(q,d) ≥ θ}| / K</t>
        </is>
      </c>
      <c r="E134" s="3" t="inlineStr">
        <is>
          <t>skor = [0.7724, 0.7671, 0.7576, 0.754, 0.752, 0.7491] → 6 / 6</t>
        </is>
      </c>
      <c r="F134" t="n">
        <v>1</v>
      </c>
      <c r="G134" s="3" t="inlineStr">
        <is>
          <t>basis: skor chunk nyata (sesuai contoh Pers. 2 skripsi)</t>
        </is>
      </c>
    </row>
    <row r="135">
      <c r="A135" t="n">
        <v>10</v>
      </c>
      <c r="B135" t="inlineStr">
        <is>
          <t>A</t>
        </is>
      </c>
      <c r="C135" t="inlineStr">
        <is>
          <t>Recall@K (Pers. 4)</t>
        </is>
      </c>
      <c r="D135" s="3" t="inlineStr">
        <is>
          <t>Recall@K = |{kata kunci ditemukan : sim ≥ θ}| / |R|</t>
        </is>
      </c>
      <c r="E135" s="3" t="inlineStr">
        <is>
          <t>skor = [0.6375, 0.6257, 0.5565, 0.5046, 0.5035, 0.4494] → 6 / 6</t>
        </is>
      </c>
      <c r="F135" t="n">
        <v>1</v>
      </c>
      <c r="G135" s="3" t="inlineStr"/>
    </row>
    <row r="136">
      <c r="A136" t="n">
        <v>10</v>
      </c>
      <c r="B136" t="inlineStr">
        <is>
          <t>A</t>
        </is>
      </c>
      <c r="C136" t="inlineStr">
        <is>
          <t>Mean Similarity (Pers. 6)</t>
        </is>
      </c>
      <c r="D136" s="3" t="inlineStr">
        <is>
          <t>MeanSim = (1/K) × Σ sim(q, dᵢ)</t>
        </is>
      </c>
      <c r="E136" s="3" t="inlineStr">
        <is>
          <t>skor = [0.7724, 0.7671, 0.7576, 0.754, 0.752, 0.7491] → (0.7724 + 0.7671 + 0.7576 + 0.7540 + 0.7520 + 0.7491) / 6</t>
        </is>
      </c>
      <c r="F136" t="n">
        <v>0.7587</v>
      </c>
      <c r="G136" s="3" t="inlineStr"/>
    </row>
    <row r="137">
      <c r="A137" t="n">
        <v>10</v>
      </c>
      <c r="B137" t="inlineStr">
        <is>
          <t>A</t>
        </is>
      </c>
      <c r="C137" t="inlineStr">
        <is>
          <t>Coverage (Pers. 8)</t>
        </is>
      </c>
      <c r="D137" s="3" t="inlineStr">
        <is>
          <t>Coverage = |{dᵢ ∈ TopK : sim(q,dᵢ) ≥ θc}| / K</t>
        </is>
      </c>
      <c r="E137" s="3" t="inlineStr">
        <is>
          <t>skor = [0.7724, 0.7671, 0.7576, 0.754, 0.752, 0.7491] → 6 / 6</t>
        </is>
      </c>
      <c r="F137" t="n">
        <v>1</v>
      </c>
      <c r="G137" s="3" t="inlineStr"/>
    </row>
    <row r="138">
      <c r="A138" t="n">
        <v>10</v>
      </c>
      <c r="B138" t="inlineStr">
        <is>
          <t>A</t>
        </is>
      </c>
      <c r="C138" t="inlineStr">
        <is>
          <t>Source Diversity (Pers. 10)</t>
        </is>
      </c>
      <c r="D138" s="3" t="inlineStr">
        <is>
          <t>Diversity = |sumber unik dalam TopK| / K</t>
        </is>
      </c>
      <c r="E138" s="3" t="inlineStr">
        <is>
          <t>skor = ['GT_CT01.txt', 'GT_CT03.txt', 'GT_CT12.txt', 'GT_DETAIL_PT12_Fungsi.txt'] → 4 / 6</t>
        </is>
      </c>
      <c r="F138" t="n">
        <v>0.6667</v>
      </c>
      <c r="G138" s="3" t="inlineStr">
        <is>
          <t>file unik: GT_CT01.txt, GT_CT03.txt, GT_CT12.txt, GT_DETAIL_PT12_Fungsi.txt</t>
        </is>
      </c>
    </row>
    <row r="139">
      <c r="A139" t="n">
        <v>10</v>
      </c>
      <c r="B139" t="inlineStr">
        <is>
          <t>A</t>
        </is>
      </c>
      <c r="C139" t="inlineStr">
        <is>
          <t>Faithfulness (Pers. 15)</t>
        </is>
      </c>
      <c r="D139" s="3" t="inlineStr">
        <is>
          <t>F = 0,70×Entailment + 0,30×KWoverlap</t>
        </is>
      </c>
      <c r="E139" s="3" t="inlineStr">
        <is>
          <t>Faithfulness = 0,70×Entailment + 0,30×KWoverlap = 0,70×1.0000 + 0,30×0.3466 = 0.8040  (entailment: 6/6 klaim didukung; KWoverlap = (|∩|/|ctx|)^0,65 = (58/296)^0,65 = 0.1959^0,65 = 0.3466)</t>
        </is>
      </c>
      <c r="F139" t="n">
        <v>0.804</v>
      </c>
      <c r="G139" s="3" t="inlineStr">
        <is>
          <t>metode: llm_entailment + keyword</t>
        </is>
      </c>
    </row>
    <row r="140">
      <c r="A140" t="n">
        <v>10</v>
      </c>
      <c r="B140" t="inlineStr">
        <is>
          <t>A</t>
        </is>
      </c>
      <c r="C140" t="inlineStr">
        <is>
          <t>— Entailment (Pers. 12-13)</t>
        </is>
      </c>
      <c r="D140" s="3" t="inlineStr">
        <is>
          <t>Entailment = Σverdict(sᵢ)/m</t>
        </is>
      </c>
      <c r="E140" s="3" t="inlineStr">
        <is>
          <t>6 klaim YA dari 6 klaim dievaluasi</t>
        </is>
      </c>
      <c r="F140" t="n">
        <v>1</v>
      </c>
      <c r="G140" s="3" t="inlineStr">
        <is>
          <t>verdict per klaim: sheet 'Entailment Detail'</t>
        </is>
      </c>
    </row>
    <row r="141">
      <c r="A141" t="n">
        <v>10</v>
      </c>
      <c r="B141" t="inlineStr">
        <is>
          <t>A</t>
        </is>
      </c>
      <c r="C141" t="inlineStr">
        <is>
          <t>— Keyword Overlap (Pers. 14)</t>
        </is>
      </c>
      <c r="D141" s="3" t="inlineStr">
        <is>
          <t>KWoverlap = (|Stems(ans)∩Stems(ctx)| / |Stems(ctx)|)^0,65</t>
        </is>
      </c>
      <c r="E141" s="3" t="inlineStr">
        <is>
          <t>KWoverlap = (|∩|/|ctx|)^0,65 = (58/296)^0,65 = 0.1959^0,65 = 0.3466</t>
        </is>
      </c>
      <c r="F141" t="n">
        <v>0.3466</v>
      </c>
      <c r="G141" s="3" t="inlineStr"/>
    </row>
    <row r="142">
      <c r="A142" t="n">
        <v>10</v>
      </c>
      <c r="B142" t="inlineStr">
        <is>
          <t>A</t>
        </is>
      </c>
      <c r="C142" t="inlineStr">
        <is>
          <t>Hallucination Risk (Pers. 18)</t>
        </is>
      </c>
      <c r="D142" s="3" t="inlineStr">
        <is>
          <t>Risk = 0,65×(1-F) + 0,20×Contradiction + 0,15×Uncertainty</t>
        </is>
      </c>
      <c r="E142" s="3" t="inlineStr">
        <is>
          <t>Risk = 0,65×OutOfContext + 0,20×Contradiction + 0,15×Uncertainty = 0,65×0.1960 + 0,20×0.0000 + 0,15×0.00 = 0.1274 [RENDAH]</t>
        </is>
      </c>
      <c r="F142" t="n">
        <v>0.1274</v>
      </c>
      <c r="G142" s="3" t="inlineStr">
        <is>
          <t>label: RENDAH; kontradiksi 0/11 kalimat; uncertainty flag: False</t>
        </is>
      </c>
    </row>
    <row r="143">
      <c r="A143" t="n">
        <v>10</v>
      </c>
      <c r="B143" t="inlineStr">
        <is>
          <t>A</t>
        </is>
      </c>
      <c r="C143" t="inlineStr">
        <is>
          <t>Answer Accuracy (Pers. 20)</t>
        </is>
      </c>
      <c r="D143" s="3" t="inlineStr">
        <is>
          <t>Correctᵢ ∈ {0,1} via LLM-as-Judge (HASIL: BENAR/SALAH)</t>
        </is>
      </c>
      <c r="E143" s="3" t="inlineStr">
        <is>
          <t>BENAR
Alasan: Jawaban sistem mencermati referensi (dokumen materi GT) dan menjelaskan bahwa dekomposisi adalah proses memecah algoritme besar menjadi fungsi-fungsi kecil yang terfokus, serta fungsi sebagai sebuah kode yang dapat digunakan kembali tanpa ditulis ulang (reusable). Hal ini sesuai dengan konsep dekomposisi dan fungsi dalam Computational Thinking (CT) seperti dijelaskan dalam referensi</t>
        </is>
      </c>
      <c r="F143" t="inlineStr">
        <is>
          <t>BENAR</t>
        </is>
      </c>
      <c r="G143" s="3" t="inlineStr">
        <is>
          <t>evaluator: ollama/llama3</t>
        </is>
      </c>
    </row>
    <row r="144">
      <c r="A144" t="n">
        <v>10</v>
      </c>
      <c r="B144" t="inlineStr">
        <is>
          <t>B</t>
        </is>
      </c>
      <c r="C144" t="inlineStr">
        <is>
          <t>Faithfulness (Pers. 15)</t>
        </is>
      </c>
      <c r="D144" s="3" t="inlineStr">
        <is>
          <t>F = 0,70×Entailment + 0,30×KWoverlap</t>
        </is>
      </c>
      <c r="E144" s="3" t="inlineStr">
        <is>
          <t>Faithfulness = 0,70×Entailment + 0,30×KWoverlap = 0,70×1.0000 + 0,30×0.2450 = 0.7735  (entailment: 6/6 klaim didukung; KWoverlap = (|∩|/|ctx|)^0,65 = (34/296)^0,65 = 0.1149^0,65 = 0.2450)</t>
        </is>
      </c>
      <c r="F144" t="n">
        <v>0.7735</v>
      </c>
      <c r="G144" s="3" t="inlineStr">
        <is>
          <t>metode: llm_entailment + keyword</t>
        </is>
      </c>
    </row>
    <row r="145">
      <c r="A145" t="n">
        <v>10</v>
      </c>
      <c r="B145" t="inlineStr">
        <is>
          <t>B</t>
        </is>
      </c>
      <c r="C145" t="inlineStr">
        <is>
          <t>— Entailment (Pers. 12-13)</t>
        </is>
      </c>
      <c r="D145" s="3" t="inlineStr">
        <is>
          <t>Entailment = Σverdict(sᵢ)/m</t>
        </is>
      </c>
      <c r="E145" s="3" t="inlineStr">
        <is>
          <t>6 klaim YA dari 6 klaim dievaluasi</t>
        </is>
      </c>
      <c r="F145" t="n">
        <v>1</v>
      </c>
      <c r="G145" s="3" t="inlineStr">
        <is>
          <t>verdict per klaim: sheet 'Entailment Detail'</t>
        </is>
      </c>
    </row>
    <row r="146">
      <c r="A146" t="n">
        <v>10</v>
      </c>
      <c r="B146" t="inlineStr">
        <is>
          <t>B</t>
        </is>
      </c>
      <c r="C146" t="inlineStr">
        <is>
          <t>— Keyword Overlap (Pers. 14)</t>
        </is>
      </c>
      <c r="D146" s="3" t="inlineStr">
        <is>
          <t>KWoverlap = (|Stems(ans)∩Stems(ctx)| / |Stems(ctx)|)^0,65</t>
        </is>
      </c>
      <c r="E146" s="3" t="inlineStr">
        <is>
          <t>KWoverlap = (|∩|/|ctx|)^0,65 = (34/296)^0,65 = 0.1149^0,65 = 0.2450</t>
        </is>
      </c>
      <c r="F146" t="n">
        <v>0.245</v>
      </c>
      <c r="G146" s="3" t="inlineStr"/>
    </row>
    <row r="147">
      <c r="A147" t="n">
        <v>10</v>
      </c>
      <c r="B147" t="inlineStr">
        <is>
          <t>B</t>
        </is>
      </c>
      <c r="C147" t="inlineStr">
        <is>
          <t>Hallucination Risk (Pers. 18)</t>
        </is>
      </c>
      <c r="D147" s="3" t="inlineStr">
        <is>
          <t>Risk = 0,65×(1-F) + 0,20×Contradiction + 0,15×Uncertainty</t>
        </is>
      </c>
      <c r="E147" s="3" t="inlineStr">
        <is>
          <t>Risk = 0,65×OutOfContext + 0,20×Contradiction + 0,15×Uncertainty = 0,65×0.2265 + 0,20×0.0000 + 0,15×0.00 = 0.1472 [RENDAH]</t>
        </is>
      </c>
      <c r="F147" t="n">
        <v>0.1472</v>
      </c>
      <c r="G147" s="3" t="inlineStr">
        <is>
          <t>label: RENDAH; kontradiksi 0/9 kalimat; uncertainty flag: False</t>
        </is>
      </c>
    </row>
    <row r="148">
      <c r="A148" t="n">
        <v>10</v>
      </c>
      <c r="B148" t="inlineStr">
        <is>
          <t>B</t>
        </is>
      </c>
      <c r="C148" t="inlineStr">
        <is>
          <t>Answer Accuracy (Pers. 20)</t>
        </is>
      </c>
      <c r="D148" s="3" t="inlineStr">
        <is>
          <t>Correctᵢ ∈ {0,1} via LLM-as-Judge (HASIL: BENAR/SALAH)</t>
        </is>
      </c>
      <c r="E148" s="3" t="inlineStr">
        <is>
          <t>BENAR</t>
        </is>
      </c>
      <c r="F148" t="inlineStr">
        <is>
          <t>BENAR</t>
        </is>
      </c>
      <c r="G148" s="3" t="inlineStr">
        <is>
          <t>evaluator: ollama/llama3</t>
        </is>
      </c>
    </row>
    <row r="149">
      <c r="A149" t="n">
        <v>11</v>
      </c>
      <c r="B149" t="inlineStr">
        <is>
          <t>A</t>
        </is>
      </c>
      <c r="C149" t="inlineStr">
        <is>
          <t>Precision@K (Pers. 2)</t>
        </is>
      </c>
      <c r="D149" s="3" t="inlineStr">
        <is>
          <t>Precision@K = |{d ∈ TopK : sim(q,d) ≥ θ}| / K</t>
        </is>
      </c>
      <c r="E149" s="3" t="inlineStr">
        <is>
          <t>skor = [0.7695, 0.7578, 0.7563, 0.7531, 0.7343, 0.73] → 6 / 6</t>
        </is>
      </c>
      <c r="F149" t="n">
        <v>1</v>
      </c>
      <c r="G149" s="3" t="inlineStr">
        <is>
          <t>basis: skor chunk nyata (sesuai contoh Pers. 2 skripsi)</t>
        </is>
      </c>
    </row>
    <row r="150">
      <c r="A150" t="n">
        <v>11</v>
      </c>
      <c r="B150" t="inlineStr">
        <is>
          <t>A</t>
        </is>
      </c>
      <c r="C150" t="inlineStr">
        <is>
          <t>Recall@K (Pers. 4)</t>
        </is>
      </c>
      <c r="D150" s="3" t="inlineStr">
        <is>
          <t>Recall@K = |{kata kunci ditemukan : sim ≥ θ}| / |R|</t>
        </is>
      </c>
      <c r="E150" s="3" t="inlineStr">
        <is>
          <t>skor = [0.6708, 0.632, 0.5383, 0.4642, 0.4365] → 5 / 5</t>
        </is>
      </c>
      <c r="F150" t="n">
        <v>1</v>
      </c>
      <c r="G150" s="3" t="inlineStr"/>
    </row>
    <row r="151">
      <c r="A151" t="n">
        <v>11</v>
      </c>
      <c r="B151" t="inlineStr">
        <is>
          <t>A</t>
        </is>
      </c>
      <c r="C151" t="inlineStr">
        <is>
          <t>Mean Similarity (Pers. 6)</t>
        </is>
      </c>
      <c r="D151" s="3" t="inlineStr">
        <is>
          <t>MeanSim = (1/K) × Σ sim(q, dᵢ)</t>
        </is>
      </c>
      <c r="E151" s="3" t="inlineStr">
        <is>
          <t>skor = [0.7695, 0.7578, 0.7563, 0.7531, 0.7343, 0.73] → (0.7695 + 0.7578 + 0.7563 + 0.7531 + 0.7343 + 0.7300) / 6</t>
        </is>
      </c>
      <c r="F151" t="n">
        <v>0.7502</v>
      </c>
      <c r="G151" s="3" t="inlineStr"/>
    </row>
    <row r="152">
      <c r="A152" t="n">
        <v>11</v>
      </c>
      <c r="B152" t="inlineStr">
        <is>
          <t>A</t>
        </is>
      </c>
      <c r="C152" t="inlineStr">
        <is>
          <t>Coverage (Pers. 8)</t>
        </is>
      </c>
      <c r="D152" s="3" t="inlineStr">
        <is>
          <t>Coverage = |{dᵢ ∈ TopK : sim(q,dᵢ) ≥ θc}| / K</t>
        </is>
      </c>
      <c r="E152" s="3" t="inlineStr">
        <is>
          <t>skor = [0.7695, 0.7578, 0.7563, 0.7531, 0.7343, 0.73] → 6 / 6</t>
        </is>
      </c>
      <c r="F152" t="n">
        <v>1</v>
      </c>
      <c r="G152" s="3" t="inlineStr"/>
    </row>
    <row r="153">
      <c r="A153" t="n">
        <v>11</v>
      </c>
      <c r="B153" t="inlineStr">
        <is>
          <t>A</t>
        </is>
      </c>
      <c r="C153" t="inlineStr">
        <is>
          <t>Source Diversity (Pers. 10)</t>
        </is>
      </c>
      <c r="D153" s="3" t="inlineStr">
        <is>
          <t>Diversity = |sumber unik dalam TopK| / K</t>
        </is>
      </c>
      <c r="E153" s="3" t="inlineStr">
        <is>
          <t>skor = ['GT_CT01.txt', 'GT_CT03.txt', 'GT_CT05.txt', 'GT_CT07.txt', 'GT_DETAIL_PT01_Pendahuluan.txt'] → 5 / 6</t>
        </is>
      </c>
      <c r="F153" t="n">
        <v>0.8333</v>
      </c>
      <c r="G153" s="3" t="inlineStr">
        <is>
          <t>file unik: GT_CT01.txt, GT_CT03.txt, GT_CT05.txt, GT_CT07.txt, GT_DETAIL_PT01_Pendahuluan.txt</t>
        </is>
      </c>
    </row>
    <row r="154">
      <c r="A154" t="n">
        <v>11</v>
      </c>
      <c r="B154" t="inlineStr">
        <is>
          <t>A</t>
        </is>
      </c>
      <c r="C154" t="inlineStr">
        <is>
          <t>Faithfulness (Pers. 15)</t>
        </is>
      </c>
      <c r="D154" s="3" t="inlineStr">
        <is>
          <t>F = 0,70×Entailment + 0,30×KWoverlap</t>
        </is>
      </c>
      <c r="E154" s="3" t="inlineStr">
        <is>
          <t>Faithfulness = 0,70×Entailment + 0,30×KWoverlap = 0,70×1.0000 + 0,30×0.2937 = 0.7881  (entailment: 6/6 klaim didukung; KWoverlap = (|∩|/|ctx|)^0,65 = (46/303)^0,65 = 0.1518^0,65 = 0.2937)</t>
        </is>
      </c>
      <c r="F154" t="n">
        <v>0.7881</v>
      </c>
      <c r="G154" s="3" t="inlineStr">
        <is>
          <t>metode: llm_entailment + keyword</t>
        </is>
      </c>
    </row>
    <row r="155">
      <c r="A155" t="n">
        <v>11</v>
      </c>
      <c r="B155" t="inlineStr">
        <is>
          <t>A</t>
        </is>
      </c>
      <c r="C155" t="inlineStr">
        <is>
          <t>— Entailment (Pers. 12-13)</t>
        </is>
      </c>
      <c r="D155" s="3" t="inlineStr">
        <is>
          <t>Entailment = Σverdict(sᵢ)/m</t>
        </is>
      </c>
      <c r="E155" s="3" t="inlineStr">
        <is>
          <t>6 klaim YA dari 6 klaim dievaluasi</t>
        </is>
      </c>
      <c r="F155" t="n">
        <v>1</v>
      </c>
      <c r="G155" s="3" t="inlineStr">
        <is>
          <t>verdict per klaim: sheet 'Entailment Detail'</t>
        </is>
      </c>
    </row>
    <row r="156">
      <c r="A156" t="n">
        <v>11</v>
      </c>
      <c r="B156" t="inlineStr">
        <is>
          <t>A</t>
        </is>
      </c>
      <c r="C156" t="inlineStr">
        <is>
          <t>— Keyword Overlap (Pers. 14)</t>
        </is>
      </c>
      <c r="D156" s="3" t="inlineStr">
        <is>
          <t>KWoverlap = (|Stems(ans)∩Stems(ctx)| / |Stems(ctx)|)^0,65</t>
        </is>
      </c>
      <c r="E156" s="3" t="inlineStr">
        <is>
          <t>KWoverlap = (|∩|/|ctx|)^0,65 = (46/303)^0,65 = 0.1518^0,65 = 0.2937</t>
        </is>
      </c>
      <c r="F156" t="n">
        <v>0.2937</v>
      </c>
      <c r="G156" s="3" t="inlineStr"/>
    </row>
    <row r="157">
      <c r="A157" t="n">
        <v>11</v>
      </c>
      <c r="B157" t="inlineStr">
        <is>
          <t>A</t>
        </is>
      </c>
      <c r="C157" t="inlineStr">
        <is>
          <t>Hallucination Risk (Pers. 18)</t>
        </is>
      </c>
      <c r="D157" s="3" t="inlineStr">
        <is>
          <t>Risk = 0,65×(1-F) + 0,20×Contradiction + 0,15×Uncertainty</t>
        </is>
      </c>
      <c r="E157" s="3" t="inlineStr">
        <is>
          <t>Risk = 0,65×OutOfContext + 0,20×Contradiction + 0,15×Uncertainty = 0,65×0.2119 + 0,20×0.0000 + 0,15×0.00 = 0.1377 [RENDAH]</t>
        </is>
      </c>
      <c r="F157" t="n">
        <v>0.1377</v>
      </c>
      <c r="G157" s="3" t="inlineStr">
        <is>
          <t>label: RENDAH; kontradiksi 0/8 kalimat; uncertainty flag: False</t>
        </is>
      </c>
    </row>
    <row r="158">
      <c r="A158" t="n">
        <v>11</v>
      </c>
      <c r="B158" t="inlineStr">
        <is>
          <t>A</t>
        </is>
      </c>
      <c r="C158" t="inlineStr">
        <is>
          <t>Answer Accuracy (Pers. 20)</t>
        </is>
      </c>
      <c r="D158" s="3" t="inlineStr">
        <is>
          <t>Correctᵢ ∈ {0,1} via LLM-as-Judge (HASIL: BENAR/SALAH)</t>
        </is>
      </c>
      <c r="E158" s="3" t="inlineStr">
        <is>
          <t>BENAR</t>
        </is>
      </c>
      <c r="F158" t="inlineStr">
        <is>
          <t>BENAR</t>
        </is>
      </c>
      <c r="G158" s="3" t="inlineStr">
        <is>
          <t>evaluator: ollama/llama3</t>
        </is>
      </c>
    </row>
    <row r="159">
      <c r="A159" t="n">
        <v>11</v>
      </c>
      <c r="B159" t="inlineStr">
        <is>
          <t>B</t>
        </is>
      </c>
      <c r="C159" t="inlineStr">
        <is>
          <t>Faithfulness (Pers. 15)</t>
        </is>
      </c>
      <c r="D159" s="3" t="inlineStr">
        <is>
          <t>F = 0,70×Entailment + 0,30×KWoverlap</t>
        </is>
      </c>
      <c r="E159" s="3" t="inlineStr">
        <is>
          <t>Faithfulness = 0,70×Entailment + 0,30×KWoverlap = 0,70×1.0000 + 0,30×0.2224 = 0.7667  (entailment: 6/6 klaim didukung; KWoverlap = (|∩|/|ctx|)^0,65 = (30/303)^0,65 = 0.0990^0,65 = 0.2224)</t>
        </is>
      </c>
      <c r="F159" t="n">
        <v>0.7667</v>
      </c>
      <c r="G159" s="3" t="inlineStr">
        <is>
          <t>metode: llm_entailment + keyword</t>
        </is>
      </c>
    </row>
    <row r="160">
      <c r="A160" t="n">
        <v>11</v>
      </c>
      <c r="B160" t="inlineStr">
        <is>
          <t>B</t>
        </is>
      </c>
      <c r="C160" t="inlineStr">
        <is>
          <t>— Entailment (Pers. 12-13)</t>
        </is>
      </c>
      <c r="D160" s="3" t="inlineStr">
        <is>
          <t>Entailment = Σverdict(sᵢ)/m</t>
        </is>
      </c>
      <c r="E160" s="3" t="inlineStr">
        <is>
          <t>6 klaim YA dari 6 klaim dievaluasi</t>
        </is>
      </c>
      <c r="F160" t="n">
        <v>1</v>
      </c>
      <c r="G160" s="3" t="inlineStr">
        <is>
          <t>verdict per klaim: sheet 'Entailment Detail'</t>
        </is>
      </c>
    </row>
    <row r="161">
      <c r="A161" t="n">
        <v>11</v>
      </c>
      <c r="B161" t="inlineStr">
        <is>
          <t>B</t>
        </is>
      </c>
      <c r="C161" t="inlineStr">
        <is>
          <t>— Keyword Overlap (Pers. 14)</t>
        </is>
      </c>
      <c r="D161" s="3" t="inlineStr">
        <is>
          <t>KWoverlap = (|Stems(ans)∩Stems(ctx)| / |Stems(ctx)|)^0,65</t>
        </is>
      </c>
      <c r="E161" s="3" t="inlineStr">
        <is>
          <t>KWoverlap = (|∩|/|ctx|)^0,65 = (30/303)^0,65 = 0.0990^0,65 = 0.2224</t>
        </is>
      </c>
      <c r="F161" t="n">
        <v>0.2224</v>
      </c>
      <c r="G161" s="3" t="inlineStr"/>
    </row>
    <row r="162">
      <c r="A162" t="n">
        <v>11</v>
      </c>
      <c r="B162" t="inlineStr">
        <is>
          <t>B</t>
        </is>
      </c>
      <c r="C162" t="inlineStr">
        <is>
          <t>Hallucination Risk (Pers. 18)</t>
        </is>
      </c>
      <c r="D162" s="3" t="inlineStr">
        <is>
          <t>Risk = 0,65×(1-F) + 0,20×Contradiction + 0,15×Uncertainty</t>
        </is>
      </c>
      <c r="E162" s="3" t="inlineStr">
        <is>
          <t>Risk = 0,65×OutOfContext + 0,20×Contradiction + 0,15×Uncertainty = 0,65×0.2333 + 0,20×0.0000 + 0,15×0.00 = 0.1516 [RENDAH]</t>
        </is>
      </c>
      <c r="F162" t="n">
        <v>0.1516</v>
      </c>
      <c r="G162" s="3" t="inlineStr">
        <is>
          <t>label: RENDAH; kontradiksi 0/23 kalimat; uncertainty flag: False</t>
        </is>
      </c>
    </row>
    <row r="163">
      <c r="A163" t="n">
        <v>11</v>
      </c>
      <c r="B163" t="inlineStr">
        <is>
          <t>B</t>
        </is>
      </c>
      <c r="C163" t="inlineStr">
        <is>
          <t>Answer Accuracy (Pers. 20)</t>
        </is>
      </c>
      <c r="D163" s="3" t="inlineStr">
        <is>
          <t>Correctᵢ ∈ {0,1} via LLM-as-Judge (HASIL: BENAR/SALAH)</t>
        </is>
      </c>
      <c r="E163" s="3" t="inlineStr">
        <is>
          <t xml:space="preserve">BENAR
Rationale: The system's answer emphasizes the importance of decomposition in breaking down problems into smaller, more manageable parts, which aligns with the concept presented in the reference material. While it doesn't provide a specific criterion for determining how deep to decompose a problem, it does highlight the need to identify key components and break down complex issues, which is </t>
        </is>
      </c>
      <c r="F163" t="inlineStr">
        <is>
          <t>BENAR</t>
        </is>
      </c>
      <c r="G163" s="3" t="inlineStr">
        <is>
          <t>evaluator: ollama/llama3</t>
        </is>
      </c>
    </row>
    <row r="164">
      <c r="A164" t="n">
        <v>12</v>
      </c>
      <c r="B164" t="inlineStr">
        <is>
          <t>A</t>
        </is>
      </c>
      <c r="C164" t="inlineStr">
        <is>
          <t>Precision@K (Pers. 2)</t>
        </is>
      </c>
      <c r="D164" s="3" t="inlineStr">
        <is>
          <t>Precision@K = |{d ∈ TopK : sim(q,d) ≥ θ}| / K</t>
        </is>
      </c>
      <c r="E164" s="3" t="inlineStr">
        <is>
          <t>skor = [0.8341, 0.8023, 0.7753, 0.7564, 0.7347, 0.7329] → 6 / 6</t>
        </is>
      </c>
      <c r="F164" t="n">
        <v>1</v>
      </c>
      <c r="G164" s="3" t="inlineStr">
        <is>
          <t>basis: skor chunk nyata (sesuai contoh Pers. 2 skripsi)</t>
        </is>
      </c>
    </row>
    <row r="165">
      <c r="A165" t="n">
        <v>12</v>
      </c>
      <c r="B165" t="inlineStr">
        <is>
          <t>A</t>
        </is>
      </c>
      <c r="C165" t="inlineStr">
        <is>
          <t>Recall@K (Pers. 4)</t>
        </is>
      </c>
      <c r="D165" s="3" t="inlineStr">
        <is>
          <t>Recall@K = |{kata kunci ditemukan : sim ≥ θ}| / |R|</t>
        </is>
      </c>
      <c r="E165" s="3" t="inlineStr">
        <is>
          <t>skor = [0.6712, 0.4954, 0.4813, 0.471, 0.4676, 0.4584] → 6 / 6</t>
        </is>
      </c>
      <c r="F165" t="n">
        <v>1</v>
      </c>
      <c r="G165" s="3" t="inlineStr"/>
    </row>
    <row r="166">
      <c r="A166" t="n">
        <v>12</v>
      </c>
      <c r="B166" t="inlineStr">
        <is>
          <t>A</t>
        </is>
      </c>
      <c r="C166" t="inlineStr">
        <is>
          <t>Mean Similarity (Pers. 6)</t>
        </is>
      </c>
      <c r="D166" s="3" t="inlineStr">
        <is>
          <t>MeanSim = (1/K) × Σ sim(q, dᵢ)</t>
        </is>
      </c>
      <c r="E166" s="3" t="inlineStr">
        <is>
          <t>skor = [0.8341, 0.8023, 0.7753, 0.7564, 0.7347, 0.7329] → (0.8341 + 0.8023 + 0.7753 + 0.7564 + 0.7347 + 0.7329) / 6</t>
        </is>
      </c>
      <c r="F166" t="n">
        <v>0.7726</v>
      </c>
      <c r="G166" s="3" t="inlineStr"/>
    </row>
    <row r="167">
      <c r="A167" t="n">
        <v>12</v>
      </c>
      <c r="B167" t="inlineStr">
        <is>
          <t>A</t>
        </is>
      </c>
      <c r="C167" t="inlineStr">
        <is>
          <t>Coverage (Pers. 8)</t>
        </is>
      </c>
      <c r="D167" s="3" t="inlineStr">
        <is>
          <t>Coverage = |{dᵢ ∈ TopK : sim(q,dᵢ) ≥ θc}| / K</t>
        </is>
      </c>
      <c r="E167" s="3" t="inlineStr">
        <is>
          <t>skor = [0.8341, 0.8023, 0.7753, 0.7564, 0.7347, 0.7329] → 6 / 6</t>
        </is>
      </c>
      <c r="F167" t="n">
        <v>1</v>
      </c>
      <c r="G167" s="3" t="inlineStr"/>
    </row>
    <row r="168">
      <c r="A168" t="n">
        <v>12</v>
      </c>
      <c r="B168" t="inlineStr">
        <is>
          <t>A</t>
        </is>
      </c>
      <c r="C168" t="inlineStr">
        <is>
          <t>Source Diversity (Pers. 10)</t>
        </is>
      </c>
      <c r="D168" s="3" t="inlineStr">
        <is>
          <t>Diversity = |sumber unik dalam TopK| / K</t>
        </is>
      </c>
      <c r="E168" s="3" t="inlineStr">
        <is>
          <t>skor = ['GT_CT04.txt', 'GT_DETAIL_PT03_Dekomposisi.txt', 'GT_DETAIL_PT04_Abstraksi.txt', 'GT_SUBTOPIK_02_Abstraksi_Formulasi.txt'] → 4 / 6</t>
        </is>
      </c>
      <c r="F168" t="n">
        <v>0.6667</v>
      </c>
      <c r="G168" s="3" t="inlineStr">
        <is>
          <t>file unik: GT_CT04.txt, GT_DETAIL_PT03_Dekomposisi.txt, GT_DETAIL_PT04_Abstraksi.txt, GT_SUBTOPIK_02_Abstraksi_Formulasi.txt</t>
        </is>
      </c>
    </row>
    <row r="169">
      <c r="A169" t="n">
        <v>12</v>
      </c>
      <c r="B169" t="inlineStr">
        <is>
          <t>A</t>
        </is>
      </c>
      <c r="C169" t="inlineStr">
        <is>
          <t>Faithfulness (Pers. 15)</t>
        </is>
      </c>
      <c r="D169" s="3" t="inlineStr">
        <is>
          <t>F = 0,70×Entailment + 0,30×KWoverlap</t>
        </is>
      </c>
      <c r="E169" s="3" t="inlineStr">
        <is>
          <t>Faithfulness = 0,70×Entailment + 0,30×KWoverlap = 0,70×1.0000 + 0,30×0.3545 = 0.8064  (entailment: 6/6 klaim didukung; KWoverlap = (|∩|/|ctx|)^0,65 = (43/212)^0,65 = 0.2028^0,65 = 0.3545)</t>
        </is>
      </c>
      <c r="F169" t="n">
        <v>0.8064</v>
      </c>
      <c r="G169" s="3" t="inlineStr">
        <is>
          <t>metode: llm_entailment + keyword</t>
        </is>
      </c>
    </row>
    <row r="170">
      <c r="A170" t="n">
        <v>12</v>
      </c>
      <c r="B170" t="inlineStr">
        <is>
          <t>A</t>
        </is>
      </c>
      <c r="C170" t="inlineStr">
        <is>
          <t>— Entailment (Pers. 12-13)</t>
        </is>
      </c>
      <c r="D170" s="3" t="inlineStr">
        <is>
          <t>Entailment = Σverdict(sᵢ)/m</t>
        </is>
      </c>
      <c r="E170" s="3" t="inlineStr">
        <is>
          <t>6 klaim YA dari 6 klaim dievaluasi</t>
        </is>
      </c>
      <c r="F170" t="n">
        <v>1</v>
      </c>
      <c r="G170" s="3" t="inlineStr">
        <is>
          <t>verdict per klaim: sheet 'Entailment Detail'</t>
        </is>
      </c>
    </row>
    <row r="171">
      <c r="A171" t="n">
        <v>12</v>
      </c>
      <c r="B171" t="inlineStr">
        <is>
          <t>A</t>
        </is>
      </c>
      <c r="C171" t="inlineStr">
        <is>
          <t>— Keyword Overlap (Pers. 14)</t>
        </is>
      </c>
      <c r="D171" s="3" t="inlineStr">
        <is>
          <t>KWoverlap = (|Stems(ans)∩Stems(ctx)| / |Stems(ctx)|)^0,65</t>
        </is>
      </c>
      <c r="E171" s="3" t="inlineStr">
        <is>
          <t>KWoverlap = (|∩|/|ctx|)^0,65 = (43/212)^0,65 = 0.2028^0,65 = 0.3545</t>
        </is>
      </c>
      <c r="F171" t="n">
        <v>0.3545</v>
      </c>
      <c r="G171" s="3" t="inlineStr"/>
    </row>
    <row r="172">
      <c r="A172" t="n">
        <v>12</v>
      </c>
      <c r="B172" t="inlineStr">
        <is>
          <t>A</t>
        </is>
      </c>
      <c r="C172" t="inlineStr">
        <is>
          <t>Hallucination Risk (Pers. 18)</t>
        </is>
      </c>
      <c r="D172" s="3" t="inlineStr">
        <is>
          <t>Risk = 0,65×(1-F) + 0,20×Contradiction + 0,15×Uncertainty</t>
        </is>
      </c>
      <c r="E172" s="3" t="inlineStr">
        <is>
          <t>Risk = 0,65×OutOfContext + 0,20×Contradiction + 0,15×Uncertainty = 0,65×0.1936 + 0,20×0.0000 + 0,15×0.20 = 0.1558 [RENDAH]</t>
        </is>
      </c>
      <c r="F172" t="n">
        <v>0.1558</v>
      </c>
      <c r="G172" s="3" t="inlineStr">
        <is>
          <t>label: RENDAH; kontradiksi 0/10 kalimat; uncertainty flag: True</t>
        </is>
      </c>
    </row>
    <row r="173">
      <c r="A173" t="n">
        <v>12</v>
      </c>
      <c r="B173" t="inlineStr">
        <is>
          <t>A</t>
        </is>
      </c>
      <c r="C173" t="inlineStr">
        <is>
          <t>Answer Accuracy (Pers. 20)</t>
        </is>
      </c>
      <c r="D173" s="3" t="inlineStr">
        <is>
          <t>Correctᵢ ∈ {0,1} via LLM-as-Judge (HASIL: BENAR/SALAH)</t>
        </is>
      </c>
      <c r="E173" s="3" t="inlineStr"/>
      <c r="F173" t="inlineStr">
        <is>
          <t>BENAR</t>
        </is>
      </c>
      <c r="G173" s="3" t="inlineStr">
        <is>
          <t>evaluator: ollama/llama3</t>
        </is>
      </c>
    </row>
    <row r="174">
      <c r="A174" t="n">
        <v>12</v>
      </c>
      <c r="B174" t="inlineStr">
        <is>
          <t>B</t>
        </is>
      </c>
      <c r="C174" t="inlineStr">
        <is>
          <t>Faithfulness (Pers. 15)</t>
        </is>
      </c>
      <c r="D174" s="3" t="inlineStr">
        <is>
          <t>F = 0,70×Entailment + 0,30×KWoverlap</t>
        </is>
      </c>
      <c r="E174" s="3" t="inlineStr">
        <is>
          <t>Faithfulness = 0,70×Entailment + 0,30×KWoverlap = 0,70×1.0000 + 0,30×0.2156 = 0.7647  (entailment: 6/6 klaim didukung; KWoverlap = (|∩|/|ctx|)^0,65 = (20/212)^0,65 = 0.0943^0,65 = 0.2156)</t>
        </is>
      </c>
      <c r="F174" t="n">
        <v>0.7647</v>
      </c>
      <c r="G174" s="3" t="inlineStr">
        <is>
          <t>metode: llm_entailment + keyword</t>
        </is>
      </c>
    </row>
    <row r="175">
      <c r="A175" t="n">
        <v>12</v>
      </c>
      <c r="B175" t="inlineStr">
        <is>
          <t>B</t>
        </is>
      </c>
      <c r="C175" t="inlineStr">
        <is>
          <t>— Entailment (Pers. 12-13)</t>
        </is>
      </c>
      <c r="D175" s="3" t="inlineStr">
        <is>
          <t>Entailment = Σverdict(sᵢ)/m</t>
        </is>
      </c>
      <c r="E175" s="3" t="inlineStr">
        <is>
          <t>6 klaim YA dari 6 klaim dievaluasi</t>
        </is>
      </c>
      <c r="F175" t="n">
        <v>1</v>
      </c>
      <c r="G175" s="3" t="inlineStr">
        <is>
          <t>verdict per klaim: sheet 'Entailment Detail'</t>
        </is>
      </c>
    </row>
    <row r="176">
      <c r="A176" t="n">
        <v>12</v>
      </c>
      <c r="B176" t="inlineStr">
        <is>
          <t>B</t>
        </is>
      </c>
      <c r="C176" t="inlineStr">
        <is>
          <t>— Keyword Overlap (Pers. 14)</t>
        </is>
      </c>
      <c r="D176" s="3" t="inlineStr">
        <is>
          <t>KWoverlap = (|Stems(ans)∩Stems(ctx)| / |Stems(ctx)|)^0,65</t>
        </is>
      </c>
      <c r="E176" s="3" t="inlineStr">
        <is>
          <t>KWoverlap = (|∩|/|ctx|)^0,65 = (20/212)^0,65 = 0.0943^0,65 = 0.2156</t>
        </is>
      </c>
      <c r="F176" t="n">
        <v>0.2156</v>
      </c>
      <c r="G176" s="3" t="inlineStr"/>
    </row>
    <row r="177">
      <c r="A177" t="n">
        <v>12</v>
      </c>
      <c r="B177" t="inlineStr">
        <is>
          <t>B</t>
        </is>
      </c>
      <c r="C177" t="inlineStr">
        <is>
          <t>Hallucination Risk (Pers. 18)</t>
        </is>
      </c>
      <c r="D177" s="3" t="inlineStr">
        <is>
          <t>Risk = 0,65×(1-F) + 0,20×Contradiction + 0,15×Uncertainty</t>
        </is>
      </c>
      <c r="E177" s="3" t="inlineStr">
        <is>
          <t>Risk = 0,65×OutOfContext + 0,20×Contradiction + 0,15×Uncertainty = 0,65×0.2353 + 0,20×0.0000 + 0,15×0.00 = 0.1529 [RENDAH]</t>
        </is>
      </c>
      <c r="F177" t="n">
        <v>0.1529</v>
      </c>
      <c r="G177" s="3" t="inlineStr">
        <is>
          <t>label: RENDAH; kontradiksi 0/12 kalimat; uncertainty flag: False</t>
        </is>
      </c>
    </row>
    <row r="178">
      <c r="A178" t="n">
        <v>13</v>
      </c>
      <c r="B178" t="inlineStr">
        <is>
          <t>A</t>
        </is>
      </c>
      <c r="C178" t="inlineStr">
        <is>
          <t>Precision@K (Pers. 2)</t>
        </is>
      </c>
      <c r="D178" s="3" t="inlineStr">
        <is>
          <t>Precision@K = |{d ∈ TopK : sim(q,d) ≥ θ}| / K</t>
        </is>
      </c>
      <c r="E178" s="3" t="inlineStr">
        <is>
          <t>skor = [0.7561, 0.7339, 0.7332, 0.7328, 0.7196, 0.7193] → 6 / 6</t>
        </is>
      </c>
      <c r="F178" t="n">
        <v>1</v>
      </c>
      <c r="G178" s="3" t="inlineStr">
        <is>
          <t>basis: skor chunk nyata (sesuai contoh Pers. 2 skripsi)</t>
        </is>
      </c>
    </row>
    <row r="179">
      <c r="A179" t="n">
        <v>13</v>
      </c>
      <c r="B179" t="inlineStr">
        <is>
          <t>A</t>
        </is>
      </c>
      <c r="C179" t="inlineStr">
        <is>
          <t>Recall@K (Pers. 4)</t>
        </is>
      </c>
      <c r="D179" s="3" t="inlineStr">
        <is>
          <t>Recall@K = |{kata kunci ditemukan : sim ≥ θ}| / |R|</t>
        </is>
      </c>
      <c r="E179" s="3" t="inlineStr">
        <is>
          <t>skor = [0.6546, 0.6074, 0.5901, 0.4222, 0.4139, 0.3952] → 6 / 6</t>
        </is>
      </c>
      <c r="F179" t="n">
        <v>1</v>
      </c>
      <c r="G179" s="3" t="inlineStr"/>
    </row>
    <row r="180">
      <c r="A180" t="n">
        <v>13</v>
      </c>
      <c r="B180" t="inlineStr">
        <is>
          <t>A</t>
        </is>
      </c>
      <c r="C180" t="inlineStr">
        <is>
          <t>Mean Similarity (Pers. 6)</t>
        </is>
      </c>
      <c r="D180" s="3" t="inlineStr">
        <is>
          <t>MeanSim = (1/K) × Σ sim(q, dᵢ)</t>
        </is>
      </c>
      <c r="E180" s="3" t="inlineStr">
        <is>
          <t>skor = [0.7561, 0.7339, 0.7332, 0.7328, 0.7196, 0.7193] → (0.7561 + 0.7339 + 0.7332 + 0.7328 + 0.7196 + 0.7193) / 6</t>
        </is>
      </c>
      <c r="F180" t="n">
        <v>0.7325</v>
      </c>
      <c r="G180" s="3" t="inlineStr"/>
    </row>
    <row r="181">
      <c r="A181" t="n">
        <v>13</v>
      </c>
      <c r="B181" t="inlineStr">
        <is>
          <t>A</t>
        </is>
      </c>
      <c r="C181" t="inlineStr">
        <is>
          <t>Coverage (Pers. 8)</t>
        </is>
      </c>
      <c r="D181" s="3" t="inlineStr">
        <is>
          <t>Coverage = |{dᵢ ∈ TopK : sim(q,dᵢ) ≥ θc}| / K</t>
        </is>
      </c>
      <c r="E181" s="3" t="inlineStr">
        <is>
          <t>skor = [0.7561, 0.7339, 0.7332, 0.7328, 0.7196, 0.7193] → 6 / 6</t>
        </is>
      </c>
      <c r="F181" t="n">
        <v>1</v>
      </c>
      <c r="G181" s="3" t="inlineStr"/>
    </row>
    <row r="182">
      <c r="A182" t="n">
        <v>13</v>
      </c>
      <c r="B182" t="inlineStr">
        <is>
          <t>A</t>
        </is>
      </c>
      <c r="C182" t="inlineStr">
        <is>
          <t>Source Diversity (Pers. 10)</t>
        </is>
      </c>
      <c r="D182" s="3" t="inlineStr">
        <is>
          <t>Diversity = |sumber unik dalam TopK| / K</t>
        </is>
      </c>
      <c r="E182" s="3" t="inlineStr">
        <is>
          <t>skor = ['GT_CT04.txt', 'GT_CT07.txt', 'GT_CT09.txt', 'GT_DETAIL_PT01_Pendahuluan.txt', 'GT_DETAIL_PT04_Abstraksi.txt'] → 5 / 6</t>
        </is>
      </c>
      <c r="F182" t="n">
        <v>0.8333</v>
      </c>
      <c r="G182" s="3" t="inlineStr">
        <is>
          <t>file unik: GT_CT04.txt, GT_CT07.txt, GT_CT09.txt, GT_DETAIL_PT01_Pendahuluan.txt, GT_DETAIL_PT04_Abstraksi.txt</t>
        </is>
      </c>
    </row>
    <row r="183">
      <c r="A183" t="n">
        <v>13</v>
      </c>
      <c r="B183" t="inlineStr">
        <is>
          <t>A</t>
        </is>
      </c>
      <c r="C183" t="inlineStr">
        <is>
          <t>Faithfulness (Pers. 15)</t>
        </is>
      </c>
      <c r="D183" s="3" t="inlineStr">
        <is>
          <t>F = 0,70×Entailment + 0,30×KWoverlap</t>
        </is>
      </c>
      <c r="E183" s="3" t="inlineStr">
        <is>
          <t>Faithfulness = 0,70×Entailment + 0,30×KWoverlap = 0,70×1.0000 + 0,30×0.2758 = 0.7827  (entailment: 6/6 klaim didukung; KWoverlap = (|∩|/|ctx|)^0,65 = (43/312)^0,65 = 0.1378^0,65 = 0.2758)</t>
        </is>
      </c>
      <c r="F183" t="n">
        <v>0.7827</v>
      </c>
      <c r="G183" s="3" t="inlineStr">
        <is>
          <t>metode: llm_entailment + keyword</t>
        </is>
      </c>
    </row>
    <row r="184">
      <c r="A184" t="n">
        <v>13</v>
      </c>
      <c r="B184" t="inlineStr">
        <is>
          <t>A</t>
        </is>
      </c>
      <c r="C184" t="inlineStr">
        <is>
          <t>— Entailment (Pers. 12-13)</t>
        </is>
      </c>
      <c r="D184" s="3" t="inlineStr">
        <is>
          <t>Entailment = Σverdict(sᵢ)/m</t>
        </is>
      </c>
      <c r="E184" s="3" t="inlineStr">
        <is>
          <t>6 klaim YA dari 6 klaim dievaluasi</t>
        </is>
      </c>
      <c r="F184" t="n">
        <v>1</v>
      </c>
      <c r="G184" s="3" t="inlineStr">
        <is>
          <t>verdict per klaim: sheet 'Entailment Detail'</t>
        </is>
      </c>
    </row>
    <row r="185">
      <c r="A185" t="n">
        <v>13</v>
      </c>
      <c r="B185" t="inlineStr">
        <is>
          <t>A</t>
        </is>
      </c>
      <c r="C185" t="inlineStr">
        <is>
          <t>— Keyword Overlap (Pers. 14)</t>
        </is>
      </c>
      <c r="D185" s="3" t="inlineStr">
        <is>
          <t>KWoverlap = (|Stems(ans)∩Stems(ctx)| / |Stems(ctx)|)^0,65</t>
        </is>
      </c>
      <c r="E185" s="3" t="inlineStr">
        <is>
          <t>KWoverlap = (|∩|/|ctx|)^0,65 = (43/312)^0,65 = 0.1378^0,65 = 0.2758</t>
        </is>
      </c>
      <c r="F185" t="n">
        <v>0.2758</v>
      </c>
      <c r="G185" s="3" t="inlineStr"/>
    </row>
    <row r="186">
      <c r="A186" t="n">
        <v>13</v>
      </c>
      <c r="B186" t="inlineStr">
        <is>
          <t>A</t>
        </is>
      </c>
      <c r="C186" t="inlineStr">
        <is>
          <t>Hallucination Risk (Pers. 18)</t>
        </is>
      </c>
      <c r="D186" s="3" t="inlineStr">
        <is>
          <t>Risk = 0,65×(1-F) + 0,20×Contradiction + 0,15×Uncertainty</t>
        </is>
      </c>
      <c r="E186" s="3" t="inlineStr">
        <is>
          <t>Risk = 0,65×OutOfContext + 0,20×Contradiction + 0,15×Uncertainty = 0,65×0.2173 + 0,20×0.0000 + 0,15×0.20 = 0.1712 [RENDAH]</t>
        </is>
      </c>
      <c r="F186" t="n">
        <v>0.1712</v>
      </c>
      <c r="G186" s="3" t="inlineStr">
        <is>
          <t>label: RENDAH; kontradiksi 0/10 kalimat; uncertainty flag: True</t>
        </is>
      </c>
    </row>
    <row r="187">
      <c r="A187" t="n">
        <v>13</v>
      </c>
      <c r="B187" t="inlineStr">
        <is>
          <t>A</t>
        </is>
      </c>
      <c r="C187" t="inlineStr">
        <is>
          <t>Answer Accuracy (Pers. 20)</t>
        </is>
      </c>
      <c r="D187" s="3" t="inlineStr">
        <is>
          <t>Correctᵢ ∈ {0,1} via LLM-as-Judge (HASIL: BENAR/SALAH)</t>
        </is>
      </c>
      <c r="E187" s="3" t="inlineStr">
        <is>
          <t>BENAR</t>
        </is>
      </c>
      <c r="F187" t="inlineStr">
        <is>
          <t>BENAR</t>
        </is>
      </c>
      <c r="G187" s="3" t="inlineStr">
        <is>
          <t>evaluator: ollama/llama3</t>
        </is>
      </c>
    </row>
    <row r="188">
      <c r="A188" t="n">
        <v>13</v>
      </c>
      <c r="B188" t="inlineStr">
        <is>
          <t>B</t>
        </is>
      </c>
      <c r="C188" t="inlineStr">
        <is>
          <t>Faithfulness (Pers. 15)</t>
        </is>
      </c>
      <c r="D188" s="3" t="inlineStr">
        <is>
          <t>F = 0,70×Entailment + 0,30×KWoverlap</t>
        </is>
      </c>
      <c r="E188" s="3" t="inlineStr">
        <is>
          <t>Faithfulness = 0,70×Entailment + 0,30×KWoverlap = 0,70×0.8333 + 0,30×0.2276 = 0.6516  (entailment: 5/6 klaim didukung; KWoverlap = (|∩|/|ctx|)^0,65 = (32/312)^0,65 = 0.1026^0,65 = 0.2276)</t>
        </is>
      </c>
      <c r="F188" t="n">
        <v>0.6516</v>
      </c>
      <c r="G188" s="3" t="inlineStr">
        <is>
          <t>metode: llm_entailment + keyword</t>
        </is>
      </c>
    </row>
    <row r="189">
      <c r="A189" t="n">
        <v>13</v>
      </c>
      <c r="B189" t="inlineStr">
        <is>
          <t>B</t>
        </is>
      </c>
      <c r="C189" t="inlineStr">
        <is>
          <t>— Entailment (Pers. 12-13)</t>
        </is>
      </c>
      <c r="D189" s="3" t="inlineStr">
        <is>
          <t>Entailment = Σverdict(sᵢ)/m</t>
        </is>
      </c>
      <c r="E189" s="3" t="inlineStr">
        <is>
          <t>5 klaim YA dari 6 klaim dievaluasi</t>
        </is>
      </c>
      <c r="F189" t="n">
        <v>0.8333</v>
      </c>
      <c r="G189" s="3" t="inlineStr">
        <is>
          <t>verdict per klaim: sheet 'Entailment Detail'</t>
        </is>
      </c>
    </row>
    <row r="190">
      <c r="A190" t="n">
        <v>13</v>
      </c>
      <c r="B190" t="inlineStr">
        <is>
          <t>B</t>
        </is>
      </c>
      <c r="C190" t="inlineStr">
        <is>
          <t>— Keyword Overlap (Pers. 14)</t>
        </is>
      </c>
      <c r="D190" s="3" t="inlineStr">
        <is>
          <t>KWoverlap = (|Stems(ans)∩Stems(ctx)| / |Stems(ctx)|)^0,65</t>
        </is>
      </c>
      <c r="E190" s="3" t="inlineStr">
        <is>
          <t>KWoverlap = (|∩|/|ctx|)^0,65 = (32/312)^0,65 = 0.1026^0,65 = 0.2276</t>
        </is>
      </c>
      <c r="F190" t="n">
        <v>0.2276</v>
      </c>
      <c r="G190" s="3" t="inlineStr"/>
    </row>
    <row r="191">
      <c r="A191" t="n">
        <v>13</v>
      </c>
      <c r="B191" t="inlineStr">
        <is>
          <t>B</t>
        </is>
      </c>
      <c r="C191" t="inlineStr">
        <is>
          <t>Hallucination Risk (Pers. 18)</t>
        </is>
      </c>
      <c r="D191" s="3" t="inlineStr">
        <is>
          <t>Risk = 0,65×(1-F) + 0,20×Contradiction + 0,15×Uncertainty</t>
        </is>
      </c>
      <c r="E191" s="3" t="inlineStr">
        <is>
          <t>Risk = 0,65×OutOfContext + 0,20×Contradiction + 0,15×Uncertainty = 0,65×0.3484 + 0,20×0.0000 + 0,15×0.20 = 0.2565 [RENDAH]</t>
        </is>
      </c>
      <c r="F191" t="n">
        <v>0.2565</v>
      </c>
      <c r="G191" s="3" t="inlineStr">
        <is>
          <t>label: RENDAH; kontradiksi 0/9 kalimat; uncertainty flag: True</t>
        </is>
      </c>
    </row>
    <row r="192">
      <c r="A192" t="n">
        <v>13</v>
      </c>
      <c r="B192" t="inlineStr">
        <is>
          <t>B</t>
        </is>
      </c>
      <c r="C192" t="inlineStr">
        <is>
          <t>Answer Accuracy (Pers. 20)</t>
        </is>
      </c>
      <c r="D192" s="3" t="inlineStr">
        <is>
          <t>Correctᵢ ∈ {0,1} via LLM-as-Judge (HASIL: BENAR/SALAH)</t>
        </is>
      </c>
      <c r="E192" s="3" t="inlineStr">
        <is>
          <t>BENAR</t>
        </is>
      </c>
      <c r="F192" t="inlineStr">
        <is>
          <t>BENAR</t>
        </is>
      </c>
      <c r="G192" s="3" t="inlineStr">
        <is>
          <t>evaluator: ollama/llama3</t>
        </is>
      </c>
    </row>
    <row r="193">
      <c r="A193" t="n">
        <v>14</v>
      </c>
      <c r="B193" t="inlineStr">
        <is>
          <t>A</t>
        </is>
      </c>
      <c r="C193" t="inlineStr">
        <is>
          <t>Precision@K (Pers. 2)</t>
        </is>
      </c>
      <c r="D193" s="3" t="inlineStr">
        <is>
          <t>Precision@K = |{d ∈ TopK : sim(q,d) ≥ θ}| / K</t>
        </is>
      </c>
      <c r="E193" s="3" t="inlineStr">
        <is>
          <t>skor = [0.7677, 0.7143, 0.6967, 0.6776, 0.672, 0.6697] → 6 / 6</t>
        </is>
      </c>
      <c r="F193" t="n">
        <v>1</v>
      </c>
      <c r="G193" s="3" t="inlineStr">
        <is>
          <t>basis: skor chunk nyata (sesuai contoh Pers. 2 skripsi)</t>
        </is>
      </c>
    </row>
    <row r="194">
      <c r="A194" t="n">
        <v>14</v>
      </c>
      <c r="B194" t="inlineStr">
        <is>
          <t>A</t>
        </is>
      </c>
      <c r="C194" t="inlineStr">
        <is>
          <t>Recall@K (Pers. 4)</t>
        </is>
      </c>
      <c r="D194" s="3" t="inlineStr">
        <is>
          <t>Recall@K = |{kata kunci ditemukan : sim ≥ θ}| / |R|</t>
        </is>
      </c>
      <c r="E194" s="3" t="inlineStr">
        <is>
          <t>skor = [0.7305, 0.5747, 0.5509, 0.4784, 0.4128] → 5 / 5</t>
        </is>
      </c>
      <c r="F194" t="n">
        <v>1</v>
      </c>
      <c r="G194" s="3" t="inlineStr"/>
    </row>
    <row r="195">
      <c r="A195" t="n">
        <v>14</v>
      </c>
      <c r="B195" t="inlineStr">
        <is>
          <t>A</t>
        </is>
      </c>
      <c r="C195" t="inlineStr">
        <is>
          <t>Mean Similarity (Pers. 6)</t>
        </is>
      </c>
      <c r="D195" s="3" t="inlineStr">
        <is>
          <t>MeanSim = (1/K) × Σ sim(q, dᵢ)</t>
        </is>
      </c>
      <c r="E195" s="3" t="inlineStr">
        <is>
          <t>skor = [0.7677, 0.7143, 0.6967, 0.6776, 0.672, 0.6697] → (0.7677 + 0.7143 + 0.6967 + 0.6776 + 0.6720 + 0.6697) / 6</t>
        </is>
      </c>
      <c r="F195" t="n">
        <v>0.6997</v>
      </c>
      <c r="G195" s="3" t="inlineStr"/>
    </row>
    <row r="196">
      <c r="A196" t="n">
        <v>14</v>
      </c>
      <c r="B196" t="inlineStr">
        <is>
          <t>A</t>
        </is>
      </c>
      <c r="C196" t="inlineStr">
        <is>
          <t>Coverage (Pers. 8)</t>
        </is>
      </c>
      <c r="D196" s="3" t="inlineStr">
        <is>
          <t>Coverage = |{dᵢ ∈ TopK : sim(q,dᵢ) ≥ θc}| / K</t>
        </is>
      </c>
      <c r="E196" s="3" t="inlineStr">
        <is>
          <t>skor = [0.7677, 0.7143, 0.6967, 0.6776, 0.672, 0.6697] → 6 / 6</t>
        </is>
      </c>
      <c r="F196" t="n">
        <v>1</v>
      </c>
      <c r="G196" s="3" t="inlineStr"/>
    </row>
    <row r="197">
      <c r="A197" t="n">
        <v>14</v>
      </c>
      <c r="B197" t="inlineStr">
        <is>
          <t>A</t>
        </is>
      </c>
      <c r="C197" t="inlineStr">
        <is>
          <t>Source Diversity (Pers. 10)</t>
        </is>
      </c>
      <c r="D197" s="3" t="inlineStr">
        <is>
          <t>Diversity = |sumber unik dalam TopK| / K</t>
        </is>
      </c>
      <c r="E197" s="3" t="inlineStr">
        <is>
          <t>skor = ['GT_CT01.txt', 'GT_CT02.txt', 'GT_CT04.txt', 'GT_DETAIL_PT02_ICT_Literacy_Ethics.txt', 'GT_DETAIL_PT04_Abstraksi.txt', 'GT_SUBTOPIK_02_Abstraksi_Formulasi.txt'] → 6 / 6</t>
        </is>
      </c>
      <c r="F197" t="n">
        <v>1</v>
      </c>
      <c r="G197" s="3" t="inlineStr">
        <is>
          <t>file unik: GT_CT01.txt, GT_CT02.txt, GT_CT04.txt, GT_DETAIL_PT02_ICT_Literacy_Ethics.txt, GT_DETAIL_PT04_Abstraksi.txt, GT_SUBTOPIK_02_Abstraksi_Formulasi.txt</t>
        </is>
      </c>
    </row>
    <row r="198">
      <c r="A198" t="n">
        <v>14</v>
      </c>
      <c r="B198" t="inlineStr">
        <is>
          <t>A</t>
        </is>
      </c>
      <c r="C198" t="inlineStr">
        <is>
          <t>Faithfulness (Pers. 15)</t>
        </is>
      </c>
      <c r="D198" s="3" t="inlineStr">
        <is>
          <t>F = 0,70×Entailment + 0,30×KWoverlap</t>
        </is>
      </c>
      <c r="E198" s="3" t="inlineStr">
        <is>
          <t>Faithfulness = 0,70×Entailment + 0,30×KWoverlap = 0,70×1.0000 + 0,30×0.2823 = 0.7847  (entailment: 6/6 klaim didukung; KWoverlap = (|∩|/|ctx|)^0,65 = (49/343)^0,65 = 0.1429^0,65 = 0.2823)</t>
        </is>
      </c>
      <c r="F198" t="n">
        <v>0.7847</v>
      </c>
      <c r="G198" s="3" t="inlineStr">
        <is>
          <t>metode: llm_entailment + keyword</t>
        </is>
      </c>
    </row>
    <row r="199">
      <c r="A199" t="n">
        <v>14</v>
      </c>
      <c r="B199" t="inlineStr">
        <is>
          <t>A</t>
        </is>
      </c>
      <c r="C199" t="inlineStr">
        <is>
          <t>— Entailment (Pers. 12-13)</t>
        </is>
      </c>
      <c r="D199" s="3" t="inlineStr">
        <is>
          <t>Entailment = Σverdict(sᵢ)/m</t>
        </is>
      </c>
      <c r="E199" s="3" t="inlineStr">
        <is>
          <t>6 klaim YA dari 6 klaim dievaluasi</t>
        </is>
      </c>
      <c r="F199" t="n">
        <v>1</v>
      </c>
      <c r="G199" s="3" t="inlineStr">
        <is>
          <t>verdict per klaim: sheet 'Entailment Detail'</t>
        </is>
      </c>
    </row>
    <row r="200">
      <c r="A200" t="n">
        <v>14</v>
      </c>
      <c r="B200" t="inlineStr">
        <is>
          <t>A</t>
        </is>
      </c>
      <c r="C200" t="inlineStr">
        <is>
          <t>— Keyword Overlap (Pers. 14)</t>
        </is>
      </c>
      <c r="D200" s="3" t="inlineStr">
        <is>
          <t>KWoverlap = (|Stems(ans)∩Stems(ctx)| / |Stems(ctx)|)^0,65</t>
        </is>
      </c>
      <c r="E200" s="3" t="inlineStr">
        <is>
          <t>KWoverlap = (|∩|/|ctx|)^0,65 = (49/343)^0,65 = 0.1429^0,65 = 0.2823</t>
        </is>
      </c>
      <c r="F200" t="n">
        <v>0.2823</v>
      </c>
      <c r="G200" s="3" t="inlineStr"/>
    </row>
    <row r="201">
      <c r="A201" t="n">
        <v>14</v>
      </c>
      <c r="B201" t="inlineStr">
        <is>
          <t>A</t>
        </is>
      </c>
      <c r="C201" t="inlineStr">
        <is>
          <t>Hallucination Risk (Pers. 18)</t>
        </is>
      </c>
      <c r="D201" s="3" t="inlineStr">
        <is>
          <t>Risk = 0,65×(1-F) + 0,20×Contradiction + 0,15×Uncertainty</t>
        </is>
      </c>
      <c r="E201" s="3" t="inlineStr">
        <is>
          <t>Risk = 0,65×OutOfContext + 0,20×Contradiction + 0,15×Uncertainty = 0,65×0.2153 + 0,20×0.0000 + 0,15×0.00 = 0.1399 [RENDAH]</t>
        </is>
      </c>
      <c r="F201" t="n">
        <v>0.1399</v>
      </c>
      <c r="G201" s="3" t="inlineStr">
        <is>
          <t>label: RENDAH; kontradiksi 0/9 kalimat; uncertainty flag: False</t>
        </is>
      </c>
    </row>
    <row r="202">
      <c r="A202" t="n">
        <v>14</v>
      </c>
      <c r="B202" t="inlineStr">
        <is>
          <t>B</t>
        </is>
      </c>
      <c r="C202" t="inlineStr">
        <is>
          <t>Faithfulness (Pers. 15)</t>
        </is>
      </c>
      <c r="D202" s="3" t="inlineStr">
        <is>
          <t>F = 0,70×Entailment + 0,30×KWoverlap</t>
        </is>
      </c>
      <c r="E202" s="3" t="inlineStr">
        <is>
          <t>Faithfulness = 0,70×Entailment + 0,30×KWoverlap = 0,70×1.0000 + 0,30×0.2183 = 0.7655  (entailment: 6/6 klaim didukung; KWoverlap = (|∩|/|ctx|)^0,65 = (33/343)^0,65 = 0.0962^0,65 = 0.2183)</t>
        </is>
      </c>
      <c r="F202" t="n">
        <v>0.7655</v>
      </c>
      <c r="G202" s="3" t="inlineStr">
        <is>
          <t>metode: llm_entailment + keyword</t>
        </is>
      </c>
    </row>
    <row r="203">
      <c r="A203" t="n">
        <v>14</v>
      </c>
      <c r="B203" t="inlineStr">
        <is>
          <t>B</t>
        </is>
      </c>
      <c r="C203" t="inlineStr">
        <is>
          <t>— Entailment (Pers. 12-13)</t>
        </is>
      </c>
      <c r="D203" s="3" t="inlineStr">
        <is>
          <t>Entailment = Σverdict(sᵢ)/m</t>
        </is>
      </c>
      <c r="E203" s="3" t="inlineStr">
        <is>
          <t>6 klaim YA dari 6 klaim dievaluasi</t>
        </is>
      </c>
      <c r="F203" t="n">
        <v>1</v>
      </c>
      <c r="G203" s="3" t="inlineStr">
        <is>
          <t>verdict per klaim: sheet 'Entailment Detail'</t>
        </is>
      </c>
    </row>
    <row r="204">
      <c r="A204" t="n">
        <v>14</v>
      </c>
      <c r="B204" t="inlineStr">
        <is>
          <t>B</t>
        </is>
      </c>
      <c r="C204" t="inlineStr">
        <is>
          <t>— Keyword Overlap (Pers. 14)</t>
        </is>
      </c>
      <c r="D204" s="3" t="inlineStr">
        <is>
          <t>KWoverlap = (|Stems(ans)∩Stems(ctx)| / |Stems(ctx)|)^0,65</t>
        </is>
      </c>
      <c r="E204" s="3" t="inlineStr">
        <is>
          <t>KWoverlap = (|∩|/|ctx|)^0,65 = (33/343)^0,65 = 0.0962^0,65 = 0.2183</t>
        </is>
      </c>
      <c r="F204" t="n">
        <v>0.2183</v>
      </c>
      <c r="G204" s="3" t="inlineStr"/>
    </row>
    <row r="205">
      <c r="A205" t="n">
        <v>14</v>
      </c>
      <c r="B205" t="inlineStr">
        <is>
          <t>B</t>
        </is>
      </c>
      <c r="C205" t="inlineStr">
        <is>
          <t>Hallucination Risk (Pers. 18)</t>
        </is>
      </c>
      <c r="D205" s="3" t="inlineStr">
        <is>
          <t>Risk = 0,65×(1-F) + 0,20×Contradiction + 0,15×Uncertainty</t>
        </is>
      </c>
      <c r="E205" s="3" t="inlineStr">
        <is>
          <t>Risk = 0,65×OutOfContext + 0,20×Contradiction + 0,15×Uncertainty = 0,65×0.2345 + 0,20×0.0000 + 0,15×0.00 = 0.1524 [RENDAH]</t>
        </is>
      </c>
      <c r="F205" t="n">
        <v>0.1524</v>
      </c>
      <c r="G205" s="3" t="inlineStr">
        <is>
          <t>label: RENDAH; kontradiksi 0/14 kalimat; uncertainty flag: False</t>
        </is>
      </c>
    </row>
    <row r="206">
      <c r="A206" t="n">
        <v>15</v>
      </c>
      <c r="B206" t="inlineStr">
        <is>
          <t>A</t>
        </is>
      </c>
      <c r="C206" t="inlineStr">
        <is>
          <t>Precision@K (Pers. 2)</t>
        </is>
      </c>
      <c r="D206" s="3" t="inlineStr">
        <is>
          <t>Precision@K = |{d ∈ TopK : sim(q,d) ≥ θ}| / K</t>
        </is>
      </c>
      <c r="E206" s="3" t="inlineStr">
        <is>
          <t>skor = [0.7456, 0.7356, 0.7214, 0.7197, 0.7177, 0.7163] → 6 / 6</t>
        </is>
      </c>
      <c r="F206" t="n">
        <v>1</v>
      </c>
      <c r="G206" s="3" t="inlineStr">
        <is>
          <t>basis: skor chunk nyata (sesuai contoh Pers. 2 skripsi)</t>
        </is>
      </c>
    </row>
    <row r="207">
      <c r="A207" t="n">
        <v>15</v>
      </c>
      <c r="B207" t="inlineStr">
        <is>
          <t>A</t>
        </is>
      </c>
      <c r="C207" t="inlineStr">
        <is>
          <t>Recall@K (Pers. 4)</t>
        </is>
      </c>
      <c r="D207" s="3" t="inlineStr">
        <is>
          <t>Recall@K = |{kata kunci ditemukan : sim ≥ θ}| / |R|</t>
        </is>
      </c>
      <c r="E207" s="3" t="inlineStr">
        <is>
          <t>skor = [0.6905, 0.6599, 0.6036, 0.5746, 0.4609, 0.4307] → 6 / 6</t>
        </is>
      </c>
      <c r="F207" t="n">
        <v>1</v>
      </c>
      <c r="G207" s="3" t="inlineStr"/>
    </row>
    <row r="208">
      <c r="A208" t="n">
        <v>15</v>
      </c>
      <c r="B208" t="inlineStr">
        <is>
          <t>A</t>
        </is>
      </c>
      <c r="C208" t="inlineStr">
        <is>
          <t>Mean Similarity (Pers. 6)</t>
        </is>
      </c>
      <c r="D208" s="3" t="inlineStr">
        <is>
          <t>MeanSim = (1/K) × Σ sim(q, dᵢ)</t>
        </is>
      </c>
      <c r="E208" s="3" t="inlineStr">
        <is>
          <t>skor = [0.7456, 0.7356, 0.7214, 0.7197, 0.7177, 0.7163] → (0.7456 + 0.7356 + 0.7214 + 0.7197 + 0.7177 + 0.7163) / 6</t>
        </is>
      </c>
      <c r="F208" t="n">
        <v>0.726</v>
      </c>
      <c r="G208" s="3" t="inlineStr"/>
    </row>
    <row r="209">
      <c r="A209" t="n">
        <v>15</v>
      </c>
      <c r="B209" t="inlineStr">
        <is>
          <t>A</t>
        </is>
      </c>
      <c r="C209" t="inlineStr">
        <is>
          <t>Coverage (Pers. 8)</t>
        </is>
      </c>
      <c r="D209" s="3" t="inlineStr">
        <is>
          <t>Coverage = |{dᵢ ∈ TopK : sim(q,dᵢ) ≥ θc}| / K</t>
        </is>
      </c>
      <c r="E209" s="3" t="inlineStr">
        <is>
          <t>skor = [0.7456, 0.7356, 0.7214, 0.7197, 0.7177, 0.7163] → 6 / 6</t>
        </is>
      </c>
      <c r="F209" t="n">
        <v>1</v>
      </c>
      <c r="G209" s="3" t="inlineStr"/>
    </row>
    <row r="210">
      <c r="A210" t="n">
        <v>15</v>
      </c>
      <c r="B210" t="inlineStr">
        <is>
          <t>A</t>
        </is>
      </c>
      <c r="C210" t="inlineStr">
        <is>
          <t>Source Diversity (Pers. 10)</t>
        </is>
      </c>
      <c r="D210" s="3" t="inlineStr">
        <is>
          <t>Diversity = |sumber unik dalam TopK| / K</t>
        </is>
      </c>
      <c r="E210" s="3" t="inlineStr">
        <is>
          <t>skor = ['5PAI.txt', 'GT_CT09.txt', 'GT_CT13.txt', 'GT_DETAIL_PT09_Variabel_TipeData_Operator_List.txt', 'GT_SUBTOPIK_14_Kompleksitas_BigO.txt'] → 5 / 6</t>
        </is>
      </c>
      <c r="F210" t="n">
        <v>0.8333</v>
      </c>
      <c r="G210" s="3" t="inlineStr">
        <is>
          <t>file unik: 5PAI.txt, GT_CT09.txt, GT_CT13.txt, GT_DETAIL_PT09_Variabel_TipeData_Operator_List.txt, GT_SUBTOPIK_14_Kompleksitas_BigO.txt</t>
        </is>
      </c>
    </row>
    <row r="211">
      <c r="A211" t="n">
        <v>15</v>
      </c>
      <c r="B211" t="inlineStr">
        <is>
          <t>A</t>
        </is>
      </c>
      <c r="C211" t="inlineStr">
        <is>
          <t>Faithfulness (Pers. 15)</t>
        </is>
      </c>
      <c r="D211" s="3" t="inlineStr">
        <is>
          <t>F = 0,70×Entailment + 0,30×KWoverlap</t>
        </is>
      </c>
      <c r="E211" s="3" t="inlineStr">
        <is>
          <t>Faithfulness = 0,70×Entailment + 0,30×KWoverlap = 0,70×1.0000 + 0,30×0.2799 = 0.7840  (entailment: 6/6 klaim didukung; KWoverlap = (|∩|/|ctx|)^0,65 = (33/234)^0,65 = 0.1410^0,65 = 0.2799)</t>
        </is>
      </c>
      <c r="F211" t="n">
        <v>0.784</v>
      </c>
      <c r="G211" s="3" t="inlineStr">
        <is>
          <t>metode: llm_entailment + keyword</t>
        </is>
      </c>
    </row>
    <row r="212">
      <c r="A212" t="n">
        <v>15</v>
      </c>
      <c r="B212" t="inlineStr">
        <is>
          <t>A</t>
        </is>
      </c>
      <c r="C212" t="inlineStr">
        <is>
          <t>— Entailment (Pers. 12-13)</t>
        </is>
      </c>
      <c r="D212" s="3" t="inlineStr">
        <is>
          <t>Entailment = Σverdict(sᵢ)/m</t>
        </is>
      </c>
      <c r="E212" s="3" t="inlineStr">
        <is>
          <t>6 klaim YA dari 6 klaim dievaluasi</t>
        </is>
      </c>
      <c r="F212" t="n">
        <v>1</v>
      </c>
      <c r="G212" s="3" t="inlineStr">
        <is>
          <t>verdict per klaim: sheet 'Entailment Detail'</t>
        </is>
      </c>
    </row>
    <row r="213">
      <c r="A213" t="n">
        <v>15</v>
      </c>
      <c r="B213" t="inlineStr">
        <is>
          <t>A</t>
        </is>
      </c>
      <c r="C213" t="inlineStr">
        <is>
          <t>— Keyword Overlap (Pers. 14)</t>
        </is>
      </c>
      <c r="D213" s="3" t="inlineStr">
        <is>
          <t>KWoverlap = (|Stems(ans)∩Stems(ctx)| / |Stems(ctx)|)^0,65</t>
        </is>
      </c>
      <c r="E213" s="3" t="inlineStr">
        <is>
          <t>KWoverlap = (|∩|/|ctx|)^0,65 = (33/234)^0,65 = 0.1410^0,65 = 0.2799</t>
        </is>
      </c>
      <c r="F213" t="n">
        <v>0.2799</v>
      </c>
      <c r="G213" s="3" t="inlineStr"/>
    </row>
    <row r="214">
      <c r="A214" t="n">
        <v>15</v>
      </c>
      <c r="B214" t="inlineStr">
        <is>
          <t>A</t>
        </is>
      </c>
      <c r="C214" t="inlineStr">
        <is>
          <t>Hallucination Risk (Pers. 18)</t>
        </is>
      </c>
      <c r="D214" s="3" t="inlineStr">
        <is>
          <t>Risk = 0,65×(1-F) + 0,20×Contradiction + 0,15×Uncertainty</t>
        </is>
      </c>
      <c r="E214" s="3" t="inlineStr">
        <is>
          <t>Risk = 0,65×OutOfContext + 0,20×Contradiction + 0,15×Uncertainty = 0,65×0.2160 + 0,20×0.0000 + 0,15×0.00 = 0.1404 [RENDAH]</t>
        </is>
      </c>
      <c r="F214" t="n">
        <v>0.1404</v>
      </c>
      <c r="G214" s="3" t="inlineStr">
        <is>
          <t>label: RENDAH; kontradiksi 0/11 kalimat; uncertainty flag: False</t>
        </is>
      </c>
    </row>
    <row r="215">
      <c r="A215" t="n">
        <v>15</v>
      </c>
      <c r="B215" t="inlineStr">
        <is>
          <t>A</t>
        </is>
      </c>
      <c r="C215" t="inlineStr">
        <is>
          <t>Answer Accuracy (Pers. 20)</t>
        </is>
      </c>
      <c r="D215" s="3" t="inlineStr">
        <is>
          <t>Correctᵢ ∈ {0,1} via LLM-as-Judge (HASIL: BENAR/SALAH)</t>
        </is>
      </c>
      <c r="E215" s="3" t="inlineStr">
        <is>
          <t>BENAR</t>
        </is>
      </c>
      <c r="F215" t="inlineStr">
        <is>
          <t>BENAR</t>
        </is>
      </c>
      <c r="G215" s="3" t="inlineStr">
        <is>
          <t>evaluator: ollama/llama3</t>
        </is>
      </c>
    </row>
    <row r="216">
      <c r="A216" t="n">
        <v>15</v>
      </c>
      <c r="B216" t="inlineStr">
        <is>
          <t>B</t>
        </is>
      </c>
      <c r="C216" t="inlineStr">
        <is>
          <t>Faithfulness (Pers. 15)</t>
        </is>
      </c>
      <c r="D216" s="3" t="inlineStr">
        <is>
          <t>F = 0,70×Entailment + 0,30×KWoverlap</t>
        </is>
      </c>
      <c r="E216" s="3" t="inlineStr">
        <is>
          <t>Faithfulness = 0,70×Entailment + 0,30×KWoverlap = 0,70×0.8333 + 0,30×0.0589 = 0.6010  (entailment: 5/6 klaim didukung; KWoverlap = (|∩|/|ctx|)^0,65 = (3/234)^0,65 = 0.0128^0,65 = 0.0589)</t>
        </is>
      </c>
      <c r="F216" t="n">
        <v>0.601</v>
      </c>
      <c r="G216" s="3" t="inlineStr">
        <is>
          <t>metode: llm_entailment + keyword</t>
        </is>
      </c>
    </row>
    <row r="217">
      <c r="A217" t="n">
        <v>15</v>
      </c>
      <c r="B217" t="inlineStr">
        <is>
          <t>B</t>
        </is>
      </c>
      <c r="C217" t="inlineStr">
        <is>
          <t>— Entailment (Pers. 12-13)</t>
        </is>
      </c>
      <c r="D217" s="3" t="inlineStr">
        <is>
          <t>Entailment = Σverdict(sᵢ)/m</t>
        </is>
      </c>
      <c r="E217" s="3" t="inlineStr">
        <is>
          <t>5 klaim YA dari 6 klaim dievaluasi</t>
        </is>
      </c>
      <c r="F217" t="n">
        <v>0.8333</v>
      </c>
      <c r="G217" s="3" t="inlineStr">
        <is>
          <t>verdict per klaim: sheet 'Entailment Detail'</t>
        </is>
      </c>
    </row>
    <row r="218">
      <c r="A218" t="n">
        <v>15</v>
      </c>
      <c r="B218" t="inlineStr">
        <is>
          <t>B</t>
        </is>
      </c>
      <c r="C218" t="inlineStr">
        <is>
          <t>— Keyword Overlap (Pers. 14)</t>
        </is>
      </c>
      <c r="D218" s="3" t="inlineStr">
        <is>
          <t>KWoverlap = (|Stems(ans)∩Stems(ctx)| / |Stems(ctx)|)^0,65</t>
        </is>
      </c>
      <c r="E218" s="3" t="inlineStr">
        <is>
          <t>KWoverlap = (|∩|/|ctx|)^0,65 = (3/234)^0,65 = 0.0128^0,65 = 0.0589</t>
        </is>
      </c>
      <c r="F218" t="n">
        <v>0.0589</v>
      </c>
      <c r="G218" s="3" t="inlineStr"/>
    </row>
    <row r="219">
      <c r="A219" t="n">
        <v>15</v>
      </c>
      <c r="B219" t="inlineStr">
        <is>
          <t>B</t>
        </is>
      </c>
      <c r="C219" t="inlineStr">
        <is>
          <t>Hallucination Risk (Pers. 18)</t>
        </is>
      </c>
      <c r="D219" s="3" t="inlineStr">
        <is>
          <t>Risk = 0,65×(1-F) + 0,20×Contradiction + 0,15×Uncertainty</t>
        </is>
      </c>
      <c r="E219" s="3" t="inlineStr">
        <is>
          <t>Risk = 0,65×OutOfContext + 0,20×Contradiction + 0,15×Uncertainty = 0,65×0.3990 + 0,20×0.0000 + 0,15×0.00 = 0.2594 [RENDAH]</t>
        </is>
      </c>
      <c r="F219" t="n">
        <v>0.2594</v>
      </c>
      <c r="G219" s="3" t="inlineStr">
        <is>
          <t>label: RENDAH; kontradiksi 0/9 kalimat; uncertainty flag: False</t>
        </is>
      </c>
    </row>
    <row r="220">
      <c r="A220" t="n">
        <v>15</v>
      </c>
      <c r="B220" t="inlineStr">
        <is>
          <t>B</t>
        </is>
      </c>
      <c r="C220" t="inlineStr">
        <is>
          <t>Answer Accuracy (Pers. 20)</t>
        </is>
      </c>
      <c r="D220" s="3" t="inlineStr">
        <is>
          <t>Correctᵢ ∈ {0,1} via LLM-as-Judge (HASIL: BENAR/SALAH)</t>
        </is>
      </c>
      <c r="E220" s="3" t="inlineStr">
        <is>
          <t>BENAR</t>
        </is>
      </c>
      <c r="F220" t="inlineStr">
        <is>
          <t>BENAR</t>
        </is>
      </c>
      <c r="G220" s="3" t="inlineStr">
        <is>
          <t>evaluator: ollama/llama3</t>
        </is>
      </c>
    </row>
    <row r="221">
      <c r="A221" t="n">
        <v>16</v>
      </c>
      <c r="B221" t="inlineStr">
        <is>
          <t>A</t>
        </is>
      </c>
      <c r="C221" t="inlineStr">
        <is>
          <t>Precision@K (Pers. 2)</t>
        </is>
      </c>
      <c r="D221" s="3" t="inlineStr">
        <is>
          <t>Precision@K = |{d ∈ TopK : sim(q,d) ≥ θ}| / K</t>
        </is>
      </c>
      <c r="E221" s="3" t="inlineStr">
        <is>
          <t>skor = [0.8618, 0.8174, 0.7777, 0.7441, 0.7428, 0.7346] → 6 / 6</t>
        </is>
      </c>
      <c r="F221" t="n">
        <v>1</v>
      </c>
      <c r="G221" s="3" t="inlineStr">
        <is>
          <t>basis: skor chunk nyata (sesuai contoh Pers. 2 skripsi)</t>
        </is>
      </c>
    </row>
    <row r="222">
      <c r="A222" t="n">
        <v>16</v>
      </c>
      <c r="B222" t="inlineStr">
        <is>
          <t>A</t>
        </is>
      </c>
      <c r="C222" t="inlineStr">
        <is>
          <t>Recall@K (Pers. 4)</t>
        </is>
      </c>
      <c r="D222" s="3" t="inlineStr">
        <is>
          <t>Recall@K = |{kata kunci ditemukan : sim ≥ θ}| / |R|</t>
        </is>
      </c>
      <c r="E222" s="3" t="inlineStr">
        <is>
          <t>skor = [0.5729, 0.5728, 0.4886, 0.457, 0.3212] → 5 / 5</t>
        </is>
      </c>
      <c r="F222" t="n">
        <v>1</v>
      </c>
      <c r="G222" s="3" t="inlineStr"/>
    </row>
    <row r="223">
      <c r="A223" t="n">
        <v>16</v>
      </c>
      <c r="B223" t="inlineStr">
        <is>
          <t>A</t>
        </is>
      </c>
      <c r="C223" t="inlineStr">
        <is>
          <t>Mean Similarity (Pers. 6)</t>
        </is>
      </c>
      <c r="D223" s="3" t="inlineStr">
        <is>
          <t>MeanSim = (1/K) × Σ sim(q, dᵢ)</t>
        </is>
      </c>
      <c r="E223" s="3" t="inlineStr">
        <is>
          <t>skor = [0.8618, 0.8174, 0.7777, 0.7441, 0.7428, 0.7346] → (0.8618 + 0.8174 + 0.7777 + 0.7441 + 0.7428 + 0.7346) / 6</t>
        </is>
      </c>
      <c r="F223" t="n">
        <v>0.7796999999999999</v>
      </c>
      <c r="G223" s="3" t="inlineStr"/>
    </row>
    <row r="224">
      <c r="A224" t="n">
        <v>16</v>
      </c>
      <c r="B224" t="inlineStr">
        <is>
          <t>A</t>
        </is>
      </c>
      <c r="C224" t="inlineStr">
        <is>
          <t>Coverage (Pers. 8)</t>
        </is>
      </c>
      <c r="D224" s="3" t="inlineStr">
        <is>
          <t>Coverage = |{dᵢ ∈ TopK : sim(q,dᵢ) ≥ θc}| / K</t>
        </is>
      </c>
      <c r="E224" s="3" t="inlineStr">
        <is>
          <t>skor = [0.8618, 0.8174, 0.7777, 0.7441, 0.7428, 0.7346] → 6 / 6</t>
        </is>
      </c>
      <c r="F224" t="n">
        <v>1</v>
      </c>
      <c r="G224" s="3" t="inlineStr"/>
    </row>
    <row r="225">
      <c r="A225" t="n">
        <v>16</v>
      </c>
      <c r="B225" t="inlineStr">
        <is>
          <t>A</t>
        </is>
      </c>
      <c r="C225" t="inlineStr">
        <is>
          <t>Source Diversity (Pers. 10)</t>
        </is>
      </c>
      <c r="D225" s="3" t="inlineStr">
        <is>
          <t>Diversity = |sumber unik dalam TopK| / K</t>
        </is>
      </c>
      <c r="E225" s="3" t="inlineStr">
        <is>
          <t>skor = ['GT_CT05.txt', 'GT_CT07.txt', 'GT_DETAIL_PT05_Pattern_Recognition.txt', 'GT_SUBTOPIK_03_Pola_Bilangan_Deret.txt', 'GT_SUBTOPIK_04_Modulo_Siklus.txt'] → 5 / 6</t>
        </is>
      </c>
      <c r="F225" t="n">
        <v>0.8333</v>
      </c>
      <c r="G225" s="3" t="inlineStr">
        <is>
          <t>file unik: GT_CT05.txt, GT_CT07.txt, GT_DETAIL_PT05_Pattern_Recognition.txt, GT_SUBTOPIK_03_Pola_Bilangan_Deret.txt, GT_SUBTOPIK_04_Modulo_Siklus.txt</t>
        </is>
      </c>
    </row>
    <row r="226">
      <c r="A226" t="n">
        <v>16</v>
      </c>
      <c r="B226" t="inlineStr">
        <is>
          <t>A</t>
        </is>
      </c>
      <c r="C226" t="inlineStr">
        <is>
          <t>Faithfulness (Pers. 15)</t>
        </is>
      </c>
      <c r="D226" s="3" t="inlineStr">
        <is>
          <t>F = 0,70×Entailment + 0,30×KWoverlap</t>
        </is>
      </c>
      <c r="E226" s="3" t="inlineStr">
        <is>
          <t>Faithfulness = 0,70×Entailment + 0,30×KWoverlap = 0,70×1.0000 + 0,30×0.2933 = 0.7880  (entailment: 6/6 klaim didukung; KWoverlap = (|∩|/|ctx|)^0,65 = (30/198)^0,65 = 0.1515^0,65 = 0.2933)</t>
        </is>
      </c>
      <c r="F226" t="n">
        <v>0.788</v>
      </c>
      <c r="G226" s="3" t="inlineStr">
        <is>
          <t>metode: llm_entailment + keyword</t>
        </is>
      </c>
    </row>
    <row r="227">
      <c r="A227" t="n">
        <v>16</v>
      </c>
      <c r="B227" t="inlineStr">
        <is>
          <t>A</t>
        </is>
      </c>
      <c r="C227" t="inlineStr">
        <is>
          <t>— Entailment (Pers. 12-13)</t>
        </is>
      </c>
      <c r="D227" s="3" t="inlineStr">
        <is>
          <t>Entailment = Σverdict(sᵢ)/m</t>
        </is>
      </c>
      <c r="E227" s="3" t="inlineStr">
        <is>
          <t>6 klaim YA dari 6 klaim dievaluasi</t>
        </is>
      </c>
      <c r="F227" t="n">
        <v>1</v>
      </c>
      <c r="G227" s="3" t="inlineStr">
        <is>
          <t>verdict per klaim: sheet 'Entailment Detail'</t>
        </is>
      </c>
    </row>
    <row r="228">
      <c r="A228" t="n">
        <v>16</v>
      </c>
      <c r="B228" t="inlineStr">
        <is>
          <t>A</t>
        </is>
      </c>
      <c r="C228" t="inlineStr">
        <is>
          <t>— Keyword Overlap (Pers. 14)</t>
        </is>
      </c>
      <c r="D228" s="3" t="inlineStr">
        <is>
          <t>KWoverlap = (|Stems(ans)∩Stems(ctx)| / |Stems(ctx)|)^0,65</t>
        </is>
      </c>
      <c r="E228" s="3" t="inlineStr">
        <is>
          <t>KWoverlap = (|∩|/|ctx|)^0,65 = (30/198)^0,65 = 0.1515^0,65 = 0.2933</t>
        </is>
      </c>
      <c r="F228" t="n">
        <v>0.2933</v>
      </c>
      <c r="G228" s="3" t="inlineStr"/>
    </row>
    <row r="229">
      <c r="A229" t="n">
        <v>16</v>
      </c>
      <c r="B229" t="inlineStr">
        <is>
          <t>A</t>
        </is>
      </c>
      <c r="C229" t="inlineStr">
        <is>
          <t>Hallucination Risk (Pers. 18)</t>
        </is>
      </c>
      <c r="D229" s="3" t="inlineStr">
        <is>
          <t>Risk = 0,65×(1-F) + 0,20×Contradiction + 0,15×Uncertainty</t>
        </is>
      </c>
      <c r="E229" s="3" t="inlineStr">
        <is>
          <t>Risk = 0,65×OutOfContext + 0,20×Contradiction + 0,15×Uncertainty = 0,65×0.2120 + 0,20×0.0000 + 0,15×0.00 = 0.1378 [RENDAH]</t>
        </is>
      </c>
      <c r="F229" t="n">
        <v>0.1378</v>
      </c>
      <c r="G229" s="3" t="inlineStr">
        <is>
          <t>label: RENDAH; kontradiksi 0/14 kalimat; uncertainty flag: False</t>
        </is>
      </c>
    </row>
    <row r="230">
      <c r="A230" t="n">
        <v>16</v>
      </c>
      <c r="B230" t="inlineStr">
        <is>
          <t>A</t>
        </is>
      </c>
      <c r="C230" t="inlineStr">
        <is>
          <t>Answer Accuracy (Pers. 20)</t>
        </is>
      </c>
      <c r="D230" s="3" t="inlineStr">
        <is>
          <t>Correctᵢ ∈ {0,1} via LLM-as-Judge (HASIL: BENAR/SALAH)</t>
        </is>
      </c>
      <c r="E230" s="3" t="inlineStr">
        <is>
          <t>JAWABAN:</t>
        </is>
      </c>
      <c r="F230" t="inlineStr">
        <is>
          <t>BENAR</t>
        </is>
      </c>
      <c r="G230" s="3" t="inlineStr">
        <is>
          <t>evaluator: ollama/llama3</t>
        </is>
      </c>
    </row>
    <row r="231">
      <c r="A231" t="n">
        <v>16</v>
      </c>
      <c r="B231" t="inlineStr">
        <is>
          <t>B</t>
        </is>
      </c>
      <c r="C231" t="inlineStr">
        <is>
          <t>Faithfulness (Pers. 15)</t>
        </is>
      </c>
      <c r="D231" s="3" t="inlineStr">
        <is>
          <t>F = 0,70×Entailment + 0,30×KWoverlap</t>
        </is>
      </c>
      <c r="E231" s="3" t="inlineStr">
        <is>
          <t>Faithfulness = 0,70×Entailment + 0,30×KWoverlap = 0,70×0.8333 + 0,30×0.2468 = 0.6573  (entailment: 5/6 klaim didukung; KWoverlap = (|∩|/|ctx|)^0,65 = (23/198)^0,65 = 0.1162^0,65 = 0.2468)</t>
        </is>
      </c>
      <c r="F231" t="n">
        <v>0.6573</v>
      </c>
      <c r="G231" s="3" t="inlineStr">
        <is>
          <t>metode: llm_entailment + keyword</t>
        </is>
      </c>
    </row>
    <row r="232">
      <c r="A232" t="n">
        <v>16</v>
      </c>
      <c r="B232" t="inlineStr">
        <is>
          <t>B</t>
        </is>
      </c>
      <c r="C232" t="inlineStr">
        <is>
          <t>— Entailment (Pers. 12-13)</t>
        </is>
      </c>
      <c r="D232" s="3" t="inlineStr">
        <is>
          <t>Entailment = Σverdict(sᵢ)/m</t>
        </is>
      </c>
      <c r="E232" s="3" t="inlineStr">
        <is>
          <t>5 klaim YA dari 6 klaim dievaluasi</t>
        </is>
      </c>
      <c r="F232" t="n">
        <v>0.8333</v>
      </c>
      <c r="G232" s="3" t="inlineStr">
        <is>
          <t>verdict per klaim: sheet 'Entailment Detail'</t>
        </is>
      </c>
    </row>
    <row r="233">
      <c r="A233" t="n">
        <v>16</v>
      </c>
      <c r="B233" t="inlineStr">
        <is>
          <t>B</t>
        </is>
      </c>
      <c r="C233" t="inlineStr">
        <is>
          <t>— Keyword Overlap (Pers. 14)</t>
        </is>
      </c>
      <c r="D233" s="3" t="inlineStr">
        <is>
          <t>KWoverlap = (|Stems(ans)∩Stems(ctx)| / |Stems(ctx)|)^0,65</t>
        </is>
      </c>
      <c r="E233" s="3" t="inlineStr">
        <is>
          <t>KWoverlap = (|∩|/|ctx|)^0,65 = (23/198)^0,65 = 0.1162^0,65 = 0.2468</t>
        </is>
      </c>
      <c r="F233" t="n">
        <v>0.2468</v>
      </c>
      <c r="G233" s="3" t="inlineStr"/>
    </row>
    <row r="234">
      <c r="A234" t="n">
        <v>16</v>
      </c>
      <c r="B234" t="inlineStr">
        <is>
          <t>B</t>
        </is>
      </c>
      <c r="C234" t="inlineStr">
        <is>
          <t>Hallucination Risk (Pers. 18)</t>
        </is>
      </c>
      <c r="D234" s="3" t="inlineStr">
        <is>
          <t>Risk = 0,65×(1-F) + 0,20×Contradiction + 0,15×Uncertainty</t>
        </is>
      </c>
      <c r="E234" s="3" t="inlineStr">
        <is>
          <t>Risk = 0,65×OutOfContext + 0,20×Contradiction + 0,15×Uncertainty = 0,65×0.3427 + 0,20×0.0000 + 0,15×0.00 = 0.2228 [RENDAH]</t>
        </is>
      </c>
      <c r="F234" t="n">
        <v>0.2228</v>
      </c>
      <c r="G234" s="3" t="inlineStr">
        <is>
          <t>label: RENDAH; kontradiksi 0/10 kalimat; uncertainty flag: False</t>
        </is>
      </c>
    </row>
    <row r="235">
      <c r="A235" t="n">
        <v>16</v>
      </c>
      <c r="B235" t="inlineStr">
        <is>
          <t>B</t>
        </is>
      </c>
      <c r="C235" t="inlineStr">
        <is>
          <t>Answer Accuracy (Pers. 20)</t>
        </is>
      </c>
      <c r="D235" s="3" t="inlineStr">
        <is>
          <t>Correctᵢ ∈ {0,1} via LLM-as-Judge (HASIL: BENAR/SALAH)</t>
        </is>
      </c>
      <c r="E235" s="3" t="inlineStr">
        <is>
          <t>JAWABAN:</t>
        </is>
      </c>
      <c r="F235" t="inlineStr">
        <is>
          <t>BENAR</t>
        </is>
      </c>
      <c r="G235" s="3" t="inlineStr">
        <is>
          <t>evaluator: ollama/llama3</t>
        </is>
      </c>
    </row>
    <row r="236">
      <c r="A236" t="n">
        <v>17</v>
      </c>
      <c r="B236" t="inlineStr">
        <is>
          <t>A</t>
        </is>
      </c>
      <c r="C236" t="inlineStr">
        <is>
          <t>Precision@K (Pers. 2)</t>
        </is>
      </c>
      <c r="D236" s="3" t="inlineStr">
        <is>
          <t>Precision@K = |{d ∈ TopK : sim(q,d) ≥ θ}| / K</t>
        </is>
      </c>
      <c r="E236" s="3" t="inlineStr">
        <is>
          <t>skor = [0.756, 0.7352, 0.7277, 0.7191, 0.7174, 0.7127] → 6 / 6</t>
        </is>
      </c>
      <c r="F236" t="n">
        <v>1</v>
      </c>
      <c r="G236" s="3" t="inlineStr">
        <is>
          <t>basis: skor chunk nyata (sesuai contoh Pers. 2 skripsi)</t>
        </is>
      </c>
    </row>
    <row r="237">
      <c r="A237" t="n">
        <v>17</v>
      </c>
      <c r="B237" t="inlineStr">
        <is>
          <t>A</t>
        </is>
      </c>
      <c r="C237" t="inlineStr">
        <is>
          <t>Recall@K (Pers. 4)</t>
        </is>
      </c>
      <c r="D237" s="3" t="inlineStr">
        <is>
          <t>Recall@K = |{kata kunci ditemukan : sim ≥ θ}| / |R|</t>
        </is>
      </c>
      <c r="E237" s="3" t="inlineStr">
        <is>
          <t>skor = [0.6479, 0.5878, 0.5039, 0.4609, 0.4556, 0.3651] → 6 / 6</t>
        </is>
      </c>
      <c r="F237" t="n">
        <v>1</v>
      </c>
      <c r="G237" s="3" t="inlineStr"/>
    </row>
    <row r="238">
      <c r="A238" t="n">
        <v>17</v>
      </c>
      <c r="B238" t="inlineStr">
        <is>
          <t>A</t>
        </is>
      </c>
      <c r="C238" t="inlineStr">
        <is>
          <t>Mean Similarity (Pers. 6)</t>
        </is>
      </c>
      <c r="D238" s="3" t="inlineStr">
        <is>
          <t>MeanSim = (1/K) × Σ sim(q, dᵢ)</t>
        </is>
      </c>
      <c r="E238" s="3" t="inlineStr">
        <is>
          <t>skor = [0.756, 0.7352, 0.7277, 0.7191, 0.7174, 0.7127] → (0.7560 + 0.7352 + 0.7277 + 0.7191 + 0.7174 + 0.7127) / 6</t>
        </is>
      </c>
      <c r="F238" t="n">
        <v>0.728</v>
      </c>
      <c r="G238" s="3" t="inlineStr"/>
    </row>
    <row r="239">
      <c r="A239" t="n">
        <v>17</v>
      </c>
      <c r="B239" t="inlineStr">
        <is>
          <t>A</t>
        </is>
      </c>
      <c r="C239" t="inlineStr">
        <is>
          <t>Coverage (Pers. 8)</t>
        </is>
      </c>
      <c r="D239" s="3" t="inlineStr">
        <is>
          <t>Coverage = |{dᵢ ∈ TopK : sim(q,dᵢ) ≥ θc}| / K</t>
        </is>
      </c>
      <c r="E239" s="3" t="inlineStr">
        <is>
          <t>skor = [0.756, 0.7352, 0.7277, 0.7191, 0.7174, 0.7127] → 6 / 6</t>
        </is>
      </c>
      <c r="F239" t="n">
        <v>1</v>
      </c>
      <c r="G239" s="3" t="inlineStr"/>
    </row>
    <row r="240">
      <c r="A240" t="n">
        <v>17</v>
      </c>
      <c r="B240" t="inlineStr">
        <is>
          <t>A</t>
        </is>
      </c>
      <c r="C240" t="inlineStr">
        <is>
          <t>Source Diversity (Pers. 10)</t>
        </is>
      </c>
      <c r="D240" s="3" t="inlineStr">
        <is>
          <t>Diversity = |sumber unik dalam TopK| / K</t>
        </is>
      </c>
      <c r="E240" s="3" t="inlineStr">
        <is>
          <t>skor = ['GT_CT01.txt', 'GT_CT05.txt', 'GT_CT07.txt', 'GT_CT09.txt', 'GT_SUBTOPIK_04_Modulo_Siklus.txt'] → 5 / 6</t>
        </is>
      </c>
      <c r="F240" t="n">
        <v>0.8333</v>
      </c>
      <c r="G240" s="3" t="inlineStr">
        <is>
          <t>file unik: GT_CT01.txt, GT_CT05.txt, GT_CT07.txt, GT_CT09.txt, GT_SUBTOPIK_04_Modulo_Siklus.txt</t>
        </is>
      </c>
    </row>
    <row r="241">
      <c r="A241" t="n">
        <v>17</v>
      </c>
      <c r="B241" t="inlineStr">
        <is>
          <t>A</t>
        </is>
      </c>
      <c r="C241" t="inlineStr">
        <is>
          <t>Faithfulness (Pers. 15)</t>
        </is>
      </c>
      <c r="D241" s="3" t="inlineStr">
        <is>
          <t>F = 0,70×Entailment + 0,30×KWoverlap</t>
        </is>
      </c>
      <c r="E241" s="3" t="inlineStr">
        <is>
          <t>Faithfulness = 0,70×Entailment + 0,30×KWoverlap = 0,70×1.0000 + 0,30×0.1768 = 0.7530  (entailment: 6/6 klaim didukung; KWoverlap = (|∩|/|ctx|)^0,65 = (21/302)^0,65 = 0.0695^0,65 = 0.1768)</t>
        </is>
      </c>
      <c r="F241" t="n">
        <v>0.753</v>
      </c>
      <c r="G241" s="3" t="inlineStr">
        <is>
          <t>metode: llm_entailment + keyword</t>
        </is>
      </c>
    </row>
    <row r="242">
      <c r="A242" t="n">
        <v>17</v>
      </c>
      <c r="B242" t="inlineStr">
        <is>
          <t>A</t>
        </is>
      </c>
      <c r="C242" t="inlineStr">
        <is>
          <t>— Entailment (Pers. 12-13)</t>
        </is>
      </c>
      <c r="D242" s="3" t="inlineStr">
        <is>
          <t>Entailment = Σverdict(sᵢ)/m</t>
        </is>
      </c>
      <c r="E242" s="3" t="inlineStr">
        <is>
          <t>6 klaim YA dari 6 klaim dievaluasi</t>
        </is>
      </c>
      <c r="F242" t="n">
        <v>1</v>
      </c>
      <c r="G242" s="3" t="inlineStr">
        <is>
          <t>verdict per klaim: sheet 'Entailment Detail'</t>
        </is>
      </c>
    </row>
    <row r="243">
      <c r="A243" t="n">
        <v>17</v>
      </c>
      <c r="B243" t="inlineStr">
        <is>
          <t>A</t>
        </is>
      </c>
      <c r="C243" t="inlineStr">
        <is>
          <t>— Keyword Overlap (Pers. 14)</t>
        </is>
      </c>
      <c r="D243" s="3" t="inlineStr">
        <is>
          <t>KWoverlap = (|Stems(ans)∩Stems(ctx)| / |Stems(ctx)|)^0,65</t>
        </is>
      </c>
      <c r="E243" s="3" t="inlineStr">
        <is>
          <t>KWoverlap = (|∩|/|ctx|)^0,65 = (21/302)^0,65 = 0.0695^0,65 = 0.1768</t>
        </is>
      </c>
      <c r="F243" t="n">
        <v>0.1768</v>
      </c>
      <c r="G243" s="3" t="inlineStr"/>
    </row>
    <row r="244">
      <c r="A244" t="n">
        <v>17</v>
      </c>
      <c r="B244" t="inlineStr">
        <is>
          <t>A</t>
        </is>
      </c>
      <c r="C244" t="inlineStr">
        <is>
          <t>Hallucination Risk (Pers. 18)</t>
        </is>
      </c>
      <c r="D244" s="3" t="inlineStr">
        <is>
          <t>Risk = 0,65×(1-F) + 0,20×Contradiction + 0,15×Uncertainty</t>
        </is>
      </c>
      <c r="E244" s="3" t="inlineStr">
        <is>
          <t>Risk = 0,65×OutOfContext + 0,20×Contradiction + 0,15×Uncertainty = 0,65×0.2470 + 0,20×0.0000 + 0,15×0.20 = 0.1905 [RENDAH]</t>
        </is>
      </c>
      <c r="F244" t="n">
        <v>0.1905</v>
      </c>
      <c r="G244" s="3" t="inlineStr">
        <is>
          <t>label: RENDAH; kontradiksi 0/11 kalimat; uncertainty flag: True</t>
        </is>
      </c>
    </row>
    <row r="245">
      <c r="A245" t="n">
        <v>17</v>
      </c>
      <c r="B245" t="inlineStr">
        <is>
          <t>A</t>
        </is>
      </c>
      <c r="C245" t="inlineStr">
        <is>
          <t>Answer Accuracy (Pers. 20)</t>
        </is>
      </c>
      <c r="D245" s="3" t="inlineStr">
        <is>
          <t>Correctᵢ ∈ {0,1} via LLM-as-Judge (HASIL: BENAR/SALAH)</t>
        </is>
      </c>
      <c r="E245" s="3" t="inlineStr">
        <is>
          <t>Yes, the system's answer is correct based on the reference provided.
The reference explains that the last digit of a power of 2 repeats in a cycle of four:
* If N mod 4 = 1, then the last digit is 2
* If N mod 4 = 2, then the last digit is 4
* If N mod 4 = 3, then the last digit is 8
* If N mod 4 = 0, then the last digit is 6
Since 2003 mod 4 = 3, the system correctly concludes that the last di</t>
        </is>
      </c>
      <c r="F245" t="inlineStr">
        <is>
          <t>BENAR</t>
        </is>
      </c>
      <c r="G245" s="3" t="inlineStr">
        <is>
          <t>evaluator: ollama/llama3</t>
        </is>
      </c>
    </row>
    <row r="246">
      <c r="A246" t="n">
        <v>17</v>
      </c>
      <c r="B246" t="inlineStr">
        <is>
          <t>B</t>
        </is>
      </c>
      <c r="C246" t="inlineStr">
        <is>
          <t>Faithfulness (Pers. 15)</t>
        </is>
      </c>
      <c r="D246" s="3" t="inlineStr">
        <is>
          <t>F = 0,70×Entailment + 0,30×KWoverlap</t>
        </is>
      </c>
      <c r="E246" s="3" t="inlineStr">
        <is>
          <t>Faithfulness = 0,70×Entailment + 0,30×KWoverlap = 0,70×0.5000 + 0,30×0.1876 = 0.4063  (entailment: 3/6 klaim didukung; KWoverlap = (|∩|/|ctx|)^0,65 = (23/302)^0,65 = 0.0762^0,65 = 0.1876)</t>
        </is>
      </c>
      <c r="F246" t="n">
        <v>0.4063</v>
      </c>
      <c r="G246" s="3" t="inlineStr">
        <is>
          <t>metode: llm_entailment + keyword</t>
        </is>
      </c>
    </row>
    <row r="247">
      <c r="A247" t="n">
        <v>17</v>
      </c>
      <c r="B247" t="inlineStr">
        <is>
          <t>B</t>
        </is>
      </c>
      <c r="C247" t="inlineStr">
        <is>
          <t>— Entailment (Pers. 12-13)</t>
        </is>
      </c>
      <c r="D247" s="3" t="inlineStr">
        <is>
          <t>Entailment = Σverdict(sᵢ)/m</t>
        </is>
      </c>
      <c r="E247" s="3" t="inlineStr">
        <is>
          <t>3 klaim YA dari 6 klaim dievaluasi</t>
        </is>
      </c>
      <c r="F247" t="n">
        <v>0.5</v>
      </c>
      <c r="G247" s="3" t="inlineStr">
        <is>
          <t>verdict per klaim: sheet 'Entailment Detail'</t>
        </is>
      </c>
    </row>
    <row r="248">
      <c r="A248" t="n">
        <v>17</v>
      </c>
      <c r="B248" t="inlineStr">
        <is>
          <t>B</t>
        </is>
      </c>
      <c r="C248" t="inlineStr">
        <is>
          <t>— Keyword Overlap (Pers. 14)</t>
        </is>
      </c>
      <c r="D248" s="3" t="inlineStr">
        <is>
          <t>KWoverlap = (|Stems(ans)∩Stems(ctx)| / |Stems(ctx)|)^0,65</t>
        </is>
      </c>
      <c r="E248" s="3" t="inlineStr">
        <is>
          <t>KWoverlap = (|∩|/|ctx|)^0,65 = (23/302)^0,65 = 0.0762^0,65 = 0.1876</t>
        </is>
      </c>
      <c r="F248" t="n">
        <v>0.1876</v>
      </c>
      <c r="G248" s="3" t="inlineStr"/>
    </row>
    <row r="249">
      <c r="A249" t="n">
        <v>17</v>
      </c>
      <c r="B249" t="inlineStr">
        <is>
          <t>B</t>
        </is>
      </c>
      <c r="C249" t="inlineStr">
        <is>
          <t>Hallucination Risk (Pers. 18)</t>
        </is>
      </c>
      <c r="D249" s="3" t="inlineStr">
        <is>
          <t>Risk = 0,65×(1-F) + 0,20×Contradiction + 0,15×Uncertainty</t>
        </is>
      </c>
      <c r="E249" s="3" t="inlineStr">
        <is>
          <t>Risk = 0,65×OutOfContext + 0,20×Contradiction + 0,15×Uncertainty = 0,65×0.5937 + 0,20×0.0000 + 0,15×0.00 = 0.3859 [SEDANG]</t>
        </is>
      </c>
      <c r="F249" t="n">
        <v>0.3859</v>
      </c>
      <c r="G249" s="3" t="inlineStr">
        <is>
          <t>label: SEDANG; kontradiksi 0/22 kalimat; uncertainty flag: False</t>
        </is>
      </c>
    </row>
    <row r="250">
      <c r="A250" t="n">
        <v>17</v>
      </c>
      <c r="B250" t="inlineStr">
        <is>
          <t>B</t>
        </is>
      </c>
      <c r="C250" t="inlineStr">
        <is>
          <t>Answer Accuracy (Pers. 20)</t>
        </is>
      </c>
      <c r="D250" s="3" t="inlineStr">
        <is>
          <t>Correctᵢ ∈ {0,1} via LLM-as-Judge (HASIL: BENAR/SALAH)</t>
        </is>
      </c>
      <c r="E250" s="3" t="inlineStr">
        <is>
          <t>The answer provided by the system is:
And it's correct! The reference material provides a pattern recognition approach to determine the last digit of 2 raised to any power, which can be represented as:
* If N mod 4 = 1, then the last digit is 2
* If N mod 4 = 2, then the last digit is 4
* If N mod 4 = 3, then the last digit is 8
* If N mod 4 = 0, then the last digit is 6
Applying this pattern</t>
        </is>
      </c>
      <c r="F250" t="inlineStr">
        <is>
          <t>BENAR</t>
        </is>
      </c>
      <c r="G250" s="3" t="inlineStr">
        <is>
          <t>evaluator: ollama/llama3</t>
        </is>
      </c>
    </row>
    <row r="251">
      <c r="A251" t="n">
        <v>18</v>
      </c>
      <c r="B251" t="inlineStr">
        <is>
          <t>A</t>
        </is>
      </c>
      <c r="C251" t="inlineStr">
        <is>
          <t>Precision@K (Pers. 2)</t>
        </is>
      </c>
      <c r="D251" s="3" t="inlineStr">
        <is>
          <t>Precision@K = |{d ∈ TopK : sim(q,d) ≥ θ}| / K</t>
        </is>
      </c>
      <c r="E251" s="3" t="inlineStr">
        <is>
          <t>skor = [0.7206, 0.697, 0.6959, 0.6958, 0.6948, 0.6936] → 6 / 6</t>
        </is>
      </c>
      <c r="F251" t="n">
        <v>1</v>
      </c>
      <c r="G251" s="3" t="inlineStr">
        <is>
          <t>basis: skor chunk nyata (sesuai contoh Pers. 2 skripsi)</t>
        </is>
      </c>
    </row>
    <row r="252">
      <c r="A252" t="n">
        <v>18</v>
      </c>
      <c r="B252" t="inlineStr">
        <is>
          <t>A</t>
        </is>
      </c>
      <c r="C252" t="inlineStr">
        <is>
          <t>Recall@K (Pers. 4)</t>
        </is>
      </c>
      <c r="D252" s="3" t="inlineStr">
        <is>
          <t>Recall@K = |{kata kunci ditemukan : sim ≥ θ}| / |R|</t>
        </is>
      </c>
      <c r="E252" s="3" t="inlineStr">
        <is>
          <t>skor = [0.7783, 0.677, 0.571, 0.5182, 0.4042] → 5 / 5</t>
        </is>
      </c>
      <c r="F252" t="n">
        <v>1</v>
      </c>
      <c r="G252" s="3" t="inlineStr"/>
    </row>
    <row r="253">
      <c r="A253" t="n">
        <v>18</v>
      </c>
      <c r="B253" t="inlineStr">
        <is>
          <t>A</t>
        </is>
      </c>
      <c r="C253" t="inlineStr">
        <is>
          <t>Mean Similarity (Pers. 6)</t>
        </is>
      </c>
      <c r="D253" s="3" t="inlineStr">
        <is>
          <t>MeanSim = (1/K) × Σ sim(q, dᵢ)</t>
        </is>
      </c>
      <c r="E253" s="3" t="inlineStr">
        <is>
          <t>skor = [0.7206, 0.697, 0.6959, 0.6958, 0.6948, 0.6936] → (0.7206 + 0.6970 + 0.6959 + 0.6958 + 0.6948 + 0.6936) / 6</t>
        </is>
      </c>
      <c r="F253" t="n">
        <v>0.6996</v>
      </c>
      <c r="G253" s="3" t="inlineStr"/>
    </row>
    <row r="254">
      <c r="A254" t="n">
        <v>18</v>
      </c>
      <c r="B254" t="inlineStr">
        <is>
          <t>A</t>
        </is>
      </c>
      <c r="C254" t="inlineStr">
        <is>
          <t>Coverage (Pers. 8)</t>
        </is>
      </c>
      <c r="D254" s="3" t="inlineStr">
        <is>
          <t>Coverage = |{dᵢ ∈ TopK : sim(q,dᵢ) ≥ θc}| / K</t>
        </is>
      </c>
      <c r="E254" s="3" t="inlineStr">
        <is>
          <t>skor = [0.7206, 0.697, 0.6959, 0.6958, 0.6948, 0.6936] → 6 / 6</t>
        </is>
      </c>
      <c r="F254" t="n">
        <v>1</v>
      </c>
      <c r="G254" s="3" t="inlineStr"/>
    </row>
    <row r="255">
      <c r="A255" t="n">
        <v>18</v>
      </c>
      <c r="B255" t="inlineStr">
        <is>
          <t>A</t>
        </is>
      </c>
      <c r="C255" t="inlineStr">
        <is>
          <t>Source Diversity (Pers. 10)</t>
        </is>
      </c>
      <c r="D255" s="3" t="inlineStr">
        <is>
          <t>Diversity = |sumber unik dalam TopK| / K</t>
        </is>
      </c>
      <c r="E255" s="3" t="inlineStr">
        <is>
          <t>skor = ['2PAR.txt', '3PAR.txt', '3PGI.txt', '5PAI.txt', 'GT_CT01.txt', 'GT_SUBTOPIK_02_Abstraksi_Formulasi.txt'] → 6 / 6</t>
        </is>
      </c>
      <c r="F255" t="n">
        <v>1</v>
      </c>
      <c r="G255" s="3" t="inlineStr">
        <is>
          <t>file unik: 2PAR.txt, 3PAR.txt, 3PGI.txt, 5PAI.txt, GT_CT01.txt, GT_SUBTOPIK_02_Abstraksi_Formulasi.txt</t>
        </is>
      </c>
    </row>
    <row r="256">
      <c r="A256" t="n">
        <v>18</v>
      </c>
      <c r="B256" t="inlineStr">
        <is>
          <t>A</t>
        </is>
      </c>
      <c r="C256" t="inlineStr">
        <is>
          <t>Faithfulness (Pers. 15)</t>
        </is>
      </c>
      <c r="D256" s="3" t="inlineStr">
        <is>
          <t>F = 0,70×Entailment + 0,30×KWoverlap</t>
        </is>
      </c>
      <c r="E256" s="3" t="inlineStr">
        <is>
          <t>Faithfulness = 0,70×Entailment + 0,30×KWoverlap = 0,70×1.0000 + 0,30×0.1223 = 0.7367  (entailment: 6/6 klaim didukung; KWoverlap = (|∩|/|ctx|)^0,65 = (9/228)^0,65 = 0.0395^0,65 = 0.1223)</t>
        </is>
      </c>
      <c r="F256" t="n">
        <v>0.7367</v>
      </c>
      <c r="G256" s="3" t="inlineStr">
        <is>
          <t>metode: llm_entailment + keyword</t>
        </is>
      </c>
    </row>
    <row r="257">
      <c r="A257" t="n">
        <v>18</v>
      </c>
      <c r="B257" t="inlineStr">
        <is>
          <t>A</t>
        </is>
      </c>
      <c r="C257" t="inlineStr">
        <is>
          <t>— Entailment (Pers. 12-13)</t>
        </is>
      </c>
      <c r="D257" s="3" t="inlineStr">
        <is>
          <t>Entailment = Σverdict(sᵢ)/m</t>
        </is>
      </c>
      <c r="E257" s="3" t="inlineStr">
        <is>
          <t>6 klaim YA dari 6 klaim dievaluasi</t>
        </is>
      </c>
      <c r="F257" t="n">
        <v>1</v>
      </c>
      <c r="G257" s="3" t="inlineStr">
        <is>
          <t>verdict per klaim: sheet 'Entailment Detail'</t>
        </is>
      </c>
    </row>
    <row r="258">
      <c r="A258" t="n">
        <v>18</v>
      </c>
      <c r="B258" t="inlineStr">
        <is>
          <t>A</t>
        </is>
      </c>
      <c r="C258" t="inlineStr">
        <is>
          <t>— Keyword Overlap (Pers. 14)</t>
        </is>
      </c>
      <c r="D258" s="3" t="inlineStr">
        <is>
          <t>KWoverlap = (|Stems(ans)∩Stems(ctx)| / |Stems(ctx)|)^0,65</t>
        </is>
      </c>
      <c r="E258" s="3" t="inlineStr">
        <is>
          <t>KWoverlap = (|∩|/|ctx|)^0,65 = (9/228)^0,65 = 0.0395^0,65 = 0.1223</t>
        </is>
      </c>
      <c r="F258" t="n">
        <v>0.1223</v>
      </c>
      <c r="G258" s="3" t="inlineStr"/>
    </row>
    <row r="259">
      <c r="A259" t="n">
        <v>18</v>
      </c>
      <c r="B259" t="inlineStr">
        <is>
          <t>A</t>
        </is>
      </c>
      <c r="C259" t="inlineStr">
        <is>
          <t>Hallucination Risk (Pers. 18)</t>
        </is>
      </c>
      <c r="D259" s="3" t="inlineStr">
        <is>
          <t>Risk = 0,65×(1-F) + 0,20×Contradiction + 0,15×Uncertainty</t>
        </is>
      </c>
      <c r="E259" s="3" t="inlineStr">
        <is>
          <t>Risk = 0,65×OutOfContext + 0,20×Contradiction + 0,15×Uncertainty = 0,65×0.2633 + 0,20×0.0000 + 0,15×0.00 = 0.1711 [RENDAH]</t>
        </is>
      </c>
      <c r="F259" t="n">
        <v>0.1711</v>
      </c>
      <c r="G259" s="3" t="inlineStr">
        <is>
          <t>label: RENDAH; kontradiksi 0/10 kalimat; uncertainty flag: False</t>
        </is>
      </c>
    </row>
    <row r="260">
      <c r="A260" t="n">
        <v>18</v>
      </c>
      <c r="B260" t="inlineStr">
        <is>
          <t>A</t>
        </is>
      </c>
      <c r="C260" t="inlineStr">
        <is>
          <t>Answer Accuracy (Pers. 20)</t>
        </is>
      </c>
      <c r="D260" s="3" t="inlineStr">
        <is>
          <t>Correctᵢ ∈ {0,1} via LLM-as-Judge (HASIL: BENAR/SALAH)</t>
        </is>
      </c>
      <c r="E260" s="3" t="inlineStr">
        <is>
          <t>BENAR</t>
        </is>
      </c>
      <c r="F260" t="inlineStr">
        <is>
          <t>BENAR</t>
        </is>
      </c>
      <c r="G260" s="3" t="inlineStr">
        <is>
          <t>evaluator: ollama/llama3</t>
        </is>
      </c>
    </row>
    <row r="261">
      <c r="A261" t="n">
        <v>18</v>
      </c>
      <c r="B261" t="inlineStr">
        <is>
          <t>B</t>
        </is>
      </c>
      <c r="C261" t="inlineStr">
        <is>
          <t>Faithfulness (Pers. 15)</t>
        </is>
      </c>
      <c r="D261" s="3" t="inlineStr">
        <is>
          <t>F = 0,70×Entailment + 0,30×KWoverlap</t>
        </is>
      </c>
      <c r="E261" s="3" t="inlineStr">
        <is>
          <t>Faithfulness = 0,70×Entailment + 0,30×KWoverlap = 0,70×1.0000 + 0,30×0.2187 = 0.7656  (entailment: 6/6 klaim didukung; KWoverlap = (|∩|/|ctx|)^0,65 = (22/228)^0,65 = 0.0965^0,65 = 0.2187)</t>
        </is>
      </c>
      <c r="F261" t="n">
        <v>0.7655999999999999</v>
      </c>
      <c r="G261" s="3" t="inlineStr">
        <is>
          <t>metode: llm_entailment + keyword</t>
        </is>
      </c>
    </row>
    <row r="262">
      <c r="A262" t="n">
        <v>18</v>
      </c>
      <c r="B262" t="inlineStr">
        <is>
          <t>B</t>
        </is>
      </c>
      <c r="C262" t="inlineStr">
        <is>
          <t>— Entailment (Pers. 12-13)</t>
        </is>
      </c>
      <c r="D262" s="3" t="inlineStr">
        <is>
          <t>Entailment = Σverdict(sᵢ)/m</t>
        </is>
      </c>
      <c r="E262" s="3" t="inlineStr">
        <is>
          <t>6 klaim YA dari 6 klaim dievaluasi</t>
        </is>
      </c>
      <c r="F262" t="n">
        <v>1</v>
      </c>
      <c r="G262" s="3" t="inlineStr">
        <is>
          <t>verdict per klaim: sheet 'Entailment Detail'</t>
        </is>
      </c>
    </row>
    <row r="263">
      <c r="A263" t="n">
        <v>18</v>
      </c>
      <c r="B263" t="inlineStr">
        <is>
          <t>B</t>
        </is>
      </c>
      <c r="C263" t="inlineStr">
        <is>
          <t>— Keyword Overlap (Pers. 14)</t>
        </is>
      </c>
      <c r="D263" s="3" t="inlineStr">
        <is>
          <t>KWoverlap = (|Stems(ans)∩Stems(ctx)| / |Stems(ctx)|)^0,65</t>
        </is>
      </c>
      <c r="E263" s="3" t="inlineStr">
        <is>
          <t>KWoverlap = (|∩|/|ctx|)^0,65 = (22/228)^0,65 = 0.0965^0,65 = 0.2187</t>
        </is>
      </c>
      <c r="F263" t="n">
        <v>0.2187</v>
      </c>
      <c r="G263" s="3" t="inlineStr"/>
    </row>
    <row r="264">
      <c r="A264" t="n">
        <v>18</v>
      </c>
      <c r="B264" t="inlineStr">
        <is>
          <t>B</t>
        </is>
      </c>
      <c r="C264" t="inlineStr">
        <is>
          <t>Hallucination Risk (Pers. 18)</t>
        </is>
      </c>
      <c r="D264" s="3" t="inlineStr">
        <is>
          <t>Risk = 0,65×(1-F) + 0,20×Contradiction + 0,15×Uncertainty</t>
        </is>
      </c>
      <c r="E264" s="3" t="inlineStr">
        <is>
          <t>Risk = 0,65×OutOfContext + 0,20×Contradiction + 0,15×Uncertainty = 0,65×0.2344 + 0,20×0.0000 + 0,15×0.00 = 0.1524 [RENDAH]</t>
        </is>
      </c>
      <c r="F264" t="n">
        <v>0.1524</v>
      </c>
      <c r="G264" s="3" t="inlineStr">
        <is>
          <t>label: RENDAH; kontradiksi 0/14 kalimat; uncertainty flag: False</t>
        </is>
      </c>
    </row>
    <row r="265">
      <c r="A265" t="n">
        <v>18</v>
      </c>
      <c r="B265" t="inlineStr">
        <is>
          <t>B</t>
        </is>
      </c>
      <c r="C265" t="inlineStr">
        <is>
          <t>Answer Accuracy (Pers. 20)</t>
        </is>
      </c>
      <c r="D265" s="3" t="inlineStr">
        <is>
          <t>Correctᵢ ∈ {0,1} via LLM-as-Judge (HASIL: BENAR/SALAH)</t>
        </is>
      </c>
      <c r="E265" s="3" t="inlineStr">
        <is>
          <t>BENAR</t>
        </is>
      </c>
      <c r="F265" t="inlineStr">
        <is>
          <t>BENAR</t>
        </is>
      </c>
      <c r="G265" s="3" t="inlineStr">
        <is>
          <t>evaluator: ollama/llama3</t>
        </is>
      </c>
    </row>
    <row r="266">
      <c r="A266" t="n">
        <v>19</v>
      </c>
      <c r="B266" t="inlineStr">
        <is>
          <t>A</t>
        </is>
      </c>
      <c r="C266" t="inlineStr">
        <is>
          <t>Precision@K (Pers. 2)</t>
        </is>
      </c>
      <c r="D266" s="3" t="inlineStr">
        <is>
          <t>Precision@K = |{d ∈ TopK : sim(q,d) ≥ θ}| / K</t>
        </is>
      </c>
      <c r="E266" s="3" t="inlineStr">
        <is>
          <t>skor = [0.7951, 0.7779, 0.7727, 0.7655, 0.7581, 0.7571] → 6 / 6</t>
        </is>
      </c>
      <c r="F266" t="n">
        <v>1</v>
      </c>
      <c r="G266" s="3" t="inlineStr">
        <is>
          <t>basis: skor chunk nyata (sesuai contoh Pers. 2 skripsi)</t>
        </is>
      </c>
    </row>
    <row r="267">
      <c r="A267" t="n">
        <v>19</v>
      </c>
      <c r="B267" t="inlineStr">
        <is>
          <t>A</t>
        </is>
      </c>
      <c r="C267" t="inlineStr">
        <is>
          <t>Recall@K (Pers. 4)</t>
        </is>
      </c>
      <c r="D267" s="3" t="inlineStr">
        <is>
          <t>Recall@K = |{kata kunci ditemukan : sim ≥ θ}| / |R|</t>
        </is>
      </c>
      <c r="E267" s="3" t="inlineStr">
        <is>
          <t>skor = [0.5998, 0.5385, 0.5227, 0.4787, 0.4399, 0.4098] → 6 / 6</t>
        </is>
      </c>
      <c r="F267" t="n">
        <v>1</v>
      </c>
      <c r="G267" s="3" t="inlineStr"/>
    </row>
    <row r="268">
      <c r="A268" t="n">
        <v>19</v>
      </c>
      <c r="B268" t="inlineStr">
        <is>
          <t>A</t>
        </is>
      </c>
      <c r="C268" t="inlineStr">
        <is>
          <t>Mean Similarity (Pers. 6)</t>
        </is>
      </c>
      <c r="D268" s="3" t="inlineStr">
        <is>
          <t>MeanSim = (1/K) × Σ sim(q, dᵢ)</t>
        </is>
      </c>
      <c r="E268" s="3" t="inlineStr">
        <is>
          <t>skor = [0.7951, 0.7779, 0.7727, 0.7655, 0.7581, 0.7571] → (0.7951 + 0.7779 + 0.7727 + 0.7655 + 0.7581 + 0.7571) / 6</t>
        </is>
      </c>
      <c r="F268" t="n">
        <v>0.7711</v>
      </c>
      <c r="G268" s="3" t="inlineStr"/>
    </row>
    <row r="269">
      <c r="A269" t="n">
        <v>19</v>
      </c>
      <c r="B269" t="inlineStr">
        <is>
          <t>A</t>
        </is>
      </c>
      <c r="C269" t="inlineStr">
        <is>
          <t>Coverage (Pers. 8)</t>
        </is>
      </c>
      <c r="D269" s="3" t="inlineStr">
        <is>
          <t>Coverage = |{dᵢ ∈ TopK : sim(q,dᵢ) ≥ θc}| / K</t>
        </is>
      </c>
      <c r="E269" s="3" t="inlineStr">
        <is>
          <t>skor = [0.7951, 0.7779, 0.7727, 0.7655, 0.7581, 0.7571] → 6 / 6</t>
        </is>
      </c>
      <c r="F269" t="n">
        <v>1</v>
      </c>
      <c r="G269" s="3" t="inlineStr"/>
    </row>
    <row r="270">
      <c r="A270" t="n">
        <v>19</v>
      </c>
      <c r="B270" t="inlineStr">
        <is>
          <t>A</t>
        </is>
      </c>
      <c r="C270" t="inlineStr">
        <is>
          <t>Source Diversity (Pers. 10)</t>
        </is>
      </c>
      <c r="D270" s="3" t="inlineStr">
        <is>
          <t>Diversity = |sumber unik dalam TopK| / K</t>
        </is>
      </c>
      <c r="E270" s="3" t="inlineStr">
        <is>
          <t>skor = ['GT_CT05.txt', 'GT_CT09.txt', 'GT_DETAIL_PT01_Pendahuluan.txt', 'GT_DETAIL_PT09_Variabel_TipeData_Operator_List.txt', 'GT_SUBTOPIK_02_Abstraksi_Formulasi.txt'] → 5 / 6</t>
        </is>
      </c>
      <c r="F270" t="n">
        <v>0.8333</v>
      </c>
      <c r="G270" s="3" t="inlineStr">
        <is>
          <t>file unik: GT_CT05.txt, GT_CT09.txt, GT_DETAIL_PT01_Pendahuluan.txt, GT_DETAIL_PT09_Variabel_TipeData_Operator_List.txt, GT_SUBTOPIK_02_Abstraksi_Formulasi.txt</t>
        </is>
      </c>
    </row>
    <row r="271">
      <c r="A271" t="n">
        <v>19</v>
      </c>
      <c r="B271" t="inlineStr">
        <is>
          <t>A</t>
        </is>
      </c>
      <c r="C271" t="inlineStr">
        <is>
          <t>Faithfulness (Pers. 15)</t>
        </is>
      </c>
      <c r="D271" s="3" t="inlineStr">
        <is>
          <t>F = 0,70×Entailment + 0,30×KWoverlap</t>
        </is>
      </c>
      <c r="E271" s="3" t="inlineStr">
        <is>
          <t>Faithfulness = 0,70×Entailment + 0,30×KWoverlap = 0,70×1.0000 + 0,30×0.2668 = 0.7800  (entailment: 6/6 klaim didukung; KWoverlap = (|∩|/|ctx|)^0,65 = (41/313)^0,65 = 0.1310^0,65 = 0.2668)</t>
        </is>
      </c>
      <c r="F271" t="n">
        <v>0.78</v>
      </c>
      <c r="G271" s="3" t="inlineStr">
        <is>
          <t>metode: llm_entailment + keyword</t>
        </is>
      </c>
    </row>
    <row r="272">
      <c r="A272" t="n">
        <v>19</v>
      </c>
      <c r="B272" t="inlineStr">
        <is>
          <t>A</t>
        </is>
      </c>
      <c r="C272" t="inlineStr">
        <is>
          <t>— Entailment (Pers. 12-13)</t>
        </is>
      </c>
      <c r="D272" s="3" t="inlineStr">
        <is>
          <t>Entailment = Σverdict(sᵢ)/m</t>
        </is>
      </c>
      <c r="E272" s="3" t="inlineStr">
        <is>
          <t>6 klaim YA dari 6 klaim dievaluasi</t>
        </is>
      </c>
      <c r="F272" t="n">
        <v>1</v>
      </c>
      <c r="G272" s="3" t="inlineStr">
        <is>
          <t>verdict per klaim: sheet 'Entailment Detail'</t>
        </is>
      </c>
    </row>
    <row r="273">
      <c r="A273" t="n">
        <v>19</v>
      </c>
      <c r="B273" t="inlineStr">
        <is>
          <t>A</t>
        </is>
      </c>
      <c r="C273" t="inlineStr">
        <is>
          <t>— Keyword Overlap (Pers. 14)</t>
        </is>
      </c>
      <c r="D273" s="3" t="inlineStr">
        <is>
          <t>KWoverlap = (|Stems(ans)∩Stems(ctx)| / |Stems(ctx)|)^0,65</t>
        </is>
      </c>
      <c r="E273" s="3" t="inlineStr">
        <is>
          <t>KWoverlap = (|∩|/|ctx|)^0,65 = (41/313)^0,65 = 0.1310^0,65 = 0.2668</t>
        </is>
      </c>
      <c r="F273" t="n">
        <v>0.2668</v>
      </c>
      <c r="G273" s="3" t="inlineStr"/>
    </row>
    <row r="274">
      <c r="A274" t="n">
        <v>19</v>
      </c>
      <c r="B274" t="inlineStr">
        <is>
          <t>A</t>
        </is>
      </c>
      <c r="C274" t="inlineStr">
        <is>
          <t>Hallucination Risk (Pers. 18)</t>
        </is>
      </c>
      <c r="D274" s="3" t="inlineStr">
        <is>
          <t>Risk = 0,65×(1-F) + 0,20×Contradiction + 0,15×Uncertainty</t>
        </is>
      </c>
      <c r="E274" s="3" t="inlineStr">
        <is>
          <t>Risk = 0,65×OutOfContext + 0,20×Contradiction + 0,15×Uncertainty = 0,65×0.2200 + 0,20×0.0000 + 0,15×0.00 = 0.1430 [RENDAH]</t>
        </is>
      </c>
      <c r="F274" t="n">
        <v>0.143</v>
      </c>
      <c r="G274" s="3" t="inlineStr">
        <is>
          <t>label: RENDAH; kontradiksi 0/10 kalimat; uncertainty flag: False</t>
        </is>
      </c>
    </row>
    <row r="275">
      <c r="A275" t="n">
        <v>19</v>
      </c>
      <c r="B275" t="inlineStr">
        <is>
          <t>A</t>
        </is>
      </c>
      <c r="C275" t="inlineStr">
        <is>
          <t>Answer Accuracy (Pers. 20)</t>
        </is>
      </c>
      <c r="D275" s="3" t="inlineStr">
        <is>
          <t>Correctᵢ ∈ {0,1} via LLM-as-Judge (HASIL: BENAR/SALAH)</t>
        </is>
      </c>
      <c r="E275" s="3" t="inlineStr">
        <is>
          <t>BENAR
Rationale:
1. The question asks about validating the pattern, which is a form of Pattern Recognition.
2. The provided reference mentions Pattern Recognition and Logical Operator (Operator Logi), which are relevant to the problem.
3. The system's answer provides guidance on using algorithmic thinking to validate the pattern, which aligns with the concept of Computational Thinking (CT).
The</t>
        </is>
      </c>
      <c r="F275" t="inlineStr">
        <is>
          <t>BENAR</t>
        </is>
      </c>
      <c r="G275" s="3" t="inlineStr">
        <is>
          <t>evaluator: ollama/llama3</t>
        </is>
      </c>
    </row>
    <row r="276">
      <c r="A276" t="n">
        <v>19</v>
      </c>
      <c r="B276" t="inlineStr">
        <is>
          <t>B</t>
        </is>
      </c>
      <c r="C276" t="inlineStr">
        <is>
          <t>Faithfulness (Pers. 15)</t>
        </is>
      </c>
      <c r="D276" s="3" t="inlineStr">
        <is>
          <t>F = 0,70×Entailment + 0,30×KWoverlap</t>
        </is>
      </c>
      <c r="E276" s="3" t="inlineStr">
        <is>
          <t>Faithfulness = 0,70×Entailment + 0,30×KWoverlap = 0,70×0.5000 + 0,30×0.1832 = 0.4050  (entailment: 3/6 klaim didukung; KWoverlap = (|∩|/|ctx|)^0,65 = (23/313)^0,65 = 0.0735^0,65 = 0.1832)</t>
        </is>
      </c>
      <c r="F276" t="n">
        <v>0.405</v>
      </c>
      <c r="G276" s="3" t="inlineStr">
        <is>
          <t>metode: llm_entailment + keyword</t>
        </is>
      </c>
    </row>
    <row r="277">
      <c r="A277" t="n">
        <v>19</v>
      </c>
      <c r="B277" t="inlineStr">
        <is>
          <t>B</t>
        </is>
      </c>
      <c r="C277" t="inlineStr">
        <is>
          <t>— Entailment (Pers. 12-13)</t>
        </is>
      </c>
      <c r="D277" s="3" t="inlineStr">
        <is>
          <t>Entailment = Σverdict(sᵢ)/m</t>
        </is>
      </c>
      <c r="E277" s="3" t="inlineStr">
        <is>
          <t>3 klaim YA dari 6 klaim dievaluasi</t>
        </is>
      </c>
      <c r="F277" t="n">
        <v>0.5</v>
      </c>
      <c r="G277" s="3" t="inlineStr">
        <is>
          <t>verdict per klaim: sheet 'Entailment Detail'</t>
        </is>
      </c>
    </row>
    <row r="278">
      <c r="A278" t="n">
        <v>19</v>
      </c>
      <c r="B278" t="inlineStr">
        <is>
          <t>B</t>
        </is>
      </c>
      <c r="C278" t="inlineStr">
        <is>
          <t>— Keyword Overlap (Pers. 14)</t>
        </is>
      </c>
      <c r="D278" s="3" t="inlineStr">
        <is>
          <t>KWoverlap = (|Stems(ans)∩Stems(ctx)| / |Stems(ctx)|)^0,65</t>
        </is>
      </c>
      <c r="E278" s="3" t="inlineStr">
        <is>
          <t>KWoverlap = (|∩|/|ctx|)^0,65 = (23/313)^0,65 = 0.0735^0,65 = 0.1832</t>
        </is>
      </c>
      <c r="F278" t="n">
        <v>0.1832</v>
      </c>
      <c r="G278" s="3" t="inlineStr"/>
    </row>
    <row r="279">
      <c r="A279" t="n">
        <v>19</v>
      </c>
      <c r="B279" t="inlineStr">
        <is>
          <t>B</t>
        </is>
      </c>
      <c r="C279" t="inlineStr">
        <is>
          <t>Hallucination Risk (Pers. 18)</t>
        </is>
      </c>
      <c r="D279" s="3" t="inlineStr">
        <is>
          <t>Risk = 0,65×(1-F) + 0,20×Contradiction + 0,15×Uncertainty</t>
        </is>
      </c>
      <c r="E279" s="3" t="inlineStr">
        <is>
          <t>Risk = 0,65×OutOfContext + 0,20×Contradiction + 0,15×Uncertainty = 0,65×0.5950 + 0,20×0.0000 + 0,15×0.00 = 0.3867 [SEDANG]</t>
        </is>
      </c>
      <c r="F279" t="n">
        <v>0.3867</v>
      </c>
      <c r="G279" s="3" t="inlineStr">
        <is>
          <t>label: SEDANG; kontradiksi 0/14 kalimat; uncertainty flag: False</t>
        </is>
      </c>
    </row>
    <row r="280">
      <c r="A280" t="n">
        <v>19</v>
      </c>
      <c r="B280" t="inlineStr">
        <is>
          <t>B</t>
        </is>
      </c>
      <c r="C280" t="inlineStr">
        <is>
          <t>Answer Accuracy (Pers. 20)</t>
        </is>
      </c>
      <c r="D280" s="3" t="inlineStr">
        <is>
          <t>Correctᵢ ∈ {0,1} via LLM-as-Judge (HASIL: BENAR/SALAH)</t>
        </is>
      </c>
      <c r="E280" s="3" t="inlineStr">
        <is>
          <t>Jawaban sistem:</t>
        </is>
      </c>
      <c r="F280" t="inlineStr">
        <is>
          <t>BENAR</t>
        </is>
      </c>
      <c r="G280" s="3" t="inlineStr">
        <is>
          <t>evaluator: ollama/llama3</t>
        </is>
      </c>
    </row>
    <row r="281">
      <c r="A281" t="n">
        <v>20</v>
      </c>
      <c r="B281" t="inlineStr">
        <is>
          <t>A</t>
        </is>
      </c>
      <c r="C281" t="inlineStr">
        <is>
          <t>Precision@K (Pers. 2)</t>
        </is>
      </c>
      <c r="D281" s="3" t="inlineStr">
        <is>
          <t>Precision@K = |{d ∈ TopK : sim(q,d) ≥ θ}| / K</t>
        </is>
      </c>
      <c r="E281" s="3" t="inlineStr">
        <is>
          <t>skor = [0.7639, 0.7555, 0.7552, 0.7435, 0.7369, 0.7352] → 6 / 6</t>
        </is>
      </c>
      <c r="F281" t="n">
        <v>1</v>
      </c>
      <c r="G281" s="3" t="inlineStr">
        <is>
          <t>basis: skor chunk nyata (sesuai contoh Pers. 2 skripsi)</t>
        </is>
      </c>
    </row>
    <row r="282">
      <c r="A282" t="n">
        <v>20</v>
      </c>
      <c r="B282" t="inlineStr">
        <is>
          <t>A</t>
        </is>
      </c>
      <c r="C282" t="inlineStr">
        <is>
          <t>Recall@K (Pers. 4)</t>
        </is>
      </c>
      <c r="D282" s="3" t="inlineStr">
        <is>
          <t>Recall@K = |{kata kunci ditemukan : sim ≥ θ}| / |R|</t>
        </is>
      </c>
      <c r="E282" s="3" t="inlineStr">
        <is>
          <t>skor = [0.5561, 0.5445, 0.4852, 0.4541, 0.4124, 0.4113] → 6 / 6</t>
        </is>
      </c>
      <c r="F282" t="n">
        <v>1</v>
      </c>
      <c r="G282" s="3" t="inlineStr"/>
    </row>
    <row r="283">
      <c r="A283" t="n">
        <v>20</v>
      </c>
      <c r="B283" t="inlineStr">
        <is>
          <t>A</t>
        </is>
      </c>
      <c r="C283" t="inlineStr">
        <is>
          <t>Mean Similarity (Pers. 6)</t>
        </is>
      </c>
      <c r="D283" s="3" t="inlineStr">
        <is>
          <t>MeanSim = (1/K) × Σ sim(q, dᵢ)</t>
        </is>
      </c>
      <c r="E283" s="3" t="inlineStr">
        <is>
          <t>skor = [0.7639, 0.7555, 0.7552, 0.7435, 0.7369, 0.7352] → (0.7639 + 0.7555 + 0.7552 + 0.7435 + 0.7369 + 0.7352) / 6</t>
        </is>
      </c>
      <c r="F283" t="n">
        <v>0.7484</v>
      </c>
      <c r="G283" s="3" t="inlineStr"/>
    </row>
    <row r="284">
      <c r="A284" t="n">
        <v>20</v>
      </c>
      <c r="B284" t="inlineStr">
        <is>
          <t>A</t>
        </is>
      </c>
      <c r="C284" t="inlineStr">
        <is>
          <t>Coverage (Pers. 8)</t>
        </is>
      </c>
      <c r="D284" s="3" t="inlineStr">
        <is>
          <t>Coverage = |{dᵢ ∈ TopK : sim(q,dᵢ) ≥ θc}| / K</t>
        </is>
      </c>
      <c r="E284" s="3" t="inlineStr">
        <is>
          <t>skor = [0.7639, 0.7555, 0.7552, 0.7435, 0.7369, 0.7352] → 6 / 6</t>
        </is>
      </c>
      <c r="F284" t="n">
        <v>1</v>
      </c>
      <c r="G284" s="3" t="inlineStr"/>
    </row>
    <row r="285">
      <c r="A285" t="n">
        <v>20</v>
      </c>
      <c r="B285" t="inlineStr">
        <is>
          <t>A</t>
        </is>
      </c>
      <c r="C285" t="inlineStr">
        <is>
          <t>Source Diversity (Pers. 10)</t>
        </is>
      </c>
      <c r="D285" s="3" t="inlineStr">
        <is>
          <t>Diversity = |sumber unik dalam TopK| / K</t>
        </is>
      </c>
      <c r="E285" s="3" t="inlineStr">
        <is>
          <t>skor = ['GT_CT07.txt', 'GT_CT09.txt', 'GT_DETAIL_PT04_Abstraksi.txt', 'GT_DETAIL_PT05_Pattern_Recognition.txt', 'GT_DETAIL_PT09_Variabel_TipeData_Operator_List.txt', 'GT_SUBTOPIK_04_Modulo_Siklus.txt'] → 6 / 6</t>
        </is>
      </c>
      <c r="F285" t="n">
        <v>1</v>
      </c>
      <c r="G285" s="3" t="inlineStr">
        <is>
          <t>file unik: GT_CT07.txt, GT_CT09.txt, GT_DETAIL_PT04_Abstraksi.txt, GT_DETAIL_PT05_Pattern_Recognition.txt, GT_DETAIL_PT09_Variabel_TipeData_Operator_List.txt, GT_SUBTOPIK_04_Modulo_Siklus.txt</t>
        </is>
      </c>
    </row>
    <row r="286">
      <c r="A286" t="n">
        <v>20</v>
      </c>
      <c r="B286" t="inlineStr">
        <is>
          <t>A</t>
        </is>
      </c>
      <c r="C286" t="inlineStr">
        <is>
          <t>Faithfulness (Pers. 15)</t>
        </is>
      </c>
      <c r="D286" s="3" t="inlineStr">
        <is>
          <t>F = 0,70×Entailment + 0,30×KWoverlap</t>
        </is>
      </c>
      <c r="E286" s="3" t="inlineStr">
        <is>
          <t>Faithfulness = 0,70×Entailment + 0,30×KWoverlap = 0,70×1.0000 + 0,30×0.0584 = 0.7175  (entailment: 6/6 klaim didukung; KWoverlap = (|∩|/|ctx|)^0,65 = (3/237)^0,65 = 0.0127^0,65 = 0.0584)</t>
        </is>
      </c>
      <c r="F286" t="n">
        <v>0.7175</v>
      </c>
      <c r="G286" s="3" t="inlineStr">
        <is>
          <t>metode: llm_entailment + keyword</t>
        </is>
      </c>
    </row>
    <row r="287">
      <c r="A287" t="n">
        <v>20</v>
      </c>
      <c r="B287" t="inlineStr">
        <is>
          <t>A</t>
        </is>
      </c>
      <c r="C287" t="inlineStr">
        <is>
          <t>— Entailment (Pers. 12-13)</t>
        </is>
      </c>
      <c r="D287" s="3" t="inlineStr">
        <is>
          <t>Entailment = Σverdict(sᵢ)/m</t>
        </is>
      </c>
      <c r="E287" s="3" t="inlineStr">
        <is>
          <t>6 klaim YA dari 6 klaim dievaluasi</t>
        </is>
      </c>
      <c r="F287" t="n">
        <v>1</v>
      </c>
      <c r="G287" s="3" t="inlineStr">
        <is>
          <t>verdict per klaim: sheet 'Entailment Detail'</t>
        </is>
      </c>
    </row>
    <row r="288">
      <c r="A288" t="n">
        <v>20</v>
      </c>
      <c r="B288" t="inlineStr">
        <is>
          <t>A</t>
        </is>
      </c>
      <c r="C288" t="inlineStr">
        <is>
          <t>— Keyword Overlap (Pers. 14)</t>
        </is>
      </c>
      <c r="D288" s="3" t="inlineStr">
        <is>
          <t>KWoverlap = (|Stems(ans)∩Stems(ctx)| / |Stems(ctx)|)^0,65</t>
        </is>
      </c>
      <c r="E288" s="3" t="inlineStr">
        <is>
          <t>KWoverlap = (|∩|/|ctx|)^0,65 = (3/237)^0,65 = 0.0127^0,65 = 0.0584</t>
        </is>
      </c>
      <c r="F288" t="n">
        <v>0.0584</v>
      </c>
      <c r="G288" s="3" t="inlineStr"/>
    </row>
    <row r="289">
      <c r="A289" t="n">
        <v>20</v>
      </c>
      <c r="B289" t="inlineStr">
        <is>
          <t>A</t>
        </is>
      </c>
      <c r="C289" t="inlineStr">
        <is>
          <t>Hallucination Risk (Pers. 18)</t>
        </is>
      </c>
      <c r="D289" s="3" t="inlineStr">
        <is>
          <t>Risk = 0,65×(1-F) + 0,20×Contradiction + 0,15×Uncertainty</t>
        </is>
      </c>
      <c r="E289" s="3" t="inlineStr">
        <is>
          <t>Risk = 0,65×OutOfContext + 0,20×Contradiction + 0,15×Uncertainty = 0,65×0.2825 + 0,20×0.0000 + 0,15×0.00 = 0.1836 [RENDAH]</t>
        </is>
      </c>
      <c r="F289" t="n">
        <v>0.1836</v>
      </c>
      <c r="G289" s="3" t="inlineStr">
        <is>
          <t>label: RENDAH; kontradiksi 0/18 kalimat; uncertainty flag: False</t>
        </is>
      </c>
    </row>
    <row r="290">
      <c r="A290" t="n">
        <v>20</v>
      </c>
      <c r="B290" t="inlineStr">
        <is>
          <t>A</t>
        </is>
      </c>
      <c r="C290" t="inlineStr">
        <is>
          <t>Answer Accuracy (Pers. 20)</t>
        </is>
      </c>
      <c r="D290" s="3" t="inlineStr">
        <is>
          <t>Correctᵢ ∈ {0,1} via LLM-as-Judge (HASIL: BENAR/SALAH)</t>
        </is>
      </c>
      <c r="E290" s="3" t="inlineStr">
        <is>
          <t>Jawaban sistem:</t>
        </is>
      </c>
      <c r="F290" t="inlineStr">
        <is>
          <t>BENAR</t>
        </is>
      </c>
      <c r="G290" s="3" t="inlineStr">
        <is>
          <t>evaluator: ollama/llama3</t>
        </is>
      </c>
    </row>
    <row r="291">
      <c r="A291" t="n">
        <v>20</v>
      </c>
      <c r="B291" t="inlineStr">
        <is>
          <t>B</t>
        </is>
      </c>
      <c r="C291" t="inlineStr">
        <is>
          <t>Faithfulness (Pers. 15)</t>
        </is>
      </c>
      <c r="D291" s="3" t="inlineStr">
        <is>
          <t>F = 0,70×Entailment + 0,30×KWoverlap</t>
        </is>
      </c>
      <c r="E291" s="3" t="inlineStr">
        <is>
          <t>Faithfulness = 0,70×Entailment + 0,30×KWoverlap = 0,70×1.0000 + 0,30×0.1515 = 0.7455  (entailment: 6/6 klaim didukung; KWoverlap = (|∩|/|ctx|)^0,65 = (13/237)^0,65 = 0.0549^0,65 = 0.1515)</t>
        </is>
      </c>
      <c r="F291" t="n">
        <v>0.7455000000000001</v>
      </c>
      <c r="G291" s="3" t="inlineStr">
        <is>
          <t>metode: llm_entailment + keyword</t>
        </is>
      </c>
    </row>
    <row r="292">
      <c r="A292" t="n">
        <v>20</v>
      </c>
      <c r="B292" t="inlineStr">
        <is>
          <t>B</t>
        </is>
      </c>
      <c r="C292" t="inlineStr">
        <is>
          <t>— Entailment (Pers. 12-13)</t>
        </is>
      </c>
      <c r="D292" s="3" t="inlineStr">
        <is>
          <t>Entailment = Σverdict(sᵢ)/m</t>
        </is>
      </c>
      <c r="E292" s="3" t="inlineStr">
        <is>
          <t>6 klaim YA dari 6 klaim dievaluasi</t>
        </is>
      </c>
      <c r="F292" t="n">
        <v>1</v>
      </c>
      <c r="G292" s="3" t="inlineStr">
        <is>
          <t>verdict per klaim: sheet 'Entailment Detail'</t>
        </is>
      </c>
    </row>
    <row r="293">
      <c r="A293" t="n">
        <v>20</v>
      </c>
      <c r="B293" t="inlineStr">
        <is>
          <t>B</t>
        </is>
      </c>
      <c r="C293" t="inlineStr">
        <is>
          <t>— Keyword Overlap (Pers. 14)</t>
        </is>
      </c>
      <c r="D293" s="3" t="inlineStr">
        <is>
          <t>KWoverlap = (|Stems(ans)∩Stems(ctx)| / |Stems(ctx)|)^0,65</t>
        </is>
      </c>
      <c r="E293" s="3" t="inlineStr">
        <is>
          <t>KWoverlap = (|∩|/|ctx|)^0,65 = (13/237)^0,65 = 0.0549^0,65 = 0.1515</t>
        </is>
      </c>
      <c r="F293" t="n">
        <v>0.1515</v>
      </c>
      <c r="G293" s="3" t="inlineStr"/>
    </row>
    <row r="294">
      <c r="A294" t="n">
        <v>20</v>
      </c>
      <c r="B294" t="inlineStr">
        <is>
          <t>B</t>
        </is>
      </c>
      <c r="C294" t="inlineStr">
        <is>
          <t>Hallucination Risk (Pers. 18)</t>
        </is>
      </c>
      <c r="D294" s="3" t="inlineStr">
        <is>
          <t>Risk = 0,65×(1-F) + 0,20×Contradiction + 0,15×Uncertainty</t>
        </is>
      </c>
      <c r="E294" s="3" t="inlineStr">
        <is>
          <t>Risk = 0,65×OutOfContext + 0,20×Contradiction + 0,15×Uncertainty = 0,65×0.2545 + 0,20×0.0000 + 0,15×0.00 = 0.1654 [RENDAH]</t>
        </is>
      </c>
      <c r="F294" t="n">
        <v>0.1654</v>
      </c>
      <c r="G294" s="3" t="inlineStr">
        <is>
          <t>label: RENDAH; kontradiksi 0/8 kalimat; uncertainty flag: False</t>
        </is>
      </c>
    </row>
    <row r="295">
      <c r="A295" t="n">
        <v>20</v>
      </c>
      <c r="B295" t="inlineStr">
        <is>
          <t>B</t>
        </is>
      </c>
      <c r="C295" t="inlineStr">
        <is>
          <t>Answer Accuracy (Pers. 20)</t>
        </is>
      </c>
      <c r="D295" s="3" t="inlineStr">
        <is>
          <t>Correctᵢ ∈ {0,1} via LLM-as-Judge (HASIL: BENAR/SALAH)</t>
        </is>
      </c>
      <c r="E295" s="3" t="inlineStr">
        <is>
          <t>BENAR</t>
        </is>
      </c>
      <c r="F295" t="inlineStr">
        <is>
          <t>BENAR</t>
        </is>
      </c>
      <c r="G295" s="3" t="inlineStr">
        <is>
          <t>evaluator: ollama/llama3</t>
        </is>
      </c>
    </row>
    <row r="296">
      <c r="A296" t="n">
        <v>21</v>
      </c>
      <c r="B296" t="inlineStr">
        <is>
          <t>A</t>
        </is>
      </c>
      <c r="C296" t="inlineStr">
        <is>
          <t>Precision@K (Pers. 2)</t>
        </is>
      </c>
      <c r="D296" s="3" t="inlineStr">
        <is>
          <t>Precision@K = |{d ∈ TopK : sim(q,d) ≥ θ}| / K</t>
        </is>
      </c>
      <c r="E296" s="3" t="inlineStr">
        <is>
          <t>skor = [0.7831, 0.7643, 0.7633, 0.7455, 0.7376, 0.7306] → 6 / 6</t>
        </is>
      </c>
      <c r="F296" t="n">
        <v>1</v>
      </c>
      <c r="G296" s="3" t="inlineStr">
        <is>
          <t>basis: skor chunk nyata (sesuai contoh Pers. 2 skripsi)</t>
        </is>
      </c>
    </row>
    <row r="297">
      <c r="A297" t="n">
        <v>21</v>
      </c>
      <c r="B297" t="inlineStr">
        <is>
          <t>A</t>
        </is>
      </c>
      <c r="C297" t="inlineStr">
        <is>
          <t>Recall@K (Pers. 4)</t>
        </is>
      </c>
      <c r="D297" s="3" t="inlineStr">
        <is>
          <t>Recall@K = |{kata kunci ditemukan : sim ≥ θ}| / |R|</t>
        </is>
      </c>
      <c r="E297" s="3" t="inlineStr">
        <is>
          <t>skor = [0.7588, 0.6509, 0.5147, 0.4788, 0.4509, 0.4409] → 6 / 6</t>
        </is>
      </c>
      <c r="F297" t="n">
        <v>1</v>
      </c>
      <c r="G297" s="3" t="inlineStr"/>
    </row>
    <row r="298">
      <c r="A298" t="n">
        <v>21</v>
      </c>
      <c r="B298" t="inlineStr">
        <is>
          <t>A</t>
        </is>
      </c>
      <c r="C298" t="inlineStr">
        <is>
          <t>Mean Similarity (Pers. 6)</t>
        </is>
      </c>
      <c r="D298" s="3" t="inlineStr">
        <is>
          <t>MeanSim = (1/K) × Σ sim(q, dᵢ)</t>
        </is>
      </c>
      <c r="E298" s="3" t="inlineStr">
        <is>
          <t>skor = [0.7831, 0.7643, 0.7633, 0.7455, 0.7376, 0.7306] → (0.7831 + 0.7643 + 0.7633 + 0.7455 + 0.7376 + 0.7306) / 6</t>
        </is>
      </c>
      <c r="F298" t="n">
        <v>0.7541</v>
      </c>
      <c r="G298" s="3" t="inlineStr"/>
    </row>
    <row r="299">
      <c r="A299" t="n">
        <v>21</v>
      </c>
      <c r="B299" t="inlineStr">
        <is>
          <t>A</t>
        </is>
      </c>
      <c r="C299" t="inlineStr">
        <is>
          <t>Coverage (Pers. 8)</t>
        </is>
      </c>
      <c r="D299" s="3" t="inlineStr">
        <is>
          <t>Coverage = |{dᵢ ∈ TopK : sim(q,dᵢ) ≥ θc}| / K</t>
        </is>
      </c>
      <c r="E299" s="3" t="inlineStr">
        <is>
          <t>skor = [0.7831, 0.7643, 0.7633, 0.7455, 0.7376, 0.7306] → 6 / 6</t>
        </is>
      </c>
      <c r="F299" t="n">
        <v>1</v>
      </c>
      <c r="G299" s="3" t="inlineStr"/>
    </row>
    <row r="300">
      <c r="A300" t="n">
        <v>21</v>
      </c>
      <c r="B300" t="inlineStr">
        <is>
          <t>A</t>
        </is>
      </c>
      <c r="C300" t="inlineStr">
        <is>
          <t>Source Diversity (Pers. 10)</t>
        </is>
      </c>
      <c r="D300" s="3" t="inlineStr">
        <is>
          <t>Diversity = |sumber unik dalam TopK| / K</t>
        </is>
      </c>
      <c r="E300" s="3" t="inlineStr">
        <is>
          <t>skor = ['GT_CT01.txt', 'GT_CT07.txt', 'GT_CT09.txt', 'GT_DETAIL_PT07_Notasi_Algoritme.txt', 'GT_DETAIL_PT10_Percabangan.txt'] → 5 / 6</t>
        </is>
      </c>
      <c r="F300" t="n">
        <v>0.8333</v>
      </c>
      <c r="G300" s="3" t="inlineStr">
        <is>
          <t>file unik: GT_CT01.txt, GT_CT07.txt, GT_CT09.txt, GT_DETAIL_PT07_Notasi_Algoritme.txt, GT_DETAIL_PT10_Percabangan.txt</t>
        </is>
      </c>
    </row>
    <row r="301">
      <c r="A301" t="n">
        <v>21</v>
      </c>
      <c r="B301" t="inlineStr">
        <is>
          <t>A</t>
        </is>
      </c>
      <c r="C301" t="inlineStr">
        <is>
          <t>Faithfulness (Pers. 15)</t>
        </is>
      </c>
      <c r="D301" s="3" t="inlineStr">
        <is>
          <t>F = 0,70×Entailment + 0,30×KWoverlap</t>
        </is>
      </c>
      <c r="E301" s="3" t="inlineStr">
        <is>
          <t>Faithfulness = 0,70×Entailment + 0,30×KWoverlap = 0,70×1.0000 + 0,30×0.3149 = 0.7945  (entailment: 6/6 klaim didukung; KWoverlap = (|∩|/|ctx|)^0,65 = (47/278)^0,65 = 0.1691^0,65 = 0.3149)</t>
        </is>
      </c>
      <c r="F301" t="n">
        <v>0.7945</v>
      </c>
      <c r="G301" s="3" t="inlineStr">
        <is>
          <t>metode: llm_entailment + keyword</t>
        </is>
      </c>
    </row>
    <row r="302">
      <c r="A302" t="n">
        <v>21</v>
      </c>
      <c r="B302" t="inlineStr">
        <is>
          <t>A</t>
        </is>
      </c>
      <c r="C302" t="inlineStr">
        <is>
          <t>— Entailment (Pers. 12-13)</t>
        </is>
      </c>
      <c r="D302" s="3" t="inlineStr">
        <is>
          <t>Entailment = Σverdict(sᵢ)/m</t>
        </is>
      </c>
      <c r="E302" s="3" t="inlineStr">
        <is>
          <t>6 klaim YA dari 6 klaim dievaluasi</t>
        </is>
      </c>
      <c r="F302" t="n">
        <v>1</v>
      </c>
      <c r="G302" s="3" t="inlineStr">
        <is>
          <t>verdict per klaim: sheet 'Entailment Detail'</t>
        </is>
      </c>
    </row>
    <row r="303">
      <c r="A303" t="n">
        <v>21</v>
      </c>
      <c r="B303" t="inlineStr">
        <is>
          <t>A</t>
        </is>
      </c>
      <c r="C303" t="inlineStr">
        <is>
          <t>— Keyword Overlap (Pers. 14)</t>
        </is>
      </c>
      <c r="D303" s="3" t="inlineStr">
        <is>
          <t>KWoverlap = (|Stems(ans)∩Stems(ctx)| / |Stems(ctx)|)^0,65</t>
        </is>
      </c>
      <c r="E303" s="3" t="inlineStr">
        <is>
          <t>KWoverlap = (|∩|/|ctx|)^0,65 = (47/278)^0,65 = 0.1691^0,65 = 0.3149</t>
        </is>
      </c>
      <c r="F303" t="n">
        <v>0.3149</v>
      </c>
      <c r="G303" s="3" t="inlineStr"/>
    </row>
    <row r="304">
      <c r="A304" t="n">
        <v>21</v>
      </c>
      <c r="B304" t="inlineStr">
        <is>
          <t>A</t>
        </is>
      </c>
      <c r="C304" t="inlineStr">
        <is>
          <t>Hallucination Risk (Pers. 18)</t>
        </is>
      </c>
      <c r="D304" s="3" t="inlineStr">
        <is>
          <t>Risk = 0,65×(1-F) + 0,20×Contradiction + 0,15×Uncertainty</t>
        </is>
      </c>
      <c r="E304" s="3" t="inlineStr">
        <is>
          <t>Risk = 0,65×OutOfContext + 0,20×Contradiction + 0,15×Uncertainty = 0,65×0.2055 + 0,20×0.0000 + 0,15×0.00 = 0.1336 [RENDAH]</t>
        </is>
      </c>
      <c r="F304" t="n">
        <v>0.1336</v>
      </c>
      <c r="G304" s="3" t="inlineStr">
        <is>
          <t>label: RENDAH; kontradiksi 0/14 kalimat; uncertainty flag: False</t>
        </is>
      </c>
    </row>
    <row r="305">
      <c r="A305" t="n">
        <v>21</v>
      </c>
      <c r="B305" t="inlineStr">
        <is>
          <t>A</t>
        </is>
      </c>
      <c r="C305" t="inlineStr">
        <is>
          <t>Answer Accuracy (Pers. 20)</t>
        </is>
      </c>
      <c r="D305" s="3" t="inlineStr">
        <is>
          <t>Correctᵢ ∈ {0,1} via LLM-as-Judge (HASIL: BENAR/SALAH)</t>
        </is>
      </c>
      <c r="E305" s="3" t="inlineStr">
        <is>
          <t>BENAR
Jawaban sistem menjawab pertanyaan dengan benar berdasarkan referensi. Pseudocode dan flowchart adalah dua bentuk representasi algoritme yang berbeda, tetapi keduanya memiliki tujuan yang sama, yaitu untuk mendapatkan ide secara cepat dan memudahkan pembacaan algoritme tanpa harus mengikuti aturan grammar (sintaks) bahasa pemrograman yang ketat. Referensi 2 juga menjelaskan bahwa pseudocode</t>
        </is>
      </c>
      <c r="F305" t="inlineStr">
        <is>
          <t>BENAR</t>
        </is>
      </c>
      <c r="G305" s="3" t="inlineStr">
        <is>
          <t>evaluator: ollama/llama3</t>
        </is>
      </c>
    </row>
    <row r="306">
      <c r="A306" t="n">
        <v>21</v>
      </c>
      <c r="B306" t="inlineStr">
        <is>
          <t>B</t>
        </is>
      </c>
      <c r="C306" t="inlineStr">
        <is>
          <t>Faithfulness (Pers. 15)</t>
        </is>
      </c>
      <c r="D306" s="3" t="inlineStr">
        <is>
          <t>F = 0,70×Entailment + 0,30×KWoverlap</t>
        </is>
      </c>
      <c r="E306" s="3" t="inlineStr">
        <is>
          <t>Faithfulness = 0,70×Entailment + 0,30×KWoverlap = 0,70×1.0000 + 0,30×0.2089 = 0.7627  (entailment: 6/6 klaim didukung; KWoverlap = (|∩|/|ctx|)^0,65 = (25/278)^0,65 = 0.0899^0,65 = 0.2089)</t>
        </is>
      </c>
      <c r="F306" t="n">
        <v>0.7627</v>
      </c>
      <c r="G306" s="3" t="inlineStr">
        <is>
          <t>metode: llm_entailment + keyword</t>
        </is>
      </c>
    </row>
    <row r="307">
      <c r="A307" t="n">
        <v>21</v>
      </c>
      <c r="B307" t="inlineStr">
        <is>
          <t>B</t>
        </is>
      </c>
      <c r="C307" t="inlineStr">
        <is>
          <t>— Entailment (Pers. 12-13)</t>
        </is>
      </c>
      <c r="D307" s="3" t="inlineStr">
        <is>
          <t>Entailment = Σverdict(sᵢ)/m</t>
        </is>
      </c>
      <c r="E307" s="3" t="inlineStr">
        <is>
          <t>6 klaim YA dari 6 klaim dievaluasi</t>
        </is>
      </c>
      <c r="F307" t="n">
        <v>1</v>
      </c>
      <c r="G307" s="3" t="inlineStr">
        <is>
          <t>verdict per klaim: sheet 'Entailment Detail'</t>
        </is>
      </c>
    </row>
    <row r="308">
      <c r="A308" t="n">
        <v>21</v>
      </c>
      <c r="B308" t="inlineStr">
        <is>
          <t>B</t>
        </is>
      </c>
      <c r="C308" t="inlineStr">
        <is>
          <t>— Keyword Overlap (Pers. 14)</t>
        </is>
      </c>
      <c r="D308" s="3" t="inlineStr">
        <is>
          <t>KWoverlap = (|Stems(ans)∩Stems(ctx)| / |Stems(ctx)|)^0,65</t>
        </is>
      </c>
      <c r="E308" s="3" t="inlineStr">
        <is>
          <t>KWoverlap = (|∩|/|ctx|)^0,65 = (25/278)^0,65 = 0.0899^0,65 = 0.2089</t>
        </is>
      </c>
      <c r="F308" t="n">
        <v>0.2089</v>
      </c>
      <c r="G308" s="3" t="inlineStr"/>
    </row>
    <row r="309">
      <c r="A309" t="n">
        <v>21</v>
      </c>
      <c r="B309" t="inlineStr">
        <is>
          <t>B</t>
        </is>
      </c>
      <c r="C309" t="inlineStr">
        <is>
          <t>Hallucination Risk (Pers. 18)</t>
        </is>
      </c>
      <c r="D309" s="3" t="inlineStr">
        <is>
          <t>Risk = 0,65×(1-F) + 0,20×Contradiction + 0,15×Uncertainty</t>
        </is>
      </c>
      <c r="E309" s="3" t="inlineStr">
        <is>
          <t>Risk = 0,65×OutOfContext + 0,20×Contradiction + 0,15×Uncertainty = 0,65×0.2373 + 0,20×0.0000 + 0,15×0.20 = 0.1842 [RENDAH]</t>
        </is>
      </c>
      <c r="F309" t="n">
        <v>0.1842</v>
      </c>
      <c r="G309" s="3" t="inlineStr">
        <is>
          <t>label: RENDAH; kontradiksi 0/15 kalimat; uncertainty flag: True</t>
        </is>
      </c>
    </row>
    <row r="310">
      <c r="A310" t="n">
        <v>21</v>
      </c>
      <c r="B310" t="inlineStr">
        <is>
          <t>B</t>
        </is>
      </c>
      <c r="C310" t="inlineStr">
        <is>
          <t>Answer Accuracy (Pers. 20)</t>
        </is>
      </c>
      <c r="D310" s="3" t="inlineStr">
        <is>
          <t>Correctᵢ ∈ {0,1} via LLM-as-Judge (HASIL: BENAR/SALAH)</t>
        </is>
      </c>
      <c r="E310" s="3" t="inlineStr">
        <is>
          <t>Menurut referensi (dokumen materi GT), pseudocode adalah cara informal untuk menuliskan algoritme atau rancangan program komputer, memiliki tujuan utama untuk mendapatkan ide secara cepat dan memudahkan pembacaan algoritme.
Jawaban sistem: BENAR</t>
        </is>
      </c>
      <c r="F310" t="inlineStr">
        <is>
          <t>BENAR</t>
        </is>
      </c>
      <c r="G310" s="3" t="inlineStr">
        <is>
          <t>evaluator: ollama/llama3</t>
        </is>
      </c>
    </row>
    <row r="311">
      <c r="A311" t="n">
        <v>22</v>
      </c>
      <c r="B311" t="inlineStr">
        <is>
          <t>A</t>
        </is>
      </c>
      <c r="C311" t="inlineStr">
        <is>
          <t>Precision@K (Pers. 2)</t>
        </is>
      </c>
      <c r="D311" s="3" t="inlineStr">
        <is>
          <t>Precision@K = |{d ∈ TopK : sim(q,d) ≥ θ}| / K</t>
        </is>
      </c>
      <c r="E311" s="3" t="inlineStr">
        <is>
          <t>skor = [0.8283, 0.8206, 0.7766, 0.7715, 0.7667, 0.7658] → 6 / 6</t>
        </is>
      </c>
      <c r="F311" t="n">
        <v>1</v>
      </c>
      <c r="G311" s="3" t="inlineStr">
        <is>
          <t>basis: skor chunk nyata (sesuai contoh Pers. 2 skripsi)</t>
        </is>
      </c>
    </row>
    <row r="312">
      <c r="A312" t="n">
        <v>22</v>
      </c>
      <c r="B312" t="inlineStr">
        <is>
          <t>A</t>
        </is>
      </c>
      <c r="C312" t="inlineStr">
        <is>
          <t>Recall@K (Pers. 4)</t>
        </is>
      </c>
      <c r="D312" s="3" t="inlineStr">
        <is>
          <t>Recall@K = |{kata kunci ditemukan : sim ≥ θ}| / |R|</t>
        </is>
      </c>
      <c r="E312" s="3" t="inlineStr">
        <is>
          <t>skor = [0.7736, 0.5595, 0.5595, 0.5529, 0.483, 0.4247] → 6 / 6</t>
        </is>
      </c>
      <c r="F312" t="n">
        <v>1</v>
      </c>
      <c r="G312" s="3" t="inlineStr"/>
    </row>
    <row r="313">
      <c r="A313" t="n">
        <v>22</v>
      </c>
      <c r="B313" t="inlineStr">
        <is>
          <t>A</t>
        </is>
      </c>
      <c r="C313" t="inlineStr">
        <is>
          <t>Mean Similarity (Pers. 6)</t>
        </is>
      </c>
      <c r="D313" s="3" t="inlineStr">
        <is>
          <t>MeanSim = (1/K) × Σ sim(q, dᵢ)</t>
        </is>
      </c>
      <c r="E313" s="3" t="inlineStr">
        <is>
          <t>skor = [0.8283, 0.8206, 0.7766, 0.7715, 0.7667, 0.7658] → (0.8283 + 0.8206 + 0.7766 + 0.7715 + 0.7667 + 0.7658) / 6</t>
        </is>
      </c>
      <c r="F313" t="n">
        <v>0.7883</v>
      </c>
      <c r="G313" s="3" t="inlineStr"/>
    </row>
    <row r="314">
      <c r="A314" t="n">
        <v>22</v>
      </c>
      <c r="B314" t="inlineStr">
        <is>
          <t>A</t>
        </is>
      </c>
      <c r="C314" t="inlineStr">
        <is>
          <t>Coverage (Pers. 8)</t>
        </is>
      </c>
      <c r="D314" s="3" t="inlineStr">
        <is>
          <t>Coverage = |{dᵢ ∈ TopK : sim(q,dᵢ) ≥ θc}| / K</t>
        </is>
      </c>
      <c r="E314" s="3" t="inlineStr">
        <is>
          <t>skor = [0.8283, 0.8206, 0.7766, 0.7715, 0.7667, 0.7658] → 6 / 6</t>
        </is>
      </c>
      <c r="F314" t="n">
        <v>1</v>
      </c>
      <c r="G314" s="3" t="inlineStr"/>
    </row>
    <row r="315">
      <c r="A315" t="n">
        <v>22</v>
      </c>
      <c r="B315" t="inlineStr">
        <is>
          <t>A</t>
        </is>
      </c>
      <c r="C315" t="inlineStr">
        <is>
          <t>Source Diversity (Pers. 10)</t>
        </is>
      </c>
      <c r="D315" s="3" t="inlineStr">
        <is>
          <t>Diversity = |sumber unik dalam TopK| / K</t>
        </is>
      </c>
      <c r="E315" s="3" t="inlineStr">
        <is>
          <t>skor = ['GT_CT07.txt', 'GT_CT11.txt', 'GT_DETAIL_PT07_Notasi_Algoritme.txt', 'GT_DETAIL_PT10_Percabangan.txt', 'GT_DETAIL_PT11_Perulangan.txt', 'GT_SUBTOPIK_05_Pseudocode_Algoritme.txt'] → 6 / 6</t>
        </is>
      </c>
      <c r="F315" t="n">
        <v>1</v>
      </c>
      <c r="G315" s="3" t="inlineStr">
        <is>
          <t>file unik: GT_CT07.txt, GT_CT11.txt, GT_DETAIL_PT07_Notasi_Algoritme.txt, GT_DETAIL_PT10_Percabangan.txt, GT_DETAIL_PT11_Perulangan.txt, GT_SUBTOPIK_05_Pseudocode_Algoritme.txt</t>
        </is>
      </c>
    </row>
    <row r="316">
      <c r="A316" t="n">
        <v>22</v>
      </c>
      <c r="B316" t="inlineStr">
        <is>
          <t>A</t>
        </is>
      </c>
      <c r="C316" t="inlineStr">
        <is>
          <t>Faithfulness (Pers. 15)</t>
        </is>
      </c>
      <c r="D316" s="3" t="inlineStr">
        <is>
          <t>F = 0,70×Entailment + 0,30×KWoverlap</t>
        </is>
      </c>
      <c r="E316" s="3" t="inlineStr">
        <is>
          <t>Faithfulness = 0,70×Entailment + 0,30×KWoverlap = 0,70×1.0000 + 0,30×0.2413 = 0.7724  (entailment: 6/6 klaim didukung; KWoverlap = (|∩|/|ctx|)^0,65 = (22/196)^0,65 = 0.1122^0,65 = 0.2413)</t>
        </is>
      </c>
      <c r="F316" t="n">
        <v>0.7724</v>
      </c>
      <c r="G316" s="3" t="inlineStr">
        <is>
          <t>metode: llm_entailment + keyword</t>
        </is>
      </c>
    </row>
    <row r="317">
      <c r="A317" t="n">
        <v>22</v>
      </c>
      <c r="B317" t="inlineStr">
        <is>
          <t>A</t>
        </is>
      </c>
      <c r="C317" t="inlineStr">
        <is>
          <t>— Entailment (Pers. 12-13)</t>
        </is>
      </c>
      <c r="D317" s="3" t="inlineStr">
        <is>
          <t>Entailment = Σverdict(sᵢ)/m</t>
        </is>
      </c>
      <c r="E317" s="3" t="inlineStr">
        <is>
          <t>6 klaim YA dari 6 klaim dievaluasi</t>
        </is>
      </c>
      <c r="F317" t="n">
        <v>1</v>
      </c>
      <c r="G317" s="3" t="inlineStr">
        <is>
          <t>verdict per klaim: sheet 'Entailment Detail'</t>
        </is>
      </c>
    </row>
    <row r="318">
      <c r="A318" t="n">
        <v>22</v>
      </c>
      <c r="B318" t="inlineStr">
        <is>
          <t>A</t>
        </is>
      </c>
      <c r="C318" t="inlineStr">
        <is>
          <t>— Keyword Overlap (Pers. 14)</t>
        </is>
      </c>
      <c r="D318" s="3" t="inlineStr">
        <is>
          <t>KWoverlap = (|Stems(ans)∩Stems(ctx)| / |Stems(ctx)|)^0,65</t>
        </is>
      </c>
      <c r="E318" s="3" t="inlineStr">
        <is>
          <t>KWoverlap = (|∩|/|ctx|)^0,65 = (22/196)^0,65 = 0.1122^0,65 = 0.2413</t>
        </is>
      </c>
      <c r="F318" t="n">
        <v>0.2413</v>
      </c>
      <c r="G318" s="3" t="inlineStr"/>
    </row>
    <row r="319">
      <c r="A319" t="n">
        <v>22</v>
      </c>
      <c r="B319" t="inlineStr">
        <is>
          <t>A</t>
        </is>
      </c>
      <c r="C319" t="inlineStr">
        <is>
          <t>Hallucination Risk (Pers. 18)</t>
        </is>
      </c>
      <c r="D319" s="3" t="inlineStr">
        <is>
          <t>Risk = 0,65×(1-F) + 0,20×Contradiction + 0,15×Uncertainty</t>
        </is>
      </c>
      <c r="E319" s="3" t="inlineStr">
        <is>
          <t>Risk = 0,65×OutOfContext + 0,20×Contradiction + 0,15×Uncertainty = 0,65×0.2276 + 0,20×0.0000 + 0,15×0.00 = 0.1479 [RENDAH]</t>
        </is>
      </c>
      <c r="F319" t="n">
        <v>0.1479</v>
      </c>
      <c r="G319" s="3" t="inlineStr">
        <is>
          <t>label: RENDAH; kontradiksi 0/20 kalimat; uncertainty flag: False</t>
        </is>
      </c>
    </row>
    <row r="320">
      <c r="A320" t="n">
        <v>22</v>
      </c>
      <c r="B320" t="inlineStr">
        <is>
          <t>A</t>
        </is>
      </c>
      <c r="C320" t="inlineStr">
        <is>
          <t>Answer Accuracy (Pers. 20)</t>
        </is>
      </c>
      <c r="D320" s="3" t="inlineStr">
        <is>
          <t>Correctᵢ ∈ {0,1} via LLM-as-Judge (HASIL: BENAR/SALAH)</t>
        </is>
      </c>
      <c r="E320" s="3" t="inlineStr">
        <is>
          <t>Jawaban sistem:</t>
        </is>
      </c>
      <c r="F320" t="inlineStr">
        <is>
          <t>BENAR</t>
        </is>
      </c>
      <c r="G320" s="3" t="inlineStr">
        <is>
          <t>evaluator: ollama/llama3</t>
        </is>
      </c>
    </row>
    <row r="321">
      <c r="A321" t="n">
        <v>22</v>
      </c>
      <c r="B321" t="inlineStr">
        <is>
          <t>B</t>
        </is>
      </c>
      <c r="C321" t="inlineStr">
        <is>
          <t>Faithfulness (Pers. 15)</t>
        </is>
      </c>
      <c r="D321" s="3" t="inlineStr">
        <is>
          <t>F = 0,70×Entailment + 0,30×KWoverlap</t>
        </is>
      </c>
      <c r="E321" s="3" t="inlineStr">
        <is>
          <t>Faithfulness = 0,70×Entailment + 0,30×KWoverlap = 0,70×1.0000 + 0,30×0.2341 = 0.7702  (entailment: 6/6 klaim didukung; KWoverlap = (|∩|/|ctx|)^0,65 = (21/196)^0,65 = 0.1071^0,65 = 0.2341)</t>
        </is>
      </c>
      <c r="F321" t="n">
        <v>0.7702</v>
      </c>
      <c r="G321" s="3" t="inlineStr">
        <is>
          <t>metode: llm_entailment + keyword</t>
        </is>
      </c>
    </row>
    <row r="322">
      <c r="A322" t="n">
        <v>22</v>
      </c>
      <c r="B322" t="inlineStr">
        <is>
          <t>B</t>
        </is>
      </c>
      <c r="C322" t="inlineStr">
        <is>
          <t>— Entailment (Pers. 12-13)</t>
        </is>
      </c>
      <c r="D322" s="3" t="inlineStr">
        <is>
          <t>Entailment = Σverdict(sᵢ)/m</t>
        </is>
      </c>
      <c r="E322" s="3" t="inlineStr">
        <is>
          <t>6 klaim YA dari 6 klaim dievaluasi</t>
        </is>
      </c>
      <c r="F322" t="n">
        <v>1</v>
      </c>
      <c r="G322" s="3" t="inlineStr">
        <is>
          <t>verdict per klaim: sheet 'Entailment Detail'</t>
        </is>
      </c>
    </row>
    <row r="323">
      <c r="A323" t="n">
        <v>22</v>
      </c>
      <c r="B323" t="inlineStr">
        <is>
          <t>B</t>
        </is>
      </c>
      <c r="C323" t="inlineStr">
        <is>
          <t>— Keyword Overlap (Pers. 14)</t>
        </is>
      </c>
      <c r="D323" s="3" t="inlineStr">
        <is>
          <t>KWoverlap = (|Stems(ans)∩Stems(ctx)| / |Stems(ctx)|)^0,65</t>
        </is>
      </c>
      <c r="E323" s="3" t="inlineStr">
        <is>
          <t>KWoverlap = (|∩|/|ctx|)^0,65 = (21/196)^0,65 = 0.1071^0,65 = 0.2341</t>
        </is>
      </c>
      <c r="F323" t="n">
        <v>0.2341</v>
      </c>
      <c r="G323" s="3" t="inlineStr"/>
    </row>
    <row r="324">
      <c r="A324" t="n">
        <v>22</v>
      </c>
      <c r="B324" t="inlineStr">
        <is>
          <t>B</t>
        </is>
      </c>
      <c r="C324" t="inlineStr">
        <is>
          <t>Hallucination Risk (Pers. 18)</t>
        </is>
      </c>
      <c r="D324" s="3" t="inlineStr">
        <is>
          <t>Risk = 0,65×(1-F) + 0,20×Contradiction + 0,15×Uncertainty</t>
        </is>
      </c>
      <c r="E324" s="3" t="inlineStr">
        <is>
          <t>Risk = 0,65×OutOfContext + 0,20×Contradiction + 0,15×Uncertainty = 0,65×0.2298 + 0,20×0.0000 + 0,15×0.00 = 0.1494 [RENDAH]</t>
        </is>
      </c>
      <c r="F324" t="n">
        <v>0.1494</v>
      </c>
      <c r="G324" s="3" t="inlineStr">
        <is>
          <t>label: RENDAH; kontradiksi 0/35 kalimat; uncertainty flag: False</t>
        </is>
      </c>
    </row>
    <row r="325">
      <c r="A325" t="n">
        <v>22</v>
      </c>
      <c r="B325" t="inlineStr">
        <is>
          <t>B</t>
        </is>
      </c>
      <c r="C325" t="inlineStr">
        <is>
          <t>Answer Accuracy (Pers. 20)</t>
        </is>
      </c>
      <c r="D325" s="3" t="inlineStr">
        <is>
          <t>Correctᵢ ∈ {0,1} via LLM-as-Judge (HASIL: BENAR/SALAH)</t>
        </is>
      </c>
      <c r="E325" s="3" t="inlineStr">
        <is>
          <t>Jawaban sistem:</t>
        </is>
      </c>
      <c r="F325" t="inlineStr">
        <is>
          <t>BENAR</t>
        </is>
      </c>
      <c r="G325" s="3" t="inlineStr">
        <is>
          <t>evaluator: ollama/llama3</t>
        </is>
      </c>
    </row>
    <row r="326">
      <c r="A326" t="n">
        <v>23</v>
      </c>
      <c r="B326" t="inlineStr">
        <is>
          <t>A</t>
        </is>
      </c>
      <c r="C326" t="inlineStr">
        <is>
          <t>Precision@K (Pers. 2)</t>
        </is>
      </c>
      <c r="D326" s="3" t="inlineStr">
        <is>
          <t>Precision@K = |{d ∈ TopK : sim(q,d) ≥ θ}| / K</t>
        </is>
      </c>
      <c r="E326" s="3" t="inlineStr">
        <is>
          <t>skor = [0.7593, 0.7423, 0.7402, 0.7269, 0.7259, 0.7205] → 6 / 6</t>
        </is>
      </c>
      <c r="F326" t="n">
        <v>1</v>
      </c>
      <c r="G326" s="3" t="inlineStr">
        <is>
          <t>basis: skor chunk nyata (sesuai contoh Pers. 2 skripsi)</t>
        </is>
      </c>
    </row>
    <row r="327">
      <c r="A327" t="n">
        <v>23</v>
      </c>
      <c r="B327" t="inlineStr">
        <is>
          <t>A</t>
        </is>
      </c>
      <c r="C327" t="inlineStr">
        <is>
          <t>Recall@K (Pers. 4)</t>
        </is>
      </c>
      <c r="D327" s="3" t="inlineStr">
        <is>
          <t>Recall@K = |{kata kunci ditemukan : sim ≥ θ}| / |R|</t>
        </is>
      </c>
      <c r="E327" s="3" t="inlineStr">
        <is>
          <t>skor = [0.5784, 0.4247, 0.4217, 0.4192, 0.4088, 0.3938] → 6 / 6</t>
        </is>
      </c>
      <c r="F327" t="n">
        <v>1</v>
      </c>
      <c r="G327" s="3" t="inlineStr"/>
    </row>
    <row r="328">
      <c r="A328" t="n">
        <v>23</v>
      </c>
      <c r="B328" t="inlineStr">
        <is>
          <t>A</t>
        </is>
      </c>
      <c r="C328" t="inlineStr">
        <is>
          <t>Mean Similarity (Pers. 6)</t>
        </is>
      </c>
      <c r="D328" s="3" t="inlineStr">
        <is>
          <t>MeanSim = (1/K) × Σ sim(q, dᵢ)</t>
        </is>
      </c>
      <c r="E328" s="3" t="inlineStr">
        <is>
          <t>skor = [0.7593, 0.7423, 0.7402, 0.7269, 0.7259, 0.7205] → (0.7593 + 0.7423 + 0.7402 + 0.7269 + 0.7259 + 0.7205) / 6</t>
        </is>
      </c>
      <c r="F328" t="n">
        <v>0.7359</v>
      </c>
      <c r="G328" s="3" t="inlineStr"/>
    </row>
    <row r="329">
      <c r="A329" t="n">
        <v>23</v>
      </c>
      <c r="B329" t="inlineStr">
        <is>
          <t>A</t>
        </is>
      </c>
      <c r="C329" t="inlineStr">
        <is>
          <t>Coverage (Pers. 8)</t>
        </is>
      </c>
      <c r="D329" s="3" t="inlineStr">
        <is>
          <t>Coverage = |{dᵢ ∈ TopK : sim(q,dᵢ) ≥ θc}| / K</t>
        </is>
      </c>
      <c r="E329" s="3" t="inlineStr">
        <is>
          <t>skor = [0.7593, 0.7423, 0.7402, 0.7269, 0.7259, 0.7205] → 6 / 6</t>
        </is>
      </c>
      <c r="F329" t="n">
        <v>1</v>
      </c>
      <c r="G329" s="3" t="inlineStr"/>
    </row>
    <row r="330">
      <c r="A330" t="n">
        <v>23</v>
      </c>
      <c r="B330" t="inlineStr">
        <is>
          <t>A</t>
        </is>
      </c>
      <c r="C330" t="inlineStr">
        <is>
          <t>Source Diversity (Pers. 10)</t>
        </is>
      </c>
      <c r="D330" s="3" t="inlineStr">
        <is>
          <t>Diversity = |sumber unik dalam TopK| / K</t>
        </is>
      </c>
      <c r="E330" s="3" t="inlineStr">
        <is>
          <t>skor = ['GT_CT07.txt', 'GT_CT09.txt', 'GT_DETAIL_PT04_Abstraksi.txt', 'GT_DETAIL_PT06_Block_Programming.txt', 'GT_SUBTOPIK_02_Abstraksi_Formulasi.txt', 'GT_SUBTOPIK_14_Kompleksitas_BigO.txt'] → 6 / 6</t>
        </is>
      </c>
      <c r="F330" t="n">
        <v>1</v>
      </c>
      <c r="G330" s="3" t="inlineStr">
        <is>
          <t>file unik: GT_CT07.txt, GT_CT09.txt, GT_DETAIL_PT04_Abstraksi.txt, GT_DETAIL_PT06_Block_Programming.txt, GT_SUBTOPIK_02_Abstraksi_Formulasi.txt, GT_SUBTOPIK_14_Kompleksitas_BigO.txt</t>
        </is>
      </c>
    </row>
    <row r="331">
      <c r="A331" t="n">
        <v>23</v>
      </c>
      <c r="B331" t="inlineStr">
        <is>
          <t>A</t>
        </is>
      </c>
      <c r="C331" t="inlineStr">
        <is>
          <t>Faithfulness (Pers. 15)</t>
        </is>
      </c>
      <c r="D331" s="3" t="inlineStr">
        <is>
          <t>F = 0,70×Entailment + 0,30×KWoverlap</t>
        </is>
      </c>
      <c r="E331" s="3" t="inlineStr">
        <is>
          <t>Faithfulness = 0,70×Entailment + 0,30×KWoverlap = 0,70×1.0000 + 0,30×0.2676 = 0.7803  (entailment: 6/6 klaim didukung; KWoverlap = (|∩|/|ctx|)^0,65 = (40/304)^0,65 = 0.1316^0,65 = 0.2676)</t>
        </is>
      </c>
      <c r="F331" t="n">
        <v>0.7803</v>
      </c>
      <c r="G331" s="3" t="inlineStr">
        <is>
          <t>metode: llm_entailment + keyword</t>
        </is>
      </c>
    </row>
    <row r="332">
      <c r="A332" t="n">
        <v>23</v>
      </c>
      <c r="B332" t="inlineStr">
        <is>
          <t>A</t>
        </is>
      </c>
      <c r="C332" t="inlineStr">
        <is>
          <t>— Entailment (Pers. 12-13)</t>
        </is>
      </c>
      <c r="D332" s="3" t="inlineStr">
        <is>
          <t>Entailment = Σverdict(sᵢ)/m</t>
        </is>
      </c>
      <c r="E332" s="3" t="inlineStr">
        <is>
          <t>6 klaim YA dari 6 klaim dievaluasi</t>
        </is>
      </c>
      <c r="F332" t="n">
        <v>1</v>
      </c>
      <c r="G332" s="3" t="inlineStr">
        <is>
          <t>verdict per klaim: sheet 'Entailment Detail'</t>
        </is>
      </c>
    </row>
    <row r="333">
      <c r="A333" t="n">
        <v>23</v>
      </c>
      <c r="B333" t="inlineStr">
        <is>
          <t>A</t>
        </is>
      </c>
      <c r="C333" t="inlineStr">
        <is>
          <t>— Keyword Overlap (Pers. 14)</t>
        </is>
      </c>
      <c r="D333" s="3" t="inlineStr">
        <is>
          <t>KWoverlap = (|Stems(ans)∩Stems(ctx)| / |Stems(ctx)|)^0,65</t>
        </is>
      </c>
      <c r="E333" s="3" t="inlineStr">
        <is>
          <t>KWoverlap = (|∩|/|ctx|)^0,65 = (40/304)^0,65 = 0.1316^0,65 = 0.2676</t>
        </is>
      </c>
      <c r="F333" t="n">
        <v>0.2676</v>
      </c>
      <c r="G333" s="3" t="inlineStr"/>
    </row>
    <row r="334">
      <c r="A334" t="n">
        <v>23</v>
      </c>
      <c r="B334" t="inlineStr">
        <is>
          <t>A</t>
        </is>
      </c>
      <c r="C334" t="inlineStr">
        <is>
          <t>Hallucination Risk (Pers. 18)</t>
        </is>
      </c>
      <c r="D334" s="3" t="inlineStr">
        <is>
          <t>Risk = 0,65×(1-F) + 0,20×Contradiction + 0,15×Uncertainty</t>
        </is>
      </c>
      <c r="E334" s="3" t="inlineStr">
        <is>
          <t>Risk = 0,65×OutOfContext + 0,20×Contradiction + 0,15×Uncertainty = 0,65×0.2197 + 0,20×0.0000 + 0,15×0.20 = 0.1728 [RENDAH]</t>
        </is>
      </c>
      <c r="F334" t="n">
        <v>0.1728</v>
      </c>
      <c r="G334" s="3" t="inlineStr">
        <is>
          <t>label: RENDAH; kontradiksi 0/14 kalimat; uncertainty flag: True</t>
        </is>
      </c>
    </row>
    <row r="335">
      <c r="A335" t="n">
        <v>23</v>
      </c>
      <c r="B335" t="inlineStr">
        <is>
          <t>B</t>
        </is>
      </c>
      <c r="C335" t="inlineStr">
        <is>
          <t>Faithfulness (Pers. 15)</t>
        </is>
      </c>
      <c r="D335" s="3" t="inlineStr">
        <is>
          <t>F = 0,70×Entailment + 0,30×KWoverlap</t>
        </is>
      </c>
      <c r="E335" s="3" t="inlineStr">
        <is>
          <t>Faithfulness = 0,70×Entailment + 0,30×KWoverlap = 0,70×1.0000 + 0,30×0.2073 = 0.7622  (entailment: 6/6 klaim didukung; KWoverlap = (|∩|/|ctx|)^0,65 = (27/304)^0,65 = 0.0888^0,65 = 0.2073)</t>
        </is>
      </c>
      <c r="F335" t="n">
        <v>0.7622</v>
      </c>
      <c r="G335" s="3" t="inlineStr">
        <is>
          <t>metode: llm_entailment + keyword</t>
        </is>
      </c>
    </row>
    <row r="336">
      <c r="A336" t="n">
        <v>23</v>
      </c>
      <c r="B336" t="inlineStr">
        <is>
          <t>B</t>
        </is>
      </c>
      <c r="C336" t="inlineStr">
        <is>
          <t>— Entailment (Pers. 12-13)</t>
        </is>
      </c>
      <c r="D336" s="3" t="inlineStr">
        <is>
          <t>Entailment = Σverdict(sᵢ)/m</t>
        </is>
      </c>
      <c r="E336" s="3" t="inlineStr">
        <is>
          <t>6 klaim YA dari 6 klaim dievaluasi</t>
        </is>
      </c>
      <c r="F336" t="n">
        <v>1</v>
      </c>
      <c r="G336" s="3" t="inlineStr">
        <is>
          <t>verdict per klaim: sheet 'Entailment Detail'</t>
        </is>
      </c>
    </row>
    <row r="337">
      <c r="A337" t="n">
        <v>23</v>
      </c>
      <c r="B337" t="inlineStr">
        <is>
          <t>B</t>
        </is>
      </c>
      <c r="C337" t="inlineStr">
        <is>
          <t>— Keyword Overlap (Pers. 14)</t>
        </is>
      </c>
      <c r="D337" s="3" t="inlineStr">
        <is>
          <t>KWoverlap = (|Stems(ans)∩Stems(ctx)| / |Stems(ctx)|)^0,65</t>
        </is>
      </c>
      <c r="E337" s="3" t="inlineStr">
        <is>
          <t>KWoverlap = (|∩|/|ctx|)^0,65 = (27/304)^0,65 = 0.0888^0,65 = 0.2073</t>
        </is>
      </c>
      <c r="F337" t="n">
        <v>0.2073</v>
      </c>
      <c r="G337" s="3" t="inlineStr"/>
    </row>
    <row r="338">
      <c r="A338" t="n">
        <v>23</v>
      </c>
      <c r="B338" t="inlineStr">
        <is>
          <t>B</t>
        </is>
      </c>
      <c r="C338" t="inlineStr">
        <is>
          <t>Hallucination Risk (Pers. 18)</t>
        </is>
      </c>
      <c r="D338" s="3" t="inlineStr">
        <is>
          <t>Risk = 0,65×(1-F) + 0,20×Contradiction + 0,15×Uncertainty</t>
        </is>
      </c>
      <c r="E338" s="3" t="inlineStr">
        <is>
          <t>Risk = 0,65×OutOfContext + 0,20×Contradiction + 0,15×Uncertainty = 0,65×0.2378 + 0,20×0.0000 + 0,15×0.20 = 0.1846 [RENDAH]</t>
        </is>
      </c>
      <c r="F338" t="n">
        <v>0.1846</v>
      </c>
      <c r="G338" s="3" t="inlineStr">
        <is>
          <t>label: RENDAH; kontradiksi 0/24 kalimat; uncertainty flag: True</t>
        </is>
      </c>
    </row>
    <row r="339">
      <c r="A339" t="n">
        <v>23</v>
      </c>
      <c r="B339" t="inlineStr">
        <is>
          <t>B</t>
        </is>
      </c>
      <c r="C339" t="inlineStr">
        <is>
          <t>Answer Accuracy (Pers. 20)</t>
        </is>
      </c>
      <c r="D339" s="3" t="inlineStr">
        <is>
          <t>Correctᵢ ∈ {0,1} via LLM-as-Judge (HASIL: BENAR/SALAH)</t>
        </is>
      </c>
      <c r="E339" s="3" t="inlineStr"/>
      <c r="F339" t="inlineStr">
        <is>
          <t>BENAR</t>
        </is>
      </c>
      <c r="G339" s="3" t="inlineStr">
        <is>
          <t>evaluator: ollama/llama3</t>
        </is>
      </c>
    </row>
    <row r="340">
      <c r="A340" t="n">
        <v>24</v>
      </c>
      <c r="B340" t="inlineStr">
        <is>
          <t>A</t>
        </is>
      </c>
      <c r="C340" t="inlineStr">
        <is>
          <t>Precision@K (Pers. 2)</t>
        </is>
      </c>
      <c r="D340" s="3" t="inlineStr">
        <is>
          <t>Precision@K = |{d ∈ TopK : sim(q,d) ≥ θ}| / K</t>
        </is>
      </c>
      <c r="E340" s="3" t="inlineStr">
        <is>
          <t>skor = [0.7912, 0.7798, 0.7604, 0.7594, 0.7548, 0.7518] → 6 / 6</t>
        </is>
      </c>
      <c r="F340" t="n">
        <v>1</v>
      </c>
      <c r="G340" s="3" t="inlineStr">
        <is>
          <t>basis: skor chunk nyata (sesuai contoh Pers. 2 skripsi)</t>
        </is>
      </c>
    </row>
    <row r="341">
      <c r="A341" t="n">
        <v>24</v>
      </c>
      <c r="B341" t="inlineStr">
        <is>
          <t>A</t>
        </is>
      </c>
      <c r="C341" t="inlineStr">
        <is>
          <t>Recall@K (Pers. 4)</t>
        </is>
      </c>
      <c r="D341" s="3" t="inlineStr">
        <is>
          <t>Recall@K = |{kata kunci ditemukan : sim ≥ θ}| / |R|</t>
        </is>
      </c>
      <c r="E341" s="3" t="inlineStr">
        <is>
          <t>skor = [0.7451, 0.6612, 0.5927, 0.577, 0.577, 0.57] → 6 / 6</t>
        </is>
      </c>
      <c r="F341" t="n">
        <v>1</v>
      </c>
      <c r="G341" s="3" t="inlineStr"/>
    </row>
    <row r="342">
      <c r="A342" t="n">
        <v>24</v>
      </c>
      <c r="B342" t="inlineStr">
        <is>
          <t>A</t>
        </is>
      </c>
      <c r="C342" t="inlineStr">
        <is>
          <t>Mean Similarity (Pers. 6)</t>
        </is>
      </c>
      <c r="D342" s="3" t="inlineStr">
        <is>
          <t>MeanSim = (1/K) × Σ sim(q, dᵢ)</t>
        </is>
      </c>
      <c r="E342" s="3" t="inlineStr">
        <is>
          <t>skor = [0.7912, 0.7798, 0.7604, 0.7594, 0.7548, 0.7518] → (0.7912 + 0.7798 + 0.7604 + 0.7594 + 0.7548 + 0.7518) / 6</t>
        </is>
      </c>
      <c r="F342" t="n">
        <v>0.7662</v>
      </c>
      <c r="G342" s="3" t="inlineStr"/>
    </row>
    <row r="343">
      <c r="A343" t="n">
        <v>24</v>
      </c>
      <c r="B343" t="inlineStr">
        <is>
          <t>A</t>
        </is>
      </c>
      <c r="C343" t="inlineStr">
        <is>
          <t>Coverage (Pers. 8)</t>
        </is>
      </c>
      <c r="D343" s="3" t="inlineStr">
        <is>
          <t>Coverage = |{dᵢ ∈ TopK : sim(q,dᵢ) ≥ θc}| / K</t>
        </is>
      </c>
      <c r="E343" s="3" t="inlineStr">
        <is>
          <t>skor = [0.7912, 0.7798, 0.7604, 0.7594, 0.7548, 0.7518] → 6 / 6</t>
        </is>
      </c>
      <c r="F343" t="n">
        <v>1</v>
      </c>
      <c r="G343" s="3" t="inlineStr"/>
    </row>
    <row r="344">
      <c r="A344" t="n">
        <v>24</v>
      </c>
      <c r="B344" t="inlineStr">
        <is>
          <t>A</t>
        </is>
      </c>
      <c r="C344" t="inlineStr">
        <is>
          <t>Source Diversity (Pers. 10)</t>
        </is>
      </c>
      <c r="D344" s="3" t="inlineStr">
        <is>
          <t>Diversity = |sumber unik dalam TopK| / K</t>
        </is>
      </c>
      <c r="E344" s="3" t="inlineStr">
        <is>
          <t>skor = ['GT_CT07.txt', 'GT_CT10.txt', 'GT_DETAIL_PT07_Notasi_Algoritme.txt', 'GT_SUBTOPIK_11_Rekursi.txt', 'GT_SUBTOPIK_14_Kompleksitas_BigO.txt'] → 5 / 6</t>
        </is>
      </c>
      <c r="F344" t="n">
        <v>0.8333</v>
      </c>
      <c r="G344" s="3" t="inlineStr">
        <is>
          <t>file unik: GT_CT07.txt, GT_CT10.txt, GT_DETAIL_PT07_Notasi_Algoritme.txt, GT_SUBTOPIK_11_Rekursi.txt, GT_SUBTOPIK_14_Kompleksitas_BigO.txt</t>
        </is>
      </c>
    </row>
    <row r="345">
      <c r="A345" t="n">
        <v>24</v>
      </c>
      <c r="B345" t="inlineStr">
        <is>
          <t>A</t>
        </is>
      </c>
      <c r="C345" t="inlineStr">
        <is>
          <t>Faithfulness (Pers. 15)</t>
        </is>
      </c>
      <c r="D345" s="3" t="inlineStr">
        <is>
          <t>F = 0,70×Entailment + 0,30×KWoverlap</t>
        </is>
      </c>
      <c r="E345" s="3" t="inlineStr">
        <is>
          <t>Faithfulness = 0,70×Entailment + 0,30×KWoverlap = 0,70×1.0000 + 0,30×0.2831 = 0.7849  (entailment: 6/6 klaim didukung; KWoverlap = (|∩|/|ctx|)^0,65 = (32/223)^0,65 = 0.1435^0,65 = 0.2831)</t>
        </is>
      </c>
      <c r="F345" t="n">
        <v>0.7849</v>
      </c>
      <c r="G345" s="3" t="inlineStr">
        <is>
          <t>metode: llm_entailment + keyword</t>
        </is>
      </c>
    </row>
    <row r="346">
      <c r="A346" t="n">
        <v>24</v>
      </c>
      <c r="B346" t="inlineStr">
        <is>
          <t>A</t>
        </is>
      </c>
      <c r="C346" t="inlineStr">
        <is>
          <t>— Entailment (Pers. 12-13)</t>
        </is>
      </c>
      <c r="D346" s="3" t="inlineStr">
        <is>
          <t>Entailment = Σverdict(sᵢ)/m</t>
        </is>
      </c>
      <c r="E346" s="3" t="inlineStr">
        <is>
          <t>6 klaim YA dari 6 klaim dievaluasi</t>
        </is>
      </c>
      <c r="F346" t="n">
        <v>1</v>
      </c>
      <c r="G346" s="3" t="inlineStr">
        <is>
          <t>verdict per klaim: sheet 'Entailment Detail'</t>
        </is>
      </c>
    </row>
    <row r="347">
      <c r="A347" t="n">
        <v>24</v>
      </c>
      <c r="B347" t="inlineStr">
        <is>
          <t>A</t>
        </is>
      </c>
      <c r="C347" t="inlineStr">
        <is>
          <t>— Keyword Overlap (Pers. 14)</t>
        </is>
      </c>
      <c r="D347" s="3" t="inlineStr">
        <is>
          <t>KWoverlap = (|Stems(ans)∩Stems(ctx)| / |Stems(ctx)|)^0,65</t>
        </is>
      </c>
      <c r="E347" s="3" t="inlineStr">
        <is>
          <t>KWoverlap = (|∩|/|ctx|)^0,65 = (32/223)^0,65 = 0.1435^0,65 = 0.2831</t>
        </is>
      </c>
      <c r="F347" t="n">
        <v>0.2831</v>
      </c>
      <c r="G347" s="3" t="inlineStr"/>
    </row>
    <row r="348">
      <c r="A348" t="n">
        <v>24</v>
      </c>
      <c r="B348" t="inlineStr">
        <is>
          <t>A</t>
        </is>
      </c>
      <c r="C348" t="inlineStr">
        <is>
          <t>Hallucination Risk (Pers. 18)</t>
        </is>
      </c>
      <c r="D348" s="3" t="inlineStr">
        <is>
          <t>Risk = 0,65×(1-F) + 0,20×Contradiction + 0,15×Uncertainty</t>
        </is>
      </c>
      <c r="E348" s="3" t="inlineStr">
        <is>
          <t>Risk = 0,65×OutOfContext + 0,20×Contradiction + 0,15×Uncertainty = 0,65×0.2151 + 0,20×0.0000 + 0,15×0.00 = 0.1398 [RENDAH]</t>
        </is>
      </c>
      <c r="F348" t="n">
        <v>0.1398</v>
      </c>
      <c r="G348" s="3" t="inlineStr">
        <is>
          <t>label: RENDAH; kontradiksi 0/13 kalimat; uncertainty flag: False</t>
        </is>
      </c>
    </row>
    <row r="349">
      <c r="A349" t="n">
        <v>24</v>
      </c>
      <c r="B349" t="inlineStr">
        <is>
          <t>A</t>
        </is>
      </c>
      <c r="C349" t="inlineStr">
        <is>
          <t>Answer Accuracy (Pers. 20)</t>
        </is>
      </c>
      <c r="D349" s="3" t="inlineStr">
        <is>
          <t>Correctᵢ ∈ {0,1} via LLM-as-Judge (HASIL: BENAR/SALAH)</t>
        </is>
      </c>
      <c r="E349" s="3" t="inlineStr">
        <is>
          <t>BENAR
Rationale:
The question asks about the complexity of the Euclidean algorithm, specifically whether it is O(log n) or O(n). The reference material provided explains that the algoritme can be analyzed using the struktur kontrol (control structure) concept.
In this case, the Euclidean algorithm uses recursion and conditional statements to find the greatest common divisor (GCD), which means i</t>
        </is>
      </c>
      <c r="F349" t="inlineStr">
        <is>
          <t>BENAR</t>
        </is>
      </c>
      <c r="G349" s="3" t="inlineStr">
        <is>
          <t>evaluator: ollama/llama3</t>
        </is>
      </c>
    </row>
    <row r="350">
      <c r="A350" t="n">
        <v>24</v>
      </c>
      <c r="B350" t="inlineStr">
        <is>
          <t>B</t>
        </is>
      </c>
      <c r="C350" t="inlineStr">
        <is>
          <t>Faithfulness (Pers. 15)</t>
        </is>
      </c>
      <c r="D350" s="3" t="inlineStr">
        <is>
          <t>F = 0,70×Entailment + 0,30×KWoverlap</t>
        </is>
      </c>
      <c r="E350" s="3" t="inlineStr">
        <is>
          <t>Faithfulness = 0,70×Entailment + 0,30×KWoverlap = 0,70×1.0000 + 0,30×0.2773 = 0.7832  (entailment: 6/6 klaim didukung; KWoverlap = (|∩|/|ctx|)^0,65 = (31/223)^0,65 = 0.1390^0,65 = 0.2773)</t>
        </is>
      </c>
      <c r="F350" t="n">
        <v>0.7832</v>
      </c>
      <c r="G350" s="3" t="inlineStr">
        <is>
          <t>metode: llm_entailment + keyword</t>
        </is>
      </c>
    </row>
    <row r="351">
      <c r="A351" t="n">
        <v>24</v>
      </c>
      <c r="B351" t="inlineStr">
        <is>
          <t>B</t>
        </is>
      </c>
      <c r="C351" t="inlineStr">
        <is>
          <t>— Entailment (Pers. 12-13)</t>
        </is>
      </c>
      <c r="D351" s="3" t="inlineStr">
        <is>
          <t>Entailment = Σverdict(sᵢ)/m</t>
        </is>
      </c>
      <c r="E351" s="3" t="inlineStr">
        <is>
          <t>6 klaim YA dari 6 klaim dievaluasi</t>
        </is>
      </c>
      <c r="F351" t="n">
        <v>1</v>
      </c>
      <c r="G351" s="3" t="inlineStr">
        <is>
          <t>verdict per klaim: sheet 'Entailment Detail'</t>
        </is>
      </c>
    </row>
    <row r="352">
      <c r="A352" t="n">
        <v>24</v>
      </c>
      <c r="B352" t="inlineStr">
        <is>
          <t>B</t>
        </is>
      </c>
      <c r="C352" t="inlineStr">
        <is>
          <t>— Keyword Overlap (Pers. 14)</t>
        </is>
      </c>
      <c r="D352" s="3" t="inlineStr">
        <is>
          <t>KWoverlap = (|Stems(ans)∩Stems(ctx)| / |Stems(ctx)|)^0,65</t>
        </is>
      </c>
      <c r="E352" s="3" t="inlineStr">
        <is>
          <t>KWoverlap = (|∩|/|ctx|)^0,65 = (31/223)^0,65 = 0.1390^0,65 = 0.2773</t>
        </is>
      </c>
      <c r="F352" t="n">
        <v>0.2773</v>
      </c>
      <c r="G352" s="3" t="inlineStr"/>
    </row>
    <row r="353">
      <c r="A353" t="n">
        <v>24</v>
      </c>
      <c r="B353" t="inlineStr">
        <is>
          <t>B</t>
        </is>
      </c>
      <c r="C353" t="inlineStr">
        <is>
          <t>Hallucination Risk (Pers. 18)</t>
        </is>
      </c>
      <c r="D353" s="3" t="inlineStr">
        <is>
          <t>Risk = 0,65×(1-F) + 0,20×Contradiction + 0,15×Uncertainty</t>
        </is>
      </c>
      <c r="E353" s="3" t="inlineStr">
        <is>
          <t>Risk = 0,65×OutOfContext + 0,20×Contradiction + 0,15×Uncertainty = 0,65×0.2168 + 0,20×0.0000 + 0,15×0.00 = 0.1409 [RENDAH]</t>
        </is>
      </c>
      <c r="F353" t="n">
        <v>0.1409</v>
      </c>
      <c r="G353" s="3" t="inlineStr">
        <is>
          <t>label: RENDAH; kontradiksi 0/11 kalimat; uncertainty flag: False</t>
        </is>
      </c>
    </row>
    <row r="354">
      <c r="A354" t="n">
        <v>24</v>
      </c>
      <c r="B354" t="inlineStr">
        <is>
          <t>B</t>
        </is>
      </c>
      <c r="C354" t="inlineStr">
        <is>
          <t>Answer Accuracy (Pers. 20)</t>
        </is>
      </c>
      <c r="D354" s="3" t="inlineStr">
        <is>
          <t>Correctᵢ ∈ {0,1} via LLM-as-Judge (HASIL: BENAR/SALAH)</t>
        </is>
      </c>
      <c r="E354" s="3" t="inlineStr">
        <is>
          <t xml:space="preserve">Jawaban sistem: 
Rationale:
* The system's answer states that the Euclidean algorithm has a complexity of O(log n), which is correct.
* According to the reference provided, the Euclidean algorithm works by iteratively reducing one of the input numbers until it reaches zero. In each iteration, the value of one of the numbers decreases exponentially (with a factor roughly equal to the logarithm).
</t>
        </is>
      </c>
      <c r="F354" t="inlineStr">
        <is>
          <t>BENAR</t>
        </is>
      </c>
      <c r="G354" s="3" t="inlineStr">
        <is>
          <t>evaluator: ollama/llama3</t>
        </is>
      </c>
    </row>
    <row r="355">
      <c r="A355" t="n">
        <v>25</v>
      </c>
      <c r="B355" t="inlineStr">
        <is>
          <t>A</t>
        </is>
      </c>
      <c r="C355" t="inlineStr">
        <is>
          <t>Precision@K (Pers. 2)</t>
        </is>
      </c>
      <c r="D355" s="3" t="inlineStr">
        <is>
          <t>Precision@K = |{d ∈ TopK : sim(q,d) ≥ θ}| / K</t>
        </is>
      </c>
      <c r="E355" s="3" t="inlineStr">
        <is>
          <t>skor = [0.815, 0.8039, 0.7925, 0.7916, 0.7891, 0.7852] → 6 / 6</t>
        </is>
      </c>
      <c r="F355" t="n">
        <v>1</v>
      </c>
      <c r="G355" s="3" t="inlineStr">
        <is>
          <t>basis: skor chunk nyata (sesuai contoh Pers. 2 skripsi)</t>
        </is>
      </c>
    </row>
    <row r="356">
      <c r="A356" t="n">
        <v>25</v>
      </c>
      <c r="B356" t="inlineStr">
        <is>
          <t>A</t>
        </is>
      </c>
      <c r="C356" t="inlineStr">
        <is>
          <t>Recall@K (Pers. 4)</t>
        </is>
      </c>
      <c r="D356" s="3" t="inlineStr">
        <is>
          <t>Recall@K = |{kata kunci ditemukan : sim ≥ θ}| / |R|</t>
        </is>
      </c>
      <c r="E356" s="3" t="inlineStr">
        <is>
          <t>skor = [0.755, 0.561, 0.5056, 0.4824, 0.4822, 0.4576] → 6 / 6</t>
        </is>
      </c>
      <c r="F356" t="n">
        <v>1</v>
      </c>
      <c r="G356" s="3" t="inlineStr"/>
    </row>
    <row r="357">
      <c r="A357" t="n">
        <v>25</v>
      </c>
      <c r="B357" t="inlineStr">
        <is>
          <t>A</t>
        </is>
      </c>
      <c r="C357" t="inlineStr">
        <is>
          <t>Mean Similarity (Pers. 6)</t>
        </is>
      </c>
      <c r="D357" s="3" t="inlineStr">
        <is>
          <t>MeanSim = (1/K) × Σ sim(q, dᵢ)</t>
        </is>
      </c>
      <c r="E357" s="3" t="inlineStr">
        <is>
          <t>skor = [0.815, 0.8039, 0.7925, 0.7916, 0.7891, 0.7852] → (0.8150 + 0.8039 + 0.7925 + 0.7916 + 0.7891 + 0.7852) / 6</t>
        </is>
      </c>
      <c r="F357" t="n">
        <v>0.7962</v>
      </c>
      <c r="G357" s="3" t="inlineStr"/>
    </row>
    <row r="358">
      <c r="A358" t="n">
        <v>25</v>
      </c>
      <c r="B358" t="inlineStr">
        <is>
          <t>A</t>
        </is>
      </c>
      <c r="C358" t="inlineStr">
        <is>
          <t>Coverage (Pers. 8)</t>
        </is>
      </c>
      <c r="D358" s="3" t="inlineStr">
        <is>
          <t>Coverage = |{dᵢ ∈ TopK : sim(q,dᵢ) ≥ θc}| / K</t>
        </is>
      </c>
      <c r="E358" s="3" t="inlineStr">
        <is>
          <t>skor = [0.815, 0.8039, 0.7925, 0.7916, 0.7891, 0.7852] → 6 / 6</t>
        </is>
      </c>
      <c r="F358" t="n">
        <v>1</v>
      </c>
      <c r="G358" s="3" t="inlineStr"/>
    </row>
    <row r="359">
      <c r="A359" t="n">
        <v>25</v>
      </c>
      <c r="B359" t="inlineStr">
        <is>
          <t>A</t>
        </is>
      </c>
      <c r="C359" t="inlineStr">
        <is>
          <t>Source Diversity (Pers. 10)</t>
        </is>
      </c>
      <c r="D359" s="3" t="inlineStr">
        <is>
          <t>Diversity = |sumber unik dalam TopK| / K</t>
        </is>
      </c>
      <c r="E359" s="3" t="inlineStr">
        <is>
          <t>skor = ['GT_CT07.txt', 'GT_CT09.txt', 'GT_DETAIL_PT07_Notasi_Algoritme.txt', 'GT_DETAIL_PT10_Percabangan.txt', 'GT_SUBTOPIK_01_Dekomposisi_Optimasi.txt', 'GT_SUBTOPIK_05_Pseudocode_Algoritme.txt'] → 6 / 6</t>
        </is>
      </c>
      <c r="F359" t="n">
        <v>1</v>
      </c>
      <c r="G359" s="3" t="inlineStr">
        <is>
          <t>file unik: GT_CT07.txt, GT_CT09.txt, GT_DETAIL_PT07_Notasi_Algoritme.txt, GT_DETAIL_PT10_Percabangan.txt, GT_SUBTOPIK_01_Dekomposisi_Optimasi.txt, GT_SUBTOPIK_05_Pseudocode_Algoritme.txt</t>
        </is>
      </c>
    </row>
    <row r="360">
      <c r="A360" t="n">
        <v>25</v>
      </c>
      <c r="B360" t="inlineStr">
        <is>
          <t>A</t>
        </is>
      </c>
      <c r="C360" t="inlineStr">
        <is>
          <t>Faithfulness (Pers. 15)</t>
        </is>
      </c>
      <c r="D360" s="3" t="inlineStr">
        <is>
          <t>F = 0,70×Entailment + 0,30×KWoverlap</t>
        </is>
      </c>
      <c r="E360" s="3" t="inlineStr">
        <is>
          <t>Faithfulness = 0,70×Entailment + 0,30×KWoverlap = 0,70×1.0000 + 0,30×0.3593 = 0.8078  (entailment: 6/6 klaim didukung; KWoverlap = (|∩|/|ctx|)^0,65 = (47/227)^0,65 = 0.2070^0,65 = 0.3593)</t>
        </is>
      </c>
      <c r="F360" t="n">
        <v>0.8078</v>
      </c>
      <c r="G360" s="3" t="inlineStr">
        <is>
          <t>metode: llm_entailment + keyword</t>
        </is>
      </c>
    </row>
    <row r="361">
      <c r="A361" t="n">
        <v>25</v>
      </c>
      <c r="B361" t="inlineStr">
        <is>
          <t>A</t>
        </is>
      </c>
      <c r="C361" t="inlineStr">
        <is>
          <t>— Entailment (Pers. 12-13)</t>
        </is>
      </c>
      <c r="D361" s="3" t="inlineStr">
        <is>
          <t>Entailment = Σverdict(sᵢ)/m</t>
        </is>
      </c>
      <c r="E361" s="3" t="inlineStr">
        <is>
          <t>6 klaim YA dari 6 klaim dievaluasi</t>
        </is>
      </c>
      <c r="F361" t="n">
        <v>1</v>
      </c>
      <c r="G361" s="3" t="inlineStr">
        <is>
          <t>verdict per klaim: sheet 'Entailment Detail'</t>
        </is>
      </c>
    </row>
    <row r="362">
      <c r="A362" t="n">
        <v>25</v>
      </c>
      <c r="B362" t="inlineStr">
        <is>
          <t>A</t>
        </is>
      </c>
      <c r="C362" t="inlineStr">
        <is>
          <t>— Keyword Overlap (Pers. 14)</t>
        </is>
      </c>
      <c r="D362" s="3" t="inlineStr">
        <is>
          <t>KWoverlap = (|Stems(ans)∩Stems(ctx)| / |Stems(ctx)|)^0,65</t>
        </is>
      </c>
      <c r="E362" s="3" t="inlineStr">
        <is>
          <t>KWoverlap = (|∩|/|ctx|)^0,65 = (47/227)^0,65 = 0.2070^0,65 = 0.3593</t>
        </is>
      </c>
      <c r="F362" t="n">
        <v>0.3593</v>
      </c>
      <c r="G362" s="3" t="inlineStr"/>
    </row>
    <row r="363">
      <c r="A363" t="n">
        <v>25</v>
      </c>
      <c r="B363" t="inlineStr">
        <is>
          <t>A</t>
        </is>
      </c>
      <c r="C363" t="inlineStr">
        <is>
          <t>Hallucination Risk (Pers. 18)</t>
        </is>
      </c>
      <c r="D363" s="3" t="inlineStr">
        <is>
          <t>Risk = 0,65×(1-F) + 0,20×Contradiction + 0,15×Uncertainty</t>
        </is>
      </c>
      <c r="E363" s="3" t="inlineStr">
        <is>
          <t>Risk = 0,65×OutOfContext + 0,20×Contradiction + 0,15×Uncertainty = 0,65×0.1922 + 0,20×0.0000 + 0,15×0.20 = 0.1549 [RENDAH]</t>
        </is>
      </c>
      <c r="F363" t="n">
        <v>0.1549</v>
      </c>
      <c r="G363" s="3" t="inlineStr">
        <is>
          <t>label: RENDAH; kontradiksi 0/13 kalimat; uncertainty flag: True</t>
        </is>
      </c>
    </row>
    <row r="364">
      <c r="A364" t="n">
        <v>25</v>
      </c>
      <c r="B364" t="inlineStr">
        <is>
          <t>A</t>
        </is>
      </c>
      <c r="C364" t="inlineStr">
        <is>
          <t>Answer Accuracy (Pers. 20)</t>
        </is>
      </c>
      <c r="D364" s="3" t="inlineStr">
        <is>
          <t>Correctᵢ ∈ {0,1} via LLM-as-Judge (HASIL: BENAR/SALAH)</t>
        </is>
      </c>
      <c r="E364" s="3" t="inlineStr">
        <is>
          <t>The answer provided by the system is:
According to the reference document, a variable in pseudocode is an element that stores a value at some point and can be changed to another value as needed. Since the system's answer does not contradict this concept, it can be considered correct.
So, the correct answer is indeed "BENAR"!</t>
        </is>
      </c>
      <c r="F364" t="inlineStr">
        <is>
          <t>BENAR</t>
        </is>
      </c>
      <c r="G364" s="3" t="inlineStr">
        <is>
          <t>evaluator: ollama/llama3</t>
        </is>
      </c>
    </row>
    <row r="365">
      <c r="A365" t="n">
        <v>25</v>
      </c>
      <c r="B365" t="inlineStr">
        <is>
          <t>B</t>
        </is>
      </c>
      <c r="C365" t="inlineStr">
        <is>
          <t>Faithfulness (Pers. 15)</t>
        </is>
      </c>
      <c r="D365" s="3" t="inlineStr">
        <is>
          <t>F = 0,70×Entailment + 0,30×KWoverlap</t>
        </is>
      </c>
      <c r="E365" s="3" t="inlineStr">
        <is>
          <t>Faithfulness = 0,70×Entailment + 0,30×KWoverlap = 0,70×1.0000 + 0,30×0.1710 = 0.7513  (entailment: 6/6 klaim didukung; KWoverlap = (|∩|/|ctx|)^0,65 = (15/227)^0,65 = 0.0661^0,65 = 0.1710)</t>
        </is>
      </c>
      <c r="F365" t="n">
        <v>0.7513</v>
      </c>
      <c r="G365" s="3" t="inlineStr">
        <is>
          <t>metode: llm_entailment + keyword</t>
        </is>
      </c>
    </row>
    <row r="366">
      <c r="A366" t="n">
        <v>25</v>
      </c>
      <c r="B366" t="inlineStr">
        <is>
          <t>B</t>
        </is>
      </c>
      <c r="C366" t="inlineStr">
        <is>
          <t>— Entailment (Pers. 12-13)</t>
        </is>
      </c>
      <c r="D366" s="3" t="inlineStr">
        <is>
          <t>Entailment = Σverdict(sᵢ)/m</t>
        </is>
      </c>
      <c r="E366" s="3" t="inlineStr">
        <is>
          <t>6 klaim YA dari 6 klaim dievaluasi</t>
        </is>
      </c>
      <c r="F366" t="n">
        <v>1</v>
      </c>
      <c r="G366" s="3" t="inlineStr">
        <is>
          <t>verdict per klaim: sheet 'Entailment Detail'</t>
        </is>
      </c>
    </row>
    <row r="367">
      <c r="A367" t="n">
        <v>25</v>
      </c>
      <c r="B367" t="inlineStr">
        <is>
          <t>B</t>
        </is>
      </c>
      <c r="C367" t="inlineStr">
        <is>
          <t>— Keyword Overlap (Pers. 14)</t>
        </is>
      </c>
      <c r="D367" s="3" t="inlineStr">
        <is>
          <t>KWoverlap = (|Stems(ans)∩Stems(ctx)| / |Stems(ctx)|)^0,65</t>
        </is>
      </c>
      <c r="E367" s="3" t="inlineStr">
        <is>
          <t>KWoverlap = (|∩|/|ctx|)^0,65 = (15/227)^0,65 = 0.0661^0,65 = 0.1710</t>
        </is>
      </c>
      <c r="F367" t="n">
        <v>0.171</v>
      </c>
      <c r="G367" s="3" t="inlineStr"/>
    </row>
    <row r="368">
      <c r="A368" t="n">
        <v>25</v>
      </c>
      <c r="B368" t="inlineStr">
        <is>
          <t>B</t>
        </is>
      </c>
      <c r="C368" t="inlineStr">
        <is>
          <t>Hallucination Risk (Pers. 18)</t>
        </is>
      </c>
      <c r="D368" s="3" t="inlineStr">
        <is>
          <t>Risk = 0,65×(1-F) + 0,20×Contradiction + 0,15×Uncertainty</t>
        </is>
      </c>
      <c r="E368" s="3" t="inlineStr">
        <is>
          <t>Risk = 0,65×OutOfContext + 0,20×Contradiction + 0,15×Uncertainty = 0,65×0.2487 + 0,20×0.0000 + 0,15×0.00 = 0.1617 [RENDAH]</t>
        </is>
      </c>
      <c r="F368" t="n">
        <v>0.1617</v>
      </c>
      <c r="G368" s="3" t="inlineStr">
        <is>
          <t>label: RENDAH; kontradiksi 0/6 kalimat; uncertainty flag: False</t>
        </is>
      </c>
    </row>
    <row r="369">
      <c r="A369" t="n">
        <v>26</v>
      </c>
      <c r="B369" t="inlineStr">
        <is>
          <t>A</t>
        </is>
      </c>
      <c r="C369" t="inlineStr">
        <is>
          <t>Precision@K (Pers. 2)</t>
        </is>
      </c>
      <c r="D369" s="3" t="inlineStr">
        <is>
          <t>Precision@K = |{d ∈ TopK : sim(q,d) ≥ θ}| / K</t>
        </is>
      </c>
      <c r="E369" s="3" t="inlineStr">
        <is>
          <t>skor = [0.7855, 0.773, 0.7724, 0.7694, 0.7629, 0.7621] → 6 / 6</t>
        </is>
      </c>
      <c r="F369" t="n">
        <v>1</v>
      </c>
      <c r="G369" s="3" t="inlineStr">
        <is>
          <t>basis: skor chunk nyata (sesuai contoh Pers. 2 skripsi)</t>
        </is>
      </c>
    </row>
    <row r="370">
      <c r="A370" t="n">
        <v>26</v>
      </c>
      <c r="B370" t="inlineStr">
        <is>
          <t>A</t>
        </is>
      </c>
      <c r="C370" t="inlineStr">
        <is>
          <t>Recall@K (Pers. 4)</t>
        </is>
      </c>
      <c r="D370" s="3" t="inlineStr">
        <is>
          <t>Recall@K = |{kata kunci ditemukan : sim ≥ θ}| / |R|</t>
        </is>
      </c>
      <c r="E370" s="3" t="inlineStr">
        <is>
          <t>skor = [0.5835, 0.5697, 0.565, 0.5419, 0.4988, 0.4871] → 6 / 6</t>
        </is>
      </c>
      <c r="F370" t="n">
        <v>1</v>
      </c>
      <c r="G370" s="3" t="inlineStr"/>
    </row>
    <row r="371">
      <c r="A371" t="n">
        <v>26</v>
      </c>
      <c r="B371" t="inlineStr">
        <is>
          <t>A</t>
        </is>
      </c>
      <c r="C371" t="inlineStr">
        <is>
          <t>Mean Similarity (Pers. 6)</t>
        </is>
      </c>
      <c r="D371" s="3" t="inlineStr">
        <is>
          <t>MeanSim = (1/K) × Σ sim(q, dᵢ)</t>
        </is>
      </c>
      <c r="E371" s="3" t="inlineStr">
        <is>
          <t>skor = [0.7855, 0.773, 0.7724, 0.7694, 0.7629, 0.7621] → (0.7855 + 0.7730 + 0.7724 + 0.7694 + 0.7629 + 0.7621) / 6</t>
        </is>
      </c>
      <c r="F371" t="n">
        <v>0.7709</v>
      </c>
      <c r="G371" s="3" t="inlineStr"/>
    </row>
    <row r="372">
      <c r="A372" t="n">
        <v>26</v>
      </c>
      <c r="B372" t="inlineStr">
        <is>
          <t>A</t>
        </is>
      </c>
      <c r="C372" t="inlineStr">
        <is>
          <t>Coverage (Pers. 8)</t>
        </is>
      </c>
      <c r="D372" s="3" t="inlineStr">
        <is>
          <t>Coverage = |{dᵢ ∈ TopK : sim(q,dᵢ) ≥ θc}| / K</t>
        </is>
      </c>
      <c r="E372" s="3" t="inlineStr">
        <is>
          <t>skor = [0.7855, 0.773, 0.7724, 0.7694, 0.7629, 0.7621] → 6 / 6</t>
        </is>
      </c>
      <c r="F372" t="n">
        <v>1</v>
      </c>
      <c r="G372" s="3" t="inlineStr"/>
    </row>
    <row r="373">
      <c r="A373" t="n">
        <v>26</v>
      </c>
      <c r="B373" t="inlineStr">
        <is>
          <t>A</t>
        </is>
      </c>
      <c r="C373" t="inlineStr">
        <is>
          <t>Source Diversity (Pers. 10)</t>
        </is>
      </c>
      <c r="D373" s="3" t="inlineStr">
        <is>
          <t>Diversity = |sumber unik dalam TopK| / K</t>
        </is>
      </c>
      <c r="E373" s="3" t="inlineStr">
        <is>
          <t>skor = ['GT_DETAIL_PT01_Pendahuluan.txt', 'GT_DETAIL_PT05_Pattern_Recognition.txt', 'GT_DETAIL_PT09_Variabel_TipeData_Operator_List.txt', 'GT_SUBTOPIK_03_Pola_Bilangan_Deret.txt'] → 4 / 6</t>
        </is>
      </c>
      <c r="F373" t="n">
        <v>0.6667</v>
      </c>
      <c r="G373" s="3" t="inlineStr">
        <is>
          <t>file unik: GT_DETAIL_PT01_Pendahuluan.txt, GT_DETAIL_PT05_Pattern_Recognition.txt, GT_DETAIL_PT09_Variabel_TipeData_Operator_List.txt, GT_SUBTOPIK_03_Pola_Bilangan_Deret.txt</t>
        </is>
      </c>
    </row>
    <row r="374">
      <c r="A374" t="n">
        <v>26</v>
      </c>
      <c r="B374" t="inlineStr">
        <is>
          <t>A</t>
        </is>
      </c>
      <c r="C374" t="inlineStr">
        <is>
          <t>Faithfulness (Pers. 15)</t>
        </is>
      </c>
      <c r="D374" s="3" t="inlineStr">
        <is>
          <t>F = 0,70×Entailment + 0,30×KWoverlap</t>
        </is>
      </c>
      <c r="E374" s="3" t="inlineStr">
        <is>
          <t>Faithfulness = 0,70×Entailment + 0,30×KWoverlap = 0,70×1.0000 + 0,30×0.4869 = 0.8461  (entailment: 6/6 klaim didukung; KWoverlap = (|∩|/|ctx|)^0,65 = (77/233)^0,65 = 0.3305^0,65 = 0.4869)</t>
        </is>
      </c>
      <c r="F374" t="n">
        <v>0.8461</v>
      </c>
      <c r="G374" s="3" t="inlineStr">
        <is>
          <t>metode: llm_entailment + keyword</t>
        </is>
      </c>
    </row>
    <row r="375">
      <c r="A375" t="n">
        <v>26</v>
      </c>
      <c r="B375" t="inlineStr">
        <is>
          <t>A</t>
        </is>
      </c>
      <c r="C375" t="inlineStr">
        <is>
          <t>— Entailment (Pers. 12-13)</t>
        </is>
      </c>
      <c r="D375" s="3" t="inlineStr">
        <is>
          <t>Entailment = Σverdict(sᵢ)/m</t>
        </is>
      </c>
      <c r="E375" s="3" t="inlineStr">
        <is>
          <t>6 klaim YA dari 6 klaim dievaluasi</t>
        </is>
      </c>
      <c r="F375" t="n">
        <v>1</v>
      </c>
      <c r="G375" s="3" t="inlineStr">
        <is>
          <t>verdict per klaim: sheet 'Entailment Detail'</t>
        </is>
      </c>
    </row>
    <row r="376">
      <c r="A376" t="n">
        <v>26</v>
      </c>
      <c r="B376" t="inlineStr">
        <is>
          <t>A</t>
        </is>
      </c>
      <c r="C376" t="inlineStr">
        <is>
          <t>— Keyword Overlap (Pers. 14)</t>
        </is>
      </c>
      <c r="D376" s="3" t="inlineStr">
        <is>
          <t>KWoverlap = (|Stems(ans)∩Stems(ctx)| / |Stems(ctx)|)^0,65</t>
        </is>
      </c>
      <c r="E376" s="3" t="inlineStr">
        <is>
          <t>KWoverlap = (|∩|/|ctx|)^0,65 = (77/233)^0,65 = 0.3305^0,65 = 0.4869</t>
        </is>
      </c>
      <c r="F376" t="n">
        <v>0.4869</v>
      </c>
      <c r="G376" s="3" t="inlineStr"/>
    </row>
    <row r="377">
      <c r="A377" t="n">
        <v>26</v>
      </c>
      <c r="B377" t="inlineStr">
        <is>
          <t>A</t>
        </is>
      </c>
      <c r="C377" t="inlineStr">
        <is>
          <t>Hallucination Risk (Pers. 18)</t>
        </is>
      </c>
      <c r="D377" s="3" t="inlineStr">
        <is>
          <t>Risk = 0,65×(1-F) + 0,20×Contradiction + 0,15×Uncertainty</t>
        </is>
      </c>
      <c r="E377" s="3" t="inlineStr">
        <is>
          <t>Risk = 0,65×OutOfContext + 0,20×Contradiction + 0,15×Uncertainty = 0,65×0.1539 + 0,20×0.0000 + 0,15×0.00 = 0.1000 [RENDAH]</t>
        </is>
      </c>
      <c r="F377" t="n">
        <v>0.1</v>
      </c>
      <c r="G377" s="3" t="inlineStr">
        <is>
          <t>label: RENDAH; kontradiksi 0/29 kalimat; uncertainty flag: False</t>
        </is>
      </c>
    </row>
    <row r="378">
      <c r="A378" t="n">
        <v>26</v>
      </c>
      <c r="B378" t="inlineStr">
        <is>
          <t>A</t>
        </is>
      </c>
      <c r="C378" t="inlineStr">
        <is>
          <t>Answer Accuracy (Pers. 20)</t>
        </is>
      </c>
      <c r="D378" s="3" t="inlineStr">
        <is>
          <t>Correctᵢ ∈ {0,1} via LLM-as-Judge (HASIL: BENAR/SALAH)</t>
        </is>
      </c>
      <c r="E378" s="3" t="inlineStr">
        <is>
          <t>BENAR</t>
        </is>
      </c>
      <c r="F378" t="inlineStr">
        <is>
          <t>BENAR</t>
        </is>
      </c>
      <c r="G378" s="3" t="inlineStr">
        <is>
          <t>evaluator: ollama/llama3</t>
        </is>
      </c>
    </row>
    <row r="379">
      <c r="A379" t="n">
        <v>26</v>
      </c>
      <c r="B379" t="inlineStr">
        <is>
          <t>B</t>
        </is>
      </c>
      <c r="C379" t="inlineStr">
        <is>
          <t>Faithfulness (Pers. 15)</t>
        </is>
      </c>
      <c r="D379" s="3" t="inlineStr">
        <is>
          <t>F = 0,70×Entailment + 0,30×KWoverlap</t>
        </is>
      </c>
      <c r="E379" s="3" t="inlineStr">
        <is>
          <t>Faithfulness = 0,70×Entailment + 0,30×KWoverlap = 0,70×0.8333 + 0,30×0.1753 = 0.6359  (entailment: 5/6 klaim didukung; KWoverlap = (|∩|/|ctx|)^0,65 = (16/233)^0,65 = 0.0687^0,65 = 0.1753)</t>
        </is>
      </c>
      <c r="F379" t="n">
        <v>0.6359</v>
      </c>
      <c r="G379" s="3" t="inlineStr">
        <is>
          <t>metode: llm_entailment + keyword</t>
        </is>
      </c>
    </row>
    <row r="380">
      <c r="A380" t="n">
        <v>26</v>
      </c>
      <c r="B380" t="inlineStr">
        <is>
          <t>B</t>
        </is>
      </c>
      <c r="C380" t="inlineStr">
        <is>
          <t>— Entailment (Pers. 12-13)</t>
        </is>
      </c>
      <c r="D380" s="3" t="inlineStr">
        <is>
          <t>Entailment = Σverdict(sᵢ)/m</t>
        </is>
      </c>
      <c r="E380" s="3" t="inlineStr">
        <is>
          <t>5 klaim YA dari 6 klaim dievaluasi</t>
        </is>
      </c>
      <c r="F380" t="n">
        <v>0.8333</v>
      </c>
      <c r="G380" s="3" t="inlineStr">
        <is>
          <t>verdict per klaim: sheet 'Entailment Detail'</t>
        </is>
      </c>
    </row>
    <row r="381">
      <c r="A381" t="n">
        <v>26</v>
      </c>
      <c r="B381" t="inlineStr">
        <is>
          <t>B</t>
        </is>
      </c>
      <c r="C381" t="inlineStr">
        <is>
          <t>— Keyword Overlap (Pers. 14)</t>
        </is>
      </c>
      <c r="D381" s="3" t="inlineStr">
        <is>
          <t>KWoverlap = (|Stems(ans)∩Stems(ctx)| / |Stems(ctx)|)^0,65</t>
        </is>
      </c>
      <c r="E381" s="3" t="inlineStr">
        <is>
          <t>KWoverlap = (|∩|/|ctx|)^0,65 = (16/233)^0,65 = 0.0687^0,65 = 0.1753</t>
        </is>
      </c>
      <c r="F381" t="n">
        <v>0.1753</v>
      </c>
      <c r="G381" s="3" t="inlineStr"/>
    </row>
    <row r="382">
      <c r="A382" t="n">
        <v>26</v>
      </c>
      <c r="B382" t="inlineStr">
        <is>
          <t>B</t>
        </is>
      </c>
      <c r="C382" t="inlineStr">
        <is>
          <t>Hallucination Risk (Pers. 18)</t>
        </is>
      </c>
      <c r="D382" s="3" t="inlineStr">
        <is>
          <t>Risk = 0,65×(1-F) + 0,20×Contradiction + 0,15×Uncertainty</t>
        </is>
      </c>
      <c r="E382" s="3" t="inlineStr">
        <is>
          <t>Risk = 0,65×OutOfContext + 0,20×Contradiction + 0,15×Uncertainty = 0,65×0.3641 + 0,20×0.0000 + 0,15×0.00 = 0.2367 [RENDAH]</t>
        </is>
      </c>
      <c r="F382" t="n">
        <v>0.2367</v>
      </c>
      <c r="G382" s="3" t="inlineStr">
        <is>
          <t>label: RENDAH; kontradiksi 0/28 kalimat; uncertainty flag: False</t>
        </is>
      </c>
    </row>
    <row r="383">
      <c r="A383" t="n">
        <v>26</v>
      </c>
      <c r="B383" t="inlineStr">
        <is>
          <t>B</t>
        </is>
      </c>
      <c r="C383" t="inlineStr">
        <is>
          <t>Answer Accuracy (Pers. 20)</t>
        </is>
      </c>
      <c r="D383" s="3" t="inlineStr">
        <is>
          <t>Correctᵢ ∈ {0,1} via LLM-as-Judge (HASIL: BENAR/SALAH)</t>
        </is>
      </c>
      <c r="E383" s="3" t="inlineStr">
        <is>
          <t>Menurut referensi "Dokumen Materi GT" yang disebutkan, jawaban sistem tidak menjawab pertanyaan dengan benar.
Referensi itu berisi informasi tentang prioritas operator matematika, tetapi tidak memberikan penjelasan yang jelas tentang bagaimana modulo mempengaruhi prioritas. Oleh karena itu, jawaban sistem yang mengikuti prioritas operator matematika seperti biasa (prioritas modulo setelah perkali</t>
        </is>
      </c>
      <c r="F383" t="inlineStr">
        <is>
          <t>BENAR</t>
        </is>
      </c>
      <c r="G383" s="3" t="inlineStr">
        <is>
          <t>evaluator: ollama/llama3</t>
        </is>
      </c>
    </row>
    <row r="384">
      <c r="A384" t="n">
        <v>27</v>
      </c>
      <c r="B384" t="inlineStr">
        <is>
          <t>A</t>
        </is>
      </c>
      <c r="C384" t="inlineStr">
        <is>
          <t>Precision@K (Pers. 2)</t>
        </is>
      </c>
      <c r="D384" s="3" t="inlineStr">
        <is>
          <t>Precision@K = |{d ∈ TopK : sim(q,d) ≥ θ}| / K</t>
        </is>
      </c>
      <c r="E384" s="3" t="inlineStr">
        <is>
          <t>skor = [0.7428, 0.7193, 0.7122, 0.7074, 0.7033, 0.7028] → 6 / 6</t>
        </is>
      </c>
      <c r="F384" t="n">
        <v>1</v>
      </c>
      <c r="G384" s="3" t="inlineStr">
        <is>
          <t>basis: skor chunk nyata (sesuai contoh Pers. 2 skripsi)</t>
        </is>
      </c>
    </row>
    <row r="385">
      <c r="A385" t="n">
        <v>27</v>
      </c>
      <c r="B385" t="inlineStr">
        <is>
          <t>A</t>
        </is>
      </c>
      <c r="C385" t="inlineStr">
        <is>
          <t>Recall@K (Pers. 4)</t>
        </is>
      </c>
      <c r="D385" s="3" t="inlineStr">
        <is>
          <t>Recall@K = |{kata kunci ditemukan : sim ≥ θ}| / |R|</t>
        </is>
      </c>
      <c r="E385" s="3" t="inlineStr">
        <is>
          <t>skor = [0.6257, 0.5493, 0.5351, 0.5351, 0.5351, 0.4591] → 6 / 6</t>
        </is>
      </c>
      <c r="F385" t="n">
        <v>1</v>
      </c>
      <c r="G385" s="3" t="inlineStr"/>
    </row>
    <row r="386">
      <c r="A386" t="n">
        <v>27</v>
      </c>
      <c r="B386" t="inlineStr">
        <is>
          <t>A</t>
        </is>
      </c>
      <c r="C386" t="inlineStr">
        <is>
          <t>Mean Similarity (Pers. 6)</t>
        </is>
      </c>
      <c r="D386" s="3" t="inlineStr">
        <is>
          <t>MeanSim = (1/K) × Σ sim(q, dᵢ)</t>
        </is>
      </c>
      <c r="E386" s="3" t="inlineStr">
        <is>
          <t>skor = [0.7428, 0.7193, 0.7122, 0.7074, 0.7033, 0.7028] → (0.7428 + 0.7193 + 0.7122 + 0.7074 + 0.7033 + 0.7028) / 6</t>
        </is>
      </c>
      <c r="F386" t="n">
        <v>0.7146</v>
      </c>
      <c r="G386" s="3" t="inlineStr"/>
    </row>
    <row r="387">
      <c r="A387" t="n">
        <v>27</v>
      </c>
      <c r="B387" t="inlineStr">
        <is>
          <t>A</t>
        </is>
      </c>
      <c r="C387" t="inlineStr">
        <is>
          <t>Coverage (Pers. 8)</t>
        </is>
      </c>
      <c r="D387" s="3" t="inlineStr">
        <is>
          <t>Coverage = |{dᵢ ∈ TopK : sim(q,dᵢ) ≥ θc}| / K</t>
        </is>
      </c>
      <c r="E387" s="3" t="inlineStr">
        <is>
          <t>skor = [0.7428, 0.7193, 0.7122, 0.7074, 0.7033, 0.7028] → 6 / 6</t>
        </is>
      </c>
      <c r="F387" t="n">
        <v>1</v>
      </c>
      <c r="G387" s="3" t="inlineStr"/>
    </row>
    <row r="388">
      <c r="A388" t="n">
        <v>27</v>
      </c>
      <c r="B388" t="inlineStr">
        <is>
          <t>A</t>
        </is>
      </c>
      <c r="C388" t="inlineStr">
        <is>
          <t>Source Diversity (Pers. 10)</t>
        </is>
      </c>
      <c r="D388" s="3" t="inlineStr">
        <is>
          <t>Diversity = |sumber unik dalam TopK| / K</t>
        </is>
      </c>
      <c r="E388" s="3" t="inlineStr">
        <is>
          <t>skor = ['GT_CT02.txt', 'GT_CT05.txt', 'GT_CT07.txt', 'GT_DETAIL_PT01_Pendahuluan.txt', 'GT_DETAIL_PT02_ICT_Literacy_Ethics.txt', 'GT_DETAIL_PT04_Abstraksi.txt'] → 6 / 6</t>
        </is>
      </c>
      <c r="F388" t="n">
        <v>1</v>
      </c>
      <c r="G388" s="3" t="inlineStr">
        <is>
          <t>file unik: GT_CT02.txt, GT_CT05.txt, GT_CT07.txt, GT_DETAIL_PT01_Pendahuluan.txt, GT_DETAIL_PT02_ICT_Literacy_Ethics.txt, GT_DETAIL_PT04_Abstraksi.txt</t>
        </is>
      </c>
    </row>
    <row r="389">
      <c r="A389" t="n">
        <v>27</v>
      </c>
      <c r="B389" t="inlineStr">
        <is>
          <t>A</t>
        </is>
      </c>
      <c r="C389" t="inlineStr">
        <is>
          <t>Faithfulness (Pers. 15)</t>
        </is>
      </c>
      <c r="D389" s="3" t="inlineStr">
        <is>
          <t>F = 0,70×Entailment + 0,30×KWoverlap</t>
        </is>
      </c>
      <c r="E389" s="3" t="inlineStr">
        <is>
          <t>Faithfulness = 0,70×Entailment + 0,30×KWoverlap = 0,70×0.5000 + 0,30×0.1714 = 0.4014  (entailment: 3/6 klaim didukung; KWoverlap = (|∩|/|ctx|)^0,65 = (24/362)^0,65 = 0.0663^0,65 = 0.1714)</t>
        </is>
      </c>
      <c r="F389" t="n">
        <v>0.4014</v>
      </c>
      <c r="G389" s="3" t="inlineStr">
        <is>
          <t>metode: llm_entailment + keyword</t>
        </is>
      </c>
    </row>
    <row r="390">
      <c r="A390" t="n">
        <v>27</v>
      </c>
      <c r="B390" t="inlineStr">
        <is>
          <t>A</t>
        </is>
      </c>
      <c r="C390" t="inlineStr">
        <is>
          <t>— Entailment (Pers. 12-13)</t>
        </is>
      </c>
      <c r="D390" s="3" t="inlineStr">
        <is>
          <t>Entailment = Σverdict(sᵢ)/m</t>
        </is>
      </c>
      <c r="E390" s="3" t="inlineStr">
        <is>
          <t>3 klaim YA dari 6 klaim dievaluasi</t>
        </is>
      </c>
      <c r="F390" t="n">
        <v>0.5</v>
      </c>
      <c r="G390" s="3" t="inlineStr">
        <is>
          <t>verdict per klaim: sheet 'Entailment Detail'</t>
        </is>
      </c>
    </row>
    <row r="391">
      <c r="A391" t="n">
        <v>27</v>
      </c>
      <c r="B391" t="inlineStr">
        <is>
          <t>A</t>
        </is>
      </c>
      <c r="C391" t="inlineStr">
        <is>
          <t>— Keyword Overlap (Pers. 14)</t>
        </is>
      </c>
      <c r="D391" s="3" t="inlineStr">
        <is>
          <t>KWoverlap = (|Stems(ans)∩Stems(ctx)| / |Stems(ctx)|)^0,65</t>
        </is>
      </c>
      <c r="E391" s="3" t="inlineStr">
        <is>
          <t>KWoverlap = (|∩|/|ctx|)^0,65 = (24/362)^0,65 = 0.0663^0,65 = 0.1714</t>
        </is>
      </c>
      <c r="F391" t="n">
        <v>0.1714</v>
      </c>
      <c r="G391" s="3" t="inlineStr"/>
    </row>
    <row r="392">
      <c r="A392" t="n">
        <v>27</v>
      </c>
      <c r="B392" t="inlineStr">
        <is>
          <t>A</t>
        </is>
      </c>
      <c r="C392" t="inlineStr">
        <is>
          <t>Hallucination Risk (Pers. 18)</t>
        </is>
      </c>
      <c r="D392" s="3" t="inlineStr">
        <is>
          <t>Risk = 0,65×(1-F) + 0,20×Contradiction + 0,15×Uncertainty</t>
        </is>
      </c>
      <c r="E392" s="3" t="inlineStr">
        <is>
          <t>Risk = 0,65×OutOfContext + 0,20×Contradiction + 0,15×Uncertainty = 0,65×0.5986 + 0,20×0.0000 + 0,15×0.00 = 0.3891 [SEDANG]</t>
        </is>
      </c>
      <c r="F392" t="n">
        <v>0.3891</v>
      </c>
      <c r="G392" s="3" t="inlineStr">
        <is>
          <t>label: SEDANG; kontradiksi 0/14 kalimat; uncertainty flag: False</t>
        </is>
      </c>
    </row>
    <row r="393">
      <c r="A393" t="n">
        <v>27</v>
      </c>
      <c r="B393" t="inlineStr">
        <is>
          <t>A</t>
        </is>
      </c>
      <c r="C393" t="inlineStr">
        <is>
          <t>Answer Accuracy (Pers. 20)</t>
        </is>
      </c>
      <c r="D393" s="3" t="inlineStr">
        <is>
          <t>Correctᵢ ∈ {0,1} via LLM-as-Judge (HASIL: BENAR/SALAH)</t>
        </is>
      </c>
      <c r="E393" s="3" t="inlineStr">
        <is>
          <t>BENAR</t>
        </is>
      </c>
      <c r="F393" t="inlineStr">
        <is>
          <t>BENAR</t>
        </is>
      </c>
      <c r="G393" s="3" t="inlineStr">
        <is>
          <t>evaluator: ollama/llama3</t>
        </is>
      </c>
    </row>
    <row r="394">
      <c r="A394" t="n">
        <v>27</v>
      </c>
      <c r="B394" t="inlineStr">
        <is>
          <t>B</t>
        </is>
      </c>
      <c r="C394" t="inlineStr">
        <is>
          <t>Faithfulness (Pers. 15)</t>
        </is>
      </c>
      <c r="D394" s="3" t="inlineStr">
        <is>
          <t>F = 0,70×Entailment + 0,30×KWoverlap</t>
        </is>
      </c>
      <c r="E394" s="3" t="inlineStr">
        <is>
          <t>Faithfulness = 0,70×Entailment + 0,30×KWoverlap = 0,70×0.6667 + 0,30×0.1092 = 0.4995  (entailment: 4/6 klaim didukung; KWoverlap = (|∩|/|ctx|)^0,65 = (12/362)^0,65 = 0.0331^0,65 = 0.1092)</t>
        </is>
      </c>
      <c r="F394" t="n">
        <v>0.4995</v>
      </c>
      <c r="G394" s="3" t="inlineStr">
        <is>
          <t>metode: llm_entailment + keyword</t>
        </is>
      </c>
    </row>
    <row r="395">
      <c r="A395" t="n">
        <v>27</v>
      </c>
      <c r="B395" t="inlineStr">
        <is>
          <t>B</t>
        </is>
      </c>
      <c r="C395" t="inlineStr">
        <is>
          <t>— Entailment (Pers. 12-13)</t>
        </is>
      </c>
      <c r="D395" s="3" t="inlineStr">
        <is>
          <t>Entailment = Σverdict(sᵢ)/m</t>
        </is>
      </c>
      <c r="E395" s="3" t="inlineStr">
        <is>
          <t>4 klaim YA dari 6 klaim dievaluasi</t>
        </is>
      </c>
      <c r="F395" t="n">
        <v>0.6667</v>
      </c>
      <c r="G395" s="3" t="inlineStr">
        <is>
          <t>verdict per klaim: sheet 'Entailment Detail'</t>
        </is>
      </c>
    </row>
    <row r="396">
      <c r="A396" t="n">
        <v>27</v>
      </c>
      <c r="B396" t="inlineStr">
        <is>
          <t>B</t>
        </is>
      </c>
      <c r="C396" t="inlineStr">
        <is>
          <t>— Keyword Overlap (Pers. 14)</t>
        </is>
      </c>
      <c r="D396" s="3" t="inlineStr">
        <is>
          <t>KWoverlap = (|Stems(ans)∩Stems(ctx)| / |Stems(ctx)|)^0,65</t>
        </is>
      </c>
      <c r="E396" s="3" t="inlineStr">
        <is>
          <t>KWoverlap = (|∩|/|ctx|)^0,65 = (12/362)^0,65 = 0.0331^0,65 = 0.1092</t>
        </is>
      </c>
      <c r="F396" t="n">
        <v>0.1092</v>
      </c>
      <c r="G396" s="3" t="inlineStr"/>
    </row>
    <row r="397">
      <c r="A397" t="n">
        <v>27</v>
      </c>
      <c r="B397" t="inlineStr">
        <is>
          <t>B</t>
        </is>
      </c>
      <c r="C397" t="inlineStr">
        <is>
          <t>Hallucination Risk (Pers. 18)</t>
        </is>
      </c>
      <c r="D397" s="3" t="inlineStr">
        <is>
          <t>Risk = 0,65×(1-F) + 0,20×Contradiction + 0,15×Uncertainty</t>
        </is>
      </c>
      <c r="E397" s="3" t="inlineStr">
        <is>
          <t>Risk = 0,65×OutOfContext + 0,20×Contradiction + 0,15×Uncertainty = 0,65×0.5005 + 0,20×0.0000 + 0,15×0.00 = 0.3253 [SEDANG]</t>
        </is>
      </c>
      <c r="F397" t="n">
        <v>0.3253</v>
      </c>
      <c r="G397" s="3" t="inlineStr">
        <is>
          <t>label: SEDANG; kontradiksi 0/9 kalimat; uncertainty flag: False</t>
        </is>
      </c>
    </row>
    <row r="398">
      <c r="A398" t="n">
        <v>27</v>
      </c>
      <c r="B398" t="inlineStr">
        <is>
          <t>B</t>
        </is>
      </c>
      <c r="C398" t="inlineStr">
        <is>
          <t>Answer Accuracy (Pers. 20)</t>
        </is>
      </c>
      <c r="D398" s="3" t="inlineStr">
        <is>
          <t>Correctᵢ ∈ {0,1} via LLM-as-Judge (HASIL: BENAR/SALAH)</t>
        </is>
      </c>
      <c r="E398" s="3" t="inlineStr">
        <is>
          <t>BENAR</t>
        </is>
      </c>
      <c r="F398" t="inlineStr">
        <is>
          <t>BENAR</t>
        </is>
      </c>
      <c r="G398" s="3" t="inlineStr">
        <is>
          <t>evaluator: ollama/llama3</t>
        </is>
      </c>
    </row>
    <row r="399">
      <c r="A399" t="n">
        <v>28</v>
      </c>
      <c r="B399" t="inlineStr">
        <is>
          <t>A</t>
        </is>
      </c>
      <c r="C399" t="inlineStr">
        <is>
          <t>Precision@K (Pers. 2)</t>
        </is>
      </c>
      <c r="D399" s="3" t="inlineStr">
        <is>
          <t>Precision@K = |{d ∈ TopK : sim(q,d) ≥ θ}| / K</t>
        </is>
      </c>
      <c r="E399" s="3" t="inlineStr">
        <is>
          <t>skor = [0.8035, 0.8005, 0.7949, 0.7913, 0.7889, 0.7811] → 6 / 6</t>
        </is>
      </c>
      <c r="F399" t="n">
        <v>1</v>
      </c>
      <c r="G399" s="3" t="inlineStr">
        <is>
          <t>basis: skor chunk nyata (sesuai contoh Pers. 2 skripsi)</t>
        </is>
      </c>
    </row>
    <row r="400">
      <c r="A400" t="n">
        <v>28</v>
      </c>
      <c r="B400" t="inlineStr">
        <is>
          <t>A</t>
        </is>
      </c>
      <c r="C400" t="inlineStr">
        <is>
          <t>Recall@K (Pers. 4)</t>
        </is>
      </c>
      <c r="D400" s="3" t="inlineStr">
        <is>
          <t>Recall@K = |{kata kunci ditemukan : sim ≥ θ}| / |R|</t>
        </is>
      </c>
      <c r="E400" s="3" t="inlineStr">
        <is>
          <t>skor = [0.7546, 0.6451, 0.4944, 0.4929, 0.4813, 0.4654] → 6 / 6</t>
        </is>
      </c>
      <c r="F400" t="n">
        <v>1</v>
      </c>
      <c r="G400" s="3" t="inlineStr"/>
    </row>
    <row r="401">
      <c r="A401" t="n">
        <v>28</v>
      </c>
      <c r="B401" t="inlineStr">
        <is>
          <t>A</t>
        </is>
      </c>
      <c r="C401" t="inlineStr">
        <is>
          <t>Mean Similarity (Pers. 6)</t>
        </is>
      </c>
      <c r="D401" s="3" t="inlineStr">
        <is>
          <t>MeanSim = (1/K) × Σ sim(q, dᵢ)</t>
        </is>
      </c>
      <c r="E401" s="3" t="inlineStr">
        <is>
          <t>skor = [0.8035, 0.8005, 0.7949, 0.7913, 0.7889, 0.7811] → (0.8035 + 0.8005 + 0.7949 + 0.7913 + 0.7889 + 0.7811) / 6</t>
        </is>
      </c>
      <c r="F401" t="n">
        <v>0.7934</v>
      </c>
      <c r="G401" s="3" t="inlineStr"/>
    </row>
    <row r="402">
      <c r="A402" t="n">
        <v>28</v>
      </c>
      <c r="B402" t="inlineStr">
        <is>
          <t>A</t>
        </is>
      </c>
      <c r="C402" t="inlineStr">
        <is>
          <t>Coverage (Pers. 8)</t>
        </is>
      </c>
      <c r="D402" s="3" t="inlineStr">
        <is>
          <t>Coverage = |{dᵢ ∈ TopK : sim(q,dᵢ) ≥ θc}| / K</t>
        </is>
      </c>
      <c r="E402" s="3" t="inlineStr">
        <is>
          <t>skor = [0.8035, 0.8005, 0.7949, 0.7913, 0.7889, 0.7811] → 6 / 6</t>
        </is>
      </c>
      <c r="F402" t="n">
        <v>1</v>
      </c>
      <c r="G402" s="3" t="inlineStr"/>
    </row>
    <row r="403">
      <c r="A403" t="n">
        <v>28</v>
      </c>
      <c r="B403" t="inlineStr">
        <is>
          <t>A</t>
        </is>
      </c>
      <c r="C403" t="inlineStr">
        <is>
          <t>Source Diversity (Pers. 10)</t>
        </is>
      </c>
      <c r="D403" s="3" t="inlineStr">
        <is>
          <t>Diversity = |sumber unik dalam TopK| / K</t>
        </is>
      </c>
      <c r="E403" s="3" t="inlineStr">
        <is>
          <t>skor = ['GT_CT07.txt', 'GT_DETAIL_PT10_Percabangan.txt', 'GT_SUBTOPIK_01_Dekomposisi_Optimasi.txt', 'GT_SUBTOPIK_04_Modulo_Siklus.txt', 'GT_SUBTOPIK_05_Pseudocode_Algoritme.txt'] → 5 / 6</t>
        </is>
      </c>
      <c r="F403" t="n">
        <v>0.8333</v>
      </c>
      <c r="G403" s="3" t="inlineStr">
        <is>
          <t>file unik: GT_CT07.txt, GT_DETAIL_PT10_Percabangan.txt, GT_SUBTOPIK_01_Dekomposisi_Optimasi.txt, GT_SUBTOPIK_04_Modulo_Siklus.txt, GT_SUBTOPIK_05_Pseudocode_Algoritme.txt</t>
        </is>
      </c>
    </row>
    <row r="404">
      <c r="A404" t="n">
        <v>28</v>
      </c>
      <c r="B404" t="inlineStr">
        <is>
          <t>A</t>
        </is>
      </c>
      <c r="C404" t="inlineStr">
        <is>
          <t>Faithfulness (Pers. 15)</t>
        </is>
      </c>
      <c r="D404" s="3" t="inlineStr">
        <is>
          <t>F = 0,70×Entailment + 0,30×KWoverlap</t>
        </is>
      </c>
      <c r="E404" s="3" t="inlineStr">
        <is>
          <t>Faithfulness = 0,70×Entailment + 0,30×KWoverlap = 0,70×1.0000 + 0,30×0.1920 = 0.7576  (entailment: 6/6 klaim didukung; KWoverlap = (|∩|/|ctx|)^0,65 = (15/190)^0,65 = 0.0789^0,65 = 0.1920)</t>
        </is>
      </c>
      <c r="F404" t="n">
        <v>0.7576000000000001</v>
      </c>
      <c r="G404" s="3" t="inlineStr">
        <is>
          <t>metode: llm_entailment + keyword</t>
        </is>
      </c>
    </row>
    <row r="405">
      <c r="A405" t="n">
        <v>28</v>
      </c>
      <c r="B405" t="inlineStr">
        <is>
          <t>A</t>
        </is>
      </c>
      <c r="C405" t="inlineStr">
        <is>
          <t>— Entailment (Pers. 12-13)</t>
        </is>
      </c>
      <c r="D405" s="3" t="inlineStr">
        <is>
          <t>Entailment = Σverdict(sᵢ)/m</t>
        </is>
      </c>
      <c r="E405" s="3" t="inlineStr">
        <is>
          <t>6 klaim YA dari 6 klaim dievaluasi</t>
        </is>
      </c>
      <c r="F405" t="n">
        <v>1</v>
      </c>
      <c r="G405" s="3" t="inlineStr">
        <is>
          <t>verdict per klaim: sheet 'Entailment Detail'</t>
        </is>
      </c>
    </row>
    <row r="406">
      <c r="A406" t="n">
        <v>28</v>
      </c>
      <c r="B406" t="inlineStr">
        <is>
          <t>A</t>
        </is>
      </c>
      <c r="C406" t="inlineStr">
        <is>
          <t>— Keyword Overlap (Pers. 14)</t>
        </is>
      </c>
      <c r="D406" s="3" t="inlineStr">
        <is>
          <t>KWoverlap = (|Stems(ans)∩Stems(ctx)| / |Stems(ctx)|)^0,65</t>
        </is>
      </c>
      <c r="E406" s="3" t="inlineStr">
        <is>
          <t>KWoverlap = (|∩|/|ctx|)^0,65 = (15/190)^0,65 = 0.0789^0,65 = 0.1920</t>
        </is>
      </c>
      <c r="F406" t="n">
        <v>0.192</v>
      </c>
      <c r="G406" s="3" t="inlineStr"/>
    </row>
    <row r="407">
      <c r="A407" t="n">
        <v>28</v>
      </c>
      <c r="B407" t="inlineStr">
        <is>
          <t>A</t>
        </is>
      </c>
      <c r="C407" t="inlineStr">
        <is>
          <t>Hallucination Risk (Pers. 18)</t>
        </is>
      </c>
      <c r="D407" s="3" t="inlineStr">
        <is>
          <t>Risk = 0,65×(1-F) + 0,20×Contradiction + 0,15×Uncertainty</t>
        </is>
      </c>
      <c r="E407" s="3" t="inlineStr">
        <is>
          <t>Risk = 0,65×OutOfContext + 0,20×Contradiction + 0,15×Uncertainty = 0,65×0.2424 + 0,20×0.0000 + 0,15×0.00 = 0.1576 [RENDAH]</t>
        </is>
      </c>
      <c r="F407" t="n">
        <v>0.1576</v>
      </c>
      <c r="G407" s="3" t="inlineStr">
        <is>
          <t>label: RENDAH; kontradiksi 0/10 kalimat; uncertainty flag: False</t>
        </is>
      </c>
    </row>
    <row r="408">
      <c r="A408" t="n">
        <v>28</v>
      </c>
      <c r="B408" t="inlineStr">
        <is>
          <t>B</t>
        </is>
      </c>
      <c r="C408" t="inlineStr">
        <is>
          <t>Faithfulness (Pers. 15)</t>
        </is>
      </c>
      <c r="D408" s="3" t="inlineStr">
        <is>
          <t>F = 0,70×Entailment + 0,30×KWoverlap</t>
        </is>
      </c>
      <c r="E408" s="3" t="inlineStr">
        <is>
          <t>Faithfulness = 0,70×Entailment + 0,30×KWoverlap = 0,70×1.0000 + 0,30×0.1569 = 0.7471  (entailment: 4/4 klaim didukung; KWoverlap = (|∩|/|ctx|)^0,65 = (11/190)^0,65 = 0.0579^0,65 = 0.1569)</t>
        </is>
      </c>
      <c r="F408" t="n">
        <v>0.7471</v>
      </c>
      <c r="G408" s="3" t="inlineStr">
        <is>
          <t>metode: llm_entailment + keyword</t>
        </is>
      </c>
    </row>
    <row r="409">
      <c r="A409" t="n">
        <v>28</v>
      </c>
      <c r="B409" t="inlineStr">
        <is>
          <t>B</t>
        </is>
      </c>
      <c r="C409" t="inlineStr">
        <is>
          <t>— Entailment (Pers. 12-13)</t>
        </is>
      </c>
      <c r="D409" s="3" t="inlineStr">
        <is>
          <t>Entailment = Σverdict(sᵢ)/m</t>
        </is>
      </c>
      <c r="E409" s="3" t="inlineStr">
        <is>
          <t>4 klaim YA dari 4 klaim dievaluasi</t>
        </is>
      </c>
      <c r="F409" t="n">
        <v>1</v>
      </c>
      <c r="G409" s="3" t="inlineStr">
        <is>
          <t>verdict per klaim: sheet 'Entailment Detail'</t>
        </is>
      </c>
    </row>
    <row r="410">
      <c r="A410" t="n">
        <v>28</v>
      </c>
      <c r="B410" t="inlineStr">
        <is>
          <t>B</t>
        </is>
      </c>
      <c r="C410" t="inlineStr">
        <is>
          <t>— Keyword Overlap (Pers. 14)</t>
        </is>
      </c>
      <c r="D410" s="3" t="inlineStr">
        <is>
          <t>KWoverlap = (|Stems(ans)∩Stems(ctx)| / |Stems(ctx)|)^0,65</t>
        </is>
      </c>
      <c r="E410" s="3" t="inlineStr">
        <is>
          <t>KWoverlap = (|∩|/|ctx|)^0,65 = (11/190)^0,65 = 0.0579^0,65 = 0.1569</t>
        </is>
      </c>
      <c r="F410" t="n">
        <v>0.1569</v>
      </c>
      <c r="G410" s="3" t="inlineStr"/>
    </row>
    <row r="411">
      <c r="A411" t="n">
        <v>28</v>
      </c>
      <c r="B411" t="inlineStr">
        <is>
          <t>B</t>
        </is>
      </c>
      <c r="C411" t="inlineStr">
        <is>
          <t>Hallucination Risk (Pers. 18)</t>
        </is>
      </c>
      <c r="D411" s="3" t="inlineStr">
        <is>
          <t>Risk = 0,65×(1-F) + 0,20×Contradiction + 0,15×Uncertainty</t>
        </is>
      </c>
      <c r="E411" s="3" t="inlineStr">
        <is>
          <t>Risk = 0,65×OutOfContext + 0,20×Contradiction + 0,15×Uncertainty = 0,65×0.2529 + 0,20×0.0000 + 0,15×0.00 = 0.1644 [RENDAH]</t>
        </is>
      </c>
      <c r="F411" t="n">
        <v>0.1644</v>
      </c>
      <c r="G411" s="3" t="inlineStr">
        <is>
          <t>label: RENDAH; kontradiksi 0/8 kalimat; uncertainty flag: False</t>
        </is>
      </c>
    </row>
    <row r="412">
      <c r="A412" t="n">
        <v>29</v>
      </c>
      <c r="B412" t="inlineStr">
        <is>
          <t>A</t>
        </is>
      </c>
      <c r="C412" t="inlineStr">
        <is>
          <t>Precision@K (Pers. 2)</t>
        </is>
      </c>
      <c r="D412" s="3" t="inlineStr">
        <is>
          <t>Precision@K = |{d ∈ TopK : sim(q,d) ≥ θ}| / K</t>
        </is>
      </c>
      <c r="E412" s="3" t="inlineStr">
        <is>
          <t>skor = [0.7552, 0.7513, 0.7378, 0.7363, 0.7352, 0.7304] → 6 / 6</t>
        </is>
      </c>
      <c r="F412" t="n">
        <v>1</v>
      </c>
      <c r="G412" s="3" t="inlineStr">
        <is>
          <t>basis: skor chunk nyata (sesuai contoh Pers. 2 skripsi)</t>
        </is>
      </c>
    </row>
    <row r="413">
      <c r="A413" t="n">
        <v>29</v>
      </c>
      <c r="B413" t="inlineStr">
        <is>
          <t>A</t>
        </is>
      </c>
      <c r="C413" t="inlineStr">
        <is>
          <t>Recall@K (Pers. 4)</t>
        </is>
      </c>
      <c r="D413" s="3" t="inlineStr">
        <is>
          <t>Recall@K = |{kata kunci ditemukan : sim ≥ θ}| / |R|</t>
        </is>
      </c>
      <c r="E413" s="3" t="inlineStr">
        <is>
          <t>skor = [0.7309, 0.6279, 0.5745, 0.5745, 0.5745, 0.4413] → 6 / 6</t>
        </is>
      </c>
      <c r="F413" t="n">
        <v>1</v>
      </c>
      <c r="G413" s="3" t="inlineStr"/>
    </row>
    <row r="414">
      <c r="A414" t="n">
        <v>29</v>
      </c>
      <c r="B414" t="inlineStr">
        <is>
          <t>A</t>
        </is>
      </c>
      <c r="C414" t="inlineStr">
        <is>
          <t>Mean Similarity (Pers. 6)</t>
        </is>
      </c>
      <c r="D414" s="3" t="inlineStr">
        <is>
          <t>MeanSim = (1/K) × Σ sim(q, dᵢ)</t>
        </is>
      </c>
      <c r="E414" s="3" t="inlineStr">
        <is>
          <t>skor = [0.7552, 0.7513, 0.7378, 0.7363, 0.7352, 0.7304] → (0.7552 + 0.7513 + 0.7378 + 0.7363 + 0.7352 + 0.7304) / 6</t>
        </is>
      </c>
      <c r="F414" t="n">
        <v>0.741</v>
      </c>
      <c r="G414" s="3" t="inlineStr"/>
    </row>
    <row r="415">
      <c r="A415" t="n">
        <v>29</v>
      </c>
      <c r="B415" t="inlineStr">
        <is>
          <t>A</t>
        </is>
      </c>
      <c r="C415" t="inlineStr">
        <is>
          <t>Coverage (Pers. 8)</t>
        </is>
      </c>
      <c r="D415" s="3" t="inlineStr">
        <is>
          <t>Coverage = |{dᵢ ∈ TopK : sim(q,dᵢ) ≥ θc}| / K</t>
        </is>
      </c>
      <c r="E415" s="3" t="inlineStr">
        <is>
          <t>skor = [0.7552, 0.7513, 0.7378, 0.7363, 0.7352, 0.7304] → 6 / 6</t>
        </is>
      </c>
      <c r="F415" t="n">
        <v>1</v>
      </c>
      <c r="G415" s="3" t="inlineStr"/>
    </row>
    <row r="416">
      <c r="A416" t="n">
        <v>29</v>
      </c>
      <c r="B416" t="inlineStr">
        <is>
          <t>A</t>
        </is>
      </c>
      <c r="C416" t="inlineStr">
        <is>
          <t>Source Diversity (Pers. 10)</t>
        </is>
      </c>
      <c r="D416" s="3" t="inlineStr">
        <is>
          <t>Diversity = |sumber unik dalam TopK| / K</t>
        </is>
      </c>
      <c r="E416" s="3" t="inlineStr">
        <is>
          <t>skor = ['GT_CT01.txt', 'GT_CT03.txt', 'GT_CT05.txt', 'GT_CT07.txt', 'GT_CT09.txt', 'GT_DETAIL_PT04_Abstraksi.txt'] → 6 / 6</t>
        </is>
      </c>
      <c r="F416" t="n">
        <v>1</v>
      </c>
      <c r="G416" s="3" t="inlineStr">
        <is>
          <t>file unik: GT_CT01.txt, GT_CT03.txt, GT_CT05.txt, GT_CT07.txt, GT_CT09.txt, GT_DETAIL_PT04_Abstraksi.txt</t>
        </is>
      </c>
    </row>
    <row r="417">
      <c r="A417" t="n">
        <v>29</v>
      </c>
      <c r="B417" t="inlineStr">
        <is>
          <t>A</t>
        </is>
      </c>
      <c r="C417" t="inlineStr">
        <is>
          <t>Faithfulness (Pers. 15)</t>
        </is>
      </c>
      <c r="D417" s="3" t="inlineStr">
        <is>
          <t>F = 0,70×Entailment + 0,30×KWoverlap</t>
        </is>
      </c>
      <c r="E417" s="3" t="inlineStr">
        <is>
          <t>Faithfulness = 0,70×Entailment + 0,30×KWoverlap = 0,70×1.0000 + 0,30×0.2064 = 0.7619  (entailment: 6/6 klaim didukung; KWoverlap = (|∩|/|ctx|)^0,65 = (33/374)^0,65 = 0.0882^0,65 = 0.2064)</t>
        </is>
      </c>
      <c r="F417" t="n">
        <v>0.7619</v>
      </c>
      <c r="G417" s="3" t="inlineStr">
        <is>
          <t>metode: llm_entailment + keyword</t>
        </is>
      </c>
    </row>
    <row r="418">
      <c r="A418" t="n">
        <v>29</v>
      </c>
      <c r="B418" t="inlineStr">
        <is>
          <t>A</t>
        </is>
      </c>
      <c r="C418" t="inlineStr">
        <is>
          <t>— Entailment (Pers. 12-13)</t>
        </is>
      </c>
      <c r="D418" s="3" t="inlineStr">
        <is>
          <t>Entailment = Σverdict(sᵢ)/m</t>
        </is>
      </c>
      <c r="E418" s="3" t="inlineStr">
        <is>
          <t>6 klaim YA dari 6 klaim dievaluasi</t>
        </is>
      </c>
      <c r="F418" t="n">
        <v>1</v>
      </c>
      <c r="G418" s="3" t="inlineStr">
        <is>
          <t>verdict per klaim: sheet 'Entailment Detail'</t>
        </is>
      </c>
    </row>
    <row r="419">
      <c r="A419" t="n">
        <v>29</v>
      </c>
      <c r="B419" t="inlineStr">
        <is>
          <t>A</t>
        </is>
      </c>
      <c r="C419" t="inlineStr">
        <is>
          <t>— Keyword Overlap (Pers. 14)</t>
        </is>
      </c>
      <c r="D419" s="3" t="inlineStr">
        <is>
          <t>KWoverlap = (|Stems(ans)∩Stems(ctx)| / |Stems(ctx)|)^0,65</t>
        </is>
      </c>
      <c r="E419" s="3" t="inlineStr">
        <is>
          <t>KWoverlap = (|∩|/|ctx|)^0,65 = (33/374)^0,65 = 0.0882^0,65 = 0.2064</t>
        </is>
      </c>
      <c r="F419" t="n">
        <v>0.2064</v>
      </c>
      <c r="G419" s="3" t="inlineStr"/>
    </row>
    <row r="420">
      <c r="A420" t="n">
        <v>29</v>
      </c>
      <c r="B420" t="inlineStr">
        <is>
          <t>A</t>
        </is>
      </c>
      <c r="C420" t="inlineStr">
        <is>
          <t>Hallucination Risk (Pers. 18)</t>
        </is>
      </c>
      <c r="D420" s="3" t="inlineStr">
        <is>
          <t>Risk = 0,65×(1-F) + 0,20×Contradiction + 0,15×Uncertainty</t>
        </is>
      </c>
      <c r="E420" s="3" t="inlineStr">
        <is>
          <t>Risk = 0,65×OutOfContext + 0,20×Contradiction + 0,15×Uncertainty = 0,65×0.2381 + 0,20×0.0000 + 0,15×0.00 = 0.1548 [RENDAH]</t>
        </is>
      </c>
      <c r="F420" t="n">
        <v>0.1548</v>
      </c>
      <c r="G420" s="3" t="inlineStr">
        <is>
          <t>label: RENDAH; kontradiksi 0/22 kalimat; uncertainty flag: False</t>
        </is>
      </c>
    </row>
    <row r="421">
      <c r="A421" t="n">
        <v>29</v>
      </c>
      <c r="B421" t="inlineStr">
        <is>
          <t>A</t>
        </is>
      </c>
      <c r="C421" t="inlineStr">
        <is>
          <t>Answer Accuracy (Pers. 20)</t>
        </is>
      </c>
      <c r="D421" s="3" t="inlineStr">
        <is>
          <t>Correctᵢ ∈ {0,1} via LLM-as-Judge (HASIL: BENAR/SALAH)</t>
        </is>
      </c>
      <c r="E421" s="3" t="inlineStr">
        <is>
          <t>Menurut referensi (dokumen materi GT), operator logika digunakan untuk menggabungkan dua atau lebih ekspresi boolean dan menghasilkan nilai boolean.
Dalam tugas ini, kita diminta membuat tabel kebenaran untuk ekspresi `(A AND NOT B) OR (NOT A AND B)`.
Mari kita analisis konsep `AND` dan `NOT`. Operator `AND` digunakan untuk menggabungkan dua atau lebih ekspresi boolean, sehingga hasilnya True ha</t>
        </is>
      </c>
      <c r="F421" t="inlineStr">
        <is>
          <t>BENAR</t>
        </is>
      </c>
      <c r="G421" s="3" t="inlineStr">
        <is>
          <t>evaluator: ollama/llama3</t>
        </is>
      </c>
    </row>
    <row r="422">
      <c r="A422" t="n">
        <v>29</v>
      </c>
      <c r="B422" t="inlineStr">
        <is>
          <t>B</t>
        </is>
      </c>
      <c r="C422" t="inlineStr">
        <is>
          <t>Faithfulness (Pers. 15)</t>
        </is>
      </c>
      <c r="D422" s="3" t="inlineStr">
        <is>
          <t>F = 0,70×Entailment + 0,30×KWoverlap</t>
        </is>
      </c>
      <c r="E422" s="3" t="inlineStr">
        <is>
          <t>Faithfulness = 0,70×Entailment + 0,30×KWoverlap = 0,70×1.0000 + 0,30×0.0887 = 0.7266  (entailment: 6/6 klaim didukung; KWoverlap = (|∩|/|ctx|)^0,65 = (9/374)^0,65 = 0.0241^0,65 = 0.0887)</t>
        </is>
      </c>
      <c r="F422" t="n">
        <v>0.7266</v>
      </c>
      <c r="G422" s="3" t="inlineStr">
        <is>
          <t>metode: llm_entailment + keyword</t>
        </is>
      </c>
    </row>
    <row r="423">
      <c r="A423" t="n">
        <v>29</v>
      </c>
      <c r="B423" t="inlineStr">
        <is>
          <t>B</t>
        </is>
      </c>
      <c r="C423" t="inlineStr">
        <is>
          <t>— Entailment (Pers. 12-13)</t>
        </is>
      </c>
      <c r="D423" s="3" t="inlineStr">
        <is>
          <t>Entailment = Σverdict(sᵢ)/m</t>
        </is>
      </c>
      <c r="E423" s="3" t="inlineStr">
        <is>
          <t>6 klaim YA dari 6 klaim dievaluasi</t>
        </is>
      </c>
      <c r="F423" t="n">
        <v>1</v>
      </c>
      <c r="G423" s="3" t="inlineStr">
        <is>
          <t>verdict per klaim: sheet 'Entailment Detail'</t>
        </is>
      </c>
    </row>
    <row r="424">
      <c r="A424" t="n">
        <v>29</v>
      </c>
      <c r="B424" t="inlineStr">
        <is>
          <t>B</t>
        </is>
      </c>
      <c r="C424" t="inlineStr">
        <is>
          <t>— Keyword Overlap (Pers. 14)</t>
        </is>
      </c>
      <c r="D424" s="3" t="inlineStr">
        <is>
          <t>KWoverlap = (|Stems(ans)∩Stems(ctx)| / |Stems(ctx)|)^0,65</t>
        </is>
      </c>
      <c r="E424" s="3" t="inlineStr">
        <is>
          <t>KWoverlap = (|∩|/|ctx|)^0,65 = (9/374)^0,65 = 0.0241^0,65 = 0.0887</t>
        </is>
      </c>
      <c r="F424" t="n">
        <v>0.0887</v>
      </c>
      <c r="G424" s="3" t="inlineStr"/>
    </row>
    <row r="425">
      <c r="A425" t="n">
        <v>29</v>
      </c>
      <c r="B425" t="inlineStr">
        <is>
          <t>B</t>
        </is>
      </c>
      <c r="C425" t="inlineStr">
        <is>
          <t>Hallucination Risk (Pers. 18)</t>
        </is>
      </c>
      <c r="D425" s="3" t="inlineStr">
        <is>
          <t>Risk = 0,65×(1-F) + 0,20×Contradiction + 0,15×Uncertainty</t>
        </is>
      </c>
      <c r="E425" s="3" t="inlineStr">
        <is>
          <t>Risk = 0,65×OutOfContext + 0,20×Contradiction + 0,15×Uncertainty = 0,65×0.2734 + 0,20×0.0667 + 0,15×0.00 = 0.1910 [RENDAH]</t>
        </is>
      </c>
      <c r="F425" t="n">
        <v>0.191</v>
      </c>
      <c r="G425" s="3" t="inlineStr">
        <is>
          <t>label: RENDAH; kontradiksi 1/15 kalimat; uncertainty flag: False</t>
        </is>
      </c>
    </row>
    <row r="426">
      <c r="A426" t="n">
        <v>29</v>
      </c>
      <c r="B426" t="inlineStr">
        <is>
          <t>B</t>
        </is>
      </c>
      <c r="C426" t="inlineStr">
        <is>
          <t>Answer Accuracy (Pers. 20)</t>
        </is>
      </c>
      <c r="D426" s="3" t="inlineStr">
        <is>
          <t>Correctᵢ ∈ {0,1} via LLM-as-Judge (HASIL: BENAR/SALAH)</t>
        </is>
      </c>
      <c r="E426" s="3" t="inlineStr"/>
      <c r="F426" t="inlineStr">
        <is>
          <t>SALAH</t>
        </is>
      </c>
      <c r="G426" s="3" t="inlineStr">
        <is>
          <t>evaluator: ollama/llama3</t>
        </is>
      </c>
    </row>
    <row r="427">
      <c r="A427" t="n">
        <v>30</v>
      </c>
      <c r="B427" t="inlineStr">
        <is>
          <t>A</t>
        </is>
      </c>
      <c r="C427" t="inlineStr">
        <is>
          <t>Precision@K (Pers. 2)</t>
        </is>
      </c>
      <c r="D427" s="3" t="inlineStr">
        <is>
          <t>Precision@K = |{d ∈ TopK : sim(q,d) ≥ θ}| / K</t>
        </is>
      </c>
      <c r="E427" s="3" t="inlineStr">
        <is>
          <t>skor = [0.7919, 0.7814, 0.7637, 0.763, 0.7613, 0.7609] → 6 / 6</t>
        </is>
      </c>
      <c r="F427" t="n">
        <v>1</v>
      </c>
      <c r="G427" s="3" t="inlineStr">
        <is>
          <t>basis: skor chunk nyata (sesuai contoh Pers. 2 skripsi)</t>
        </is>
      </c>
    </row>
    <row r="428">
      <c r="A428" t="n">
        <v>30</v>
      </c>
      <c r="B428" t="inlineStr">
        <is>
          <t>A</t>
        </is>
      </c>
      <c r="C428" t="inlineStr">
        <is>
          <t>Recall@K (Pers. 4)</t>
        </is>
      </c>
      <c r="D428" s="3" t="inlineStr">
        <is>
          <t>Recall@K = |{kata kunci ditemukan : sim ≥ θ}| / |R|</t>
        </is>
      </c>
      <c r="E428" s="3" t="inlineStr">
        <is>
          <t>skor = [0.6313, 0.5618, 0.5529, 0.5129, 0.5018, 0.3951] → 6 / 6</t>
        </is>
      </c>
      <c r="F428" t="n">
        <v>1</v>
      </c>
      <c r="G428" s="3" t="inlineStr"/>
    </row>
    <row r="429">
      <c r="A429" t="n">
        <v>30</v>
      </c>
      <c r="B429" t="inlineStr">
        <is>
          <t>A</t>
        </is>
      </c>
      <c r="C429" t="inlineStr">
        <is>
          <t>Mean Similarity (Pers. 6)</t>
        </is>
      </c>
      <c r="D429" s="3" t="inlineStr">
        <is>
          <t>MeanSim = (1/K) × Σ sim(q, dᵢ)</t>
        </is>
      </c>
      <c r="E429" s="3" t="inlineStr">
        <is>
          <t>skor = [0.7919, 0.7814, 0.7637, 0.763, 0.7613, 0.7609] → (0.7919 + 0.7814 + 0.7637 + 0.7630 + 0.7613 + 0.7609) / 6</t>
        </is>
      </c>
      <c r="F429" t="n">
        <v>0.7704</v>
      </c>
      <c r="G429" s="3" t="inlineStr"/>
    </row>
    <row r="430">
      <c r="A430" t="n">
        <v>30</v>
      </c>
      <c r="B430" t="inlineStr">
        <is>
          <t>A</t>
        </is>
      </c>
      <c r="C430" t="inlineStr">
        <is>
          <t>Coverage (Pers. 8)</t>
        </is>
      </c>
      <c r="D430" s="3" t="inlineStr">
        <is>
          <t>Coverage = |{dᵢ ∈ TopK : sim(q,dᵢ) ≥ θc}| / K</t>
        </is>
      </c>
      <c r="E430" s="3" t="inlineStr">
        <is>
          <t>skor = [0.7919, 0.7814, 0.7637, 0.763, 0.7613, 0.7609] → 6 / 6</t>
        </is>
      </c>
      <c r="F430" t="n">
        <v>1</v>
      </c>
      <c r="G430" s="3" t="inlineStr"/>
    </row>
    <row r="431">
      <c r="A431" t="n">
        <v>30</v>
      </c>
      <c r="B431" t="inlineStr">
        <is>
          <t>A</t>
        </is>
      </c>
      <c r="C431" t="inlineStr">
        <is>
          <t>Source Diversity (Pers. 10)</t>
        </is>
      </c>
      <c r="D431" s="3" t="inlineStr">
        <is>
          <t>Diversity = |sumber unik dalam TopK| / K</t>
        </is>
      </c>
      <c r="E431" s="3" t="inlineStr">
        <is>
          <t>skor = ['GT_CT09.txt', 'GT_CT13.txt', 'GT_DETAIL_PT09_Variabel_TipeData_Operator_List.txt', 'GT_DETAIL_PT12_Fungsi.txt'] → 4 / 6</t>
        </is>
      </c>
      <c r="F431" t="n">
        <v>0.6667</v>
      </c>
      <c r="G431" s="3" t="inlineStr">
        <is>
          <t>file unik: GT_CT09.txt, GT_CT13.txt, GT_DETAIL_PT09_Variabel_TipeData_Operator_List.txt, GT_DETAIL_PT12_Fungsi.txt</t>
        </is>
      </c>
    </row>
    <row r="432">
      <c r="A432" t="n">
        <v>30</v>
      </c>
      <c r="B432" t="inlineStr">
        <is>
          <t>A</t>
        </is>
      </c>
      <c r="C432" t="inlineStr">
        <is>
          <t>Faithfulness (Pers. 15)</t>
        </is>
      </c>
      <c r="D432" s="3" t="inlineStr">
        <is>
          <t>F = 0,70×Entailment + 0,30×KWoverlap</t>
        </is>
      </c>
      <c r="E432" s="3" t="inlineStr">
        <is>
          <t>Faithfulness = 0,70×Entailment + 0,30×KWoverlap = 0,70×1.0000 + 0,30×0.2621 = 0.7786  (entailment: 6/6 klaim didukung; KWoverlap = (|∩|/|ctx|)^0,65 = (33/259)^0,65 = 0.1274^0,65 = 0.2621)</t>
        </is>
      </c>
      <c r="F432" t="n">
        <v>0.7786</v>
      </c>
      <c r="G432" s="3" t="inlineStr">
        <is>
          <t>metode: llm_entailment + keyword</t>
        </is>
      </c>
    </row>
    <row r="433">
      <c r="A433" t="n">
        <v>30</v>
      </c>
      <c r="B433" t="inlineStr">
        <is>
          <t>A</t>
        </is>
      </c>
      <c r="C433" t="inlineStr">
        <is>
          <t>— Entailment (Pers. 12-13)</t>
        </is>
      </c>
      <c r="D433" s="3" t="inlineStr">
        <is>
          <t>Entailment = Σverdict(sᵢ)/m</t>
        </is>
      </c>
      <c r="E433" s="3" t="inlineStr">
        <is>
          <t>6 klaim YA dari 6 klaim dievaluasi</t>
        </is>
      </c>
      <c r="F433" t="n">
        <v>1</v>
      </c>
      <c r="G433" s="3" t="inlineStr">
        <is>
          <t>verdict per klaim: sheet 'Entailment Detail'</t>
        </is>
      </c>
    </row>
    <row r="434">
      <c r="A434" t="n">
        <v>30</v>
      </c>
      <c r="B434" t="inlineStr">
        <is>
          <t>A</t>
        </is>
      </c>
      <c r="C434" t="inlineStr">
        <is>
          <t>— Keyword Overlap (Pers. 14)</t>
        </is>
      </c>
      <c r="D434" s="3" t="inlineStr">
        <is>
          <t>KWoverlap = (|Stems(ans)∩Stems(ctx)| / |Stems(ctx)|)^0,65</t>
        </is>
      </c>
      <c r="E434" s="3" t="inlineStr">
        <is>
          <t>KWoverlap = (|∩|/|ctx|)^0,65 = (33/259)^0,65 = 0.1274^0,65 = 0.2621</t>
        </is>
      </c>
      <c r="F434" t="n">
        <v>0.2621</v>
      </c>
      <c r="G434" s="3" t="inlineStr"/>
    </row>
    <row r="435">
      <c r="A435" t="n">
        <v>30</v>
      </c>
      <c r="B435" t="inlineStr">
        <is>
          <t>A</t>
        </is>
      </c>
      <c r="C435" t="inlineStr">
        <is>
          <t>Hallucination Risk (Pers. 18)</t>
        </is>
      </c>
      <c r="D435" s="3" t="inlineStr">
        <is>
          <t>Risk = 0,65×(1-F) + 0,20×Contradiction + 0,15×Uncertainty</t>
        </is>
      </c>
      <c r="E435" s="3" t="inlineStr">
        <is>
          <t>Risk = 0,65×OutOfContext + 0,20×Contradiction + 0,15×Uncertainty = 0,65×0.2214 + 0,20×0.0000 + 0,15×0.00 = 0.1439 [RENDAH]</t>
        </is>
      </c>
      <c r="F435" t="n">
        <v>0.1439</v>
      </c>
      <c r="G435" s="3" t="inlineStr">
        <is>
          <t>label: RENDAH; kontradiksi 0/13 kalimat; uncertainty flag: False</t>
        </is>
      </c>
    </row>
    <row r="436">
      <c r="A436" t="n">
        <v>30</v>
      </c>
      <c r="B436" t="inlineStr">
        <is>
          <t>A</t>
        </is>
      </c>
      <c r="C436" t="inlineStr">
        <is>
          <t>Answer Accuracy (Pers. 20)</t>
        </is>
      </c>
      <c r="D436" s="3" t="inlineStr">
        <is>
          <t>Correctᵢ ∈ {0,1} via LLM-as-Judge (HASIL: BENAR/SALAH)</t>
        </is>
      </c>
      <c r="E436" s="3" t="inlineStr">
        <is>
          <t>BENAR
Karena jawaban sistem menjelaskan bahwa struktur data gabungan seperti struct di CT dapat digunakan untuk menyimpan beberapa variabel dengan tipe data yang berbeda dalam satu objek, sehingga cocok dengan kebutuhan penyimpanan data mahasiswa yang memiliki nama, NIM, dan nilai sekaligus.</t>
        </is>
      </c>
      <c r="F436" t="inlineStr">
        <is>
          <t>BENAR</t>
        </is>
      </c>
      <c r="G436" s="3" t="inlineStr">
        <is>
          <t>evaluator: ollama/llama3</t>
        </is>
      </c>
    </row>
    <row r="437">
      <c r="A437" t="n">
        <v>30</v>
      </c>
      <c r="B437" t="inlineStr">
        <is>
          <t>B</t>
        </is>
      </c>
      <c r="C437" t="inlineStr">
        <is>
          <t>Faithfulness (Pers. 15)</t>
        </is>
      </c>
      <c r="D437" s="3" t="inlineStr">
        <is>
          <t>F = 0,70×Entailment + 0,30×KWoverlap</t>
        </is>
      </c>
      <c r="E437" s="3" t="inlineStr">
        <is>
          <t>Faithfulness = 0,70×Entailment + 0,30×KWoverlap = 0,70×1.0000 + 0,30×0.2188 = 0.7656  (entailment: 6/6 klaim didukung; KWoverlap = (|∩|/|ctx|)^0,65 = (25/259)^0,65 = 0.0965^0,65 = 0.2188)</t>
        </is>
      </c>
      <c r="F437" t="n">
        <v>0.7655999999999999</v>
      </c>
      <c r="G437" s="3" t="inlineStr">
        <is>
          <t>metode: llm_entailment + keyword</t>
        </is>
      </c>
    </row>
    <row r="438">
      <c r="A438" t="n">
        <v>30</v>
      </c>
      <c r="B438" t="inlineStr">
        <is>
          <t>B</t>
        </is>
      </c>
      <c r="C438" t="inlineStr">
        <is>
          <t>— Entailment (Pers. 12-13)</t>
        </is>
      </c>
      <c r="D438" s="3" t="inlineStr">
        <is>
          <t>Entailment = Σverdict(sᵢ)/m</t>
        </is>
      </c>
      <c r="E438" s="3" t="inlineStr">
        <is>
          <t>6 klaim YA dari 6 klaim dievaluasi</t>
        </is>
      </c>
      <c r="F438" t="n">
        <v>1</v>
      </c>
      <c r="G438" s="3" t="inlineStr">
        <is>
          <t>verdict per klaim: sheet 'Entailment Detail'</t>
        </is>
      </c>
    </row>
    <row r="439">
      <c r="A439" t="n">
        <v>30</v>
      </c>
      <c r="B439" t="inlineStr">
        <is>
          <t>B</t>
        </is>
      </c>
      <c r="C439" t="inlineStr">
        <is>
          <t>— Keyword Overlap (Pers. 14)</t>
        </is>
      </c>
      <c r="D439" s="3" t="inlineStr">
        <is>
          <t>KWoverlap = (|Stems(ans)∩Stems(ctx)| / |Stems(ctx)|)^0,65</t>
        </is>
      </c>
      <c r="E439" s="3" t="inlineStr">
        <is>
          <t>KWoverlap = (|∩|/|ctx|)^0,65 = (25/259)^0,65 = 0.0965^0,65 = 0.2188</t>
        </is>
      </c>
      <c r="F439" t="n">
        <v>0.2188</v>
      </c>
      <c r="G439" s="3" t="inlineStr"/>
    </row>
    <row r="440">
      <c r="A440" t="n">
        <v>30</v>
      </c>
      <c r="B440" t="inlineStr">
        <is>
          <t>B</t>
        </is>
      </c>
      <c r="C440" t="inlineStr">
        <is>
          <t>Hallucination Risk (Pers. 18)</t>
        </is>
      </c>
      <c r="D440" s="3" t="inlineStr">
        <is>
          <t>Risk = 0,65×(1-F) + 0,20×Contradiction + 0,15×Uncertainty</t>
        </is>
      </c>
      <c r="E440" s="3" t="inlineStr">
        <is>
          <t>Risk = 0,65×OutOfContext + 0,20×Contradiction + 0,15×Uncertainty = 0,65×0.2344 + 0,20×0.0000 + 0,15×0.00 = 0.1524 [RENDAH]</t>
        </is>
      </c>
      <c r="F440" t="n">
        <v>0.1524</v>
      </c>
      <c r="G440" s="3" t="inlineStr">
        <is>
          <t>label: RENDAH; kontradiksi 0/27 kalimat; uncertainty flag: False</t>
        </is>
      </c>
    </row>
    <row r="441">
      <c r="A441" t="n">
        <v>30</v>
      </c>
      <c r="B441" t="inlineStr">
        <is>
          <t>B</t>
        </is>
      </c>
      <c r="C441" t="inlineStr">
        <is>
          <t>Answer Accuracy (Pers. 20)</t>
        </is>
      </c>
      <c r="D441" s="3" t="inlineStr">
        <is>
          <t>Correctᵢ ∈ {0,1} via LLM-as-Judge (HASIL: BENAR/SALAH)</t>
        </is>
      </c>
      <c r="E441" s="3" t="inlineStr"/>
      <c r="F441" t="inlineStr">
        <is>
          <t>BENAR</t>
        </is>
      </c>
      <c r="G441" s="3" t="inlineStr">
        <is>
          <t>evaluator: ollama/llama3</t>
        </is>
      </c>
    </row>
    <row r="442">
      <c r="A442" t="n">
        <v>31</v>
      </c>
      <c r="B442" t="inlineStr">
        <is>
          <t>A</t>
        </is>
      </c>
      <c r="C442" t="inlineStr">
        <is>
          <t>Precision@K (Pers. 2)</t>
        </is>
      </c>
      <c r="D442" s="3" t="inlineStr">
        <is>
          <t>Precision@K = |{d ∈ TopK : sim(q,d) ≥ θ}| / K</t>
        </is>
      </c>
      <c r="E442" s="3" t="inlineStr">
        <is>
          <t>skor = [0.8531, 0.837, 0.824, 0.8168, 0.8126, 0.8122] → 6 / 6</t>
        </is>
      </c>
      <c r="F442" t="n">
        <v>1</v>
      </c>
      <c r="G442" s="3" t="inlineStr">
        <is>
          <t>basis: skor chunk nyata (sesuai contoh Pers. 2 skripsi)</t>
        </is>
      </c>
    </row>
    <row r="443">
      <c r="A443" t="n">
        <v>31</v>
      </c>
      <c r="B443" t="inlineStr">
        <is>
          <t>A</t>
        </is>
      </c>
      <c r="C443" t="inlineStr">
        <is>
          <t>Recall@K (Pers. 4)</t>
        </is>
      </c>
      <c r="D443" s="3" t="inlineStr">
        <is>
          <t>Recall@K = |{kata kunci ditemukan : sim ≥ θ}| / |R|</t>
        </is>
      </c>
      <c r="E443" s="3" t="inlineStr">
        <is>
          <t>skor = [0.5966, 0.5257, 0.4408, 0.4374, 0.4168, 0.3946] → 6 / 6</t>
        </is>
      </c>
      <c r="F443" t="n">
        <v>1</v>
      </c>
      <c r="G443" s="3" t="inlineStr"/>
    </row>
    <row r="444">
      <c r="A444" t="n">
        <v>31</v>
      </c>
      <c r="B444" t="inlineStr">
        <is>
          <t>A</t>
        </is>
      </c>
      <c r="C444" t="inlineStr">
        <is>
          <t>Mean Similarity (Pers. 6)</t>
        </is>
      </c>
      <c r="D444" s="3" t="inlineStr">
        <is>
          <t>MeanSim = (1/K) × Σ sim(q, dᵢ)</t>
        </is>
      </c>
      <c r="E444" s="3" t="inlineStr">
        <is>
          <t>skor = [0.8531, 0.837, 0.824, 0.8168, 0.8126, 0.8122] → (0.8531 + 0.8370 + 0.8240 + 0.8168 + 0.8126 + 0.8122) / 6</t>
        </is>
      </c>
      <c r="F444" t="n">
        <v>0.826</v>
      </c>
      <c r="G444" s="3" t="inlineStr"/>
    </row>
    <row r="445">
      <c r="A445" t="n">
        <v>31</v>
      </c>
      <c r="B445" t="inlineStr">
        <is>
          <t>A</t>
        </is>
      </c>
      <c r="C445" t="inlineStr">
        <is>
          <t>Coverage (Pers. 8)</t>
        </is>
      </c>
      <c r="D445" s="3" t="inlineStr">
        <is>
          <t>Coverage = |{dᵢ ∈ TopK : sim(q,dᵢ) ≥ θc}| / K</t>
        </is>
      </c>
      <c r="E445" s="3" t="inlineStr">
        <is>
          <t>skor = [0.8531, 0.837, 0.824, 0.8168, 0.8126, 0.8122] → 6 / 6</t>
        </is>
      </c>
      <c r="F445" t="n">
        <v>1</v>
      </c>
      <c r="G445" s="3" t="inlineStr"/>
    </row>
    <row r="446">
      <c r="A446" t="n">
        <v>31</v>
      </c>
      <c r="B446" t="inlineStr">
        <is>
          <t>A</t>
        </is>
      </c>
      <c r="C446" t="inlineStr">
        <is>
          <t>Source Diversity (Pers. 10)</t>
        </is>
      </c>
      <c r="D446" s="3" t="inlineStr">
        <is>
          <t>Diversity = |sumber unik dalam TopK| / K</t>
        </is>
      </c>
      <c r="E446" s="3" t="inlineStr">
        <is>
          <t>skor = ['GT_DETAIL_PT10_Percabangan.txt', 'GT_SUBTOPIK_05_Pseudocode_Algoritme.txt', 'GT_SUBTOPIK_07_Percabangan_Trace.txt'] → 3 / 6</t>
        </is>
      </c>
      <c r="F446" t="n">
        <v>0.5</v>
      </c>
      <c r="G446" s="3" t="inlineStr">
        <is>
          <t>file unik: GT_DETAIL_PT10_Percabangan.txt, GT_SUBTOPIK_05_Pseudocode_Algoritme.txt, GT_SUBTOPIK_07_Percabangan_Trace.txt</t>
        </is>
      </c>
    </row>
    <row r="447">
      <c r="A447" t="n">
        <v>31</v>
      </c>
      <c r="B447" t="inlineStr">
        <is>
          <t>A</t>
        </is>
      </c>
      <c r="C447" t="inlineStr">
        <is>
          <t>Faithfulness (Pers. 15)</t>
        </is>
      </c>
      <c r="D447" s="3" t="inlineStr">
        <is>
          <t>F = 0,70×Entailment + 0,30×KWoverlap</t>
        </is>
      </c>
      <c r="E447" s="3" t="inlineStr">
        <is>
          <t>Faithfulness = 0,70×Entailment + 0,30×KWoverlap = 0,70×0.8333 + 0,30×0.1680 = 0.6337  (entailment: 5/6 klaim didukung; KWoverlap = (|∩|/|ctx|)^0,65 = (9/140)^0,65 = 0.0643^0,65 = 0.1680)</t>
        </is>
      </c>
      <c r="F447" t="n">
        <v>0.6337</v>
      </c>
      <c r="G447" s="3" t="inlineStr">
        <is>
          <t>metode: llm_entailment + keyword</t>
        </is>
      </c>
    </row>
    <row r="448">
      <c r="A448" t="n">
        <v>31</v>
      </c>
      <c r="B448" t="inlineStr">
        <is>
          <t>A</t>
        </is>
      </c>
      <c r="C448" t="inlineStr">
        <is>
          <t>— Entailment (Pers. 12-13)</t>
        </is>
      </c>
      <c r="D448" s="3" t="inlineStr">
        <is>
          <t>Entailment = Σverdict(sᵢ)/m</t>
        </is>
      </c>
      <c r="E448" s="3" t="inlineStr">
        <is>
          <t>5 klaim YA dari 6 klaim dievaluasi</t>
        </is>
      </c>
      <c r="F448" t="n">
        <v>0.8333</v>
      </c>
      <c r="G448" s="3" t="inlineStr">
        <is>
          <t>verdict per klaim: sheet 'Entailment Detail'</t>
        </is>
      </c>
    </row>
    <row r="449">
      <c r="A449" t="n">
        <v>31</v>
      </c>
      <c r="B449" t="inlineStr">
        <is>
          <t>A</t>
        </is>
      </c>
      <c r="C449" t="inlineStr">
        <is>
          <t>— Keyword Overlap (Pers. 14)</t>
        </is>
      </c>
      <c r="D449" s="3" t="inlineStr">
        <is>
          <t>KWoverlap = (|Stems(ans)∩Stems(ctx)| / |Stems(ctx)|)^0,65</t>
        </is>
      </c>
      <c r="E449" s="3" t="inlineStr">
        <is>
          <t>KWoverlap = (|∩|/|ctx|)^0,65 = (9/140)^0,65 = 0.0643^0,65 = 0.1680</t>
        </is>
      </c>
      <c r="F449" t="n">
        <v>0.168</v>
      </c>
      <c r="G449" s="3" t="inlineStr"/>
    </row>
    <row r="450">
      <c r="A450" t="n">
        <v>31</v>
      </c>
      <c r="B450" t="inlineStr">
        <is>
          <t>A</t>
        </is>
      </c>
      <c r="C450" t="inlineStr">
        <is>
          <t>Hallucination Risk (Pers. 18)</t>
        </is>
      </c>
      <c r="D450" s="3" t="inlineStr">
        <is>
          <t>Risk = 0,65×(1-F) + 0,20×Contradiction + 0,15×Uncertainty</t>
        </is>
      </c>
      <c r="E450" s="3" t="inlineStr">
        <is>
          <t>Risk = 0,65×OutOfContext + 0,20×Contradiction + 0,15×Uncertainty = 0,65×0.3663 + 0,20×0.0714 + 0,15×0.00 = 0.2524 [RENDAH]</t>
        </is>
      </c>
      <c r="F450" t="n">
        <v>0.2524</v>
      </c>
      <c r="G450" s="3" t="inlineStr">
        <is>
          <t>label: RENDAH; kontradiksi 1/14 kalimat; uncertainty flag: False</t>
        </is>
      </c>
    </row>
    <row r="451">
      <c r="A451" t="n">
        <v>31</v>
      </c>
      <c r="B451" t="inlineStr">
        <is>
          <t>A</t>
        </is>
      </c>
      <c r="C451" t="inlineStr">
        <is>
          <t>Answer Accuracy (Pers. 20)</t>
        </is>
      </c>
      <c r="D451" s="3" t="inlineStr">
        <is>
          <t>Correctᵢ ∈ {0,1} via LLM-as-Judge (HASIL: BENAR/SALAH)</t>
        </is>
      </c>
      <c r="E451" s="3" t="inlineStr">
        <is>
          <t>BENAR</t>
        </is>
      </c>
      <c r="F451" t="inlineStr">
        <is>
          <t>BENAR</t>
        </is>
      </c>
      <c r="G451" s="3" t="inlineStr">
        <is>
          <t>evaluator: ollama/llama3</t>
        </is>
      </c>
    </row>
    <row r="452">
      <c r="A452" t="n">
        <v>31</v>
      </c>
      <c r="B452" t="inlineStr">
        <is>
          <t>B</t>
        </is>
      </c>
      <c r="C452" t="inlineStr">
        <is>
          <t>Faithfulness (Pers. 15)</t>
        </is>
      </c>
      <c r="D452" s="3" t="inlineStr">
        <is>
          <t>F = 0,70×Entailment + 0,30×KWoverlap</t>
        </is>
      </c>
      <c r="E452" s="3" t="inlineStr">
        <is>
          <t>Faithfulness = 0,70×Entailment + 0,30×KWoverlap = 0,70×0.8000 + 0,30×0.2025 = 0.6208  (entailment: 4/5 klaim didukung; KWoverlap = (|∩|/|ctx|)^0,65 = (12/140)^0,65 = 0.0857^0,65 = 0.2025)</t>
        </is>
      </c>
      <c r="F452" t="n">
        <v>0.6208</v>
      </c>
      <c r="G452" s="3" t="inlineStr">
        <is>
          <t>metode: llm_entailment + keyword</t>
        </is>
      </c>
    </row>
    <row r="453">
      <c r="A453" t="n">
        <v>31</v>
      </c>
      <c r="B453" t="inlineStr">
        <is>
          <t>B</t>
        </is>
      </c>
      <c r="C453" t="inlineStr">
        <is>
          <t>— Entailment (Pers. 12-13)</t>
        </is>
      </c>
      <c r="D453" s="3" t="inlineStr">
        <is>
          <t>Entailment = Σverdict(sᵢ)/m</t>
        </is>
      </c>
      <c r="E453" s="3" t="inlineStr">
        <is>
          <t>4 klaim YA dari 5 klaim dievaluasi</t>
        </is>
      </c>
      <c r="F453" t="n">
        <v>0.8</v>
      </c>
      <c r="G453" s="3" t="inlineStr">
        <is>
          <t>verdict per klaim: sheet 'Entailment Detail'</t>
        </is>
      </c>
    </row>
    <row r="454">
      <c r="A454" t="n">
        <v>31</v>
      </c>
      <c r="B454" t="inlineStr">
        <is>
          <t>B</t>
        </is>
      </c>
      <c r="C454" t="inlineStr">
        <is>
          <t>— Keyword Overlap (Pers. 14)</t>
        </is>
      </c>
      <c r="D454" s="3" t="inlineStr">
        <is>
          <t>KWoverlap = (|Stems(ans)∩Stems(ctx)| / |Stems(ctx)|)^0,65</t>
        </is>
      </c>
      <c r="E454" s="3" t="inlineStr">
        <is>
          <t>KWoverlap = (|∩|/|ctx|)^0,65 = (12/140)^0,65 = 0.0857^0,65 = 0.2025</t>
        </is>
      </c>
      <c r="F454" t="n">
        <v>0.2025</v>
      </c>
      <c r="G454" s="3" t="inlineStr"/>
    </row>
    <row r="455">
      <c r="A455" t="n">
        <v>31</v>
      </c>
      <c r="B455" t="inlineStr">
        <is>
          <t>B</t>
        </is>
      </c>
      <c r="C455" t="inlineStr">
        <is>
          <t>Hallucination Risk (Pers. 18)</t>
        </is>
      </c>
      <c r="D455" s="3" t="inlineStr">
        <is>
          <t>Risk = 0,65×(1-F) + 0,20×Contradiction + 0,15×Uncertainty</t>
        </is>
      </c>
      <c r="E455" s="3" t="inlineStr">
        <is>
          <t>Risk = 0,65×OutOfContext + 0,20×Contradiction + 0,15×Uncertainty = 0,65×0.3792 + 0,20×0.1000 + 0,15×0.00 = 0.2665 [RENDAH]</t>
        </is>
      </c>
      <c r="F455" t="n">
        <v>0.2665</v>
      </c>
      <c r="G455" s="3" t="inlineStr">
        <is>
          <t>label: RENDAH; kontradiksi 1/10 kalimat; uncertainty flag: False</t>
        </is>
      </c>
    </row>
    <row r="456">
      <c r="A456" t="n">
        <v>31</v>
      </c>
      <c r="B456" t="inlineStr">
        <is>
          <t>B</t>
        </is>
      </c>
      <c r="C456" t="inlineStr">
        <is>
          <t>Answer Accuracy (Pers. 20)</t>
        </is>
      </c>
      <c r="D456" s="3" t="inlineStr">
        <is>
          <t>Correctᵢ ∈ {0,1} via LLM-as-Judge (HASIL: BENAR/SALAH)</t>
        </is>
      </c>
      <c r="E456" s="3" t="inlineStr"/>
      <c r="F456" t="inlineStr">
        <is>
          <t>BENAR</t>
        </is>
      </c>
      <c r="G456" s="3" t="inlineStr">
        <is>
          <t>evaluator: ollama/llama3</t>
        </is>
      </c>
    </row>
    <row r="457">
      <c r="A457" t="n">
        <v>32</v>
      </c>
      <c r="B457" t="inlineStr">
        <is>
          <t>A</t>
        </is>
      </c>
      <c r="C457" t="inlineStr">
        <is>
          <t>Precision@K (Pers. 2)</t>
        </is>
      </c>
      <c r="D457" s="3" t="inlineStr">
        <is>
          <t>Precision@K = |{d ∈ TopK : sim(q,d) ≥ θ}| / K</t>
        </is>
      </c>
      <c r="E457" s="3" t="inlineStr">
        <is>
          <t>skor = [0.8079, 0.7936, 0.7896, 0.7872, 0.7841, 0.7823] → 6 / 6</t>
        </is>
      </c>
      <c r="F457" t="n">
        <v>1</v>
      </c>
      <c r="G457" s="3" t="inlineStr">
        <is>
          <t>basis: skor chunk nyata (sesuai contoh Pers. 2 skripsi)</t>
        </is>
      </c>
    </row>
    <row r="458">
      <c r="A458" t="n">
        <v>32</v>
      </c>
      <c r="B458" t="inlineStr">
        <is>
          <t>A</t>
        </is>
      </c>
      <c r="C458" t="inlineStr">
        <is>
          <t>Recall@K (Pers. 4)</t>
        </is>
      </c>
      <c r="D458" s="3" t="inlineStr">
        <is>
          <t>Recall@K = |{kata kunci ditemukan : sim ≥ θ}| / |R|</t>
        </is>
      </c>
      <c r="E458" s="3" t="inlineStr">
        <is>
          <t>skor = [0.6617, 0.6465, 0.5527, 0.5514, 0.4518, 0.411] → 6 / 6</t>
        </is>
      </c>
      <c r="F458" t="n">
        <v>1</v>
      </c>
      <c r="G458" s="3" t="inlineStr"/>
    </row>
    <row r="459">
      <c r="A459" t="n">
        <v>32</v>
      </c>
      <c r="B459" t="inlineStr">
        <is>
          <t>A</t>
        </is>
      </c>
      <c r="C459" t="inlineStr">
        <is>
          <t>Mean Similarity (Pers. 6)</t>
        </is>
      </c>
      <c r="D459" s="3" t="inlineStr">
        <is>
          <t>MeanSim = (1/K) × Σ sim(q, dᵢ)</t>
        </is>
      </c>
      <c r="E459" s="3" t="inlineStr">
        <is>
          <t>skor = [0.8079, 0.7936, 0.7896, 0.7872, 0.7841, 0.7823] → (0.8079 + 0.7936 + 0.7896 + 0.7872 + 0.7841 + 0.7823) / 6</t>
        </is>
      </c>
      <c r="F459" t="n">
        <v>0.7907999999999999</v>
      </c>
      <c r="G459" s="3" t="inlineStr"/>
    </row>
    <row r="460">
      <c r="A460" t="n">
        <v>32</v>
      </c>
      <c r="B460" t="inlineStr">
        <is>
          <t>A</t>
        </is>
      </c>
      <c r="C460" t="inlineStr">
        <is>
          <t>Coverage (Pers. 8)</t>
        </is>
      </c>
      <c r="D460" s="3" t="inlineStr">
        <is>
          <t>Coverage = |{dᵢ ∈ TopK : sim(q,dᵢ) ≥ θc}| / K</t>
        </is>
      </c>
      <c r="E460" s="3" t="inlineStr">
        <is>
          <t>skor = [0.8079, 0.7936, 0.7896, 0.7872, 0.7841, 0.7823] → 6 / 6</t>
        </is>
      </c>
      <c r="F460" t="n">
        <v>1</v>
      </c>
      <c r="G460" s="3" t="inlineStr"/>
    </row>
    <row r="461">
      <c r="A461" t="n">
        <v>32</v>
      </c>
      <c r="B461" t="inlineStr">
        <is>
          <t>A</t>
        </is>
      </c>
      <c r="C461" t="inlineStr">
        <is>
          <t>Source Diversity (Pers. 10)</t>
        </is>
      </c>
      <c r="D461" s="3" t="inlineStr">
        <is>
          <t>Diversity = |sumber unik dalam TopK| / K</t>
        </is>
      </c>
      <c r="E461" s="3" t="inlineStr">
        <is>
          <t>skor = ['GT_CT10.txt', 'GT_DETAIL_PT05_Pattern_Recognition.txt', 'GT_SUBTOPIK_04_Modulo_Siklus.txt', 'GT_SUBTOPIK_07_Percabangan_Trace.txt', 'GT_SUBTOPIK_14_Kompleksitas_BigO.txt'] → 5 / 6</t>
        </is>
      </c>
      <c r="F461" t="n">
        <v>0.8333</v>
      </c>
      <c r="G461" s="3" t="inlineStr">
        <is>
          <t>file unik: GT_CT10.txt, GT_DETAIL_PT05_Pattern_Recognition.txt, GT_SUBTOPIK_04_Modulo_Siklus.txt, GT_SUBTOPIK_07_Percabangan_Trace.txt, GT_SUBTOPIK_14_Kompleksitas_BigO.txt</t>
        </is>
      </c>
    </row>
    <row r="462">
      <c r="A462" t="n">
        <v>32</v>
      </c>
      <c r="B462" t="inlineStr">
        <is>
          <t>A</t>
        </is>
      </c>
      <c r="C462" t="inlineStr">
        <is>
          <t>Faithfulness (Pers. 15)</t>
        </is>
      </c>
      <c r="D462" s="3" t="inlineStr">
        <is>
          <t>F = 0,70×Entailment + 0,30×KWoverlap</t>
        </is>
      </c>
      <c r="E462" s="3" t="inlineStr">
        <is>
          <t>Faithfulness = 0,70×Entailment + 0,30×KWoverlap = 0,70×0.8333 + 0,30×0.1989 = 0.6430  (entailment: 5/6 klaim didukung; KWoverlap = (|∩|/|ctx|)^0,65 = (17/204)^0,65 = 0.0833^0,65 = 0.1989)</t>
        </is>
      </c>
      <c r="F462" t="n">
        <v>0.643</v>
      </c>
      <c r="G462" s="3" t="inlineStr">
        <is>
          <t>metode: llm_entailment + keyword</t>
        </is>
      </c>
    </row>
    <row r="463">
      <c r="A463" t="n">
        <v>32</v>
      </c>
      <c r="B463" t="inlineStr">
        <is>
          <t>A</t>
        </is>
      </c>
      <c r="C463" t="inlineStr">
        <is>
          <t>— Entailment (Pers. 12-13)</t>
        </is>
      </c>
      <c r="D463" s="3" t="inlineStr">
        <is>
          <t>Entailment = Σverdict(sᵢ)/m</t>
        </is>
      </c>
      <c r="E463" s="3" t="inlineStr">
        <is>
          <t>5 klaim YA dari 6 klaim dievaluasi</t>
        </is>
      </c>
      <c r="F463" t="n">
        <v>0.8333</v>
      </c>
      <c r="G463" s="3" t="inlineStr">
        <is>
          <t>verdict per klaim: sheet 'Entailment Detail'</t>
        </is>
      </c>
    </row>
    <row r="464">
      <c r="A464" t="n">
        <v>32</v>
      </c>
      <c r="B464" t="inlineStr">
        <is>
          <t>A</t>
        </is>
      </c>
      <c r="C464" t="inlineStr">
        <is>
          <t>— Keyword Overlap (Pers. 14)</t>
        </is>
      </c>
      <c r="D464" s="3" t="inlineStr">
        <is>
          <t>KWoverlap = (|Stems(ans)∩Stems(ctx)| / |Stems(ctx)|)^0,65</t>
        </is>
      </c>
      <c r="E464" s="3" t="inlineStr">
        <is>
          <t>KWoverlap = (|∩|/|ctx|)^0,65 = (17/204)^0,65 = 0.0833^0,65 = 0.1989</t>
        </is>
      </c>
      <c r="F464" t="n">
        <v>0.1989</v>
      </c>
      <c r="G464" s="3" t="inlineStr"/>
    </row>
    <row r="465">
      <c r="A465" t="n">
        <v>32</v>
      </c>
      <c r="B465" t="inlineStr">
        <is>
          <t>A</t>
        </is>
      </c>
      <c r="C465" t="inlineStr">
        <is>
          <t>Hallucination Risk (Pers. 18)</t>
        </is>
      </c>
      <c r="D465" s="3" t="inlineStr">
        <is>
          <t>Risk = 0,65×(1-F) + 0,20×Contradiction + 0,15×Uncertainty</t>
        </is>
      </c>
      <c r="E465" s="3" t="inlineStr">
        <is>
          <t>Risk = 0,65×OutOfContext + 0,20×Contradiction + 0,15×Uncertainty = 0,65×0.3570 + 0,20×0.0000 + 0,15×0.00 = 0.2321 [RENDAH]</t>
        </is>
      </c>
      <c r="F465" t="n">
        <v>0.2321</v>
      </c>
      <c r="G465" s="3" t="inlineStr">
        <is>
          <t>label: RENDAH; kontradiksi 0/26 kalimat; uncertainty flag: False</t>
        </is>
      </c>
    </row>
    <row r="466">
      <c r="A466" t="n">
        <v>32</v>
      </c>
      <c r="B466" t="inlineStr">
        <is>
          <t>A</t>
        </is>
      </c>
      <c r="C466" t="inlineStr">
        <is>
          <t>Answer Accuracy (Pers. 20)</t>
        </is>
      </c>
      <c r="D466" s="3" t="inlineStr">
        <is>
          <t>Correctᵢ ∈ {0,1} via LLM-as-Judge (HASIL: BENAR/SALAH)</t>
        </is>
      </c>
      <c r="E466" s="3" t="inlineStr">
        <is>
          <t>Jawaban sistem:</t>
        </is>
      </c>
      <c r="F466" t="inlineStr">
        <is>
          <t>BENAR</t>
        </is>
      </c>
      <c r="G466" s="3" t="inlineStr">
        <is>
          <t>evaluator: ollama/llama3</t>
        </is>
      </c>
    </row>
    <row r="467">
      <c r="A467" t="n">
        <v>32</v>
      </c>
      <c r="B467" t="inlineStr">
        <is>
          <t>B</t>
        </is>
      </c>
      <c r="C467" t="inlineStr">
        <is>
          <t>Faithfulness (Pers. 15)</t>
        </is>
      </c>
      <c r="D467" s="3" t="inlineStr">
        <is>
          <t>F = 0,70×Entailment + 0,30×KWoverlap</t>
        </is>
      </c>
      <c r="E467" s="3" t="inlineStr">
        <is>
          <t>Faithfulness = 0,70×Entailment + 0,30×KWoverlap = 0,70×1.0000 + 0,30×0.2420 = 0.7726  (entailment: 6/6 klaim didukung; KWoverlap = (|∩|/|ctx|)^0,65 = (23/204)^0,65 = 0.1127^0,65 = 0.2420)</t>
        </is>
      </c>
      <c r="F467" t="n">
        <v>0.7726</v>
      </c>
      <c r="G467" s="3" t="inlineStr">
        <is>
          <t>metode: llm_entailment + keyword</t>
        </is>
      </c>
    </row>
    <row r="468">
      <c r="A468" t="n">
        <v>32</v>
      </c>
      <c r="B468" t="inlineStr">
        <is>
          <t>B</t>
        </is>
      </c>
      <c r="C468" t="inlineStr">
        <is>
          <t>— Entailment (Pers. 12-13)</t>
        </is>
      </c>
      <c r="D468" s="3" t="inlineStr">
        <is>
          <t>Entailment = Σverdict(sᵢ)/m</t>
        </is>
      </c>
      <c r="E468" s="3" t="inlineStr">
        <is>
          <t>6 klaim YA dari 6 klaim dievaluasi</t>
        </is>
      </c>
      <c r="F468" t="n">
        <v>1</v>
      </c>
      <c r="G468" s="3" t="inlineStr">
        <is>
          <t>verdict per klaim: sheet 'Entailment Detail'</t>
        </is>
      </c>
    </row>
    <row r="469">
      <c r="A469" t="n">
        <v>32</v>
      </c>
      <c r="B469" t="inlineStr">
        <is>
          <t>B</t>
        </is>
      </c>
      <c r="C469" t="inlineStr">
        <is>
          <t>— Keyword Overlap (Pers. 14)</t>
        </is>
      </c>
      <c r="D469" s="3" t="inlineStr">
        <is>
          <t>KWoverlap = (|Stems(ans)∩Stems(ctx)| / |Stems(ctx)|)^0,65</t>
        </is>
      </c>
      <c r="E469" s="3" t="inlineStr">
        <is>
          <t>KWoverlap = (|∩|/|ctx|)^0,65 = (23/204)^0,65 = 0.1127^0,65 = 0.2420</t>
        </is>
      </c>
      <c r="F469" t="n">
        <v>0.242</v>
      </c>
      <c r="G469" s="3" t="inlineStr"/>
    </row>
    <row r="470">
      <c r="A470" t="n">
        <v>32</v>
      </c>
      <c r="B470" t="inlineStr">
        <is>
          <t>B</t>
        </is>
      </c>
      <c r="C470" t="inlineStr">
        <is>
          <t>Hallucination Risk (Pers. 18)</t>
        </is>
      </c>
      <c r="D470" s="3" t="inlineStr">
        <is>
          <t>Risk = 0,65×(1-F) + 0,20×Contradiction + 0,15×Uncertainty</t>
        </is>
      </c>
      <c r="E470" s="3" t="inlineStr">
        <is>
          <t>Risk = 0,65×OutOfContext + 0,20×Contradiction + 0,15×Uncertainty = 0,65×0.2274 + 0,20×0.0435 + 0,15×0.20 = 0.1865 [RENDAH]</t>
        </is>
      </c>
      <c r="F470" t="n">
        <v>0.1865</v>
      </c>
      <c r="G470" s="3" t="inlineStr">
        <is>
          <t>label: RENDAH; kontradiksi 1/23 kalimat; uncertainty flag: True</t>
        </is>
      </c>
    </row>
    <row r="471">
      <c r="A471" t="n">
        <v>32</v>
      </c>
      <c r="B471" t="inlineStr">
        <is>
          <t>B</t>
        </is>
      </c>
      <c r="C471" t="inlineStr">
        <is>
          <t>Answer Accuracy (Pers. 20)</t>
        </is>
      </c>
      <c r="D471" s="3" t="inlineStr">
        <is>
          <t>Correctᵢ ∈ {0,1} via LLM-as-Judge (HASIL: BENAR/SALAH)</t>
        </is>
      </c>
      <c r="E471" s="3" t="inlineStr"/>
      <c r="F471" t="inlineStr">
        <is>
          <t>BENAR</t>
        </is>
      </c>
      <c r="G471" s="3" t="inlineStr">
        <is>
          <t>evaluator: ollama/llama3</t>
        </is>
      </c>
    </row>
    <row r="472">
      <c r="A472" t="n">
        <v>33</v>
      </c>
      <c r="B472" t="inlineStr">
        <is>
          <t>A</t>
        </is>
      </c>
      <c r="C472" t="inlineStr">
        <is>
          <t>Precision@K (Pers. 2)</t>
        </is>
      </c>
      <c r="D472" s="3" t="inlineStr">
        <is>
          <t>Precision@K = |{d ∈ TopK : sim(q,d) ≥ θ}| / K</t>
        </is>
      </c>
      <c r="E472" s="3" t="inlineStr">
        <is>
          <t>skor = [0.8211, 0.797, 0.7951, 0.7913, 0.7894, 0.7782] → 6 / 6</t>
        </is>
      </c>
      <c r="F472" t="n">
        <v>1</v>
      </c>
      <c r="G472" s="3" t="inlineStr">
        <is>
          <t>basis: skor chunk nyata (sesuai contoh Pers. 2 skripsi)</t>
        </is>
      </c>
    </row>
    <row r="473">
      <c r="A473" t="n">
        <v>33</v>
      </c>
      <c r="B473" t="inlineStr">
        <is>
          <t>A</t>
        </is>
      </c>
      <c r="C473" t="inlineStr">
        <is>
          <t>Recall@K (Pers. 4)</t>
        </is>
      </c>
      <c r="D473" s="3" t="inlineStr">
        <is>
          <t>Recall@K = |{kata kunci ditemukan : sim ≥ θ}| / |R|</t>
        </is>
      </c>
      <c r="E473" s="3" t="inlineStr">
        <is>
          <t>skor = [0.6547, 0.5749, 0.5442, 0.5278, 0.5124, 0.4715] → 6 / 6</t>
        </is>
      </c>
      <c r="F473" t="n">
        <v>1</v>
      </c>
      <c r="G473" s="3" t="inlineStr"/>
    </row>
    <row r="474">
      <c r="A474" t="n">
        <v>33</v>
      </c>
      <c r="B474" t="inlineStr">
        <is>
          <t>A</t>
        </is>
      </c>
      <c r="C474" t="inlineStr">
        <is>
          <t>Mean Similarity (Pers. 6)</t>
        </is>
      </c>
      <c r="D474" s="3" t="inlineStr">
        <is>
          <t>MeanSim = (1/K) × Σ sim(q, dᵢ)</t>
        </is>
      </c>
      <c r="E474" s="3" t="inlineStr">
        <is>
          <t>skor = [0.8211, 0.797, 0.7951, 0.7913, 0.7894, 0.7782] → (0.8211 + 0.7970 + 0.7951 + 0.7913 + 0.7894 + 0.7782) / 6</t>
        </is>
      </c>
      <c r="F474" t="n">
        <v>0.7954</v>
      </c>
      <c r="G474" s="3" t="inlineStr"/>
    </row>
    <row r="475">
      <c r="A475" t="n">
        <v>33</v>
      </c>
      <c r="B475" t="inlineStr">
        <is>
          <t>A</t>
        </is>
      </c>
      <c r="C475" t="inlineStr">
        <is>
          <t>Coverage (Pers. 8)</t>
        </is>
      </c>
      <c r="D475" s="3" t="inlineStr">
        <is>
          <t>Coverage = |{dᵢ ∈ TopK : sim(q,dᵢ) ≥ θc}| / K</t>
        </is>
      </c>
      <c r="E475" s="3" t="inlineStr">
        <is>
          <t>skor = [0.8211, 0.797, 0.7951, 0.7913, 0.7894, 0.7782] → 6 / 6</t>
        </is>
      </c>
      <c r="F475" t="n">
        <v>1</v>
      </c>
      <c r="G475" s="3" t="inlineStr"/>
    </row>
    <row r="476">
      <c r="A476" t="n">
        <v>33</v>
      </c>
      <c r="B476" t="inlineStr">
        <is>
          <t>A</t>
        </is>
      </c>
      <c r="C476" t="inlineStr">
        <is>
          <t>Source Diversity (Pers. 10)</t>
        </is>
      </c>
      <c r="D476" s="3" t="inlineStr">
        <is>
          <t>Diversity = |sumber unik dalam TopK| / K</t>
        </is>
      </c>
      <c r="E476" s="3" t="inlineStr">
        <is>
          <t>skor = ['GT_CT10.txt', 'GT_DETAIL_PT10_Percabangan.txt', 'GT_SUBTOPIK_05_Pseudocode_Algoritme.txt', 'GT_SUBTOPIK_06_Operator_Ekspresi.txt', 'GT_SUBTOPIK_07_Percabangan_Trace.txt'] → 5 / 6</t>
        </is>
      </c>
      <c r="F476" t="n">
        <v>0.8333</v>
      </c>
      <c r="G476" s="3" t="inlineStr">
        <is>
          <t>file unik: GT_CT10.txt, GT_DETAIL_PT10_Percabangan.txt, GT_SUBTOPIK_05_Pseudocode_Algoritme.txt, GT_SUBTOPIK_06_Operator_Ekspresi.txt, GT_SUBTOPIK_07_Percabangan_Trace.txt</t>
        </is>
      </c>
    </row>
    <row r="477">
      <c r="A477" t="n">
        <v>33</v>
      </c>
      <c r="B477" t="inlineStr">
        <is>
          <t>A</t>
        </is>
      </c>
      <c r="C477" t="inlineStr">
        <is>
          <t>Faithfulness (Pers. 15)</t>
        </is>
      </c>
      <c r="D477" s="3" t="inlineStr">
        <is>
          <t>F = 0,70×Entailment + 0,30×KWoverlap</t>
        </is>
      </c>
      <c r="E477" s="3" t="inlineStr">
        <is>
          <t>Faithfulness = 0,70×Entailment + 0,30×KWoverlap = 0,70×1.0000 + 0,30×0.3425 = 0.8027  (entailment: 6/6 klaim didukung; KWoverlap = (|∩|/|ctx|)^0,65 = (40/208)^0,65 = 0.1923^0,65 = 0.3425)</t>
        </is>
      </c>
      <c r="F477" t="n">
        <v>0.8027</v>
      </c>
      <c r="G477" s="3" t="inlineStr">
        <is>
          <t>metode: llm_entailment + keyword</t>
        </is>
      </c>
    </row>
    <row r="478">
      <c r="A478" t="n">
        <v>33</v>
      </c>
      <c r="B478" t="inlineStr">
        <is>
          <t>A</t>
        </is>
      </c>
      <c r="C478" t="inlineStr">
        <is>
          <t>— Entailment (Pers. 12-13)</t>
        </is>
      </c>
      <c r="D478" s="3" t="inlineStr">
        <is>
          <t>Entailment = Σverdict(sᵢ)/m</t>
        </is>
      </c>
      <c r="E478" s="3" t="inlineStr">
        <is>
          <t>6 klaim YA dari 6 klaim dievaluasi</t>
        </is>
      </c>
      <c r="F478" t="n">
        <v>1</v>
      </c>
      <c r="G478" s="3" t="inlineStr">
        <is>
          <t>verdict per klaim: sheet 'Entailment Detail'</t>
        </is>
      </c>
    </row>
    <row r="479">
      <c r="A479" t="n">
        <v>33</v>
      </c>
      <c r="B479" t="inlineStr">
        <is>
          <t>A</t>
        </is>
      </c>
      <c r="C479" t="inlineStr">
        <is>
          <t>— Keyword Overlap (Pers. 14)</t>
        </is>
      </c>
      <c r="D479" s="3" t="inlineStr">
        <is>
          <t>KWoverlap = (|Stems(ans)∩Stems(ctx)| / |Stems(ctx)|)^0,65</t>
        </is>
      </c>
      <c r="E479" s="3" t="inlineStr">
        <is>
          <t>KWoverlap = (|∩|/|ctx|)^0,65 = (40/208)^0,65 = 0.1923^0,65 = 0.3425</t>
        </is>
      </c>
      <c r="F479" t="n">
        <v>0.3425</v>
      </c>
      <c r="G479" s="3" t="inlineStr"/>
    </row>
    <row r="480">
      <c r="A480" t="n">
        <v>33</v>
      </c>
      <c r="B480" t="inlineStr">
        <is>
          <t>A</t>
        </is>
      </c>
      <c r="C480" t="inlineStr">
        <is>
          <t>Hallucination Risk (Pers. 18)</t>
        </is>
      </c>
      <c r="D480" s="3" t="inlineStr">
        <is>
          <t>Risk = 0,65×(1-F) + 0,20×Contradiction + 0,15×Uncertainty</t>
        </is>
      </c>
      <c r="E480" s="3" t="inlineStr">
        <is>
          <t>Risk = 0,65×OutOfContext + 0,20×Contradiction + 0,15×Uncertainty = 0,65×0.1973 + 0,20×0.0000 + 0,15×0.00 = 0.1282 [RENDAH]</t>
        </is>
      </c>
      <c r="F480" t="n">
        <v>0.1282</v>
      </c>
      <c r="G480" s="3" t="inlineStr">
        <is>
          <t>label: RENDAH; kontradiksi 0/27 kalimat; uncertainty flag: False</t>
        </is>
      </c>
    </row>
    <row r="481">
      <c r="A481" t="n">
        <v>33</v>
      </c>
      <c r="B481" t="inlineStr">
        <is>
          <t>A</t>
        </is>
      </c>
      <c r="C481" t="inlineStr">
        <is>
          <t>Answer Accuracy (Pers. 20)</t>
        </is>
      </c>
      <c r="D481" s="3" t="inlineStr">
        <is>
          <t>Correctᵢ ∈ {0,1} via LLM-as-Judge (HASIL: BENAR/SALAH)</t>
        </is>
      </c>
      <c r="E481" s="3" t="inlineStr">
        <is>
          <t xml:space="preserve">BENAR
Rationale:
The system's answer is correct because in the else-if statement, once a condition is true, the corresponding block of code is executed and the program stops checking subsequent conditions. In this case, since the first condition (&gt;= 85) is true, the program will execute the instruction-A and stop checking the rest of the conditions.
The other conditions (&gt;= 70) and (&gt;= 55) are </t>
        </is>
      </c>
      <c r="F481" t="inlineStr">
        <is>
          <t>BENAR</t>
        </is>
      </c>
      <c r="G481" s="3" t="inlineStr">
        <is>
          <t>evaluator: ollama/llama3</t>
        </is>
      </c>
    </row>
    <row r="482">
      <c r="A482" t="n">
        <v>33</v>
      </c>
      <c r="B482" t="inlineStr">
        <is>
          <t>B</t>
        </is>
      </c>
      <c r="C482" t="inlineStr">
        <is>
          <t>Faithfulness (Pers. 15)</t>
        </is>
      </c>
      <c r="D482" s="3" t="inlineStr">
        <is>
          <t>F = 0,70×Entailment + 0,30×KWoverlap</t>
        </is>
      </c>
      <c r="E482" s="3" t="inlineStr">
        <is>
          <t>Faithfulness = 0,70×Entailment + 0,30×KWoverlap = 0,70×1.0000 + 0,30×0.1964 = 0.7589  (entailment: 6/6 klaim didukung; KWoverlap = (|∩|/|ctx|)^0,65 = (17/208)^0,65 = 0.0817^0,65 = 0.1964)</t>
        </is>
      </c>
      <c r="F482" t="n">
        <v>0.7589</v>
      </c>
      <c r="G482" s="3" t="inlineStr">
        <is>
          <t>metode: llm_entailment + keyword</t>
        </is>
      </c>
    </row>
    <row r="483">
      <c r="A483" t="n">
        <v>33</v>
      </c>
      <c r="B483" t="inlineStr">
        <is>
          <t>B</t>
        </is>
      </c>
      <c r="C483" t="inlineStr">
        <is>
          <t>— Entailment (Pers. 12-13)</t>
        </is>
      </c>
      <c r="D483" s="3" t="inlineStr">
        <is>
          <t>Entailment = Σverdict(sᵢ)/m</t>
        </is>
      </c>
      <c r="E483" s="3" t="inlineStr">
        <is>
          <t>6 klaim YA dari 6 klaim dievaluasi</t>
        </is>
      </c>
      <c r="F483" t="n">
        <v>1</v>
      </c>
      <c r="G483" s="3" t="inlineStr">
        <is>
          <t>verdict per klaim: sheet 'Entailment Detail'</t>
        </is>
      </c>
    </row>
    <row r="484">
      <c r="A484" t="n">
        <v>33</v>
      </c>
      <c r="B484" t="inlineStr">
        <is>
          <t>B</t>
        </is>
      </c>
      <c r="C484" t="inlineStr">
        <is>
          <t>— Keyword Overlap (Pers. 14)</t>
        </is>
      </c>
      <c r="D484" s="3" t="inlineStr">
        <is>
          <t>KWoverlap = (|Stems(ans)∩Stems(ctx)| / |Stems(ctx)|)^0,65</t>
        </is>
      </c>
      <c r="E484" s="3" t="inlineStr">
        <is>
          <t>KWoverlap = (|∩|/|ctx|)^0,65 = (17/208)^0,65 = 0.0817^0,65 = 0.1964</t>
        </is>
      </c>
      <c r="F484" t="n">
        <v>0.1964</v>
      </c>
      <c r="G484" s="3" t="inlineStr"/>
    </row>
    <row r="485">
      <c r="A485" t="n">
        <v>33</v>
      </c>
      <c r="B485" t="inlineStr">
        <is>
          <t>B</t>
        </is>
      </c>
      <c r="C485" t="inlineStr">
        <is>
          <t>Hallucination Risk (Pers. 18)</t>
        </is>
      </c>
      <c r="D485" s="3" t="inlineStr">
        <is>
          <t>Risk = 0,65×(1-F) + 0,20×Contradiction + 0,15×Uncertainty</t>
        </is>
      </c>
      <c r="E485" s="3" t="inlineStr">
        <is>
          <t>Risk = 0,65×OutOfContext + 0,20×Contradiction + 0,15×Uncertainty = 0,65×0.2411 + 0,20×0.0000 + 0,15×0.00 = 0.1567 [RENDAH]</t>
        </is>
      </c>
      <c r="F485" t="n">
        <v>0.1567</v>
      </c>
      <c r="G485" s="3" t="inlineStr">
        <is>
          <t>label: RENDAH; kontradiksi 0/8 kalimat; uncertainty flag: False</t>
        </is>
      </c>
    </row>
    <row r="486">
      <c r="A486" t="n">
        <v>34</v>
      </c>
      <c r="B486" t="inlineStr">
        <is>
          <t>A</t>
        </is>
      </c>
      <c r="C486" t="inlineStr">
        <is>
          <t>Precision@K (Pers. 2)</t>
        </is>
      </c>
      <c r="D486" s="3" t="inlineStr">
        <is>
          <t>Precision@K = |{d ∈ TopK : sim(q,d) ≥ θ}| / K</t>
        </is>
      </c>
      <c r="E486" s="3" t="inlineStr">
        <is>
          <t>skor = [0.8679, 0.8534, 0.853, 0.8347, 0.8342, 0.8216] → 6 / 6</t>
        </is>
      </c>
      <c r="F486" t="n">
        <v>1</v>
      </c>
      <c r="G486" s="3" t="inlineStr">
        <is>
          <t>basis: skor chunk nyata (sesuai contoh Pers. 2 skripsi)</t>
        </is>
      </c>
    </row>
    <row r="487">
      <c r="A487" t="n">
        <v>34</v>
      </c>
      <c r="B487" t="inlineStr">
        <is>
          <t>A</t>
        </is>
      </c>
      <c r="C487" t="inlineStr">
        <is>
          <t>Recall@K (Pers. 4)</t>
        </is>
      </c>
      <c r="D487" s="3" t="inlineStr">
        <is>
          <t>Recall@K = |{kata kunci ditemukan : sim ≥ θ}| / |R|</t>
        </is>
      </c>
      <c r="E487" s="3" t="inlineStr">
        <is>
          <t>skor = [0.6512, 0.5489, 0.5267, 0.4662, 0.4469, 0.4347] → 6 / 6</t>
        </is>
      </c>
      <c r="F487" t="n">
        <v>1</v>
      </c>
      <c r="G487" s="3" t="inlineStr"/>
    </row>
    <row r="488">
      <c r="A488" t="n">
        <v>34</v>
      </c>
      <c r="B488" t="inlineStr">
        <is>
          <t>A</t>
        </is>
      </c>
      <c r="C488" t="inlineStr">
        <is>
          <t>Mean Similarity (Pers. 6)</t>
        </is>
      </c>
      <c r="D488" s="3" t="inlineStr">
        <is>
          <t>MeanSim = (1/K) × Σ sim(q, dᵢ)</t>
        </is>
      </c>
      <c r="E488" s="3" t="inlineStr">
        <is>
          <t>skor = [0.8679, 0.8534, 0.853, 0.8347, 0.8342, 0.8216] → (0.8679 + 0.8534 + 0.8530 + 0.8347 + 0.8342 + 0.8216) / 6</t>
        </is>
      </c>
      <c r="F488" t="n">
        <v>0.8441</v>
      </c>
      <c r="G488" s="3" t="inlineStr"/>
    </row>
    <row r="489">
      <c r="A489" t="n">
        <v>34</v>
      </c>
      <c r="B489" t="inlineStr">
        <is>
          <t>A</t>
        </is>
      </c>
      <c r="C489" t="inlineStr">
        <is>
          <t>Coverage (Pers. 8)</t>
        </is>
      </c>
      <c r="D489" s="3" t="inlineStr">
        <is>
          <t>Coverage = |{dᵢ ∈ TopK : sim(q,dᵢ) ≥ θc}| / K</t>
        </is>
      </c>
      <c r="E489" s="3" t="inlineStr">
        <is>
          <t>skor = [0.8679, 0.8534, 0.853, 0.8347, 0.8342, 0.8216] → 6 / 6</t>
        </is>
      </c>
      <c r="F489" t="n">
        <v>1</v>
      </c>
      <c r="G489" s="3" t="inlineStr"/>
    </row>
    <row r="490">
      <c r="A490" t="n">
        <v>34</v>
      </c>
      <c r="B490" t="inlineStr">
        <is>
          <t>A</t>
        </is>
      </c>
      <c r="C490" t="inlineStr">
        <is>
          <t>Source Diversity (Pers. 10)</t>
        </is>
      </c>
      <c r="D490" s="3" t="inlineStr">
        <is>
          <t>Diversity = |sumber unik dalam TopK| / K</t>
        </is>
      </c>
      <c r="E490" s="3" t="inlineStr">
        <is>
          <t>skor = ['GT_CT07.txt', 'GT_DETAIL_PT10_Percabangan.txt', 'GT_SUBTOPIK_05_Pseudocode_Algoritme.txt', 'GT_SUBTOPIK_07_Percabangan_Trace.txt'] → 4 / 6</t>
        </is>
      </c>
      <c r="F490" t="n">
        <v>0.6667</v>
      </c>
      <c r="G490" s="3" t="inlineStr">
        <is>
          <t>file unik: GT_CT07.txt, GT_DETAIL_PT10_Percabangan.txt, GT_SUBTOPIK_05_Pseudocode_Algoritme.txt, GT_SUBTOPIK_07_Percabangan_Trace.txt</t>
        </is>
      </c>
    </row>
    <row r="491">
      <c r="A491" t="n">
        <v>34</v>
      </c>
      <c r="B491" t="inlineStr">
        <is>
          <t>A</t>
        </is>
      </c>
      <c r="C491" t="inlineStr">
        <is>
          <t>Faithfulness (Pers. 15)</t>
        </is>
      </c>
      <c r="D491" s="3" t="inlineStr">
        <is>
          <t>F = 0,70×Entailment + 0,30×KWoverlap</t>
        </is>
      </c>
      <c r="E491" s="3" t="inlineStr">
        <is>
          <t>Faithfulness = 0,70×Entailment + 0,30×KWoverlap = 0,70×1.0000 + 0,30×0.2033 = 0.7610  (entailment: 6/6 klaim didukung; KWoverlap = (|∩|/|ctx|)^0,65 = (15/174)^0,65 = 0.0862^0,65 = 0.2033)</t>
        </is>
      </c>
      <c r="F491" t="n">
        <v>0.761</v>
      </c>
      <c r="G491" s="3" t="inlineStr">
        <is>
          <t>metode: llm_entailment + keyword</t>
        </is>
      </c>
    </row>
    <row r="492">
      <c r="A492" t="n">
        <v>34</v>
      </c>
      <c r="B492" t="inlineStr">
        <is>
          <t>A</t>
        </is>
      </c>
      <c r="C492" t="inlineStr">
        <is>
          <t>— Entailment (Pers. 12-13)</t>
        </is>
      </c>
      <c r="D492" s="3" t="inlineStr">
        <is>
          <t>Entailment = Σverdict(sᵢ)/m</t>
        </is>
      </c>
      <c r="E492" s="3" t="inlineStr">
        <is>
          <t>6 klaim YA dari 6 klaim dievaluasi</t>
        </is>
      </c>
      <c r="F492" t="n">
        <v>1</v>
      </c>
      <c r="G492" s="3" t="inlineStr">
        <is>
          <t>verdict per klaim: sheet 'Entailment Detail'</t>
        </is>
      </c>
    </row>
    <row r="493">
      <c r="A493" t="n">
        <v>34</v>
      </c>
      <c r="B493" t="inlineStr">
        <is>
          <t>A</t>
        </is>
      </c>
      <c r="C493" t="inlineStr">
        <is>
          <t>— Keyword Overlap (Pers. 14)</t>
        </is>
      </c>
      <c r="D493" s="3" t="inlineStr">
        <is>
          <t>KWoverlap = (|Stems(ans)∩Stems(ctx)| / |Stems(ctx)|)^0,65</t>
        </is>
      </c>
      <c r="E493" s="3" t="inlineStr">
        <is>
          <t>KWoverlap = (|∩|/|ctx|)^0,65 = (15/174)^0,65 = 0.0862^0,65 = 0.2033</t>
        </is>
      </c>
      <c r="F493" t="n">
        <v>0.2033</v>
      </c>
      <c r="G493" s="3" t="inlineStr"/>
    </row>
    <row r="494">
      <c r="A494" t="n">
        <v>34</v>
      </c>
      <c r="B494" t="inlineStr">
        <is>
          <t>A</t>
        </is>
      </c>
      <c r="C494" t="inlineStr">
        <is>
          <t>Hallucination Risk (Pers. 18)</t>
        </is>
      </c>
      <c r="D494" s="3" t="inlineStr">
        <is>
          <t>Risk = 0,65×(1-F) + 0,20×Contradiction + 0,15×Uncertainty</t>
        </is>
      </c>
      <c r="E494" s="3" t="inlineStr">
        <is>
          <t>Risk = 0,65×OutOfContext + 0,20×Contradiction + 0,15×Uncertainty = 0,65×0.2390 + 0,20×0.0769 + 0,15×0.00 = 0.1707 [RENDAH]</t>
        </is>
      </c>
      <c r="F494" t="n">
        <v>0.1707</v>
      </c>
      <c r="G494" s="3" t="inlineStr">
        <is>
          <t>label: RENDAH; kontradiksi 1/13 kalimat; uncertainty flag: False</t>
        </is>
      </c>
    </row>
    <row r="495">
      <c r="A495" t="n">
        <v>34</v>
      </c>
      <c r="B495" t="inlineStr">
        <is>
          <t>A</t>
        </is>
      </c>
      <c r="C495" t="inlineStr">
        <is>
          <t>Answer Accuracy (Pers. 20)</t>
        </is>
      </c>
      <c r="D495" s="3" t="inlineStr">
        <is>
          <t>Correctᵢ ∈ {0,1} via LLM-as-Judge (HASIL: BENAR/SALAH)</t>
        </is>
      </c>
      <c r="E495" s="3" t="inlineStr">
        <is>
          <t>Jawaban sistem:</t>
        </is>
      </c>
      <c r="F495" t="inlineStr">
        <is>
          <t>SALAH</t>
        </is>
      </c>
      <c r="G495" s="3" t="inlineStr">
        <is>
          <t>evaluator: ollama/llama3</t>
        </is>
      </c>
    </row>
    <row r="496">
      <c r="A496" t="n">
        <v>34</v>
      </c>
      <c r="B496" t="inlineStr">
        <is>
          <t>B</t>
        </is>
      </c>
      <c r="C496" t="inlineStr">
        <is>
          <t>Faithfulness (Pers. 15)</t>
        </is>
      </c>
      <c r="D496" s="3" t="inlineStr">
        <is>
          <t>F = 0,70×Entailment + 0,30×KWoverlap</t>
        </is>
      </c>
      <c r="E496" s="3" t="inlineStr">
        <is>
          <t>Faithfulness = 0,70×Entailment + 0,30×KWoverlap = 0,70×1.0000 + 0,30×0.1758 = 0.7528  (entailment: 6/6 klaim didukung; KWoverlap = (|∩|/|ctx|)^0,65 = (12/174)^0,65 = 0.0690^0,65 = 0.1758)</t>
        </is>
      </c>
      <c r="F496" t="n">
        <v>0.7528</v>
      </c>
      <c r="G496" s="3" t="inlineStr">
        <is>
          <t>metode: llm_entailment + keyword</t>
        </is>
      </c>
    </row>
    <row r="497">
      <c r="A497" t="n">
        <v>34</v>
      </c>
      <c r="B497" t="inlineStr">
        <is>
          <t>B</t>
        </is>
      </c>
      <c r="C497" t="inlineStr">
        <is>
          <t>— Entailment (Pers. 12-13)</t>
        </is>
      </c>
      <c r="D497" s="3" t="inlineStr">
        <is>
          <t>Entailment = Σverdict(sᵢ)/m</t>
        </is>
      </c>
      <c r="E497" s="3" t="inlineStr">
        <is>
          <t>6 klaim YA dari 6 klaim dievaluasi</t>
        </is>
      </c>
      <c r="F497" t="n">
        <v>1</v>
      </c>
      <c r="G497" s="3" t="inlineStr">
        <is>
          <t>verdict per klaim: sheet 'Entailment Detail'</t>
        </is>
      </c>
    </row>
    <row r="498">
      <c r="A498" t="n">
        <v>34</v>
      </c>
      <c r="B498" t="inlineStr">
        <is>
          <t>B</t>
        </is>
      </c>
      <c r="C498" t="inlineStr">
        <is>
          <t>— Keyword Overlap (Pers. 14)</t>
        </is>
      </c>
      <c r="D498" s="3" t="inlineStr">
        <is>
          <t>KWoverlap = (|Stems(ans)∩Stems(ctx)| / |Stems(ctx)|)^0,65</t>
        </is>
      </c>
      <c r="E498" s="3" t="inlineStr">
        <is>
          <t>KWoverlap = (|∩|/|ctx|)^0,65 = (12/174)^0,65 = 0.0690^0,65 = 0.1758</t>
        </is>
      </c>
      <c r="F498" t="n">
        <v>0.1758</v>
      </c>
      <c r="G498" s="3" t="inlineStr"/>
    </row>
    <row r="499">
      <c r="A499" t="n">
        <v>34</v>
      </c>
      <c r="B499" t="inlineStr">
        <is>
          <t>B</t>
        </is>
      </c>
      <c r="C499" t="inlineStr">
        <is>
          <t>Hallucination Risk (Pers. 18)</t>
        </is>
      </c>
      <c r="D499" s="3" t="inlineStr">
        <is>
          <t>Risk = 0,65×(1-F) + 0,20×Contradiction + 0,15×Uncertainty</t>
        </is>
      </c>
      <c r="E499" s="3" t="inlineStr">
        <is>
          <t>Risk = 0,65×OutOfContext + 0,20×Contradiction + 0,15×Uncertainty = 0,65×0.2472 + 0,20×0.0667 + 0,15×0.00 = 0.1740 [RENDAH]</t>
        </is>
      </c>
      <c r="F499" t="n">
        <v>0.174</v>
      </c>
      <c r="G499" s="3" t="inlineStr">
        <is>
          <t>label: RENDAH; kontradiksi 1/15 kalimat; uncertainty flag: False</t>
        </is>
      </c>
    </row>
    <row r="500">
      <c r="A500" t="n">
        <v>34</v>
      </c>
      <c r="B500" t="inlineStr">
        <is>
          <t>B</t>
        </is>
      </c>
      <c r="C500" t="inlineStr">
        <is>
          <t>Answer Accuracy (Pers. 20)</t>
        </is>
      </c>
      <c r="D500" s="3" t="inlineStr">
        <is>
          <t>Correctᵢ ∈ {0,1} via LLM-as-Judge (HASIL: BENAR/SALAH)</t>
        </is>
      </c>
      <c r="E500" s="3" t="inlineStr">
        <is>
          <t>Menurut referensi, jawaban sistem yang mengatakan "" adalah benar.
Rujukan untuk menjawab pertanyaan ini adalah SOAL 1 dan SOAL 2, yang menunjukkan bahwa pseudocode harus diikuti dengan cara yang tepat dan logis. Dalam kasus ini, pseudocode membagi nilai menjadi empat kondisi if-else, dan setiap kondisi memiliki kriteria tertentu untuk mengkonversi nilai menjadi huruf (A, B, C, atau D).
Menginga</t>
        </is>
      </c>
      <c r="F500" t="inlineStr">
        <is>
          <t>BENAR</t>
        </is>
      </c>
      <c r="G500" s="3" t="inlineStr">
        <is>
          <t>evaluator: ollama/llama3</t>
        </is>
      </c>
    </row>
    <row r="501">
      <c r="A501" t="n">
        <v>35</v>
      </c>
      <c r="B501" t="inlineStr">
        <is>
          <t>A</t>
        </is>
      </c>
      <c r="C501" t="inlineStr">
        <is>
          <t>Precision@K (Pers. 2)</t>
        </is>
      </c>
      <c r="D501" s="3" t="inlineStr">
        <is>
          <t>Precision@K = |{d ∈ TopK : sim(q,d) ≥ θ}| / K</t>
        </is>
      </c>
      <c r="E501" s="3" t="inlineStr">
        <is>
          <t>skor = [0.7541, 0.7508, 0.7334, 0.7254, 0.7125, 0.7076] → 6 / 6</t>
        </is>
      </c>
      <c r="F501" t="n">
        <v>1</v>
      </c>
      <c r="G501" s="3" t="inlineStr">
        <is>
          <t>basis: skor chunk nyata (sesuai contoh Pers. 2 skripsi)</t>
        </is>
      </c>
    </row>
    <row r="502">
      <c r="A502" t="n">
        <v>35</v>
      </c>
      <c r="B502" t="inlineStr">
        <is>
          <t>A</t>
        </is>
      </c>
      <c r="C502" t="inlineStr">
        <is>
          <t>Recall@K (Pers. 4)</t>
        </is>
      </c>
      <c r="D502" s="3" t="inlineStr">
        <is>
          <t>Recall@K = |{kata kunci ditemukan : sim ≥ θ}| / |R|</t>
        </is>
      </c>
      <c r="E502" s="3" t="inlineStr">
        <is>
          <t>skor = [0.6064, 0.5785, 0.5384, 0.5168, 0.3503, 0.3423] → 6 / 6</t>
        </is>
      </c>
      <c r="F502" t="n">
        <v>1</v>
      </c>
      <c r="G502" s="3" t="inlineStr"/>
    </row>
    <row r="503">
      <c r="A503" t="n">
        <v>35</v>
      </c>
      <c r="B503" t="inlineStr">
        <is>
          <t>A</t>
        </is>
      </c>
      <c r="C503" t="inlineStr">
        <is>
          <t>Mean Similarity (Pers. 6)</t>
        </is>
      </c>
      <c r="D503" s="3" t="inlineStr">
        <is>
          <t>MeanSim = (1/K) × Σ sim(q, dᵢ)</t>
        </is>
      </c>
      <c r="E503" s="3" t="inlineStr">
        <is>
          <t>skor = [0.7541, 0.7508, 0.7334, 0.7254, 0.7125, 0.7076] → (0.7541 + 0.7508 + 0.7334 + 0.7254 + 0.7125 + 0.7076) / 6</t>
        </is>
      </c>
      <c r="F503" t="n">
        <v>0.7306</v>
      </c>
      <c r="G503" s="3" t="inlineStr"/>
    </row>
    <row r="504">
      <c r="A504" t="n">
        <v>35</v>
      </c>
      <c r="B504" t="inlineStr">
        <is>
          <t>A</t>
        </is>
      </c>
      <c r="C504" t="inlineStr">
        <is>
          <t>Coverage (Pers. 8)</t>
        </is>
      </c>
      <c r="D504" s="3" t="inlineStr">
        <is>
          <t>Coverage = |{dᵢ ∈ TopK : sim(q,dᵢ) ≥ θc}| / K</t>
        </is>
      </c>
      <c r="E504" s="3" t="inlineStr">
        <is>
          <t>skor = [0.7541, 0.7508, 0.7334, 0.7254, 0.7125, 0.7076] → 6 / 6</t>
        </is>
      </c>
      <c r="F504" t="n">
        <v>1</v>
      </c>
      <c r="G504" s="3" t="inlineStr"/>
    </row>
    <row r="505">
      <c r="A505" t="n">
        <v>35</v>
      </c>
      <c r="B505" t="inlineStr">
        <is>
          <t>A</t>
        </is>
      </c>
      <c r="C505" t="inlineStr">
        <is>
          <t>Source Diversity (Pers. 10)</t>
        </is>
      </c>
      <c r="D505" s="3" t="inlineStr">
        <is>
          <t>Diversity = |sumber unik dalam TopK| / K</t>
        </is>
      </c>
      <c r="E505" s="3" t="inlineStr">
        <is>
          <t>skor = ['GT_CT10.txt', 'GT_CT11.txt', 'GT_DETAIL_PT11_Perulangan.txt'] → 3 / 6</t>
        </is>
      </c>
      <c r="F505" t="n">
        <v>0.5</v>
      </c>
      <c r="G505" s="3" t="inlineStr">
        <is>
          <t>file unik: GT_CT10.txt, GT_CT11.txt, GT_DETAIL_PT11_Perulangan.txt</t>
        </is>
      </c>
    </row>
    <row r="506">
      <c r="A506" t="n">
        <v>35</v>
      </c>
      <c r="B506" t="inlineStr">
        <is>
          <t>A</t>
        </is>
      </c>
      <c r="C506" t="inlineStr">
        <is>
          <t>Faithfulness (Pers. 15)</t>
        </is>
      </c>
      <c r="D506" s="3" t="inlineStr">
        <is>
          <t>F = 0,70×Entailment + 0,30×KWoverlap</t>
        </is>
      </c>
      <c r="E506" s="3" t="inlineStr">
        <is>
          <t>Faithfulness = 0,70×Entailment + 0,30×KWoverlap = 0,70×0.8333 + 0,30×0.3846 = 0.6987  (entailment: 5/6 klaim didukung; KWoverlap = (|∩|/|ctx|)^0,65 = (43/187)^0,65 = 0.2299^0,65 = 0.3846)</t>
        </is>
      </c>
      <c r="F506" t="n">
        <v>0.6987</v>
      </c>
      <c r="G506" s="3" t="inlineStr">
        <is>
          <t>metode: llm_entailment + keyword</t>
        </is>
      </c>
    </row>
    <row r="507">
      <c r="A507" t="n">
        <v>35</v>
      </c>
      <c r="B507" t="inlineStr">
        <is>
          <t>A</t>
        </is>
      </c>
      <c r="C507" t="inlineStr">
        <is>
          <t>— Entailment (Pers. 12-13)</t>
        </is>
      </c>
      <c r="D507" s="3" t="inlineStr">
        <is>
          <t>Entailment = Σverdict(sᵢ)/m</t>
        </is>
      </c>
      <c r="E507" s="3" t="inlineStr">
        <is>
          <t>5 klaim YA dari 6 klaim dievaluasi</t>
        </is>
      </c>
      <c r="F507" t="n">
        <v>0.8333</v>
      </c>
      <c r="G507" s="3" t="inlineStr">
        <is>
          <t>verdict per klaim: sheet 'Entailment Detail'</t>
        </is>
      </c>
    </row>
    <row r="508">
      <c r="A508" t="n">
        <v>35</v>
      </c>
      <c r="B508" t="inlineStr">
        <is>
          <t>A</t>
        </is>
      </c>
      <c r="C508" t="inlineStr">
        <is>
          <t>— Keyword Overlap (Pers. 14)</t>
        </is>
      </c>
      <c r="D508" s="3" t="inlineStr">
        <is>
          <t>KWoverlap = (|Stems(ans)∩Stems(ctx)| / |Stems(ctx)|)^0,65</t>
        </is>
      </c>
      <c r="E508" s="3" t="inlineStr">
        <is>
          <t>KWoverlap = (|∩|/|ctx|)^0,65 = (43/187)^0,65 = 0.2299^0,65 = 0.3846</t>
        </is>
      </c>
      <c r="F508" t="n">
        <v>0.3846</v>
      </c>
      <c r="G508" s="3" t="inlineStr"/>
    </row>
    <row r="509">
      <c r="A509" t="n">
        <v>35</v>
      </c>
      <c r="B509" t="inlineStr">
        <is>
          <t>A</t>
        </is>
      </c>
      <c r="C509" t="inlineStr">
        <is>
          <t>Hallucination Risk (Pers. 18)</t>
        </is>
      </c>
      <c r="D509" s="3" t="inlineStr">
        <is>
          <t>Risk = 0,65×(1-F) + 0,20×Contradiction + 0,15×Uncertainty</t>
        </is>
      </c>
      <c r="E509" s="3" t="inlineStr">
        <is>
          <t>Risk = 0,65×OutOfContext + 0,20×Contradiction + 0,15×Uncertainty = 0,65×0.3013 + 0,20×0.0000 + 0,15×0.00 = 0.1958 [RENDAH]</t>
        </is>
      </c>
      <c r="F509" t="n">
        <v>0.1958</v>
      </c>
      <c r="G509" s="3" t="inlineStr">
        <is>
          <t>label: RENDAH; kontradiksi 0/33 kalimat; uncertainty flag: False</t>
        </is>
      </c>
    </row>
    <row r="510">
      <c r="A510" t="n">
        <v>35</v>
      </c>
      <c r="B510" t="inlineStr">
        <is>
          <t>A</t>
        </is>
      </c>
      <c r="C510" t="inlineStr">
        <is>
          <t>Answer Accuracy (Pers. 20)</t>
        </is>
      </c>
      <c r="D510" s="3" t="inlineStr">
        <is>
          <t>Correctᵢ ∈ {0,1} via LLM-as-Judge (HASIL: BENAR/SALAH)</t>
        </is>
      </c>
      <c r="E510" s="3" t="inlineStr">
        <is>
          <t>JAWABAN:</t>
        </is>
      </c>
      <c r="F510" t="inlineStr">
        <is>
          <t>BENAR</t>
        </is>
      </c>
      <c r="G510" s="3" t="inlineStr">
        <is>
          <t>evaluator: ollama/llama3</t>
        </is>
      </c>
    </row>
    <row r="511">
      <c r="A511" t="n">
        <v>35</v>
      </c>
      <c r="B511" t="inlineStr">
        <is>
          <t>B</t>
        </is>
      </c>
      <c r="C511" t="inlineStr">
        <is>
          <t>Faithfulness (Pers. 15)</t>
        </is>
      </c>
      <c r="D511" s="3" t="inlineStr">
        <is>
          <t>F = 0,70×Entailment + 0,30×KWoverlap</t>
        </is>
      </c>
      <c r="E511" s="3" t="inlineStr">
        <is>
          <t>Faithfulness = 0,70×Entailment + 0,30×KWoverlap = 0,70×0.5000 + 0,30×0.2842 = 0.4353  (entailment: 3/6 klaim didukung; KWoverlap = (|∩|/|ctx|)^0,65 = (27/187)^0,65 = 0.1444^0,65 = 0.2842)</t>
        </is>
      </c>
      <c r="F511" t="n">
        <v>0.4353</v>
      </c>
      <c r="G511" s="3" t="inlineStr">
        <is>
          <t>metode: llm_entailment + keyword</t>
        </is>
      </c>
    </row>
    <row r="512">
      <c r="A512" t="n">
        <v>35</v>
      </c>
      <c r="B512" t="inlineStr">
        <is>
          <t>B</t>
        </is>
      </c>
      <c r="C512" t="inlineStr">
        <is>
          <t>— Entailment (Pers. 12-13)</t>
        </is>
      </c>
      <c r="D512" s="3" t="inlineStr">
        <is>
          <t>Entailment = Σverdict(sᵢ)/m</t>
        </is>
      </c>
      <c r="E512" s="3" t="inlineStr">
        <is>
          <t>3 klaim YA dari 6 klaim dievaluasi</t>
        </is>
      </c>
      <c r="F512" t="n">
        <v>0.5</v>
      </c>
      <c r="G512" s="3" t="inlineStr">
        <is>
          <t>verdict per klaim: sheet 'Entailment Detail'</t>
        </is>
      </c>
    </row>
    <row r="513">
      <c r="A513" t="n">
        <v>35</v>
      </c>
      <c r="B513" t="inlineStr">
        <is>
          <t>B</t>
        </is>
      </c>
      <c r="C513" t="inlineStr">
        <is>
          <t>— Keyword Overlap (Pers. 14)</t>
        </is>
      </c>
      <c r="D513" s="3" t="inlineStr">
        <is>
          <t>KWoverlap = (|Stems(ans)∩Stems(ctx)| / |Stems(ctx)|)^0,65</t>
        </is>
      </c>
      <c r="E513" s="3" t="inlineStr">
        <is>
          <t>KWoverlap = (|∩|/|ctx|)^0,65 = (27/187)^0,65 = 0.1444^0,65 = 0.2842</t>
        </is>
      </c>
      <c r="F513" t="n">
        <v>0.2842</v>
      </c>
      <c r="G513" s="3" t="inlineStr"/>
    </row>
    <row r="514">
      <c r="A514" t="n">
        <v>35</v>
      </c>
      <c r="B514" t="inlineStr">
        <is>
          <t>B</t>
        </is>
      </c>
      <c r="C514" t="inlineStr">
        <is>
          <t>Hallucination Risk (Pers. 18)</t>
        </is>
      </c>
      <c r="D514" s="3" t="inlineStr">
        <is>
          <t>Risk = 0,65×(1-F) + 0,20×Contradiction + 0,15×Uncertainty</t>
        </is>
      </c>
      <c r="E514" s="3" t="inlineStr">
        <is>
          <t>Risk = 0,65×OutOfContext + 0,20×Contradiction + 0,15×Uncertainty = 0,65×0.5647 + 0,20×0.0000 + 0,15×0.00 = 0.3671 [SEDANG]</t>
        </is>
      </c>
      <c r="F514" t="n">
        <v>0.3671</v>
      </c>
      <c r="G514" s="3" t="inlineStr">
        <is>
          <t>label: SEDANG; kontradiksi 0/25 kalimat; uncertainty flag: False</t>
        </is>
      </c>
    </row>
    <row r="515">
      <c r="A515" t="n">
        <v>35</v>
      </c>
      <c r="B515" t="inlineStr">
        <is>
          <t>B</t>
        </is>
      </c>
      <c r="C515" t="inlineStr">
        <is>
          <t>Answer Accuracy (Pers. 20)</t>
        </is>
      </c>
      <c r="D515" s="3" t="inlineStr">
        <is>
          <t>Correctᵢ ∈ {0,1} via LLM-as-Judge (HASIL: BENAR/SALAH)</t>
        </is>
      </c>
      <c r="E515" s="3" t="inlineStr"/>
      <c r="F515" t="inlineStr">
        <is>
          <t>SALAH</t>
        </is>
      </c>
      <c r="G515" s="3" t="inlineStr">
        <is>
          <t>evaluator: ollama/llama3</t>
        </is>
      </c>
    </row>
    <row r="516">
      <c r="A516" t="n">
        <v>36</v>
      </c>
      <c r="B516" t="inlineStr">
        <is>
          <t>A</t>
        </is>
      </c>
      <c r="C516" t="inlineStr">
        <is>
          <t>Precision@K (Pers. 2)</t>
        </is>
      </c>
      <c r="D516" s="3" t="inlineStr">
        <is>
          <t>Precision@K = |{d ∈ TopK : sim(q,d) ≥ θ}| / K</t>
        </is>
      </c>
      <c r="E516" s="3" t="inlineStr">
        <is>
          <t>skor = [0.7081, 0.7033, 0.6907, 0.69, 0.6866, 0.6858] → 6 / 6</t>
        </is>
      </c>
      <c r="F516" t="n">
        <v>1</v>
      </c>
      <c r="G516" s="3" t="inlineStr">
        <is>
          <t>basis: skor chunk nyata (sesuai contoh Pers. 2 skripsi)</t>
        </is>
      </c>
    </row>
    <row r="517">
      <c r="A517" t="n">
        <v>36</v>
      </c>
      <c r="B517" t="inlineStr">
        <is>
          <t>A</t>
        </is>
      </c>
      <c r="C517" t="inlineStr">
        <is>
          <t>Recall@K (Pers. 4)</t>
        </is>
      </c>
      <c r="D517" s="3" t="inlineStr">
        <is>
          <t>Recall@K = |{kata kunci ditemukan : sim ≥ θ}| / |R|</t>
        </is>
      </c>
      <c r="E517" s="3" t="inlineStr">
        <is>
          <t>skor = [0.66, 0.5426, 0.5393, 0.5314, 0.4611, 0.3742] → 6 / 6</t>
        </is>
      </c>
      <c r="F517" t="n">
        <v>1</v>
      </c>
      <c r="G517" s="3" t="inlineStr"/>
    </row>
    <row r="518">
      <c r="A518" t="n">
        <v>36</v>
      </c>
      <c r="B518" t="inlineStr">
        <is>
          <t>A</t>
        </is>
      </c>
      <c r="C518" t="inlineStr">
        <is>
          <t>Mean Similarity (Pers. 6)</t>
        </is>
      </c>
      <c r="D518" s="3" t="inlineStr">
        <is>
          <t>MeanSim = (1/K) × Σ sim(q, dᵢ)</t>
        </is>
      </c>
      <c r="E518" s="3" t="inlineStr">
        <is>
          <t>skor = [0.7081, 0.7033, 0.6907, 0.69, 0.6866, 0.6858] → (0.7081 + 0.7033 + 0.6907 + 0.6900 + 0.6866 + 0.6858) / 6</t>
        </is>
      </c>
      <c r="F518" t="n">
        <v>0.6941000000000001</v>
      </c>
      <c r="G518" s="3" t="inlineStr"/>
    </row>
    <row r="519">
      <c r="A519" t="n">
        <v>36</v>
      </c>
      <c r="B519" t="inlineStr">
        <is>
          <t>A</t>
        </is>
      </c>
      <c r="C519" t="inlineStr">
        <is>
          <t>Coverage (Pers. 8)</t>
        </is>
      </c>
      <c r="D519" s="3" t="inlineStr">
        <is>
          <t>Coverage = |{dᵢ ∈ TopK : sim(q,dᵢ) ≥ θc}| / K</t>
        </is>
      </c>
      <c r="E519" s="3" t="inlineStr">
        <is>
          <t>skor = [0.7081, 0.7033, 0.6907, 0.69, 0.6866, 0.6858] → 6 / 6</t>
        </is>
      </c>
      <c r="F519" t="n">
        <v>1</v>
      </c>
      <c r="G519" s="3" t="inlineStr"/>
    </row>
    <row r="520">
      <c r="A520" t="n">
        <v>36</v>
      </c>
      <c r="B520" t="inlineStr">
        <is>
          <t>A</t>
        </is>
      </c>
      <c r="C520" t="inlineStr">
        <is>
          <t>Source Diversity (Pers. 10)</t>
        </is>
      </c>
      <c r="D520" s="3" t="inlineStr">
        <is>
          <t>Diversity = |sumber unik dalam TopK| / K</t>
        </is>
      </c>
      <c r="E520" s="3" t="inlineStr">
        <is>
          <t>skor = ['GT_CT11.txt', 'GT_CT13.txt', 'GT_DETAIL_PT01_Pendahuluan.txt', 'GT_DETAIL_PT04_Abstraksi.txt', 'GT_SUBTOPIK_02_Abstraksi_Formulasi.txt'] → 5 / 6</t>
        </is>
      </c>
      <c r="F520" t="n">
        <v>0.8333</v>
      </c>
      <c r="G520" s="3" t="inlineStr">
        <is>
          <t>file unik: GT_CT11.txt, GT_CT13.txt, GT_DETAIL_PT01_Pendahuluan.txt, GT_DETAIL_PT04_Abstraksi.txt, GT_SUBTOPIK_02_Abstraksi_Formulasi.txt</t>
        </is>
      </c>
    </row>
    <row r="521">
      <c r="A521" t="n">
        <v>36</v>
      </c>
      <c r="B521" t="inlineStr">
        <is>
          <t>A</t>
        </is>
      </c>
      <c r="C521" t="inlineStr">
        <is>
          <t>Faithfulness (Pers. 15)</t>
        </is>
      </c>
      <c r="D521" s="3" t="inlineStr">
        <is>
          <t>F = 0,70×Entailment + 0,30×KWoverlap</t>
        </is>
      </c>
      <c r="E521" s="3" t="inlineStr">
        <is>
          <t>Faithfulness = 0,70×Entailment + 0,30×KWoverlap = 0,70×1.0000 + 0,30×0.1972 = 0.7592  (entailment: 6/6 klaim didukung; KWoverlap = (|∩|/|ctx|)^0,65 = (26/316)^0,65 = 0.0823^0,65 = 0.1972)</t>
        </is>
      </c>
      <c r="F521" t="n">
        <v>0.7592</v>
      </c>
      <c r="G521" s="3" t="inlineStr">
        <is>
          <t>metode: llm_entailment + keyword</t>
        </is>
      </c>
    </row>
    <row r="522">
      <c r="A522" t="n">
        <v>36</v>
      </c>
      <c r="B522" t="inlineStr">
        <is>
          <t>A</t>
        </is>
      </c>
      <c r="C522" t="inlineStr">
        <is>
          <t>— Entailment (Pers. 12-13)</t>
        </is>
      </c>
      <c r="D522" s="3" t="inlineStr">
        <is>
          <t>Entailment = Σverdict(sᵢ)/m</t>
        </is>
      </c>
      <c r="E522" s="3" t="inlineStr">
        <is>
          <t>6 klaim YA dari 6 klaim dievaluasi</t>
        </is>
      </c>
      <c r="F522" t="n">
        <v>1</v>
      </c>
      <c r="G522" s="3" t="inlineStr">
        <is>
          <t>verdict per klaim: sheet 'Entailment Detail'</t>
        </is>
      </c>
    </row>
    <row r="523">
      <c r="A523" t="n">
        <v>36</v>
      </c>
      <c r="B523" t="inlineStr">
        <is>
          <t>A</t>
        </is>
      </c>
      <c r="C523" t="inlineStr">
        <is>
          <t>— Keyword Overlap (Pers. 14)</t>
        </is>
      </c>
      <c r="D523" s="3" t="inlineStr">
        <is>
          <t>KWoverlap = (|Stems(ans)∩Stems(ctx)| / |Stems(ctx)|)^0,65</t>
        </is>
      </c>
      <c r="E523" s="3" t="inlineStr">
        <is>
          <t>KWoverlap = (|∩|/|ctx|)^0,65 = (26/316)^0,65 = 0.0823^0,65 = 0.1972</t>
        </is>
      </c>
      <c r="F523" t="n">
        <v>0.1972</v>
      </c>
      <c r="G523" s="3" t="inlineStr"/>
    </row>
    <row r="524">
      <c r="A524" t="n">
        <v>36</v>
      </c>
      <c r="B524" t="inlineStr">
        <is>
          <t>A</t>
        </is>
      </c>
      <c r="C524" t="inlineStr">
        <is>
          <t>Hallucination Risk (Pers. 18)</t>
        </is>
      </c>
      <c r="D524" s="3" t="inlineStr">
        <is>
          <t>Risk = 0,65×(1-F) + 0,20×Contradiction + 0,15×Uncertainty</t>
        </is>
      </c>
      <c r="E524" s="3" t="inlineStr">
        <is>
          <t>Risk = 0,65×OutOfContext + 0,20×Contradiction + 0,15×Uncertainty = 0,65×0.2408 + 0,20×0.0000 + 0,15×0.20 = 0.1865 [RENDAH]</t>
        </is>
      </c>
      <c r="F524" t="n">
        <v>0.1865</v>
      </c>
      <c r="G524" s="3" t="inlineStr">
        <is>
          <t>label: RENDAH; kontradiksi 0/13 kalimat; uncertainty flag: True</t>
        </is>
      </c>
    </row>
    <row r="525">
      <c r="A525" t="n">
        <v>36</v>
      </c>
      <c r="B525" t="inlineStr">
        <is>
          <t>A</t>
        </is>
      </c>
      <c r="C525" t="inlineStr">
        <is>
          <t>Answer Accuracy (Pers. 20)</t>
        </is>
      </c>
      <c r="D525" s="3" t="inlineStr">
        <is>
          <t>Correctᵢ ∈ {0,1} via LLM-as-Judge (HASIL: BENAR/SALAH)</t>
        </is>
      </c>
      <c r="E525" s="3" t="inlineStr">
        <is>
          <t>BENAR
Rationale:
* The problem requires reading all rows of a CSV file until the end, without knowing the number of rows beforehand.
* According to the reference material, Iterasi Berdasarkan Kondisi (perulangan "while", "do-while", "do-until") is used when the condition is not known beforehand. This matches the situation in the problem.
* For loops are typically used for fixed iterations, where</t>
        </is>
      </c>
      <c r="F525" t="inlineStr">
        <is>
          <t>BENAR</t>
        </is>
      </c>
      <c r="G525" s="3" t="inlineStr">
        <is>
          <t>evaluator: ollama/llama3</t>
        </is>
      </c>
    </row>
    <row r="526">
      <c r="A526" t="n">
        <v>36</v>
      </c>
      <c r="B526" t="inlineStr">
        <is>
          <t>B</t>
        </is>
      </c>
      <c r="C526" t="inlineStr">
        <is>
          <t>Faithfulness (Pers. 15)</t>
        </is>
      </c>
      <c r="D526" s="3" t="inlineStr">
        <is>
          <t>F = 0,70×Entailment + 0,30×KWoverlap</t>
        </is>
      </c>
      <c r="E526" s="3" t="inlineStr">
        <is>
          <t>Faithfulness = 0,70×Entailment + 0,30×KWoverlap = 0,70×1.0000 + 0,30×0.2117 = 0.7635  (entailment: 6/6 klaim didukung; KWoverlap = (|∩|/|ctx|)^0,65 = (29/316)^0,65 = 0.0918^0,65 = 0.2117)</t>
        </is>
      </c>
      <c r="F526" t="n">
        <v>0.7635</v>
      </c>
      <c r="G526" s="3" t="inlineStr">
        <is>
          <t>metode: llm_entailment + keyword</t>
        </is>
      </c>
    </row>
    <row r="527">
      <c r="A527" t="n">
        <v>36</v>
      </c>
      <c r="B527" t="inlineStr">
        <is>
          <t>B</t>
        </is>
      </c>
      <c r="C527" t="inlineStr">
        <is>
          <t>— Entailment (Pers. 12-13)</t>
        </is>
      </c>
      <c r="D527" s="3" t="inlineStr">
        <is>
          <t>Entailment = Σverdict(sᵢ)/m</t>
        </is>
      </c>
      <c r="E527" s="3" t="inlineStr">
        <is>
          <t>6 klaim YA dari 6 klaim dievaluasi</t>
        </is>
      </c>
      <c r="F527" t="n">
        <v>1</v>
      </c>
      <c r="G527" s="3" t="inlineStr">
        <is>
          <t>verdict per klaim: sheet 'Entailment Detail'</t>
        </is>
      </c>
    </row>
    <row r="528">
      <c r="A528" t="n">
        <v>36</v>
      </c>
      <c r="B528" t="inlineStr">
        <is>
          <t>B</t>
        </is>
      </c>
      <c r="C528" t="inlineStr">
        <is>
          <t>— Keyword Overlap (Pers. 14)</t>
        </is>
      </c>
      <c r="D528" s="3" t="inlineStr">
        <is>
          <t>KWoverlap = (|Stems(ans)∩Stems(ctx)| / |Stems(ctx)|)^0,65</t>
        </is>
      </c>
      <c r="E528" s="3" t="inlineStr">
        <is>
          <t>KWoverlap = (|∩|/|ctx|)^0,65 = (29/316)^0,65 = 0.0918^0,65 = 0.2117</t>
        </is>
      </c>
      <c r="F528" t="n">
        <v>0.2117</v>
      </c>
      <c r="G528" s="3" t="inlineStr"/>
    </row>
    <row r="529">
      <c r="A529" t="n">
        <v>36</v>
      </c>
      <c r="B529" t="inlineStr">
        <is>
          <t>B</t>
        </is>
      </c>
      <c r="C529" t="inlineStr">
        <is>
          <t>Hallucination Risk (Pers. 18)</t>
        </is>
      </c>
      <c r="D529" s="3" t="inlineStr">
        <is>
          <t>Risk = 0,65×(1-F) + 0,20×Contradiction + 0,15×Uncertainty</t>
        </is>
      </c>
      <c r="E529" s="3" t="inlineStr">
        <is>
          <t>Risk = 0,65×OutOfContext + 0,20×Contradiction + 0,15×Uncertainty = 0,65×0.2365 + 0,20×0.0000 + 0,15×0.20 = 0.1837 [RENDAH]</t>
        </is>
      </c>
      <c r="F529" t="n">
        <v>0.1837</v>
      </c>
      <c r="G529" s="3" t="inlineStr">
        <is>
          <t>label: RENDAH; kontradiksi 0/24 kalimat; uncertainty flag: True</t>
        </is>
      </c>
    </row>
    <row r="530">
      <c r="A530" t="n">
        <v>37</v>
      </c>
      <c r="B530" t="inlineStr">
        <is>
          <t>A</t>
        </is>
      </c>
      <c r="C530" t="inlineStr">
        <is>
          <t>Precision@K (Pers. 2)</t>
        </is>
      </c>
      <c r="D530" s="3" t="inlineStr">
        <is>
          <t>Precision@K = |{d ∈ TopK : sim(q,d) ≥ θ}| / K</t>
        </is>
      </c>
      <c r="E530" s="3" t="inlineStr">
        <is>
          <t>skor = [0.81, 0.7937, 0.783, 0.7774, 0.771, 0.7631] → 6 / 6</t>
        </is>
      </c>
      <c r="F530" t="n">
        <v>1</v>
      </c>
      <c r="G530" s="3" t="inlineStr">
        <is>
          <t>basis: skor chunk nyata (sesuai contoh Pers. 2 skripsi)</t>
        </is>
      </c>
    </row>
    <row r="531">
      <c r="A531" t="n">
        <v>37</v>
      </c>
      <c r="B531" t="inlineStr">
        <is>
          <t>A</t>
        </is>
      </c>
      <c r="C531" t="inlineStr">
        <is>
          <t>Recall@K (Pers. 4)</t>
        </is>
      </c>
      <c r="D531" s="3" t="inlineStr">
        <is>
          <t>Recall@K = |{kata kunci ditemukan : sim ≥ θ}| / |R|</t>
        </is>
      </c>
      <c r="E531" s="3" t="inlineStr">
        <is>
          <t>skor = [0.7118, 0.6222, 0.547, 0.5432, 0.4906, 0.4509] → 6 / 7</t>
        </is>
      </c>
      <c r="F531" t="n">
        <v>0.8571</v>
      </c>
      <c r="G531" s="3" t="inlineStr"/>
    </row>
    <row r="532">
      <c r="A532" t="n">
        <v>37</v>
      </c>
      <c r="B532" t="inlineStr">
        <is>
          <t>A</t>
        </is>
      </c>
      <c r="C532" t="inlineStr">
        <is>
          <t>Mean Similarity (Pers. 6)</t>
        </is>
      </c>
      <c r="D532" s="3" t="inlineStr">
        <is>
          <t>MeanSim = (1/K) × Σ sim(q, dᵢ)</t>
        </is>
      </c>
      <c r="E532" s="3" t="inlineStr">
        <is>
          <t>skor = [0.81, 0.7937, 0.783, 0.7774, 0.771, 0.7631] → (0.8100 + 0.7937 + 0.7830 + 0.7774 + 0.7710 + 0.7631) / 6</t>
        </is>
      </c>
      <c r="F532" t="n">
        <v>0.783</v>
      </c>
      <c r="G532" s="3" t="inlineStr"/>
    </row>
    <row r="533">
      <c r="A533" t="n">
        <v>37</v>
      </c>
      <c r="B533" t="inlineStr">
        <is>
          <t>A</t>
        </is>
      </c>
      <c r="C533" t="inlineStr">
        <is>
          <t>Coverage (Pers. 8)</t>
        </is>
      </c>
      <c r="D533" s="3" t="inlineStr">
        <is>
          <t>Coverage = |{dᵢ ∈ TopK : sim(q,dᵢ) ≥ θc}| / K</t>
        </is>
      </c>
      <c r="E533" s="3" t="inlineStr">
        <is>
          <t>skor = [0.81, 0.7937, 0.783, 0.7774, 0.771, 0.7631] → 6 / 6</t>
        </is>
      </c>
      <c r="F533" t="n">
        <v>1</v>
      </c>
      <c r="G533" s="3" t="inlineStr"/>
    </row>
    <row r="534">
      <c r="A534" t="n">
        <v>37</v>
      </c>
      <c r="B534" t="inlineStr">
        <is>
          <t>A</t>
        </is>
      </c>
      <c r="C534" t="inlineStr">
        <is>
          <t>Source Diversity (Pers. 10)</t>
        </is>
      </c>
      <c r="D534" s="3" t="inlineStr">
        <is>
          <t>Diversity = |sumber unik dalam TopK| / K</t>
        </is>
      </c>
      <c r="E534" s="3" t="inlineStr">
        <is>
          <t>skor = ['GT_CT07.txt', 'GT_CT11.txt', 'GT_DETAIL_PT07_Notasi_Algoritme.txt', 'GT_DETAIL_PT10_Percabangan.txt', 'GT_SUBTOPIK_04_Modulo_Siklus.txt', 'GT_SUBTOPIK_05_Pseudocode_Algoritme.txt'] → 6 / 6</t>
        </is>
      </c>
      <c r="F534" t="n">
        <v>1</v>
      </c>
      <c r="G534" s="3" t="inlineStr">
        <is>
          <t>file unik: GT_CT07.txt, GT_CT11.txt, GT_DETAIL_PT07_Notasi_Algoritme.txt, GT_DETAIL_PT10_Percabangan.txt, GT_SUBTOPIK_04_Modulo_Siklus.txt, GT_SUBTOPIK_05_Pseudocode_Algoritme.txt</t>
        </is>
      </c>
    </row>
    <row r="535">
      <c r="A535" t="n">
        <v>37</v>
      </c>
      <c r="B535" t="inlineStr">
        <is>
          <t>A</t>
        </is>
      </c>
      <c r="C535" t="inlineStr">
        <is>
          <t>Faithfulness (Pers. 15)</t>
        </is>
      </c>
      <c r="D535" s="3" t="inlineStr">
        <is>
          <t>F = 0,70×Entailment + 0,30×KWoverlap</t>
        </is>
      </c>
      <c r="E535" s="3" t="inlineStr">
        <is>
          <t>Faithfulness = 0,70×Entailment + 0,30×KWoverlap = 0,70×0.8333 + 0,30×0.2389 = 0.6550  (entailment: 5/6 klaim didukung; KWoverlap = (|∩|/|ctx|)^0,65 = (21/190)^0,65 = 0.1105^0,65 = 0.2389)</t>
        </is>
      </c>
      <c r="F535" t="n">
        <v>0.655</v>
      </c>
      <c r="G535" s="3" t="inlineStr">
        <is>
          <t>metode: llm_entailment + keyword</t>
        </is>
      </c>
    </row>
    <row r="536">
      <c r="A536" t="n">
        <v>37</v>
      </c>
      <c r="B536" t="inlineStr">
        <is>
          <t>A</t>
        </is>
      </c>
      <c r="C536" t="inlineStr">
        <is>
          <t>— Entailment (Pers. 12-13)</t>
        </is>
      </c>
      <c r="D536" s="3" t="inlineStr">
        <is>
          <t>Entailment = Σverdict(sᵢ)/m</t>
        </is>
      </c>
      <c r="E536" s="3" t="inlineStr">
        <is>
          <t>5 klaim YA dari 6 klaim dievaluasi</t>
        </is>
      </c>
      <c r="F536" t="n">
        <v>0.8333</v>
      </c>
      <c r="G536" s="3" t="inlineStr">
        <is>
          <t>verdict per klaim: sheet 'Entailment Detail'</t>
        </is>
      </c>
    </row>
    <row r="537">
      <c r="A537" t="n">
        <v>37</v>
      </c>
      <c r="B537" t="inlineStr">
        <is>
          <t>A</t>
        </is>
      </c>
      <c r="C537" t="inlineStr">
        <is>
          <t>— Keyword Overlap (Pers. 14)</t>
        </is>
      </c>
      <c r="D537" s="3" t="inlineStr">
        <is>
          <t>KWoverlap = (|Stems(ans)∩Stems(ctx)| / |Stems(ctx)|)^0,65</t>
        </is>
      </c>
      <c r="E537" s="3" t="inlineStr">
        <is>
          <t>KWoverlap = (|∩|/|ctx|)^0,65 = (21/190)^0,65 = 0.1105^0,65 = 0.2389</t>
        </is>
      </c>
      <c r="F537" t="n">
        <v>0.2389</v>
      </c>
      <c r="G537" s="3" t="inlineStr"/>
    </row>
    <row r="538">
      <c r="A538" t="n">
        <v>37</v>
      </c>
      <c r="B538" t="inlineStr">
        <is>
          <t>A</t>
        </is>
      </c>
      <c r="C538" t="inlineStr">
        <is>
          <t>Hallucination Risk (Pers. 18)</t>
        </is>
      </c>
      <c r="D538" s="3" t="inlineStr">
        <is>
          <t>Risk = 0,65×(1-F) + 0,20×Contradiction + 0,15×Uncertainty</t>
        </is>
      </c>
      <c r="E538" s="3" t="inlineStr">
        <is>
          <t>Risk = 0,65×OutOfContext + 0,20×Contradiction + 0,15×Uncertainty = 0,65×0.3450 + 0,20×0.0000 + 0,15×0.00 = 0.2242 [RENDAH]</t>
        </is>
      </c>
      <c r="F538" t="n">
        <v>0.2242</v>
      </c>
      <c r="G538" s="3" t="inlineStr">
        <is>
          <t>label: RENDAH; kontradiksi 0/18 kalimat; uncertainty flag: False</t>
        </is>
      </c>
    </row>
    <row r="539">
      <c r="A539" t="n">
        <v>37</v>
      </c>
      <c r="B539" t="inlineStr">
        <is>
          <t>A</t>
        </is>
      </c>
      <c r="C539" t="inlineStr">
        <is>
          <t>Answer Accuracy (Pers. 20)</t>
        </is>
      </c>
      <c r="D539" s="3" t="inlineStr">
        <is>
          <t>Correctᵢ ∈ {0,1} via LLM-as-Judge (HASIL: BENAR/SALAH)</t>
        </is>
      </c>
      <c r="E539" s="3" t="inlineStr">
        <is>
          <t>BENAR.
Karena jawaban sistem menjelaskan konsep utama materi referensi (akumulasi nilai alas dengan tinggi, lalu hasilnya dibagi dua) dan menerapkan konsep tersebut ke dalam pseudocode untuk mencetak 10 bilangan genap pertama.</t>
        </is>
      </c>
      <c r="F539" t="inlineStr">
        <is>
          <t>BENAR</t>
        </is>
      </c>
      <c r="G539" s="3" t="inlineStr">
        <is>
          <t>evaluator: ollama/llama3</t>
        </is>
      </c>
    </row>
    <row r="540">
      <c r="A540" t="n">
        <v>37</v>
      </c>
      <c r="B540" t="inlineStr">
        <is>
          <t>B</t>
        </is>
      </c>
      <c r="C540" t="inlineStr">
        <is>
          <t>Faithfulness (Pers. 15)</t>
        </is>
      </c>
      <c r="D540" s="3" t="inlineStr">
        <is>
          <t>F = 0,70×Entailment + 0,30×KWoverlap</t>
        </is>
      </c>
      <c r="E540" s="3" t="inlineStr">
        <is>
          <t>Faithfulness = 0,70×Entailment + 0,30×KWoverlap = 0,70×1.0000 + 0,30×0.2239 = 0.7672  (entailment: 6/6 klaim didukung; KWoverlap = (|∩|/|ctx|)^0,65 = (19/190)^0,65 = 0.1000^0,65 = 0.2239)</t>
        </is>
      </c>
      <c r="F540" t="n">
        <v>0.7672</v>
      </c>
      <c r="G540" s="3" t="inlineStr">
        <is>
          <t>metode: llm_entailment + keyword</t>
        </is>
      </c>
    </row>
    <row r="541">
      <c r="A541" t="n">
        <v>37</v>
      </c>
      <c r="B541" t="inlineStr">
        <is>
          <t>B</t>
        </is>
      </c>
      <c r="C541" t="inlineStr">
        <is>
          <t>— Entailment (Pers. 12-13)</t>
        </is>
      </c>
      <c r="D541" s="3" t="inlineStr">
        <is>
          <t>Entailment = Σverdict(sᵢ)/m</t>
        </is>
      </c>
      <c r="E541" s="3" t="inlineStr">
        <is>
          <t>6 klaim YA dari 6 klaim dievaluasi</t>
        </is>
      </c>
      <c r="F541" t="n">
        <v>1</v>
      </c>
      <c r="G541" s="3" t="inlineStr">
        <is>
          <t>verdict per klaim: sheet 'Entailment Detail'</t>
        </is>
      </c>
    </row>
    <row r="542">
      <c r="A542" t="n">
        <v>37</v>
      </c>
      <c r="B542" t="inlineStr">
        <is>
          <t>B</t>
        </is>
      </c>
      <c r="C542" t="inlineStr">
        <is>
          <t>— Keyword Overlap (Pers. 14)</t>
        </is>
      </c>
      <c r="D542" s="3" t="inlineStr">
        <is>
          <t>KWoverlap = (|Stems(ans)∩Stems(ctx)| / |Stems(ctx)|)^0,65</t>
        </is>
      </c>
      <c r="E542" s="3" t="inlineStr">
        <is>
          <t>KWoverlap = (|∩|/|ctx|)^0,65 = (19/190)^0,65 = 0.1000^0,65 = 0.2239</t>
        </is>
      </c>
      <c r="F542" t="n">
        <v>0.2239</v>
      </c>
      <c r="G542" s="3" t="inlineStr"/>
    </row>
    <row r="543">
      <c r="A543" t="n">
        <v>37</v>
      </c>
      <c r="B543" t="inlineStr">
        <is>
          <t>B</t>
        </is>
      </c>
      <c r="C543" t="inlineStr">
        <is>
          <t>Hallucination Risk (Pers. 18)</t>
        </is>
      </c>
      <c r="D543" s="3" t="inlineStr">
        <is>
          <t>Risk = 0,65×(1-F) + 0,20×Contradiction + 0,15×Uncertainty</t>
        </is>
      </c>
      <c r="E543" s="3" t="inlineStr">
        <is>
          <t>Risk = 0,65×OutOfContext + 0,20×Contradiction + 0,15×Uncertainty = 0,65×0.2328 + 0,20×0.0000 + 0,15×0.00 = 0.1513 [RENDAH]</t>
        </is>
      </c>
      <c r="F543" t="n">
        <v>0.1513</v>
      </c>
      <c r="G543" s="3" t="inlineStr">
        <is>
          <t>label: RENDAH; kontradiksi 0/35 kalimat; uncertainty flag: False</t>
        </is>
      </c>
    </row>
    <row r="544">
      <c r="A544" t="n">
        <v>37</v>
      </c>
      <c r="B544" t="inlineStr">
        <is>
          <t>B</t>
        </is>
      </c>
      <c r="C544" t="inlineStr">
        <is>
          <t>Answer Accuracy (Pers. 20)</t>
        </is>
      </c>
      <c r="D544" s="3" t="inlineStr">
        <is>
          <t>Correctᵢ ∈ {0,1} via LLM-as-Judge (HASIL: BENAR/SALAH)</t>
        </is>
      </c>
      <c r="E544" s="3" t="inlineStr">
        <is>
          <t>Jawaban sistem: Saya dapat membantu Anda menulis pseudocode untuk mencetak 10 bilangan genap pertama dalam dua versi berbeda: satu dengan step dan satu tanpa step (pakai akumulasi).
**Versi dengan Step**
Pseudocode:
```
DEKLARASI
    i = 2
    n = 20
PROSES
    WHILE i &lt;= n
        Cetak(i)
        i += 2
    AKHIR while
AKHIR program
```
Pada versi ini, kita menggunakan perulangan `while` unt</t>
        </is>
      </c>
      <c r="F544" t="inlineStr">
        <is>
          <t>BENAR</t>
        </is>
      </c>
      <c r="G544" s="3" t="inlineStr">
        <is>
          <t>evaluator: ollama/llama3</t>
        </is>
      </c>
    </row>
    <row r="545">
      <c r="A545" t="n">
        <v>38</v>
      </c>
      <c r="B545" t="inlineStr">
        <is>
          <t>A</t>
        </is>
      </c>
      <c r="C545" t="inlineStr">
        <is>
          <t>Precision@K (Pers. 2)</t>
        </is>
      </c>
      <c r="D545" s="3" t="inlineStr">
        <is>
          <t>Precision@K = |{d ∈ TopK : sim(q,d) ≥ θ}| / K</t>
        </is>
      </c>
      <c r="E545" s="3" t="inlineStr">
        <is>
          <t>skor = [0.7215, 0.7128, 0.7025, 0.6995, 0.6945, 0.6931] → 6 / 6</t>
        </is>
      </c>
      <c r="F545" t="n">
        <v>1</v>
      </c>
      <c r="G545" s="3" t="inlineStr">
        <is>
          <t>basis: skor chunk nyata (sesuai contoh Pers. 2 skripsi)</t>
        </is>
      </c>
    </row>
    <row r="546">
      <c r="A546" t="n">
        <v>38</v>
      </c>
      <c r="B546" t="inlineStr">
        <is>
          <t>A</t>
        </is>
      </c>
      <c r="C546" t="inlineStr">
        <is>
          <t>Recall@K (Pers. 4)</t>
        </is>
      </c>
      <c r="D546" s="3" t="inlineStr">
        <is>
          <t>Recall@K = |{kata kunci ditemukan : sim ≥ θ}| / |R|</t>
        </is>
      </c>
      <c r="E546" s="3" t="inlineStr">
        <is>
          <t>skor = [0.631, 0.6069, 0.4969, 0.483, 0.4798, 0.472] → 6 / 6</t>
        </is>
      </c>
      <c r="F546" t="n">
        <v>1</v>
      </c>
      <c r="G546" s="3" t="inlineStr"/>
    </row>
    <row r="547">
      <c r="A547" t="n">
        <v>38</v>
      </c>
      <c r="B547" t="inlineStr">
        <is>
          <t>A</t>
        </is>
      </c>
      <c r="C547" t="inlineStr">
        <is>
          <t>Mean Similarity (Pers. 6)</t>
        </is>
      </c>
      <c r="D547" s="3" t="inlineStr">
        <is>
          <t>MeanSim = (1/K) × Σ sim(q, dᵢ)</t>
        </is>
      </c>
      <c r="E547" s="3" t="inlineStr">
        <is>
          <t>skor = [0.7215, 0.7128, 0.7025, 0.6995, 0.6945, 0.6931] → (0.7215 + 0.7128 + 0.7025 + 0.6995 + 0.6945 + 0.6931) / 6</t>
        </is>
      </c>
      <c r="F547" t="n">
        <v>0.704</v>
      </c>
      <c r="G547" s="3" t="inlineStr"/>
    </row>
    <row r="548">
      <c r="A548" t="n">
        <v>38</v>
      </c>
      <c r="B548" t="inlineStr">
        <is>
          <t>A</t>
        </is>
      </c>
      <c r="C548" t="inlineStr">
        <is>
          <t>Coverage (Pers. 8)</t>
        </is>
      </c>
      <c r="D548" s="3" t="inlineStr">
        <is>
          <t>Coverage = |{dᵢ ∈ TopK : sim(q,dᵢ) ≥ θc}| / K</t>
        </is>
      </c>
      <c r="E548" s="3" t="inlineStr">
        <is>
          <t>skor = [0.7215, 0.7128, 0.7025, 0.6995, 0.6945, 0.6931] → 6 / 6</t>
        </is>
      </c>
      <c r="F548" t="n">
        <v>1</v>
      </c>
      <c r="G548" s="3" t="inlineStr"/>
    </row>
    <row r="549">
      <c r="A549" t="n">
        <v>38</v>
      </c>
      <c r="B549" t="inlineStr">
        <is>
          <t>A</t>
        </is>
      </c>
      <c r="C549" t="inlineStr">
        <is>
          <t>Source Diversity (Pers. 10)</t>
        </is>
      </c>
      <c r="D549" s="3" t="inlineStr">
        <is>
          <t>Diversity = |sumber unik dalam TopK| / K</t>
        </is>
      </c>
      <c r="E549" s="3" t="inlineStr">
        <is>
          <t>skor = ['5PAI.txt', '5PAR.txt', '5TAR.txt', 'GT_CT09.txt', 'GT_DETAIL_PT09_Variabel_TipeData_Operator_List.txt', 'GT_DETAIL_PT11_Perulangan.txt'] → 6 / 6</t>
        </is>
      </c>
      <c r="F549" t="n">
        <v>1</v>
      </c>
      <c r="G549" s="3" t="inlineStr">
        <is>
          <t>file unik: 5PAI.txt, 5PAR.txt, 5TAR.txt, GT_CT09.txt, GT_DETAIL_PT09_Variabel_TipeData_Operator_List.txt, GT_DETAIL_PT11_Perulangan.txt</t>
        </is>
      </c>
    </row>
    <row r="550">
      <c r="A550" t="n">
        <v>38</v>
      </c>
      <c r="B550" t="inlineStr">
        <is>
          <t>A</t>
        </is>
      </c>
      <c r="C550" t="inlineStr">
        <is>
          <t>Faithfulness (Pers. 15)</t>
        </is>
      </c>
      <c r="D550" s="3" t="inlineStr">
        <is>
          <t>F = 0,70×Entailment + 0,30×KWoverlap</t>
        </is>
      </c>
      <c r="E550" s="3" t="inlineStr">
        <is>
          <t>Faithfulness = 0,70×Entailment + 0,30×KWoverlap = 0,70×0.8333 + 0,30×0.2333 = 0.6533  (entailment: 5/6 klaim didukung; KWoverlap = (|∩|/|ctx|)^0,65 = (26/244)^0,65 = 0.1066^0,65 = 0.2333)</t>
        </is>
      </c>
      <c r="F550" t="n">
        <v>0.6533</v>
      </c>
      <c r="G550" s="3" t="inlineStr">
        <is>
          <t>metode: llm_entailment + keyword</t>
        </is>
      </c>
    </row>
    <row r="551">
      <c r="A551" t="n">
        <v>38</v>
      </c>
      <c r="B551" t="inlineStr">
        <is>
          <t>A</t>
        </is>
      </c>
      <c r="C551" t="inlineStr">
        <is>
          <t>— Entailment (Pers. 12-13)</t>
        </is>
      </c>
      <c r="D551" s="3" t="inlineStr">
        <is>
          <t>Entailment = Σverdict(sᵢ)/m</t>
        </is>
      </c>
      <c r="E551" s="3" t="inlineStr">
        <is>
          <t>5 klaim YA dari 6 klaim dievaluasi</t>
        </is>
      </c>
      <c r="F551" t="n">
        <v>0.8333</v>
      </c>
      <c r="G551" s="3" t="inlineStr">
        <is>
          <t>verdict per klaim: sheet 'Entailment Detail'</t>
        </is>
      </c>
    </row>
    <row r="552">
      <c r="A552" t="n">
        <v>38</v>
      </c>
      <c r="B552" t="inlineStr">
        <is>
          <t>A</t>
        </is>
      </c>
      <c r="C552" t="inlineStr">
        <is>
          <t>— Keyword Overlap (Pers. 14)</t>
        </is>
      </c>
      <c r="D552" s="3" t="inlineStr">
        <is>
          <t>KWoverlap = (|Stems(ans)∩Stems(ctx)| / |Stems(ctx)|)^0,65</t>
        </is>
      </c>
      <c r="E552" s="3" t="inlineStr">
        <is>
          <t>KWoverlap = (|∩|/|ctx|)^0,65 = (26/244)^0,65 = 0.1066^0,65 = 0.2333</t>
        </is>
      </c>
      <c r="F552" t="n">
        <v>0.2333</v>
      </c>
      <c r="G552" s="3" t="inlineStr"/>
    </row>
    <row r="553">
      <c r="A553" t="n">
        <v>38</v>
      </c>
      <c r="B553" t="inlineStr">
        <is>
          <t>A</t>
        </is>
      </c>
      <c r="C553" t="inlineStr">
        <is>
          <t>Hallucination Risk (Pers. 18)</t>
        </is>
      </c>
      <c r="D553" s="3" t="inlineStr">
        <is>
          <t>Risk = 0,65×(1-F) + 0,20×Contradiction + 0,15×Uncertainty</t>
        </is>
      </c>
      <c r="E553" s="3" t="inlineStr">
        <is>
          <t>Risk = 0,65×OutOfContext + 0,20×Contradiction + 0,15×Uncertainty = 0,65×0.3467 + 0,20×0.0000 + 0,15×0.00 = 0.2254 [RENDAH]</t>
        </is>
      </c>
      <c r="F553" t="n">
        <v>0.2254</v>
      </c>
      <c r="G553" s="3" t="inlineStr">
        <is>
          <t>label: RENDAH; kontradiksi 0/17 kalimat; uncertainty flag: False</t>
        </is>
      </c>
    </row>
    <row r="554">
      <c r="A554" t="n">
        <v>38</v>
      </c>
      <c r="B554" t="inlineStr">
        <is>
          <t>A</t>
        </is>
      </c>
      <c r="C554" t="inlineStr">
        <is>
          <t>Answer Accuracy (Pers. 20)</t>
        </is>
      </c>
      <c r="D554" s="3" t="inlineStr">
        <is>
          <t>Correctᵢ ∈ {0,1} via LLM-as-Judge (HASIL: BENAR/SALAH)</t>
        </is>
      </c>
      <c r="E554" s="3" t="inlineStr">
        <is>
          <t>JAWABAN: 
Sebab, jawaban sistem menjelaskan bahwa sentinel value adalah sebuah alternatif untuk while loop biasa, dan memberikan contoh implementasinya dalam kode program. Hal ini sesuai dengan referensi yang diberikan tentang what is operator (5T), yaitu OR, NOT, IS, dan lain-lain.
Sistem tidak hanya menjawab pertanyaan dengan benar, tapi juga menjelaskan konsep dasarnya, sehingga menjawab seca</t>
        </is>
      </c>
      <c r="F554" t="inlineStr">
        <is>
          <t>BENAR</t>
        </is>
      </c>
      <c r="G554" s="3" t="inlineStr">
        <is>
          <t>evaluator: ollama/llama3</t>
        </is>
      </c>
    </row>
    <row r="555">
      <c r="A555" t="n">
        <v>38</v>
      </c>
      <c r="B555" t="inlineStr">
        <is>
          <t>B</t>
        </is>
      </c>
      <c r="C555" t="inlineStr">
        <is>
          <t>Faithfulness (Pers. 15)</t>
        </is>
      </c>
      <c r="D555" s="3" t="inlineStr">
        <is>
          <t>F = 0,70×Entailment + 0,30×KWoverlap</t>
        </is>
      </c>
      <c r="E555" s="3" t="inlineStr">
        <is>
          <t>Faithfulness = 0,70×Entailment + 0,30×KWoverlap = 0,70×1.0000 + 0,30×0.2333 = 0.7700  (entailment: 6/6 klaim didukung; KWoverlap = (|∩|/|ctx|)^0,65 = (26/244)^0,65 = 0.1066^0,65 = 0.2333)</t>
        </is>
      </c>
      <c r="F555" t="n">
        <v>0.77</v>
      </c>
      <c r="G555" s="3" t="inlineStr">
        <is>
          <t>metode: llm_entailment + keyword</t>
        </is>
      </c>
    </row>
    <row r="556">
      <c r="A556" t="n">
        <v>38</v>
      </c>
      <c r="B556" t="inlineStr">
        <is>
          <t>B</t>
        </is>
      </c>
      <c r="C556" t="inlineStr">
        <is>
          <t>— Entailment (Pers. 12-13)</t>
        </is>
      </c>
      <c r="D556" s="3" t="inlineStr">
        <is>
          <t>Entailment = Σverdict(sᵢ)/m</t>
        </is>
      </c>
      <c r="E556" s="3" t="inlineStr">
        <is>
          <t>6 klaim YA dari 6 klaim dievaluasi</t>
        </is>
      </c>
      <c r="F556" t="n">
        <v>1</v>
      </c>
      <c r="G556" s="3" t="inlineStr">
        <is>
          <t>verdict per klaim: sheet 'Entailment Detail'</t>
        </is>
      </c>
    </row>
    <row r="557">
      <c r="A557" t="n">
        <v>38</v>
      </c>
      <c r="B557" t="inlineStr">
        <is>
          <t>B</t>
        </is>
      </c>
      <c r="C557" t="inlineStr">
        <is>
          <t>— Keyword Overlap (Pers. 14)</t>
        </is>
      </c>
      <c r="D557" s="3" t="inlineStr">
        <is>
          <t>KWoverlap = (|Stems(ans)∩Stems(ctx)| / |Stems(ctx)|)^0,65</t>
        </is>
      </c>
      <c r="E557" s="3" t="inlineStr">
        <is>
          <t>KWoverlap = (|∩|/|ctx|)^0,65 = (26/244)^0,65 = 0.1066^0,65 = 0.2333</t>
        </is>
      </c>
      <c r="F557" t="n">
        <v>0.2333</v>
      </c>
      <c r="G557" s="3" t="inlineStr"/>
    </row>
    <row r="558">
      <c r="A558" t="n">
        <v>38</v>
      </c>
      <c r="B558" t="inlineStr">
        <is>
          <t>B</t>
        </is>
      </c>
      <c r="C558" t="inlineStr">
        <is>
          <t>Hallucination Risk (Pers. 18)</t>
        </is>
      </c>
      <c r="D558" s="3" t="inlineStr">
        <is>
          <t>Risk = 0,65×(1-F) + 0,20×Contradiction + 0,15×Uncertainty</t>
        </is>
      </c>
      <c r="E558" s="3" t="inlineStr">
        <is>
          <t>Risk = 0,65×OutOfContext + 0,20×Contradiction + 0,15×Uncertainty = 0,65×0.2300 + 0,20×0.0000 + 0,15×0.00 = 0.1495 [RENDAH]</t>
        </is>
      </c>
      <c r="F558" t="n">
        <v>0.1495</v>
      </c>
      <c r="G558" s="3" t="inlineStr">
        <is>
          <t>label: RENDAH; kontradiksi 0/22 kalimat; uncertainty flag: False</t>
        </is>
      </c>
    </row>
    <row r="559">
      <c r="A559" t="n">
        <v>38</v>
      </c>
      <c r="B559" t="inlineStr">
        <is>
          <t>B</t>
        </is>
      </c>
      <c r="C559" t="inlineStr">
        <is>
          <t>Answer Accuracy (Pers. 20)</t>
        </is>
      </c>
      <c r="D559" s="3" t="inlineStr">
        <is>
          <t>Correctᵢ ∈ {0,1} via LLM-as-Judge (HASIL: BENAR/SALAH)</t>
        </is>
      </c>
      <c r="E559" s="3" t="inlineStr">
        <is>
          <t>BENAR
Komentar: Jawaban sistem mencermati definisi sentinel value sebagai alternatif perulangan biasa menggunakan kondisi boolean, serta contoh penggunaan nilai pengawal yang sesuai dengan materi GT.</t>
        </is>
      </c>
      <c r="F559" t="inlineStr">
        <is>
          <t>BENAR</t>
        </is>
      </c>
      <c r="G559" s="3" t="inlineStr">
        <is>
          <t>evaluator: ollama/llama3</t>
        </is>
      </c>
    </row>
    <row r="560">
      <c r="A560" t="n">
        <v>39</v>
      </c>
      <c r="B560" t="inlineStr">
        <is>
          <t>A</t>
        </is>
      </c>
      <c r="C560" t="inlineStr">
        <is>
          <t>Precision@K (Pers. 2)</t>
        </is>
      </c>
      <c r="D560" s="3" t="inlineStr">
        <is>
          <t>Precision@K = |{d ∈ TopK : sim(q,d) ≥ θ}| / K</t>
        </is>
      </c>
      <c r="E560" s="3" t="inlineStr">
        <is>
          <t>skor = [0.8456, 0.8275, 0.826, 0.818, 0.8126, 0.8089] → 6 / 6</t>
        </is>
      </c>
      <c r="F560" t="n">
        <v>1</v>
      </c>
      <c r="G560" s="3" t="inlineStr">
        <is>
          <t>basis: skor chunk nyata (sesuai contoh Pers. 2 skripsi)</t>
        </is>
      </c>
    </row>
    <row r="561">
      <c r="A561" t="n">
        <v>39</v>
      </c>
      <c r="B561" t="inlineStr">
        <is>
          <t>A</t>
        </is>
      </c>
      <c r="C561" t="inlineStr">
        <is>
          <t>Recall@K (Pers. 4)</t>
        </is>
      </c>
      <c r="D561" s="3" t="inlineStr">
        <is>
          <t>Recall@K = |{kata kunci ditemukan : sim ≥ θ}| / |R|</t>
        </is>
      </c>
      <c r="E561" s="3" t="inlineStr">
        <is>
          <t>skor = [0.5648, 0.5599, 0.5537, 0.5078, 0.4449, 0.4311] → 6 / 6</t>
        </is>
      </c>
      <c r="F561" t="n">
        <v>1</v>
      </c>
      <c r="G561" s="3" t="inlineStr"/>
    </row>
    <row r="562">
      <c r="A562" t="n">
        <v>39</v>
      </c>
      <c r="B562" t="inlineStr">
        <is>
          <t>A</t>
        </is>
      </c>
      <c r="C562" t="inlineStr">
        <is>
          <t>Mean Similarity (Pers. 6)</t>
        </is>
      </c>
      <c r="D562" s="3" t="inlineStr">
        <is>
          <t>MeanSim = (1/K) × Σ sim(q, dᵢ)</t>
        </is>
      </c>
      <c r="E562" s="3" t="inlineStr">
        <is>
          <t>skor = [0.8456, 0.8275, 0.826, 0.818, 0.8126, 0.8089] → (0.8456 + 0.8275 + 0.8260 + 0.8180 + 0.8126 + 0.8089) / 6</t>
        </is>
      </c>
      <c r="F562" t="n">
        <v>0.8231000000000001</v>
      </c>
      <c r="G562" s="3" t="inlineStr"/>
    </row>
    <row r="563">
      <c r="A563" t="n">
        <v>39</v>
      </c>
      <c r="B563" t="inlineStr">
        <is>
          <t>A</t>
        </is>
      </c>
      <c r="C563" t="inlineStr">
        <is>
          <t>Coverage (Pers. 8)</t>
        </is>
      </c>
      <c r="D563" s="3" t="inlineStr">
        <is>
          <t>Coverage = |{dᵢ ∈ TopK : sim(q,dᵢ) ≥ θc}| / K</t>
        </is>
      </c>
      <c r="E563" s="3" t="inlineStr">
        <is>
          <t>skor = [0.8456, 0.8275, 0.826, 0.818, 0.8126, 0.8089] → 6 / 6</t>
        </is>
      </c>
      <c r="F563" t="n">
        <v>1</v>
      </c>
      <c r="G563" s="3" t="inlineStr"/>
    </row>
    <row r="564">
      <c r="A564" t="n">
        <v>39</v>
      </c>
      <c r="B564" t="inlineStr">
        <is>
          <t>A</t>
        </is>
      </c>
      <c r="C564" t="inlineStr">
        <is>
          <t>Source Diversity (Pers. 10)</t>
        </is>
      </c>
      <c r="D564" s="3" t="inlineStr">
        <is>
          <t>Diversity = |sumber unik dalam TopK| / K</t>
        </is>
      </c>
      <c r="E564" s="3" t="inlineStr">
        <is>
          <t>skor = ['GT_DETAIL_PT11_Perulangan.txt', 'GT_SUBTOPIK_04_Modulo_Siklus.txt', 'GT_SUBTOPIK_05_Pseudocode_Algoritme.txt', 'GT_SUBTOPIK_08_Perulangan_For_While.txt'] → 4 / 6</t>
        </is>
      </c>
      <c r="F564" t="n">
        <v>0.6667</v>
      </c>
      <c r="G564" s="3" t="inlineStr">
        <is>
          <t>file unik: GT_DETAIL_PT11_Perulangan.txt, GT_SUBTOPIK_04_Modulo_Siklus.txt, GT_SUBTOPIK_05_Pseudocode_Algoritme.txt, GT_SUBTOPIK_08_Perulangan_For_While.txt</t>
        </is>
      </c>
    </row>
    <row r="565">
      <c r="A565" t="n">
        <v>39</v>
      </c>
      <c r="B565" t="inlineStr">
        <is>
          <t>A</t>
        </is>
      </c>
      <c r="C565" t="inlineStr">
        <is>
          <t>Faithfulness (Pers. 15)</t>
        </is>
      </c>
      <c r="D565" s="3" t="inlineStr">
        <is>
          <t>F = 0,70×Entailment + 0,30×KWoverlap</t>
        </is>
      </c>
      <c r="E565" s="3" t="inlineStr">
        <is>
          <t>Faithfulness = 0,70×Entailment + 0,30×KWoverlap = 0,70×1.0000 + 0,30×0.3674 = 0.8102  (entailment: 6/6 klaim didukung; KWoverlap = (|∩|/|ctx|)^0,65 = (30/140)^0,65 = 0.2143^0,65 = 0.3674)</t>
        </is>
      </c>
      <c r="F565" t="n">
        <v>0.8102</v>
      </c>
      <c r="G565" s="3" t="inlineStr">
        <is>
          <t>metode: llm_entailment + keyword</t>
        </is>
      </c>
    </row>
    <row r="566">
      <c r="A566" t="n">
        <v>39</v>
      </c>
      <c r="B566" t="inlineStr">
        <is>
          <t>A</t>
        </is>
      </c>
      <c r="C566" t="inlineStr">
        <is>
          <t>— Entailment (Pers. 12-13)</t>
        </is>
      </c>
      <c r="D566" s="3" t="inlineStr">
        <is>
          <t>Entailment = Σverdict(sᵢ)/m</t>
        </is>
      </c>
      <c r="E566" s="3" t="inlineStr">
        <is>
          <t>6 klaim YA dari 6 klaim dievaluasi</t>
        </is>
      </c>
      <c r="F566" t="n">
        <v>1</v>
      </c>
      <c r="G566" s="3" t="inlineStr">
        <is>
          <t>verdict per klaim: sheet 'Entailment Detail'</t>
        </is>
      </c>
    </row>
    <row r="567">
      <c r="A567" t="n">
        <v>39</v>
      </c>
      <c r="B567" t="inlineStr">
        <is>
          <t>A</t>
        </is>
      </c>
      <c r="C567" t="inlineStr">
        <is>
          <t>— Keyword Overlap (Pers. 14)</t>
        </is>
      </c>
      <c r="D567" s="3" t="inlineStr">
        <is>
          <t>KWoverlap = (|Stems(ans)∩Stems(ctx)| / |Stems(ctx)|)^0,65</t>
        </is>
      </c>
      <c r="E567" s="3" t="inlineStr">
        <is>
          <t>KWoverlap = (|∩|/|ctx|)^0,65 = (30/140)^0,65 = 0.2143^0,65 = 0.3674</t>
        </is>
      </c>
      <c r="F567" t="n">
        <v>0.3674</v>
      </c>
      <c r="G567" s="3" t="inlineStr"/>
    </row>
    <row r="568">
      <c r="A568" t="n">
        <v>39</v>
      </c>
      <c r="B568" t="inlineStr">
        <is>
          <t>A</t>
        </is>
      </c>
      <c r="C568" t="inlineStr">
        <is>
          <t>Hallucination Risk (Pers. 18)</t>
        </is>
      </c>
      <c r="D568" s="3" t="inlineStr">
        <is>
          <t>Risk = 0,65×(1-F) + 0,20×Contradiction + 0,15×Uncertainty</t>
        </is>
      </c>
      <c r="E568" s="3" t="inlineStr">
        <is>
          <t>Risk = 0,65×OutOfContext + 0,20×Contradiction + 0,15×Uncertainty = 0,65×0.1898 + 0,20×0.0000 + 0,15×0.00 = 0.1234 [RENDAH]</t>
        </is>
      </c>
      <c r="F568" t="n">
        <v>0.1234</v>
      </c>
      <c r="G568" s="3" t="inlineStr">
        <is>
          <t>label: RENDAH; kontradiksi 0/13 kalimat; uncertainty flag: False</t>
        </is>
      </c>
    </row>
    <row r="569">
      <c r="A569" t="n">
        <v>39</v>
      </c>
      <c r="B569" t="inlineStr">
        <is>
          <t>A</t>
        </is>
      </c>
      <c r="C569" t="inlineStr">
        <is>
          <t>Answer Accuracy (Pers. 20)</t>
        </is>
      </c>
      <c r="D569" s="3" t="inlineStr">
        <is>
          <t>Correctᵢ ∈ {0,1} via LLM-as-Judge (HASIL: BENAR/SALAH)</t>
        </is>
      </c>
      <c r="E569" s="3" t="inlineStr">
        <is>
          <t>JAWABAN:</t>
        </is>
      </c>
      <c r="F569" t="inlineStr">
        <is>
          <t>SALAH</t>
        </is>
      </c>
      <c r="G569" s="3" t="inlineStr">
        <is>
          <t>evaluator: ollama/llama3</t>
        </is>
      </c>
    </row>
    <row r="570">
      <c r="A570" t="n">
        <v>39</v>
      </c>
      <c r="B570" t="inlineStr">
        <is>
          <t>B</t>
        </is>
      </c>
      <c r="C570" t="inlineStr">
        <is>
          <t>Faithfulness (Pers. 15)</t>
        </is>
      </c>
      <c r="D570" s="3" t="inlineStr">
        <is>
          <t>F = 0,70×Entailment + 0,30×KWoverlap</t>
        </is>
      </c>
      <c r="E570" s="3" t="inlineStr">
        <is>
          <t>Faithfulness = 0,70×Entailment + 0,30×KWoverlap = 0,70×0.8333 + 0,30×0.1799 = 0.6373  (entailment: 5/6 klaim didukung; KWoverlap = (|∩|/|ctx|)^0,65 = (10/140)^0,65 = 0.0714^0,65 = 0.1799)</t>
        </is>
      </c>
      <c r="F570" t="n">
        <v>0.6373</v>
      </c>
      <c r="G570" s="3" t="inlineStr">
        <is>
          <t>metode: llm_entailment + keyword</t>
        </is>
      </c>
    </row>
    <row r="571">
      <c r="A571" t="n">
        <v>39</v>
      </c>
      <c r="B571" t="inlineStr">
        <is>
          <t>B</t>
        </is>
      </c>
      <c r="C571" t="inlineStr">
        <is>
          <t>— Entailment (Pers. 12-13)</t>
        </is>
      </c>
      <c r="D571" s="3" t="inlineStr">
        <is>
          <t>Entailment = Σverdict(sᵢ)/m</t>
        </is>
      </c>
      <c r="E571" s="3" t="inlineStr">
        <is>
          <t>5 klaim YA dari 6 klaim dievaluasi</t>
        </is>
      </c>
      <c r="F571" t="n">
        <v>0.8333</v>
      </c>
      <c r="G571" s="3" t="inlineStr">
        <is>
          <t>verdict per klaim: sheet 'Entailment Detail'</t>
        </is>
      </c>
    </row>
    <row r="572">
      <c r="A572" t="n">
        <v>39</v>
      </c>
      <c r="B572" t="inlineStr">
        <is>
          <t>B</t>
        </is>
      </c>
      <c r="C572" t="inlineStr">
        <is>
          <t>— Keyword Overlap (Pers. 14)</t>
        </is>
      </c>
      <c r="D572" s="3" t="inlineStr">
        <is>
          <t>KWoverlap = (|Stems(ans)∩Stems(ctx)| / |Stems(ctx)|)^0,65</t>
        </is>
      </c>
      <c r="E572" s="3" t="inlineStr">
        <is>
          <t>KWoverlap = (|∩|/|ctx|)^0,65 = (10/140)^0,65 = 0.0714^0,65 = 0.1799</t>
        </is>
      </c>
      <c r="F572" t="n">
        <v>0.1799</v>
      </c>
      <c r="G572" s="3" t="inlineStr"/>
    </row>
    <row r="573">
      <c r="A573" t="n">
        <v>39</v>
      </c>
      <c r="B573" t="inlineStr">
        <is>
          <t>B</t>
        </is>
      </c>
      <c r="C573" t="inlineStr">
        <is>
          <t>Hallucination Risk (Pers. 18)</t>
        </is>
      </c>
      <c r="D573" s="3" t="inlineStr">
        <is>
          <t>Risk = 0,65×(1-F) + 0,20×Contradiction + 0,15×Uncertainty</t>
        </is>
      </c>
      <c r="E573" s="3" t="inlineStr">
        <is>
          <t>Risk = 0,65×OutOfContext + 0,20×Contradiction + 0,15×Uncertainty = 0,65×0.3627 + 0,20×0.0000 + 0,15×0.00 = 0.2358 [RENDAH]</t>
        </is>
      </c>
      <c r="F573" t="n">
        <v>0.2358</v>
      </c>
      <c r="G573" s="3" t="inlineStr">
        <is>
          <t>label: RENDAH; kontradiksi 0/39 kalimat; uncertainty flag: False</t>
        </is>
      </c>
    </row>
    <row r="574">
      <c r="A574" t="n">
        <v>39</v>
      </c>
      <c r="B574" t="inlineStr">
        <is>
          <t>B</t>
        </is>
      </c>
      <c r="C574" t="inlineStr">
        <is>
          <t>Answer Accuracy (Pers. 20)</t>
        </is>
      </c>
      <c r="D574" s="3" t="inlineStr">
        <is>
          <t>Correctᵢ ∈ {0,1} via LLM-as-Judge (HASIL: BENAR/SALAH)</t>
        </is>
      </c>
      <c r="E574" s="3" t="inlineStr">
        <is>
          <t>Jawaban sistem:</t>
        </is>
      </c>
      <c r="F574" t="inlineStr">
        <is>
          <t>SALAH</t>
        </is>
      </c>
      <c r="G574" s="3" t="inlineStr">
        <is>
          <t>evaluator: ollama/llama3</t>
        </is>
      </c>
    </row>
    <row r="575">
      <c r="A575" t="n">
        <v>40</v>
      </c>
      <c r="B575" t="inlineStr">
        <is>
          <t>A</t>
        </is>
      </c>
      <c r="C575" t="inlineStr">
        <is>
          <t>Precision@K (Pers. 2)</t>
        </is>
      </c>
      <c r="D575" s="3" t="inlineStr">
        <is>
          <t>Precision@K = |{d ∈ TopK : sim(q,d) ≥ θ}| / K</t>
        </is>
      </c>
      <c r="E575" s="3" t="inlineStr">
        <is>
          <t>skor = [0.8068, 0.7816, 0.7593, 0.7555, 0.7435, 0.7312] → 6 / 6</t>
        </is>
      </c>
      <c r="F575" t="n">
        <v>1</v>
      </c>
      <c r="G575" s="3" t="inlineStr">
        <is>
          <t>basis: skor chunk nyata (sesuai contoh Pers. 2 skripsi)</t>
        </is>
      </c>
    </row>
    <row r="576">
      <c r="A576" t="n">
        <v>40</v>
      </c>
      <c r="B576" t="inlineStr">
        <is>
          <t>A</t>
        </is>
      </c>
      <c r="C576" t="inlineStr">
        <is>
          <t>Recall@K (Pers. 4)</t>
        </is>
      </c>
      <c r="D576" s="3" t="inlineStr">
        <is>
          <t>Recall@K = |{kata kunci ditemukan : sim ≥ θ}| / |R|</t>
        </is>
      </c>
      <c r="E576" s="3" t="inlineStr">
        <is>
          <t>skor = [0.6827, 0.6432, 0.5295, 0.4508, 0.4371, 0.4311] → 6 / 6</t>
        </is>
      </c>
      <c r="F576" t="n">
        <v>1</v>
      </c>
      <c r="G576" s="3" t="inlineStr"/>
    </row>
    <row r="577">
      <c r="A577" t="n">
        <v>40</v>
      </c>
      <c r="B577" t="inlineStr">
        <is>
          <t>A</t>
        </is>
      </c>
      <c r="C577" t="inlineStr">
        <is>
          <t>Mean Similarity (Pers. 6)</t>
        </is>
      </c>
      <c r="D577" s="3" t="inlineStr">
        <is>
          <t>MeanSim = (1/K) × Σ sim(q, dᵢ)</t>
        </is>
      </c>
      <c r="E577" s="3" t="inlineStr">
        <is>
          <t>skor = [0.8068, 0.7816, 0.7593, 0.7555, 0.7435, 0.7312] → (0.8068 + 0.7816 + 0.7593 + 0.7555 + 0.7435 + 0.7312) / 6</t>
        </is>
      </c>
      <c r="F577" t="n">
        <v>0.763</v>
      </c>
      <c r="G577" s="3" t="inlineStr"/>
    </row>
    <row r="578">
      <c r="A578" t="n">
        <v>40</v>
      </c>
      <c r="B578" t="inlineStr">
        <is>
          <t>A</t>
        </is>
      </c>
      <c r="C578" t="inlineStr">
        <is>
          <t>Coverage (Pers. 8)</t>
        </is>
      </c>
      <c r="D578" s="3" t="inlineStr">
        <is>
          <t>Coverage = |{dᵢ ∈ TopK : sim(q,dᵢ) ≥ θc}| / K</t>
        </is>
      </c>
      <c r="E578" s="3" t="inlineStr">
        <is>
          <t>skor = [0.8068, 0.7816, 0.7593, 0.7555, 0.7435, 0.7312] → 6 / 6</t>
        </is>
      </c>
      <c r="F578" t="n">
        <v>1</v>
      </c>
      <c r="G578" s="3" t="inlineStr"/>
    </row>
    <row r="579">
      <c r="A579" t="n">
        <v>40</v>
      </c>
      <c r="B579" t="inlineStr">
        <is>
          <t>A</t>
        </is>
      </c>
      <c r="C579" t="inlineStr">
        <is>
          <t>Source Diversity (Pers. 10)</t>
        </is>
      </c>
      <c r="D579" s="3" t="inlineStr">
        <is>
          <t>Diversity = |sumber unik dalam TopK| / K</t>
        </is>
      </c>
      <c r="E579" s="3" t="inlineStr">
        <is>
          <t>skor = ['GT_CT07.txt', 'GT_CT11.txt', 'GT_DETAIL_PT10_Percabangan.txt', 'GT_DETAIL_PT11_Perulangan.txt', 'GT_SUBTOPIK_05_Pseudocode_Algoritme.txt'] → 5 / 6</t>
        </is>
      </c>
      <c r="F579" t="n">
        <v>0.8333</v>
      </c>
      <c r="G579" s="3" t="inlineStr">
        <is>
          <t>file unik: GT_CT07.txt, GT_CT11.txt, GT_DETAIL_PT10_Percabangan.txt, GT_DETAIL_PT11_Perulangan.txt, GT_SUBTOPIK_05_Pseudocode_Algoritme.txt</t>
        </is>
      </c>
    </row>
    <row r="580">
      <c r="A580" t="n">
        <v>40</v>
      </c>
      <c r="B580" t="inlineStr">
        <is>
          <t>A</t>
        </is>
      </c>
      <c r="C580" t="inlineStr">
        <is>
          <t>Faithfulness (Pers. 15)</t>
        </is>
      </c>
      <c r="D580" s="3" t="inlineStr">
        <is>
          <t>F = 0,70×Entailment + 0,30×KWoverlap</t>
        </is>
      </c>
      <c r="E580" s="3" t="inlineStr">
        <is>
          <t>Faithfulness = 0,70×Entailment + 0,30×KWoverlap = 0,70×1.0000 + 0,30×0.3132 = 0.7940  (entailment: 6/6 klaim didukung; KWoverlap = (|∩|/|ctx|)^0,65 = (29/173)^0,65 = 0.1676^0,65 = 0.3132)</t>
        </is>
      </c>
      <c r="F580" t="n">
        <v>0.794</v>
      </c>
      <c r="G580" s="3" t="inlineStr">
        <is>
          <t>metode: llm_entailment + keyword</t>
        </is>
      </c>
    </row>
    <row r="581">
      <c r="A581" t="n">
        <v>40</v>
      </c>
      <c r="B581" t="inlineStr">
        <is>
          <t>A</t>
        </is>
      </c>
      <c r="C581" t="inlineStr">
        <is>
          <t>— Entailment (Pers. 12-13)</t>
        </is>
      </c>
      <c r="D581" s="3" t="inlineStr">
        <is>
          <t>Entailment = Σverdict(sᵢ)/m</t>
        </is>
      </c>
      <c r="E581" s="3" t="inlineStr">
        <is>
          <t>6 klaim YA dari 6 klaim dievaluasi</t>
        </is>
      </c>
      <c r="F581" t="n">
        <v>1</v>
      </c>
      <c r="G581" s="3" t="inlineStr">
        <is>
          <t>verdict per klaim: sheet 'Entailment Detail'</t>
        </is>
      </c>
    </row>
    <row r="582">
      <c r="A582" t="n">
        <v>40</v>
      </c>
      <c r="B582" t="inlineStr">
        <is>
          <t>A</t>
        </is>
      </c>
      <c r="C582" t="inlineStr">
        <is>
          <t>— Keyword Overlap (Pers. 14)</t>
        </is>
      </c>
      <c r="D582" s="3" t="inlineStr">
        <is>
          <t>KWoverlap = (|Stems(ans)∩Stems(ctx)| / |Stems(ctx)|)^0,65</t>
        </is>
      </c>
      <c r="E582" s="3" t="inlineStr">
        <is>
          <t>KWoverlap = (|∩|/|ctx|)^0,65 = (29/173)^0,65 = 0.1676^0,65 = 0.3132</t>
        </is>
      </c>
      <c r="F582" t="n">
        <v>0.3132</v>
      </c>
      <c r="G582" s="3" t="inlineStr"/>
    </row>
    <row r="583">
      <c r="A583" t="n">
        <v>40</v>
      </c>
      <c r="B583" t="inlineStr">
        <is>
          <t>A</t>
        </is>
      </c>
      <c r="C583" t="inlineStr">
        <is>
          <t>Hallucination Risk (Pers. 18)</t>
        </is>
      </c>
      <c r="D583" s="3" t="inlineStr">
        <is>
          <t>Risk = 0,65×(1-F) + 0,20×Contradiction + 0,15×Uncertainty</t>
        </is>
      </c>
      <c r="E583" s="3" t="inlineStr">
        <is>
          <t>Risk = 0,65×OutOfContext + 0,20×Contradiction + 0,15×Uncertainty = 0,65×0.2060 + 0,20×0.0000 + 0,15×0.00 = 0.1339 [RENDAH]</t>
        </is>
      </c>
      <c r="F583" t="n">
        <v>0.1339</v>
      </c>
      <c r="G583" s="3" t="inlineStr">
        <is>
          <t>label: RENDAH; kontradiksi 0/28 kalimat; uncertainty flag: False</t>
        </is>
      </c>
    </row>
    <row r="584">
      <c r="A584" t="n">
        <v>40</v>
      </c>
      <c r="B584" t="inlineStr">
        <is>
          <t>A</t>
        </is>
      </c>
      <c r="C584" t="inlineStr">
        <is>
          <t>Answer Accuracy (Pers. 20)</t>
        </is>
      </c>
      <c r="D584" s="3" t="inlineStr">
        <is>
          <t>Correctᵢ ∈ {0,1} via LLM-as-Judge (HASIL: BENAR/SALAH)</t>
        </is>
      </c>
      <c r="E584" s="3" t="inlineStr">
        <is>
          <t>Jawaban sistem: .
Alasan: Meskipun sistem hanya membahas tentang perulangan "do-while" dalam pseudocode CT, namun itu bukan berarti do-while loop tidak ada di pseudocode CT. Dalam GT (Ground Truth), terdapat contoh iterasi berdasarkan kondisi yang menggunakan while loop, serta penjelasan tentang bagaimana simulasi do-while dengan while biasa. Oleh karena itu, jawaban sistem "SALAH" karena do-whil</t>
        </is>
      </c>
      <c r="F584" t="inlineStr">
        <is>
          <t>SALAH</t>
        </is>
      </c>
      <c r="G584" s="3" t="inlineStr">
        <is>
          <t>evaluator: ollama/llama3</t>
        </is>
      </c>
    </row>
    <row r="585">
      <c r="A585" t="n">
        <v>40</v>
      </c>
      <c r="B585" t="inlineStr">
        <is>
          <t>B</t>
        </is>
      </c>
      <c r="C585" t="inlineStr">
        <is>
          <t>Faithfulness (Pers. 15)</t>
        </is>
      </c>
      <c r="D585" s="3" t="inlineStr">
        <is>
          <t>F = 0,70×Entailment + 0,30×KWoverlap</t>
        </is>
      </c>
      <c r="E585" s="3" t="inlineStr">
        <is>
          <t>Faithfulness = 0,70×Entailment + 0,30×KWoverlap = 0,70×1.0000 + 0,30×0.2297 = 0.7689  (entailment: 6/6 klaim didukung; KWoverlap = (|∩|/|ctx|)^0,65 = (18/173)^0,65 = 0.1040^0,65 = 0.2297)</t>
        </is>
      </c>
      <c r="F585" t="n">
        <v>0.7689</v>
      </c>
      <c r="G585" s="3" t="inlineStr">
        <is>
          <t>metode: llm_entailment + keyword</t>
        </is>
      </c>
    </row>
    <row r="586">
      <c r="A586" t="n">
        <v>40</v>
      </c>
      <c r="B586" t="inlineStr">
        <is>
          <t>B</t>
        </is>
      </c>
      <c r="C586" t="inlineStr">
        <is>
          <t>— Entailment (Pers. 12-13)</t>
        </is>
      </c>
      <c r="D586" s="3" t="inlineStr">
        <is>
          <t>Entailment = Σverdict(sᵢ)/m</t>
        </is>
      </c>
      <c r="E586" s="3" t="inlineStr">
        <is>
          <t>6 klaim YA dari 6 klaim dievaluasi</t>
        </is>
      </c>
      <c r="F586" t="n">
        <v>1</v>
      </c>
      <c r="G586" s="3" t="inlineStr">
        <is>
          <t>verdict per klaim: sheet 'Entailment Detail'</t>
        </is>
      </c>
    </row>
    <row r="587">
      <c r="A587" t="n">
        <v>40</v>
      </c>
      <c r="B587" t="inlineStr">
        <is>
          <t>B</t>
        </is>
      </c>
      <c r="C587" t="inlineStr">
        <is>
          <t>— Keyword Overlap (Pers. 14)</t>
        </is>
      </c>
      <c r="D587" s="3" t="inlineStr">
        <is>
          <t>KWoverlap = (|Stems(ans)∩Stems(ctx)| / |Stems(ctx)|)^0,65</t>
        </is>
      </c>
      <c r="E587" s="3" t="inlineStr">
        <is>
          <t>KWoverlap = (|∩|/|ctx|)^0,65 = (18/173)^0,65 = 0.1040^0,65 = 0.2297</t>
        </is>
      </c>
      <c r="F587" t="n">
        <v>0.2297</v>
      </c>
      <c r="G587" s="3" t="inlineStr"/>
    </row>
    <row r="588">
      <c r="A588" t="n">
        <v>40</v>
      </c>
      <c r="B588" t="inlineStr">
        <is>
          <t>B</t>
        </is>
      </c>
      <c r="C588" t="inlineStr">
        <is>
          <t>Hallucination Risk (Pers. 18)</t>
        </is>
      </c>
      <c r="D588" s="3" t="inlineStr">
        <is>
          <t>Risk = 0,65×(1-F) + 0,20×Contradiction + 0,15×Uncertainty</t>
        </is>
      </c>
      <c r="E588" s="3" t="inlineStr">
        <is>
          <t>Risk = 0,65×OutOfContext + 0,20×Contradiction + 0,15×Uncertainty = 0,65×0.2311 + 0,20×0.0000 + 0,15×0.00 = 0.1502 [RENDAH]</t>
        </is>
      </c>
      <c r="F588" t="n">
        <v>0.1502</v>
      </c>
      <c r="G588" s="3" t="inlineStr">
        <is>
          <t>label: RENDAH; kontradiksi 0/20 kalimat; uncertainty flag: False</t>
        </is>
      </c>
    </row>
    <row r="589">
      <c r="A589" t="n">
        <v>40</v>
      </c>
      <c r="B589" t="inlineStr">
        <is>
          <t>B</t>
        </is>
      </c>
      <c r="C589" t="inlineStr">
        <is>
          <t>Answer Accuracy (Pers. 20)</t>
        </is>
      </c>
      <c r="D589" s="3" t="inlineStr">
        <is>
          <t>Correctᵢ ∈ {0,1} via LLM-as-Judge (HASIL: BENAR/SALAH)</t>
        </is>
      </c>
      <c r="E589" s="3" t="inlineStr">
        <is>
          <t>Jawaban sistem: 
Alasan: Jawaban sistem menjelaskan bahwa do-while loop tidak ada di pseudocode CT, namun juga memberikan contoh bagaimana simulasi do-while loop dapat dilakukan dengan menggunakan while loop biasa, sehingga konsep utama tercakup meski tidak persis sama. Referensi materi GT juga mendukung jawaban ini, karena materi GT hanya membahas for dan while loops, namun memberikan contoh ite</t>
        </is>
      </c>
      <c r="F589" t="inlineStr">
        <is>
          <t>BENAR</t>
        </is>
      </c>
      <c r="G589" s="3" t="inlineStr">
        <is>
          <t>evaluator: ollama/llama3</t>
        </is>
      </c>
    </row>
    <row r="590">
      <c r="A590" t="n">
        <v>41</v>
      </c>
      <c r="B590" t="inlineStr">
        <is>
          <t>A</t>
        </is>
      </c>
      <c r="C590" t="inlineStr">
        <is>
          <t>Precision@K (Pers. 2)</t>
        </is>
      </c>
      <c r="D590" s="3" t="inlineStr">
        <is>
          <t>Precision@K = |{d ∈ TopK : sim(q,d) ≥ θ}| / K</t>
        </is>
      </c>
      <c r="E590" s="3" t="inlineStr">
        <is>
          <t>skor = [0.748, 0.7345, 0.7295, 0.7244, 0.7221, 0.7199] → 6 / 6</t>
        </is>
      </c>
      <c r="F590" t="n">
        <v>1</v>
      </c>
      <c r="G590" s="3" t="inlineStr">
        <is>
          <t>basis: skor chunk nyata (sesuai contoh Pers. 2 skripsi)</t>
        </is>
      </c>
    </row>
    <row r="591">
      <c r="A591" t="n">
        <v>41</v>
      </c>
      <c r="B591" t="inlineStr">
        <is>
          <t>A</t>
        </is>
      </c>
      <c r="C591" t="inlineStr">
        <is>
          <t>Recall@K (Pers. 4)</t>
        </is>
      </c>
      <c r="D591" s="3" t="inlineStr">
        <is>
          <t>Recall@K = |{kata kunci ditemukan : sim ≥ θ}| / |R|</t>
        </is>
      </c>
      <c r="E591" s="3" t="inlineStr">
        <is>
          <t>skor = [0.6936, 0.5723, 0.5204, 0.4899, 0.4803, 0.4001] → 6 / 6</t>
        </is>
      </c>
      <c r="F591" t="n">
        <v>1</v>
      </c>
      <c r="G591" s="3" t="inlineStr"/>
    </row>
    <row r="592">
      <c r="A592" t="n">
        <v>41</v>
      </c>
      <c r="B592" t="inlineStr">
        <is>
          <t>A</t>
        </is>
      </c>
      <c r="C592" t="inlineStr">
        <is>
          <t>Mean Similarity (Pers. 6)</t>
        </is>
      </c>
      <c r="D592" s="3" t="inlineStr">
        <is>
          <t>MeanSim = (1/K) × Σ sim(q, dᵢ)</t>
        </is>
      </c>
      <c r="E592" s="3" t="inlineStr">
        <is>
          <t>skor = [0.748, 0.7345, 0.7295, 0.7244, 0.7221, 0.7199] → (0.7480 + 0.7345 + 0.7295 + 0.7244 + 0.7221 + 0.7199) / 6</t>
        </is>
      </c>
      <c r="F592" t="n">
        <v>0.7297</v>
      </c>
      <c r="G592" s="3" t="inlineStr"/>
    </row>
    <row r="593">
      <c r="A593" t="n">
        <v>41</v>
      </c>
      <c r="B593" t="inlineStr">
        <is>
          <t>A</t>
        </is>
      </c>
      <c r="C593" t="inlineStr">
        <is>
          <t>Coverage (Pers. 8)</t>
        </is>
      </c>
      <c r="D593" s="3" t="inlineStr">
        <is>
          <t>Coverage = |{dᵢ ∈ TopK : sim(q,dᵢ) ≥ θc}| / K</t>
        </is>
      </c>
      <c r="E593" s="3" t="inlineStr">
        <is>
          <t>skor = [0.748, 0.7345, 0.7295, 0.7244, 0.7221, 0.7199] → 6 / 6</t>
        </is>
      </c>
      <c r="F593" t="n">
        <v>1</v>
      </c>
      <c r="G593" s="3" t="inlineStr"/>
    </row>
    <row r="594">
      <c r="A594" t="n">
        <v>41</v>
      </c>
      <c r="B594" t="inlineStr">
        <is>
          <t>A</t>
        </is>
      </c>
      <c r="C594" t="inlineStr">
        <is>
          <t>Source Diversity (Pers. 10)</t>
        </is>
      </c>
      <c r="D594" s="3" t="inlineStr">
        <is>
          <t>Diversity = |sumber unik dalam TopK| / K</t>
        </is>
      </c>
      <c r="E594" s="3" t="inlineStr">
        <is>
          <t>skor = ['GT_CT07.txt', 'GT_CT09.txt', 'GT_CT11.txt', 'GT_DETAIL_PT04_Abstraksi.txt', 'GT_DETAIL_PT09_Variabel_TipeData_Operator_List.txt', 'GT_SUBTOPIK_02_Abstraksi_Formulasi.txt'] → 6 / 6</t>
        </is>
      </c>
      <c r="F594" t="n">
        <v>1</v>
      </c>
      <c r="G594" s="3" t="inlineStr">
        <is>
          <t>file unik: GT_CT07.txt, GT_CT09.txt, GT_CT11.txt, GT_DETAIL_PT04_Abstraksi.txt, GT_DETAIL_PT09_Variabel_TipeData_Operator_List.txt, GT_SUBTOPIK_02_Abstraksi_Formulasi.txt</t>
        </is>
      </c>
    </row>
    <row r="595">
      <c r="A595" t="n">
        <v>41</v>
      </c>
      <c r="B595" t="inlineStr">
        <is>
          <t>A</t>
        </is>
      </c>
      <c r="C595" t="inlineStr">
        <is>
          <t>Faithfulness (Pers. 15)</t>
        </is>
      </c>
      <c r="D595" s="3" t="inlineStr">
        <is>
          <t>F = 0,70×Entailment + 0,30×KWoverlap</t>
        </is>
      </c>
      <c r="E595" s="3" t="inlineStr">
        <is>
          <t>Faithfulness = 0,70×Entailment + 0,30×KWoverlap = 0,70×1.0000 + 0,30×0.2109 = 0.7633  (entailment: 6/6 klaim didukung; KWoverlap = (|∩|/|ctx|)^0,65 = (27/296)^0,65 = 0.0912^0,65 = 0.2109)</t>
        </is>
      </c>
      <c r="F595" t="n">
        <v>0.7633</v>
      </c>
      <c r="G595" s="3" t="inlineStr">
        <is>
          <t>metode: llm_entailment + keyword</t>
        </is>
      </c>
    </row>
    <row r="596">
      <c r="A596" t="n">
        <v>41</v>
      </c>
      <c r="B596" t="inlineStr">
        <is>
          <t>A</t>
        </is>
      </c>
      <c r="C596" t="inlineStr">
        <is>
          <t>— Entailment (Pers. 12-13)</t>
        </is>
      </c>
      <c r="D596" s="3" t="inlineStr">
        <is>
          <t>Entailment = Σverdict(sᵢ)/m</t>
        </is>
      </c>
      <c r="E596" s="3" t="inlineStr">
        <is>
          <t>6 klaim YA dari 6 klaim dievaluasi</t>
        </is>
      </c>
      <c r="F596" t="n">
        <v>1</v>
      </c>
      <c r="G596" s="3" t="inlineStr">
        <is>
          <t>verdict per klaim: sheet 'Entailment Detail'</t>
        </is>
      </c>
    </row>
    <row r="597">
      <c r="A597" t="n">
        <v>41</v>
      </c>
      <c r="B597" t="inlineStr">
        <is>
          <t>A</t>
        </is>
      </c>
      <c r="C597" t="inlineStr">
        <is>
          <t>— Keyword Overlap (Pers. 14)</t>
        </is>
      </c>
      <c r="D597" s="3" t="inlineStr">
        <is>
          <t>KWoverlap = (|Stems(ans)∩Stems(ctx)| / |Stems(ctx)|)^0,65</t>
        </is>
      </c>
      <c r="E597" s="3" t="inlineStr">
        <is>
          <t>KWoverlap = (|∩|/|ctx|)^0,65 = (27/296)^0,65 = 0.0912^0,65 = 0.2109</t>
        </is>
      </c>
      <c r="F597" t="n">
        <v>0.2109</v>
      </c>
      <c r="G597" s="3" t="inlineStr"/>
    </row>
    <row r="598">
      <c r="A598" t="n">
        <v>41</v>
      </c>
      <c r="B598" t="inlineStr">
        <is>
          <t>A</t>
        </is>
      </c>
      <c r="C598" t="inlineStr">
        <is>
          <t>Hallucination Risk (Pers. 18)</t>
        </is>
      </c>
      <c r="D598" s="3" t="inlineStr">
        <is>
          <t>Risk = 0,65×(1-F) + 0,20×Contradiction + 0,15×Uncertainty</t>
        </is>
      </c>
      <c r="E598" s="3" t="inlineStr">
        <is>
          <t>Risk = 0,65×OutOfContext + 0,20×Contradiction + 0,15×Uncertainty = 0,65×0.2367 + 0,20×0.0000 + 0,15×0.00 = 0.1539 [RENDAH]</t>
        </is>
      </c>
      <c r="F598" t="n">
        <v>0.1539</v>
      </c>
      <c r="G598" s="3" t="inlineStr">
        <is>
          <t>label: RENDAH; kontradiksi 0/22 kalimat; uncertainty flag: False</t>
        </is>
      </c>
    </row>
    <row r="599">
      <c r="A599" t="n">
        <v>41</v>
      </c>
      <c r="B599" t="inlineStr">
        <is>
          <t>A</t>
        </is>
      </c>
      <c r="C599" t="inlineStr">
        <is>
          <t>Answer Accuracy (Pers. 20)</t>
        </is>
      </c>
      <c r="D599" s="3" t="inlineStr">
        <is>
          <t>Correctᵢ ∈ {0,1} via LLM-as-Judge (HASIL: BENAR/SALAH)</t>
        </is>
      </c>
      <c r="E599" s="3" t="inlineStr">
        <is>
          <t>JAWABAN: 
Sistem menjawab dengan topik yang tidak relevan dengan pertanyaan asli tentang membuat segitiga bintang terbalik, sehingga jawaban sistem SALAH berdasarkan referensi.</t>
        </is>
      </c>
      <c r="F599" t="inlineStr">
        <is>
          <t>SALAH</t>
        </is>
      </c>
      <c r="G599" s="3" t="inlineStr">
        <is>
          <t>evaluator: ollama/llama3</t>
        </is>
      </c>
    </row>
    <row r="600">
      <c r="A600" t="n">
        <v>41</v>
      </c>
      <c r="B600" t="inlineStr">
        <is>
          <t>B</t>
        </is>
      </c>
      <c r="C600" t="inlineStr">
        <is>
          <t>Faithfulness (Pers. 15)</t>
        </is>
      </c>
      <c r="D600" s="3" t="inlineStr">
        <is>
          <t>F = 0,70×Entailment + 0,30×KWoverlap</t>
        </is>
      </c>
      <c r="E600" s="3" t="inlineStr">
        <is>
          <t>Faithfulness = 0,70×Entailment + 0,30×KWoverlap = 0,70×1.0000 + 0,30×0.2450 = 0.7735  (entailment: 6/6 klaim didukung; KWoverlap = (|∩|/|ctx|)^0,65 = (34/296)^0,65 = 0.1149^0,65 = 0.2450)</t>
        </is>
      </c>
      <c r="F600" t="n">
        <v>0.7735</v>
      </c>
      <c r="G600" s="3" t="inlineStr">
        <is>
          <t>metode: llm_entailment + keyword</t>
        </is>
      </c>
    </row>
    <row r="601">
      <c r="A601" t="n">
        <v>41</v>
      </c>
      <c r="B601" t="inlineStr">
        <is>
          <t>B</t>
        </is>
      </c>
      <c r="C601" t="inlineStr">
        <is>
          <t>— Entailment (Pers. 12-13)</t>
        </is>
      </c>
      <c r="D601" s="3" t="inlineStr">
        <is>
          <t>Entailment = Σverdict(sᵢ)/m</t>
        </is>
      </c>
      <c r="E601" s="3" t="inlineStr">
        <is>
          <t>6 klaim YA dari 6 klaim dievaluasi</t>
        </is>
      </c>
      <c r="F601" t="n">
        <v>1</v>
      </c>
      <c r="G601" s="3" t="inlineStr">
        <is>
          <t>verdict per klaim: sheet 'Entailment Detail'</t>
        </is>
      </c>
    </row>
    <row r="602">
      <c r="A602" t="n">
        <v>41</v>
      </c>
      <c r="B602" t="inlineStr">
        <is>
          <t>B</t>
        </is>
      </c>
      <c r="C602" t="inlineStr">
        <is>
          <t>— Keyword Overlap (Pers. 14)</t>
        </is>
      </c>
      <c r="D602" s="3" t="inlineStr">
        <is>
          <t>KWoverlap = (|Stems(ans)∩Stems(ctx)| / |Stems(ctx)|)^0,65</t>
        </is>
      </c>
      <c r="E602" s="3" t="inlineStr">
        <is>
          <t>KWoverlap = (|∩|/|ctx|)^0,65 = (34/296)^0,65 = 0.1149^0,65 = 0.2450</t>
        </is>
      </c>
      <c r="F602" t="n">
        <v>0.245</v>
      </c>
      <c r="G602" s="3" t="inlineStr"/>
    </row>
    <row r="603">
      <c r="A603" t="n">
        <v>41</v>
      </c>
      <c r="B603" t="inlineStr">
        <is>
          <t>B</t>
        </is>
      </c>
      <c r="C603" t="inlineStr">
        <is>
          <t>Hallucination Risk (Pers. 18)</t>
        </is>
      </c>
      <c r="D603" s="3" t="inlineStr">
        <is>
          <t>Risk = 0,65×(1-F) + 0,20×Contradiction + 0,15×Uncertainty</t>
        </is>
      </c>
      <c r="E603" s="3" t="inlineStr">
        <is>
          <t>Risk = 0,65×OutOfContext + 0,20×Contradiction + 0,15×Uncertainty = 0,65×0.2265 + 0,20×0.0000 + 0,15×0.00 = 0.1472 [RENDAH]</t>
        </is>
      </c>
      <c r="F603" t="n">
        <v>0.1472</v>
      </c>
      <c r="G603" s="3" t="inlineStr">
        <is>
          <t>label: RENDAH; kontradiksi 0/17 kalimat; uncertainty flag: False</t>
        </is>
      </c>
    </row>
    <row r="604">
      <c r="A604" t="n">
        <v>41</v>
      </c>
      <c r="B604" t="inlineStr">
        <is>
          <t>B</t>
        </is>
      </c>
      <c r="C604" t="inlineStr">
        <is>
          <t>Answer Accuracy (Pers. 20)</t>
        </is>
      </c>
      <c r="D604" s="3" t="inlineStr">
        <is>
          <t>Correctᵢ ∈ {0,1} via LLM-as-Judge (HASIL: BENAR/SALAH)</t>
        </is>
      </c>
      <c r="E604" s="3" t="inlineStr">
        <is>
          <t>BENAR</t>
        </is>
      </c>
      <c r="F604" t="inlineStr">
        <is>
          <t>BENAR</t>
        </is>
      </c>
      <c r="G604" s="3" t="inlineStr">
        <is>
          <t>evaluator: ollama/llama3</t>
        </is>
      </c>
    </row>
    <row r="605">
      <c r="A605" t="n">
        <v>42</v>
      </c>
      <c r="B605" t="inlineStr">
        <is>
          <t>A</t>
        </is>
      </c>
      <c r="C605" t="inlineStr">
        <is>
          <t>Precision@K (Pers. 2)</t>
        </is>
      </c>
      <c r="D605" s="3" t="inlineStr">
        <is>
          <t>Precision@K = |{d ∈ TopK : sim(q,d) ≥ θ}| / K</t>
        </is>
      </c>
      <c r="E605" s="3" t="inlineStr">
        <is>
          <t>skor = [0.8295, 0.788, 0.7774, 0.7726, 0.754, 0.754] → 6 / 6</t>
        </is>
      </c>
      <c r="F605" t="n">
        <v>1</v>
      </c>
      <c r="G605" s="3" t="inlineStr">
        <is>
          <t>basis: skor chunk nyata (sesuai contoh Pers. 2 skripsi)</t>
        </is>
      </c>
    </row>
    <row r="606">
      <c r="A606" t="n">
        <v>42</v>
      </c>
      <c r="B606" t="inlineStr">
        <is>
          <t>A</t>
        </is>
      </c>
      <c r="C606" t="inlineStr">
        <is>
          <t>Recall@K (Pers. 4)</t>
        </is>
      </c>
      <c r="D606" s="3" t="inlineStr">
        <is>
          <t>Recall@K = |{kata kunci ditemukan : sim ≥ θ}| / |R|</t>
        </is>
      </c>
      <c r="E606" s="3" t="inlineStr">
        <is>
          <t>skor = [0.6449, 0.5845, 0.5326, 0.5279, 0.5265, 0.4934] → 6 / 6</t>
        </is>
      </c>
      <c r="F606" t="n">
        <v>1</v>
      </c>
      <c r="G606" s="3" t="inlineStr"/>
    </row>
    <row r="607">
      <c r="A607" t="n">
        <v>42</v>
      </c>
      <c r="B607" t="inlineStr">
        <is>
          <t>A</t>
        </is>
      </c>
      <c r="C607" t="inlineStr">
        <is>
          <t>Mean Similarity (Pers. 6)</t>
        </is>
      </c>
      <c r="D607" s="3" t="inlineStr">
        <is>
          <t>MeanSim = (1/K) × Σ sim(q, dᵢ)</t>
        </is>
      </c>
      <c r="E607" s="3" t="inlineStr">
        <is>
          <t>skor = [0.8295, 0.788, 0.7774, 0.7726, 0.754, 0.754] → (0.8295 + 0.7880 + 0.7774 + 0.7726 + 0.7540 + 0.7540) / 6</t>
        </is>
      </c>
      <c r="F607" t="n">
        <v>0.7792</v>
      </c>
      <c r="G607" s="3" t="inlineStr"/>
    </row>
    <row r="608">
      <c r="A608" t="n">
        <v>42</v>
      </c>
      <c r="B608" t="inlineStr">
        <is>
          <t>A</t>
        </is>
      </c>
      <c r="C608" t="inlineStr">
        <is>
          <t>Coverage (Pers. 8)</t>
        </is>
      </c>
      <c r="D608" s="3" t="inlineStr">
        <is>
          <t>Coverage = |{dᵢ ∈ TopK : sim(q,dᵢ) ≥ θc}| / K</t>
        </is>
      </c>
      <c r="E608" s="3" t="inlineStr">
        <is>
          <t>skor = [0.8295, 0.788, 0.7774, 0.7726, 0.754, 0.754] → 6 / 6</t>
        </is>
      </c>
      <c r="F608" t="n">
        <v>1</v>
      </c>
      <c r="G608" s="3" t="inlineStr"/>
    </row>
    <row r="609">
      <c r="A609" t="n">
        <v>42</v>
      </c>
      <c r="B609" t="inlineStr">
        <is>
          <t>A</t>
        </is>
      </c>
      <c r="C609" t="inlineStr">
        <is>
          <t>Source Diversity (Pers. 10)</t>
        </is>
      </c>
      <c r="D609" s="3" t="inlineStr">
        <is>
          <t>Diversity = |sumber unik dalam TopK| / K</t>
        </is>
      </c>
      <c r="E609" s="3" t="inlineStr">
        <is>
          <t>skor = ['GT_CT11.txt', 'GT_DETAIL_PT07_Notasi_Algoritme.txt', 'GT_DETAIL_PT09_Variabel_TipeData_Operator_List.txt', 'GT_DETAIL_PT11_Perulangan.txt', 'GT_SUBTOPIK_14_Kompleksitas_BigO.txt'] → 5 / 6</t>
        </is>
      </c>
      <c r="F609" t="n">
        <v>0.8333</v>
      </c>
      <c r="G609" s="3" t="inlineStr">
        <is>
          <t>file unik: GT_CT11.txt, GT_DETAIL_PT07_Notasi_Algoritme.txt, GT_DETAIL_PT09_Variabel_TipeData_Operator_List.txt, GT_DETAIL_PT11_Perulangan.txt, GT_SUBTOPIK_14_Kompleksitas_BigO.txt</t>
        </is>
      </c>
    </row>
    <row r="610">
      <c r="A610" t="n">
        <v>42</v>
      </c>
      <c r="B610" t="inlineStr">
        <is>
          <t>A</t>
        </is>
      </c>
      <c r="C610" t="inlineStr">
        <is>
          <t>Faithfulness (Pers. 15)</t>
        </is>
      </c>
      <c r="D610" s="3" t="inlineStr">
        <is>
          <t>F = 0,70×Entailment + 0,30×KWoverlap</t>
        </is>
      </c>
      <c r="E610" s="3" t="inlineStr">
        <is>
          <t>Faithfulness = 0,70×Entailment + 0,30×KWoverlap = 0,70×1.0000 + 0,30×0.3392 = 0.8017  (entailment: 6/6 klaim didukung; KWoverlap = (|∩|/|ctx|)^0,65 = (36/190)^0,65 = 0.1895^0,65 = 0.3392)</t>
        </is>
      </c>
      <c r="F610" t="n">
        <v>0.8017</v>
      </c>
      <c r="G610" s="3" t="inlineStr">
        <is>
          <t>metode: llm_entailment + keyword</t>
        </is>
      </c>
    </row>
    <row r="611">
      <c r="A611" t="n">
        <v>42</v>
      </c>
      <c r="B611" t="inlineStr">
        <is>
          <t>A</t>
        </is>
      </c>
      <c r="C611" t="inlineStr">
        <is>
          <t>— Entailment (Pers. 12-13)</t>
        </is>
      </c>
      <c r="D611" s="3" t="inlineStr">
        <is>
          <t>Entailment = Σverdict(sᵢ)/m</t>
        </is>
      </c>
      <c r="E611" s="3" t="inlineStr">
        <is>
          <t>6 klaim YA dari 6 klaim dievaluasi</t>
        </is>
      </c>
      <c r="F611" t="n">
        <v>1</v>
      </c>
      <c r="G611" s="3" t="inlineStr">
        <is>
          <t>verdict per klaim: sheet 'Entailment Detail'</t>
        </is>
      </c>
    </row>
    <row r="612">
      <c r="A612" t="n">
        <v>42</v>
      </c>
      <c r="B612" t="inlineStr">
        <is>
          <t>A</t>
        </is>
      </c>
      <c r="C612" t="inlineStr">
        <is>
          <t>— Keyword Overlap (Pers. 14)</t>
        </is>
      </c>
      <c r="D612" s="3" t="inlineStr">
        <is>
          <t>KWoverlap = (|Stems(ans)∩Stems(ctx)| / |Stems(ctx)|)^0,65</t>
        </is>
      </c>
      <c r="E612" s="3" t="inlineStr">
        <is>
          <t>KWoverlap = (|∩|/|ctx|)^0,65 = (36/190)^0,65 = 0.1895^0,65 = 0.3392</t>
        </is>
      </c>
      <c r="F612" t="n">
        <v>0.3392</v>
      </c>
      <c r="G612" s="3" t="inlineStr"/>
    </row>
    <row r="613">
      <c r="A613" t="n">
        <v>42</v>
      </c>
      <c r="B613" t="inlineStr">
        <is>
          <t>A</t>
        </is>
      </c>
      <c r="C613" t="inlineStr">
        <is>
          <t>Hallucination Risk (Pers. 18)</t>
        </is>
      </c>
      <c r="D613" s="3" t="inlineStr">
        <is>
          <t>Risk = 0,65×(1-F) + 0,20×Contradiction + 0,15×Uncertainty</t>
        </is>
      </c>
      <c r="E613" s="3" t="inlineStr">
        <is>
          <t>Risk = 0,65×OutOfContext + 0,20×Contradiction + 0,15×Uncertainty = 0,65×0.1983 + 0,20×0.0000 + 0,15×0.00 = 0.1289 [RENDAH]</t>
        </is>
      </c>
      <c r="F613" t="n">
        <v>0.1289</v>
      </c>
      <c r="G613" s="3" t="inlineStr">
        <is>
          <t>label: RENDAH; kontradiksi 0/15 kalimat; uncertainty flag: False</t>
        </is>
      </c>
    </row>
    <row r="614">
      <c r="A614" t="n">
        <v>42</v>
      </c>
      <c r="B614" t="inlineStr">
        <is>
          <t>A</t>
        </is>
      </c>
      <c r="C614" t="inlineStr">
        <is>
          <t>Answer Accuracy (Pers. 20)</t>
        </is>
      </c>
      <c r="D614" s="3" t="inlineStr">
        <is>
          <t>Correctᵢ ∈ {0,1} via LLM-as-Judge (HASIL: BENAR/SALAH)</t>
        </is>
      </c>
      <c r="E614" s="3" t="inlineStr">
        <is>
          <t>Jawaban sistem:</t>
        </is>
      </c>
      <c r="F614" t="inlineStr">
        <is>
          <t>BENAR</t>
        </is>
      </c>
      <c r="G614" s="3" t="inlineStr">
        <is>
          <t>evaluator: ollama/llama3</t>
        </is>
      </c>
    </row>
    <row r="615">
      <c r="A615" t="n">
        <v>42</v>
      </c>
      <c r="B615" t="inlineStr">
        <is>
          <t>B</t>
        </is>
      </c>
      <c r="C615" t="inlineStr">
        <is>
          <t>Faithfulness (Pers. 15)</t>
        </is>
      </c>
      <c r="D615" s="3" t="inlineStr">
        <is>
          <t>F = 0,70×Entailment + 0,30×KWoverlap</t>
        </is>
      </c>
      <c r="E615" s="3" t="inlineStr">
        <is>
          <t>Faithfulness = 0,70×Entailment + 0,30×KWoverlap = 0,70×0.8333 + 0,30×0.1661 = 0.6331  (entailment: 5/6 klaim didukung; KWoverlap = (|∩|/|ctx|)^0,65 = (12/190)^0,65 = 0.0632^0,65 = 0.1661)</t>
        </is>
      </c>
      <c r="F615" t="n">
        <v>0.6331</v>
      </c>
      <c r="G615" s="3" t="inlineStr">
        <is>
          <t>metode: llm_entailment + keyword</t>
        </is>
      </c>
    </row>
    <row r="616">
      <c r="A616" t="n">
        <v>42</v>
      </c>
      <c r="B616" t="inlineStr">
        <is>
          <t>B</t>
        </is>
      </c>
      <c r="C616" t="inlineStr">
        <is>
          <t>— Entailment (Pers. 12-13)</t>
        </is>
      </c>
      <c r="D616" s="3" t="inlineStr">
        <is>
          <t>Entailment = Σverdict(sᵢ)/m</t>
        </is>
      </c>
      <c r="E616" s="3" t="inlineStr">
        <is>
          <t>5 klaim YA dari 6 klaim dievaluasi</t>
        </is>
      </c>
      <c r="F616" t="n">
        <v>0.8333</v>
      </c>
      <c r="G616" s="3" t="inlineStr">
        <is>
          <t>verdict per klaim: sheet 'Entailment Detail'</t>
        </is>
      </c>
    </row>
    <row r="617">
      <c r="A617" t="n">
        <v>42</v>
      </c>
      <c r="B617" t="inlineStr">
        <is>
          <t>B</t>
        </is>
      </c>
      <c r="C617" t="inlineStr">
        <is>
          <t>— Keyword Overlap (Pers. 14)</t>
        </is>
      </c>
      <c r="D617" s="3" t="inlineStr">
        <is>
          <t>KWoverlap = (|Stems(ans)∩Stems(ctx)| / |Stems(ctx)|)^0,65</t>
        </is>
      </c>
      <c r="E617" s="3" t="inlineStr">
        <is>
          <t>KWoverlap = (|∩|/|ctx|)^0,65 = (12/190)^0,65 = 0.0632^0,65 = 0.1661</t>
        </is>
      </c>
      <c r="F617" t="n">
        <v>0.1661</v>
      </c>
      <c r="G617" s="3" t="inlineStr"/>
    </row>
    <row r="618">
      <c r="A618" t="n">
        <v>42</v>
      </c>
      <c r="B618" t="inlineStr">
        <is>
          <t>B</t>
        </is>
      </c>
      <c r="C618" t="inlineStr">
        <is>
          <t>Hallucination Risk (Pers. 18)</t>
        </is>
      </c>
      <c r="D618" s="3" t="inlineStr">
        <is>
          <t>Risk = 0,65×(1-F) + 0,20×Contradiction + 0,15×Uncertainty</t>
        </is>
      </c>
      <c r="E618" s="3" t="inlineStr">
        <is>
          <t>Risk = 0,65×OutOfContext + 0,20×Contradiction + 0,15×Uncertainty = 0,65×0.3669 + 0,20×0.0000 + 0,15×0.00 = 0.2385 [RENDAH]</t>
        </is>
      </c>
      <c r="F618" t="n">
        <v>0.2385</v>
      </c>
      <c r="G618" s="3" t="inlineStr">
        <is>
          <t>label: RENDAH; kontradiksi 0/17 kalimat; uncertainty flag: False</t>
        </is>
      </c>
    </row>
    <row r="619">
      <c r="A619" t="n">
        <v>42</v>
      </c>
      <c r="B619" t="inlineStr">
        <is>
          <t>B</t>
        </is>
      </c>
      <c r="C619" t="inlineStr">
        <is>
          <t>Answer Accuracy (Pers. 20)</t>
        </is>
      </c>
      <c r="D619" s="3" t="inlineStr">
        <is>
          <t>Correctᵢ ∈ {0,1} via LLM-as-Judge (HASIL: BENAR/SALAH)</t>
        </is>
      </c>
      <c r="E619" s="3" t="inlineStr">
        <is>
          <t>Jawaban sistem:</t>
        </is>
      </c>
      <c r="F619" t="inlineStr">
        <is>
          <t>BENAR</t>
        </is>
      </c>
      <c r="G619" s="3" t="inlineStr">
        <is>
          <t>evaluator: ollama/llama3</t>
        </is>
      </c>
    </row>
    <row r="620">
      <c r="A620" t="n">
        <v>43</v>
      </c>
      <c r="B620" t="inlineStr">
        <is>
          <t>A</t>
        </is>
      </c>
      <c r="C620" t="inlineStr">
        <is>
          <t>Precision@K (Pers. 2)</t>
        </is>
      </c>
      <c r="D620" s="3" t="inlineStr">
        <is>
          <t>Precision@K = |{d ∈ TopK : sim(q,d) ≥ θ}| / K</t>
        </is>
      </c>
      <c r="E620" s="3" t="inlineStr">
        <is>
          <t>skor = [0.7776, 0.7739, 0.7727, 0.7666, 0.7584, 0.7558] → 6 / 6</t>
        </is>
      </c>
      <c r="F620" t="n">
        <v>1</v>
      </c>
      <c r="G620" s="3" t="inlineStr">
        <is>
          <t>basis: skor chunk nyata (sesuai contoh Pers. 2 skripsi)</t>
        </is>
      </c>
    </row>
    <row r="621">
      <c r="A621" t="n">
        <v>43</v>
      </c>
      <c r="B621" t="inlineStr">
        <is>
          <t>A</t>
        </is>
      </c>
      <c r="C621" t="inlineStr">
        <is>
          <t>Recall@K (Pers. 4)</t>
        </is>
      </c>
      <c r="D621" s="3" t="inlineStr">
        <is>
          <t>Recall@K = |{kata kunci ditemukan : sim ≥ θ}| / |R|</t>
        </is>
      </c>
      <c r="E621" s="3" t="inlineStr">
        <is>
          <t>skor = [0.6381, 0.5994, 0.5875, 0.5478, 0.489, 0.4378] → 6 / 6</t>
        </is>
      </c>
      <c r="F621" t="n">
        <v>1</v>
      </c>
      <c r="G621" s="3" t="inlineStr"/>
    </row>
    <row r="622">
      <c r="A622" t="n">
        <v>43</v>
      </c>
      <c r="B622" t="inlineStr">
        <is>
          <t>A</t>
        </is>
      </c>
      <c r="C622" t="inlineStr">
        <is>
          <t>Mean Similarity (Pers. 6)</t>
        </is>
      </c>
      <c r="D622" s="3" t="inlineStr">
        <is>
          <t>MeanSim = (1/K) × Σ sim(q, dᵢ)</t>
        </is>
      </c>
      <c r="E622" s="3" t="inlineStr">
        <is>
          <t>skor = [0.7776, 0.7739, 0.7727, 0.7666, 0.7584, 0.7558] → (0.7776 + 0.7739 + 0.7727 + 0.7666 + 0.7584 + 0.7558) / 6</t>
        </is>
      </c>
      <c r="F622" t="n">
        <v>0.7675</v>
      </c>
      <c r="G622" s="3" t="inlineStr"/>
    </row>
    <row r="623">
      <c r="A623" t="n">
        <v>43</v>
      </c>
      <c r="B623" t="inlineStr">
        <is>
          <t>A</t>
        </is>
      </c>
      <c r="C623" t="inlineStr">
        <is>
          <t>Coverage (Pers. 8)</t>
        </is>
      </c>
      <c r="D623" s="3" t="inlineStr">
        <is>
          <t>Coverage = |{dᵢ ∈ TopK : sim(q,dᵢ) ≥ θc}| / K</t>
        </is>
      </c>
      <c r="E623" s="3" t="inlineStr">
        <is>
          <t>skor = [0.7776, 0.7739, 0.7727, 0.7666, 0.7584, 0.7558] → 6 / 6</t>
        </is>
      </c>
      <c r="F623" t="n">
        <v>1</v>
      </c>
      <c r="G623" s="3" t="inlineStr"/>
    </row>
    <row r="624">
      <c r="A624" t="n">
        <v>43</v>
      </c>
      <c r="B624" t="inlineStr">
        <is>
          <t>A</t>
        </is>
      </c>
      <c r="C624" t="inlineStr">
        <is>
          <t>Source Diversity (Pers. 10)</t>
        </is>
      </c>
      <c r="D624" s="3" t="inlineStr">
        <is>
          <t>Diversity = |sumber unik dalam TopK| / K</t>
        </is>
      </c>
      <c r="E624" s="3" t="inlineStr">
        <is>
          <t>skor = ['GT_CT07.txt', 'GT_CT10.txt', 'GT_DETAIL_PT07_Notasi_Algoritme.txt', 'GT_DETAIL_PT10_Percabangan.txt', 'GT_DETAIL_PT11_Perulangan.txt', 'GT_SUBTOPIK_05_Pseudocode_Algoritme.txt'] → 6 / 6</t>
        </is>
      </c>
      <c r="F624" t="n">
        <v>1</v>
      </c>
      <c r="G624" s="3" t="inlineStr">
        <is>
          <t>file unik: GT_CT07.txt, GT_CT10.txt, GT_DETAIL_PT07_Notasi_Algoritme.txt, GT_DETAIL_PT10_Percabangan.txt, GT_DETAIL_PT11_Perulangan.txt, GT_SUBTOPIK_05_Pseudocode_Algoritme.txt</t>
        </is>
      </c>
    </row>
    <row r="625">
      <c r="A625" t="n">
        <v>43</v>
      </c>
      <c r="B625" t="inlineStr">
        <is>
          <t>A</t>
        </is>
      </c>
      <c r="C625" t="inlineStr">
        <is>
          <t>Faithfulness (Pers. 15)</t>
        </is>
      </c>
      <c r="D625" s="3" t="inlineStr">
        <is>
          <t>F = 0,70×Entailment + 0,30×KWoverlap</t>
        </is>
      </c>
      <c r="E625" s="3" t="inlineStr">
        <is>
          <t>Faithfulness = 0,70×Entailment + 0,30×KWoverlap = 0,70×0.5000 + 0,30×0.2736 = 0.4321  (entailment: 3/6 klaim didukung; KWoverlap = (|∩|/|ctx|)^0,65 = (29/213)^0,65 = 0.1362^0,65 = 0.2736)</t>
        </is>
      </c>
      <c r="F625" t="n">
        <v>0.4321</v>
      </c>
      <c r="G625" s="3" t="inlineStr">
        <is>
          <t>metode: llm_entailment + keyword</t>
        </is>
      </c>
    </row>
    <row r="626">
      <c r="A626" t="n">
        <v>43</v>
      </c>
      <c r="B626" t="inlineStr">
        <is>
          <t>A</t>
        </is>
      </c>
      <c r="C626" t="inlineStr">
        <is>
          <t>— Entailment (Pers. 12-13)</t>
        </is>
      </c>
      <c r="D626" s="3" t="inlineStr">
        <is>
          <t>Entailment = Σverdict(sᵢ)/m</t>
        </is>
      </c>
      <c r="E626" s="3" t="inlineStr">
        <is>
          <t>3 klaim YA dari 6 klaim dievaluasi</t>
        </is>
      </c>
      <c r="F626" t="n">
        <v>0.5</v>
      </c>
      <c r="G626" s="3" t="inlineStr">
        <is>
          <t>verdict per klaim: sheet 'Entailment Detail'</t>
        </is>
      </c>
    </row>
    <row r="627">
      <c r="A627" t="n">
        <v>43</v>
      </c>
      <c r="B627" t="inlineStr">
        <is>
          <t>A</t>
        </is>
      </c>
      <c r="C627" t="inlineStr">
        <is>
          <t>— Keyword Overlap (Pers. 14)</t>
        </is>
      </c>
      <c r="D627" s="3" t="inlineStr">
        <is>
          <t>KWoverlap = (|Stems(ans)∩Stems(ctx)| / |Stems(ctx)|)^0,65</t>
        </is>
      </c>
      <c r="E627" s="3" t="inlineStr">
        <is>
          <t>KWoverlap = (|∩|/|ctx|)^0,65 = (29/213)^0,65 = 0.1362^0,65 = 0.2736</t>
        </is>
      </c>
      <c r="F627" t="n">
        <v>0.2736</v>
      </c>
      <c r="G627" s="3" t="inlineStr"/>
    </row>
    <row r="628">
      <c r="A628" t="n">
        <v>43</v>
      </c>
      <c r="B628" t="inlineStr">
        <is>
          <t>A</t>
        </is>
      </c>
      <c r="C628" t="inlineStr">
        <is>
          <t>Hallucination Risk (Pers. 18)</t>
        </is>
      </c>
      <c r="D628" s="3" t="inlineStr">
        <is>
          <t>Risk = 0,65×(1-F) + 0,20×Contradiction + 0,15×Uncertainty</t>
        </is>
      </c>
      <c r="E628" s="3" t="inlineStr">
        <is>
          <t>Risk = 0,65×OutOfContext + 0,20×Contradiction + 0,15×Uncertainty = 0,65×0.5679 + 0,20×0.0000 + 0,15×0.00 = 0.3691 [SEDANG]</t>
        </is>
      </c>
      <c r="F628" t="n">
        <v>0.3691</v>
      </c>
      <c r="G628" s="3" t="inlineStr">
        <is>
          <t>label: SEDANG; kontradiksi 0/16 kalimat; uncertainty flag: False</t>
        </is>
      </c>
    </row>
    <row r="629">
      <c r="A629" t="n">
        <v>43</v>
      </c>
      <c r="B629" t="inlineStr">
        <is>
          <t>A</t>
        </is>
      </c>
      <c r="C629" t="inlineStr">
        <is>
          <t>Answer Accuracy (Pers. 20)</t>
        </is>
      </c>
      <c r="D629" s="3" t="inlineStr">
        <is>
          <t>Correctᵢ ∈ {0,1} via LLM-as-Judge (HASIL: BENAR/SALAH)</t>
        </is>
      </c>
      <c r="E629" s="3" t="inlineStr">
        <is>
          <t>BENAR</t>
        </is>
      </c>
      <c r="F629" t="inlineStr">
        <is>
          <t>BENAR</t>
        </is>
      </c>
      <c r="G629" s="3" t="inlineStr">
        <is>
          <t>evaluator: ollama/llama3</t>
        </is>
      </c>
    </row>
    <row r="630">
      <c r="A630" t="n">
        <v>43</v>
      </c>
      <c r="B630" t="inlineStr">
        <is>
          <t>B</t>
        </is>
      </c>
      <c r="C630" t="inlineStr">
        <is>
          <t>Faithfulness (Pers. 15)</t>
        </is>
      </c>
      <c r="D630" s="3" t="inlineStr">
        <is>
          <t>F = 0,70×Entailment + 0,30×KWoverlap</t>
        </is>
      </c>
      <c r="E630" s="3" t="inlineStr">
        <is>
          <t>Faithfulness = 0,70×Entailment + 0,30×KWoverlap = 0,70×0.1667 + 0,30×0.2007 = 0.1769  (entailment: 1/6 klaim didukung; KWoverlap = (|∩|/|ctx|)^0,65 = (18/213)^0,65 = 0.0845^0,65 = 0.2007)</t>
        </is>
      </c>
      <c r="F630" t="n">
        <v>0.1769</v>
      </c>
      <c r="G630" s="3" t="inlineStr">
        <is>
          <t>metode: llm_entailment + keyword</t>
        </is>
      </c>
    </row>
    <row r="631">
      <c r="A631" t="n">
        <v>43</v>
      </c>
      <c r="B631" t="inlineStr">
        <is>
          <t>B</t>
        </is>
      </c>
      <c r="C631" t="inlineStr">
        <is>
          <t>— Entailment (Pers. 12-13)</t>
        </is>
      </c>
      <c r="D631" s="3" t="inlineStr">
        <is>
          <t>Entailment = Σverdict(sᵢ)/m</t>
        </is>
      </c>
      <c r="E631" s="3" t="inlineStr">
        <is>
          <t>1 klaim YA dari 6 klaim dievaluasi</t>
        </is>
      </c>
      <c r="F631" t="n">
        <v>0.1667</v>
      </c>
      <c r="G631" s="3" t="inlineStr">
        <is>
          <t>verdict per klaim: sheet 'Entailment Detail'</t>
        </is>
      </c>
    </row>
    <row r="632">
      <c r="A632" t="n">
        <v>43</v>
      </c>
      <c r="B632" t="inlineStr">
        <is>
          <t>B</t>
        </is>
      </c>
      <c r="C632" t="inlineStr">
        <is>
          <t>— Keyword Overlap (Pers. 14)</t>
        </is>
      </c>
      <c r="D632" s="3" t="inlineStr">
        <is>
          <t>KWoverlap = (|Stems(ans)∩Stems(ctx)| / |Stems(ctx)|)^0,65</t>
        </is>
      </c>
      <c r="E632" s="3" t="inlineStr">
        <is>
          <t>KWoverlap = (|∩|/|ctx|)^0,65 = (18/213)^0,65 = 0.0845^0,65 = 0.2007</t>
        </is>
      </c>
      <c r="F632" t="n">
        <v>0.2007</v>
      </c>
      <c r="G632" s="3" t="inlineStr"/>
    </row>
    <row r="633">
      <c r="A633" t="n">
        <v>43</v>
      </c>
      <c r="B633" t="inlineStr">
        <is>
          <t>B</t>
        </is>
      </c>
      <c r="C633" t="inlineStr">
        <is>
          <t>Hallucination Risk (Pers. 18)</t>
        </is>
      </c>
      <c r="D633" s="3" t="inlineStr">
        <is>
          <t>Risk = 0,65×(1-F) + 0,20×Contradiction + 0,15×Uncertainty</t>
        </is>
      </c>
      <c r="E633" s="3" t="inlineStr">
        <is>
          <t>Risk = 0,65×OutOfContext + 0,20×Contradiction + 0,15×Uncertainty = 0,65×0.8231 + 0,20×0.0000 + 0,15×0.00 = 0.5350 [SEDANG]</t>
        </is>
      </c>
      <c r="F633" t="n">
        <v>0.535</v>
      </c>
      <c r="G633" s="3" t="inlineStr">
        <is>
          <t>label: SEDANG; kontradiksi 0/26 kalimat; uncertainty flag: False</t>
        </is>
      </c>
    </row>
    <row r="634">
      <c r="A634" t="n">
        <v>43</v>
      </c>
      <c r="B634" t="inlineStr">
        <is>
          <t>B</t>
        </is>
      </c>
      <c r="C634" t="inlineStr">
        <is>
          <t>Answer Accuracy (Pers. 20)</t>
        </is>
      </c>
      <c r="D634" s="3" t="inlineStr">
        <is>
          <t>Correctᵢ ∈ {0,1} via LLM-as-Judge (HASIL: BENAR/SALAH)</t>
        </is>
      </c>
      <c r="E634" s="3" t="inlineStr">
        <is>
          <t>BENAR
Karena jawaban sistem menjelaskan cara membuat matriks identitas 3x3 dengan menggunakan pseudocode nested loop, yang sesuai dengan referensi materi GT tentang perulangan linear (O(n)). Selain itu, kondisi `Jika i == j` digunakan untuk menentukan apakah elemen tersebut berada pada diagonal utama, yang benar.</t>
        </is>
      </c>
      <c r="F634" t="inlineStr">
        <is>
          <t>BENAR</t>
        </is>
      </c>
      <c r="G634" s="3" t="inlineStr">
        <is>
          <t>evaluator: ollama/llama3</t>
        </is>
      </c>
    </row>
    <row r="635">
      <c r="A635" t="n">
        <v>44</v>
      </c>
      <c r="B635" t="inlineStr">
        <is>
          <t>A</t>
        </is>
      </c>
      <c r="C635" t="inlineStr">
        <is>
          <t>Precision@K (Pers. 2)</t>
        </is>
      </c>
      <c r="D635" s="3" t="inlineStr">
        <is>
          <t>Precision@K = |{d ∈ TopK : sim(q,d) ≥ θ}| / K</t>
        </is>
      </c>
      <c r="E635" s="3" t="inlineStr">
        <is>
          <t>skor = [0.8251, 0.8109, 0.7787, 0.7764, 0.7746, 0.77] → 6 / 6</t>
        </is>
      </c>
      <c r="F635" t="n">
        <v>1</v>
      </c>
      <c r="G635" s="3" t="inlineStr">
        <is>
          <t>basis: skor chunk nyata (sesuai contoh Pers. 2 skripsi)</t>
        </is>
      </c>
    </row>
    <row r="636">
      <c r="A636" t="n">
        <v>44</v>
      </c>
      <c r="B636" t="inlineStr">
        <is>
          <t>A</t>
        </is>
      </c>
      <c r="C636" t="inlineStr">
        <is>
          <t>Recall@K (Pers. 4)</t>
        </is>
      </c>
      <c r="D636" s="3" t="inlineStr">
        <is>
          <t>Recall@K = |{kata kunci ditemukan : sim ≥ θ}| / |R|</t>
        </is>
      </c>
      <c r="E636" s="3" t="inlineStr">
        <is>
          <t>skor = [0.7325, 0.6427, 0.5526, 0.5472, 0.5096, 0.4871] → 6 / 6</t>
        </is>
      </c>
      <c r="F636" t="n">
        <v>1</v>
      </c>
      <c r="G636" s="3" t="inlineStr"/>
    </row>
    <row r="637">
      <c r="A637" t="n">
        <v>44</v>
      </c>
      <c r="B637" t="inlineStr">
        <is>
          <t>A</t>
        </is>
      </c>
      <c r="C637" t="inlineStr">
        <is>
          <t>Mean Similarity (Pers. 6)</t>
        </is>
      </c>
      <c r="D637" s="3" t="inlineStr">
        <is>
          <t>MeanSim = (1/K) × Σ sim(q, dᵢ)</t>
        </is>
      </c>
      <c r="E637" s="3" t="inlineStr">
        <is>
          <t>skor = [0.8251, 0.8109, 0.7787, 0.7764, 0.7746, 0.77] → (0.8251 + 0.8109 + 0.7787 + 0.7764 + 0.7746 + 0.7700) / 6</t>
        </is>
      </c>
      <c r="F637" t="n">
        <v>0.7893</v>
      </c>
      <c r="G637" s="3" t="inlineStr"/>
    </row>
    <row r="638">
      <c r="A638" t="n">
        <v>44</v>
      </c>
      <c r="B638" t="inlineStr">
        <is>
          <t>A</t>
        </is>
      </c>
      <c r="C638" t="inlineStr">
        <is>
          <t>Coverage (Pers. 8)</t>
        </is>
      </c>
      <c r="D638" s="3" t="inlineStr">
        <is>
          <t>Coverage = |{dᵢ ∈ TopK : sim(q,dᵢ) ≥ θc}| / K</t>
        </is>
      </c>
      <c r="E638" s="3" t="inlineStr">
        <is>
          <t>skor = [0.8251, 0.8109, 0.7787, 0.7764, 0.7746, 0.77] → 6 / 6</t>
        </is>
      </c>
      <c r="F638" t="n">
        <v>1</v>
      </c>
      <c r="G638" s="3" t="inlineStr"/>
    </row>
    <row r="639">
      <c r="A639" t="n">
        <v>44</v>
      </c>
      <c r="B639" t="inlineStr">
        <is>
          <t>A</t>
        </is>
      </c>
      <c r="C639" t="inlineStr">
        <is>
          <t>Source Diversity (Pers. 10)</t>
        </is>
      </c>
      <c r="D639" s="3" t="inlineStr">
        <is>
          <t>Diversity = |sumber unik dalam TopK| / K</t>
        </is>
      </c>
      <c r="E639" s="3" t="inlineStr">
        <is>
          <t>skor = ['GT_CT10.txt', 'GT_DETAIL_PT11_Perulangan.txt', 'GT_SUBTOPIK_03_Pola_Bilangan_Deret.txt', 'GT_SUBTOPIK_14_Kompleksitas_BigO.txt'] → 4 / 6</t>
        </is>
      </c>
      <c r="F639" t="n">
        <v>0.6667</v>
      </c>
      <c r="G639" s="3" t="inlineStr">
        <is>
          <t>file unik: GT_CT10.txt, GT_DETAIL_PT11_Perulangan.txt, GT_SUBTOPIK_03_Pola_Bilangan_Deret.txt, GT_SUBTOPIK_14_Kompleksitas_BigO.txt</t>
        </is>
      </c>
    </row>
    <row r="640">
      <c r="A640" t="n">
        <v>44</v>
      </c>
      <c r="B640" t="inlineStr">
        <is>
          <t>A</t>
        </is>
      </c>
      <c r="C640" t="inlineStr">
        <is>
          <t>Faithfulness (Pers. 15)</t>
        </is>
      </c>
      <c r="D640" s="3" t="inlineStr">
        <is>
          <t>F = 0,70×Entailment + 0,30×KWoverlap</t>
        </is>
      </c>
      <c r="E640" s="3" t="inlineStr">
        <is>
          <t>Faithfulness = 0,70×Entailment + 0,30×KWoverlap = 0,70×0.8333 + 0,30×0.2622 = 0.6620  (entailment: 5/6 klaim didukung; KWoverlap = (|∩|/|ctx|)^0,65 = (25/196)^0,65 = 0.1276^0,65 = 0.2622)</t>
        </is>
      </c>
      <c r="F640" t="n">
        <v>0.662</v>
      </c>
      <c r="G640" s="3" t="inlineStr">
        <is>
          <t>metode: llm_entailment + keyword</t>
        </is>
      </c>
    </row>
    <row r="641">
      <c r="A641" t="n">
        <v>44</v>
      </c>
      <c r="B641" t="inlineStr">
        <is>
          <t>A</t>
        </is>
      </c>
      <c r="C641" t="inlineStr">
        <is>
          <t>— Entailment (Pers. 12-13)</t>
        </is>
      </c>
      <c r="D641" s="3" t="inlineStr">
        <is>
          <t>Entailment = Σverdict(sᵢ)/m</t>
        </is>
      </c>
      <c r="E641" s="3" t="inlineStr">
        <is>
          <t>5 klaim YA dari 6 klaim dievaluasi</t>
        </is>
      </c>
      <c r="F641" t="n">
        <v>0.8333</v>
      </c>
      <c r="G641" s="3" t="inlineStr">
        <is>
          <t>verdict per klaim: sheet 'Entailment Detail'</t>
        </is>
      </c>
    </row>
    <row r="642">
      <c r="A642" t="n">
        <v>44</v>
      </c>
      <c r="B642" t="inlineStr">
        <is>
          <t>A</t>
        </is>
      </c>
      <c r="C642" t="inlineStr">
        <is>
          <t>— Keyword Overlap (Pers. 14)</t>
        </is>
      </c>
      <c r="D642" s="3" t="inlineStr">
        <is>
          <t>KWoverlap = (|Stems(ans)∩Stems(ctx)| / |Stems(ctx)|)^0,65</t>
        </is>
      </c>
      <c r="E642" s="3" t="inlineStr">
        <is>
          <t>KWoverlap = (|∩|/|ctx|)^0,65 = (25/196)^0,65 = 0.1276^0,65 = 0.2622</t>
        </is>
      </c>
      <c r="F642" t="n">
        <v>0.2622</v>
      </c>
      <c r="G642" s="3" t="inlineStr"/>
    </row>
    <row r="643">
      <c r="A643" t="n">
        <v>44</v>
      </c>
      <c r="B643" t="inlineStr">
        <is>
          <t>A</t>
        </is>
      </c>
      <c r="C643" t="inlineStr">
        <is>
          <t>Hallucination Risk (Pers. 18)</t>
        </is>
      </c>
      <c r="D643" s="3" t="inlineStr">
        <is>
          <t>Risk = 0,65×(1-F) + 0,20×Contradiction + 0,15×Uncertainty</t>
        </is>
      </c>
      <c r="E643" s="3" t="inlineStr">
        <is>
          <t>Risk = 0,65×OutOfContext + 0,20×Contradiction + 0,15×Uncertainty = 0,65×0.3380 + 0,20×0.0000 + 0,15×0.00 = 0.2197 [RENDAH]</t>
        </is>
      </c>
      <c r="F643" t="n">
        <v>0.2197</v>
      </c>
      <c r="G643" s="3" t="inlineStr">
        <is>
          <t>label: RENDAH; kontradiksi 0/8 kalimat; uncertainty flag: False</t>
        </is>
      </c>
    </row>
    <row r="644">
      <c r="A644" t="n">
        <v>44</v>
      </c>
      <c r="B644" t="inlineStr">
        <is>
          <t>B</t>
        </is>
      </c>
      <c r="C644" t="inlineStr">
        <is>
          <t>Faithfulness (Pers. 15)</t>
        </is>
      </c>
      <c r="D644" s="3" t="inlineStr">
        <is>
          <t>F = 0,70×Entailment + 0,30×KWoverlap</t>
        </is>
      </c>
      <c r="E644" s="3" t="inlineStr">
        <is>
          <t>Faithfulness = 0,70×Entailment + 0,30×KWoverlap = 0,70×0.8333 + 0,30×0.2041 = 0.6445  (entailment: 5/6 klaim didukung; KWoverlap = (|∩|/|ctx|)^0,65 = (17/196)^0,65 = 0.0867^0,65 = 0.2041)</t>
        </is>
      </c>
      <c r="F644" t="n">
        <v>0.6445</v>
      </c>
      <c r="G644" s="3" t="inlineStr">
        <is>
          <t>metode: llm_entailment + keyword</t>
        </is>
      </c>
    </row>
    <row r="645">
      <c r="A645" t="n">
        <v>44</v>
      </c>
      <c r="B645" t="inlineStr">
        <is>
          <t>B</t>
        </is>
      </c>
      <c r="C645" t="inlineStr">
        <is>
          <t>— Entailment (Pers. 12-13)</t>
        </is>
      </c>
      <c r="D645" s="3" t="inlineStr">
        <is>
          <t>Entailment = Σverdict(sᵢ)/m</t>
        </is>
      </c>
      <c r="E645" s="3" t="inlineStr">
        <is>
          <t>5 klaim YA dari 6 klaim dievaluasi</t>
        </is>
      </c>
      <c r="F645" t="n">
        <v>0.8333</v>
      </c>
      <c r="G645" s="3" t="inlineStr">
        <is>
          <t>verdict per klaim: sheet 'Entailment Detail'</t>
        </is>
      </c>
    </row>
    <row r="646">
      <c r="A646" t="n">
        <v>44</v>
      </c>
      <c r="B646" t="inlineStr">
        <is>
          <t>B</t>
        </is>
      </c>
      <c r="C646" t="inlineStr">
        <is>
          <t>— Keyword Overlap (Pers. 14)</t>
        </is>
      </c>
      <c r="D646" s="3" t="inlineStr">
        <is>
          <t>KWoverlap = (|Stems(ans)∩Stems(ctx)| / |Stems(ctx)|)^0,65</t>
        </is>
      </c>
      <c r="E646" s="3" t="inlineStr">
        <is>
          <t>KWoverlap = (|∩|/|ctx|)^0,65 = (17/196)^0,65 = 0.0867^0,65 = 0.2041</t>
        </is>
      </c>
      <c r="F646" t="n">
        <v>0.2041</v>
      </c>
      <c r="G646" s="3" t="inlineStr"/>
    </row>
    <row r="647">
      <c r="A647" t="n">
        <v>44</v>
      </c>
      <c r="B647" t="inlineStr">
        <is>
          <t>B</t>
        </is>
      </c>
      <c r="C647" t="inlineStr">
        <is>
          <t>Hallucination Risk (Pers. 18)</t>
        </is>
      </c>
      <c r="D647" s="3" t="inlineStr">
        <is>
          <t>Risk = 0,65×(1-F) + 0,20×Contradiction + 0,15×Uncertainty</t>
        </is>
      </c>
      <c r="E647" s="3" t="inlineStr">
        <is>
          <t>Risk = 0,65×OutOfContext + 0,20×Contradiction + 0,15×Uncertainty = 0,65×0.3555 + 0,20×0.0000 + 0,15×0.20 = 0.2611 [RENDAH]</t>
        </is>
      </c>
      <c r="F647" t="n">
        <v>0.2611</v>
      </c>
      <c r="G647" s="3" t="inlineStr">
        <is>
          <t>label: RENDAH; kontradiksi 0/8 kalimat; uncertainty flag: True</t>
        </is>
      </c>
    </row>
    <row r="648">
      <c r="A648" t="n">
        <v>45</v>
      </c>
      <c r="B648" t="inlineStr">
        <is>
          <t>A</t>
        </is>
      </c>
      <c r="C648" t="inlineStr">
        <is>
          <t>Precision@K (Pers. 2)</t>
        </is>
      </c>
      <c r="D648" s="3" t="inlineStr">
        <is>
          <t>Precision@K = |{d ∈ TopK : sim(q,d) ≥ θ}| / K</t>
        </is>
      </c>
      <c r="E648" s="3" t="inlineStr">
        <is>
          <t>skor = [0.7788, 0.7624, 0.7408, 0.7375, 0.7339, 0.7328] → 6 / 6</t>
        </is>
      </c>
      <c r="F648" t="n">
        <v>1</v>
      </c>
      <c r="G648" s="3" t="inlineStr">
        <is>
          <t>basis: skor chunk nyata (sesuai contoh Pers. 2 skripsi)</t>
        </is>
      </c>
    </row>
    <row r="649">
      <c r="A649" t="n">
        <v>45</v>
      </c>
      <c r="B649" t="inlineStr">
        <is>
          <t>A</t>
        </is>
      </c>
      <c r="C649" t="inlineStr">
        <is>
          <t>Recall@K (Pers. 4)</t>
        </is>
      </c>
      <c r="D649" s="3" t="inlineStr">
        <is>
          <t>Recall@K = |{kata kunci ditemukan : sim ≥ θ}| / |R|</t>
        </is>
      </c>
      <c r="E649" s="3" t="inlineStr">
        <is>
          <t>skor = [0.6657, 0.6593, 0.5554, 0.5554, 0.5431, 0.5097] → 6 / 6</t>
        </is>
      </c>
      <c r="F649" t="n">
        <v>1</v>
      </c>
      <c r="G649" s="3" t="inlineStr"/>
    </row>
    <row r="650">
      <c r="A650" t="n">
        <v>45</v>
      </c>
      <c r="B650" t="inlineStr">
        <is>
          <t>A</t>
        </is>
      </c>
      <c r="C650" t="inlineStr">
        <is>
          <t>Mean Similarity (Pers. 6)</t>
        </is>
      </c>
      <c r="D650" s="3" t="inlineStr">
        <is>
          <t>MeanSim = (1/K) × Σ sim(q, dᵢ)</t>
        </is>
      </c>
      <c r="E650" s="3" t="inlineStr">
        <is>
          <t>skor = [0.7788, 0.7624, 0.7408, 0.7375, 0.7339, 0.7328] → (0.7788 + 0.7624 + 0.7408 + 0.7375 + 0.7339 + 0.7328) / 6</t>
        </is>
      </c>
      <c r="F650" t="n">
        <v>0.7477</v>
      </c>
      <c r="G650" s="3" t="inlineStr"/>
    </row>
    <row r="651">
      <c r="A651" t="n">
        <v>45</v>
      </c>
      <c r="B651" t="inlineStr">
        <is>
          <t>A</t>
        </is>
      </c>
      <c r="C651" t="inlineStr">
        <is>
          <t>Coverage (Pers. 8)</t>
        </is>
      </c>
      <c r="D651" s="3" t="inlineStr">
        <is>
          <t>Coverage = |{dᵢ ∈ TopK : sim(q,dᵢ) ≥ θc}| / K</t>
        </is>
      </c>
      <c r="E651" s="3" t="inlineStr">
        <is>
          <t>skor = [0.7788, 0.7624, 0.7408, 0.7375, 0.7339, 0.7328] → 6 / 6</t>
        </is>
      </c>
      <c r="F651" t="n">
        <v>1</v>
      </c>
      <c r="G651" s="3" t="inlineStr"/>
    </row>
    <row r="652">
      <c r="A652" t="n">
        <v>45</v>
      </c>
      <c r="B652" t="inlineStr">
        <is>
          <t>A</t>
        </is>
      </c>
      <c r="C652" t="inlineStr">
        <is>
          <t>Source Diversity (Pers. 10)</t>
        </is>
      </c>
      <c r="D652" s="3" t="inlineStr">
        <is>
          <t>Diversity = |sumber unik dalam TopK| / K</t>
        </is>
      </c>
      <c r="E652" s="3" t="inlineStr">
        <is>
          <t>skor = ['GT_CT07.txt', 'GT_CT12.txt', 'GT_DETAIL_PT10_Percabangan.txt', 'GT_DETAIL_PT12_Fungsi.txt'] → 4 / 6</t>
        </is>
      </c>
      <c r="F652" t="n">
        <v>0.6667</v>
      </c>
      <c r="G652" s="3" t="inlineStr">
        <is>
          <t>file unik: GT_CT07.txt, GT_CT12.txt, GT_DETAIL_PT10_Percabangan.txt, GT_DETAIL_PT12_Fungsi.txt</t>
        </is>
      </c>
    </row>
    <row r="653">
      <c r="A653" t="n">
        <v>45</v>
      </c>
      <c r="B653" t="inlineStr">
        <is>
          <t>A</t>
        </is>
      </c>
      <c r="C653" t="inlineStr">
        <is>
          <t>Faithfulness (Pers. 15)</t>
        </is>
      </c>
      <c r="D653" s="3" t="inlineStr">
        <is>
          <t>F = 0,70×Entailment + 0,30×KWoverlap</t>
        </is>
      </c>
      <c r="E653" s="3" t="inlineStr">
        <is>
          <t>Faithfulness = 0,70×Entailment + 0,30×KWoverlap = 0,70×1.0000 + 0,30×0.3485 = 0.8045  (entailment: 6/6 klaim didukung; KWoverlap = (|∩|/|ctx|)^0,65 = (48/243)^0,65 = 0.1975^0,65 = 0.3485)</t>
        </is>
      </c>
      <c r="F653" t="n">
        <v>0.8045</v>
      </c>
      <c r="G653" s="3" t="inlineStr">
        <is>
          <t>metode: llm_entailment + keyword</t>
        </is>
      </c>
    </row>
    <row r="654">
      <c r="A654" t="n">
        <v>45</v>
      </c>
      <c r="B654" t="inlineStr">
        <is>
          <t>A</t>
        </is>
      </c>
      <c r="C654" t="inlineStr">
        <is>
          <t>— Entailment (Pers. 12-13)</t>
        </is>
      </c>
      <c r="D654" s="3" t="inlineStr">
        <is>
          <t>Entailment = Σverdict(sᵢ)/m</t>
        </is>
      </c>
      <c r="E654" s="3" t="inlineStr">
        <is>
          <t>6 klaim YA dari 6 klaim dievaluasi</t>
        </is>
      </c>
      <c r="F654" t="n">
        <v>1</v>
      </c>
      <c r="G654" s="3" t="inlineStr">
        <is>
          <t>verdict per klaim: sheet 'Entailment Detail'</t>
        </is>
      </c>
    </row>
    <row r="655">
      <c r="A655" t="n">
        <v>45</v>
      </c>
      <c r="B655" t="inlineStr">
        <is>
          <t>A</t>
        </is>
      </c>
      <c r="C655" t="inlineStr">
        <is>
          <t>— Keyword Overlap (Pers. 14)</t>
        </is>
      </c>
      <c r="D655" s="3" t="inlineStr">
        <is>
          <t>KWoverlap = (|Stems(ans)∩Stems(ctx)| / |Stems(ctx)|)^0,65</t>
        </is>
      </c>
      <c r="E655" s="3" t="inlineStr">
        <is>
          <t>KWoverlap = (|∩|/|ctx|)^0,65 = (48/243)^0,65 = 0.1975^0,65 = 0.3485</t>
        </is>
      </c>
      <c r="F655" t="n">
        <v>0.3485</v>
      </c>
      <c r="G655" s="3" t="inlineStr"/>
    </row>
    <row r="656">
      <c r="A656" t="n">
        <v>45</v>
      </c>
      <c r="B656" t="inlineStr">
        <is>
          <t>A</t>
        </is>
      </c>
      <c r="C656" t="inlineStr">
        <is>
          <t>Hallucination Risk (Pers. 18)</t>
        </is>
      </c>
      <c r="D656" s="3" t="inlineStr">
        <is>
          <t>Risk = 0,65×(1-F) + 0,20×Contradiction + 0,15×Uncertainty</t>
        </is>
      </c>
      <c r="E656" s="3" t="inlineStr">
        <is>
          <t>Risk = 0,65×OutOfContext + 0,20×Contradiction + 0,15×Uncertainty = 0,65×0.1955 + 0,20×0.0000 + 0,15×0.00 = 0.1271 [RENDAH]</t>
        </is>
      </c>
      <c r="F656" t="n">
        <v>0.1271</v>
      </c>
      <c r="G656" s="3" t="inlineStr">
        <is>
          <t>label: RENDAH; kontradiksi 0/14 kalimat; uncertainty flag: False</t>
        </is>
      </c>
    </row>
    <row r="657">
      <c r="A657" t="n">
        <v>45</v>
      </c>
      <c r="B657" t="inlineStr">
        <is>
          <t>A</t>
        </is>
      </c>
      <c r="C657" t="inlineStr">
        <is>
          <t>Answer Accuracy (Pers. 20)</t>
        </is>
      </c>
      <c r="D657" s="3" t="inlineStr">
        <is>
          <t>Correctᵢ ∈ {0,1} via LLM-as-Judge (HASIL: BENAR/SALAH)</t>
        </is>
      </c>
      <c r="E657" s="3" t="inlineStr">
        <is>
          <t>BENAR
Rationale:
The question states that in Python, `def` can return a value or not, and both are considered "functions". However, in CT pseudocode, the teacher distinguishes between "function" and "procedure".
According to the reference provided, the main idea of a function is that it can be reused without rewriting (reusable), has a name that makes it easy to call when needed, and changes in</t>
        </is>
      </c>
      <c r="F657" t="inlineStr">
        <is>
          <t>BENAR</t>
        </is>
      </c>
      <c r="G657" s="3" t="inlineStr">
        <is>
          <t>evaluator: ollama/llama3</t>
        </is>
      </c>
    </row>
    <row r="658">
      <c r="A658" t="n">
        <v>45</v>
      </c>
      <c r="B658" t="inlineStr">
        <is>
          <t>B</t>
        </is>
      </c>
      <c r="C658" t="inlineStr">
        <is>
          <t>Faithfulness (Pers. 15)</t>
        </is>
      </c>
      <c r="D658" s="3" t="inlineStr">
        <is>
          <t>F = 0,70×Entailment + 0,30×KWoverlap</t>
        </is>
      </c>
      <c r="E658" s="3" t="inlineStr">
        <is>
          <t>Faithfulness = 0,70×Entailment + 0,30×KWoverlap = 0,70×1.0000 + 0,30×0.2623 = 0.7787  (entailment: 6/6 klaim didukung; KWoverlap = (|∩|/|ctx|)^0,65 = (31/243)^0,65 = 0.1276^0,65 = 0.2623)</t>
        </is>
      </c>
      <c r="F658" t="n">
        <v>0.7786999999999999</v>
      </c>
      <c r="G658" s="3" t="inlineStr">
        <is>
          <t>metode: llm_entailment + keyword</t>
        </is>
      </c>
    </row>
    <row r="659">
      <c r="A659" t="n">
        <v>45</v>
      </c>
      <c r="B659" t="inlineStr">
        <is>
          <t>B</t>
        </is>
      </c>
      <c r="C659" t="inlineStr">
        <is>
          <t>— Entailment (Pers. 12-13)</t>
        </is>
      </c>
      <c r="D659" s="3" t="inlineStr">
        <is>
          <t>Entailment = Σverdict(sᵢ)/m</t>
        </is>
      </c>
      <c r="E659" s="3" t="inlineStr">
        <is>
          <t>6 klaim YA dari 6 klaim dievaluasi</t>
        </is>
      </c>
      <c r="F659" t="n">
        <v>1</v>
      </c>
      <c r="G659" s="3" t="inlineStr">
        <is>
          <t>verdict per klaim: sheet 'Entailment Detail'</t>
        </is>
      </c>
    </row>
    <row r="660">
      <c r="A660" t="n">
        <v>45</v>
      </c>
      <c r="B660" t="inlineStr">
        <is>
          <t>B</t>
        </is>
      </c>
      <c r="C660" t="inlineStr">
        <is>
          <t>— Keyword Overlap (Pers. 14)</t>
        </is>
      </c>
      <c r="D660" s="3" t="inlineStr">
        <is>
          <t>KWoverlap = (|Stems(ans)∩Stems(ctx)| / |Stems(ctx)|)^0,65</t>
        </is>
      </c>
      <c r="E660" s="3" t="inlineStr">
        <is>
          <t>KWoverlap = (|∩|/|ctx|)^0,65 = (31/243)^0,65 = 0.1276^0,65 = 0.2623</t>
        </is>
      </c>
      <c r="F660" t="n">
        <v>0.2623</v>
      </c>
      <c r="G660" s="3" t="inlineStr"/>
    </row>
    <row r="661">
      <c r="A661" t="n">
        <v>45</v>
      </c>
      <c r="B661" t="inlineStr">
        <is>
          <t>B</t>
        </is>
      </c>
      <c r="C661" t="inlineStr">
        <is>
          <t>Hallucination Risk (Pers. 18)</t>
        </is>
      </c>
      <c r="D661" s="3" t="inlineStr">
        <is>
          <t>Risk = 0,65×(1-F) + 0,20×Contradiction + 0,15×Uncertainty</t>
        </is>
      </c>
      <c r="E661" s="3" t="inlineStr">
        <is>
          <t>Risk = 0,65×OutOfContext + 0,20×Contradiction + 0,15×Uncertainty = 0,65×0.2213 + 0,20×0.0000 + 0,15×0.20 = 0.1738 [RENDAH]</t>
        </is>
      </c>
      <c r="F661" t="n">
        <v>0.1738</v>
      </c>
      <c r="G661" s="3" t="inlineStr">
        <is>
          <t>label: RENDAH; kontradiksi 0/15 kalimat; uncertainty flag: True</t>
        </is>
      </c>
    </row>
    <row r="662">
      <c r="A662" t="n">
        <v>45</v>
      </c>
      <c r="B662" t="inlineStr">
        <is>
          <t>B</t>
        </is>
      </c>
      <c r="C662" t="inlineStr">
        <is>
          <t>Answer Accuracy (Pers. 20)</t>
        </is>
      </c>
      <c r="D662" s="3" t="inlineStr">
        <is>
          <t>Correctᵢ ∈ {0,1} via LLM-as-Judge (HASIL: BENAR/SALAH)</t>
        </is>
      </c>
      <c r="E662" s="3" t="inlineStr">
        <is>
          <t>BENAR</t>
        </is>
      </c>
      <c r="F662" t="inlineStr">
        <is>
          <t>BENAR</t>
        </is>
      </c>
      <c r="G662" s="3" t="inlineStr">
        <is>
          <t>evaluator: ollama/llama3</t>
        </is>
      </c>
    </row>
    <row r="663">
      <c r="A663" t="n">
        <v>46</v>
      </c>
      <c r="B663" t="inlineStr">
        <is>
          <t>A</t>
        </is>
      </c>
      <c r="C663" t="inlineStr">
        <is>
          <t>Precision@K (Pers. 2)</t>
        </is>
      </c>
      <c r="D663" s="3" t="inlineStr">
        <is>
          <t>Precision@K = |{d ∈ TopK : sim(q,d) ≥ θ}| / K</t>
        </is>
      </c>
      <c r="E663" s="3" t="inlineStr">
        <is>
          <t>skor = [0.8421, 0.7964, 0.7959, 0.7933, 0.7846, 0.7756] → 6 / 6</t>
        </is>
      </c>
      <c r="F663" t="n">
        <v>1</v>
      </c>
      <c r="G663" s="3" t="inlineStr">
        <is>
          <t>basis: skor chunk nyata (sesuai contoh Pers. 2 skripsi)</t>
        </is>
      </c>
    </row>
    <row r="664">
      <c r="A664" t="n">
        <v>46</v>
      </c>
      <c r="B664" t="inlineStr">
        <is>
          <t>A</t>
        </is>
      </c>
      <c r="C664" t="inlineStr">
        <is>
          <t>Recall@K (Pers. 4)</t>
        </is>
      </c>
      <c r="D664" s="3" t="inlineStr">
        <is>
          <t>Recall@K = |{kata kunci ditemukan : sim ≥ θ}| / |R|</t>
        </is>
      </c>
      <c r="E664" s="3" t="inlineStr">
        <is>
          <t>skor = [0.6052, 0.534, 0.5289, 0.5054, 0.4927, 0.3956] → 6 / 6</t>
        </is>
      </c>
      <c r="F664" t="n">
        <v>1</v>
      </c>
      <c r="G664" s="3" t="inlineStr"/>
    </row>
    <row r="665">
      <c r="A665" t="n">
        <v>46</v>
      </c>
      <c r="B665" t="inlineStr">
        <is>
          <t>A</t>
        </is>
      </c>
      <c r="C665" t="inlineStr">
        <is>
          <t>Mean Similarity (Pers. 6)</t>
        </is>
      </c>
      <c r="D665" s="3" t="inlineStr">
        <is>
          <t>MeanSim = (1/K) × Σ sim(q, dᵢ)</t>
        </is>
      </c>
      <c r="E665" s="3" t="inlineStr">
        <is>
          <t>skor = [0.8421, 0.7964, 0.7959, 0.7933, 0.7846, 0.7756] → (0.8421 + 0.7964 + 0.7959 + 0.7933 + 0.7846 + 0.7756) / 6</t>
        </is>
      </c>
      <c r="F665" t="n">
        <v>0.798</v>
      </c>
      <c r="G665" s="3" t="inlineStr"/>
    </row>
    <row r="666">
      <c r="A666" t="n">
        <v>46</v>
      </c>
      <c r="B666" t="inlineStr">
        <is>
          <t>A</t>
        </is>
      </c>
      <c r="C666" t="inlineStr">
        <is>
          <t>Coverage (Pers. 8)</t>
        </is>
      </c>
      <c r="D666" s="3" t="inlineStr">
        <is>
          <t>Coverage = |{dᵢ ∈ TopK : sim(q,dᵢ) ≥ θc}| / K</t>
        </is>
      </c>
      <c r="E666" s="3" t="inlineStr">
        <is>
          <t>skor = [0.8421, 0.7964, 0.7959, 0.7933, 0.7846, 0.7756] → 6 / 6</t>
        </is>
      </c>
      <c r="F666" t="n">
        <v>1</v>
      </c>
      <c r="G666" s="3" t="inlineStr"/>
    </row>
    <row r="667">
      <c r="A667" t="n">
        <v>46</v>
      </c>
      <c r="B667" t="inlineStr">
        <is>
          <t>A</t>
        </is>
      </c>
      <c r="C667" t="inlineStr">
        <is>
          <t>Source Diversity (Pers. 10)</t>
        </is>
      </c>
      <c r="D667" s="3" t="inlineStr">
        <is>
          <t>Diversity = |sumber unik dalam TopK| / K</t>
        </is>
      </c>
      <c r="E667" s="3" t="inlineStr">
        <is>
          <t>skor = ['GT_CT07.txt', 'GT_CT09.txt', 'GT_CT10.txt', 'GT_DETAIL_PT07_Notasi_Algoritme.txt', 'GT_DETAIL_PT10_Percabangan.txt'] → 5 / 6</t>
        </is>
      </c>
      <c r="F667" t="n">
        <v>0.8333</v>
      </c>
      <c r="G667" s="3" t="inlineStr">
        <is>
          <t>file unik: GT_CT07.txt, GT_CT09.txt, GT_CT10.txt, GT_DETAIL_PT07_Notasi_Algoritme.txt, GT_DETAIL_PT10_Percabangan.txt</t>
        </is>
      </c>
    </row>
    <row r="668">
      <c r="A668" t="n">
        <v>46</v>
      </c>
      <c r="B668" t="inlineStr">
        <is>
          <t>A</t>
        </is>
      </c>
      <c r="C668" t="inlineStr">
        <is>
          <t>Faithfulness (Pers. 15)</t>
        </is>
      </c>
      <c r="D668" s="3" t="inlineStr">
        <is>
          <t>F = 0,70×Entailment + 0,30×KWoverlap</t>
        </is>
      </c>
      <c r="E668" s="3" t="inlineStr">
        <is>
          <t>Faithfulness = 0,70×Entailment + 0,30×KWoverlap = 0,70×1.0000 + 0,30×0.4193 = 0.8258  (entailment: 6/6 klaim didukung; KWoverlap = (|∩|/|ctx|)^0,65 = (68/259)^0,65 = 0.2625^0,65 = 0.4193)</t>
        </is>
      </c>
      <c r="F668" t="n">
        <v>0.8258</v>
      </c>
      <c r="G668" s="3" t="inlineStr">
        <is>
          <t>metode: llm_entailment + keyword</t>
        </is>
      </c>
    </row>
    <row r="669">
      <c r="A669" t="n">
        <v>46</v>
      </c>
      <c r="B669" t="inlineStr">
        <is>
          <t>A</t>
        </is>
      </c>
      <c r="C669" t="inlineStr">
        <is>
          <t>— Entailment (Pers. 12-13)</t>
        </is>
      </c>
      <c r="D669" s="3" t="inlineStr">
        <is>
          <t>Entailment = Σverdict(sᵢ)/m</t>
        </is>
      </c>
      <c r="E669" s="3" t="inlineStr">
        <is>
          <t>6 klaim YA dari 6 klaim dievaluasi</t>
        </is>
      </c>
      <c r="F669" t="n">
        <v>1</v>
      </c>
      <c r="G669" s="3" t="inlineStr">
        <is>
          <t>verdict per klaim: sheet 'Entailment Detail'</t>
        </is>
      </c>
    </row>
    <row r="670">
      <c r="A670" t="n">
        <v>46</v>
      </c>
      <c r="B670" t="inlineStr">
        <is>
          <t>A</t>
        </is>
      </c>
      <c r="C670" t="inlineStr">
        <is>
          <t>— Keyword Overlap (Pers. 14)</t>
        </is>
      </c>
      <c r="D670" s="3" t="inlineStr">
        <is>
          <t>KWoverlap = (|Stems(ans)∩Stems(ctx)| / |Stems(ctx)|)^0,65</t>
        </is>
      </c>
      <c r="E670" s="3" t="inlineStr">
        <is>
          <t>KWoverlap = (|∩|/|ctx|)^0,65 = (68/259)^0,65 = 0.2625^0,65 = 0.4193</t>
        </is>
      </c>
      <c r="F670" t="n">
        <v>0.4193</v>
      </c>
      <c r="G670" s="3" t="inlineStr"/>
    </row>
    <row r="671">
      <c r="A671" t="n">
        <v>46</v>
      </c>
      <c r="B671" t="inlineStr">
        <is>
          <t>A</t>
        </is>
      </c>
      <c r="C671" t="inlineStr">
        <is>
          <t>Hallucination Risk (Pers. 18)</t>
        </is>
      </c>
      <c r="D671" s="3" t="inlineStr">
        <is>
          <t>Risk = 0,65×(1-F) + 0,20×Contradiction + 0,15×Uncertainty</t>
        </is>
      </c>
      <c r="E671" s="3" t="inlineStr">
        <is>
          <t>Risk = 0,65×OutOfContext + 0,20×Contradiction + 0,15×Uncertainty = 0,65×0.1742 + 0,20×0.0000 + 0,15×0.00 = 0.1132 [RENDAH]</t>
        </is>
      </c>
      <c r="F671" t="n">
        <v>0.1132</v>
      </c>
      <c r="G671" s="3" t="inlineStr">
        <is>
          <t>label: RENDAH; kontradiksi 0/43 kalimat; uncertainty flag: False</t>
        </is>
      </c>
    </row>
    <row r="672">
      <c r="A672" t="n">
        <v>46</v>
      </c>
      <c r="B672" t="inlineStr">
        <is>
          <t>A</t>
        </is>
      </c>
      <c r="C672" t="inlineStr">
        <is>
          <t>Answer Accuracy (Pers. 20)</t>
        </is>
      </c>
      <c r="D672" s="3" t="inlineStr">
        <is>
          <t>Correctᵢ ∈ {0,1} via LLM-as-Judge (HASIL: BENAR/SALAH)</t>
        </is>
      </c>
      <c r="E672" s="3" t="inlineStr">
        <is>
          <t>BENAR
Rationale: The system answer is based on the provided reference about pseudocode and its characteristics, such as using informal language to describe algorithms and being case-sensitive for variable names. The answer also touches on the topic of variables and their properties, which aligns with the provided material.</t>
        </is>
      </c>
      <c r="F672" t="inlineStr">
        <is>
          <t>BENAR</t>
        </is>
      </c>
      <c r="G672" s="3" t="inlineStr">
        <is>
          <t>evaluator: ollama/llama3</t>
        </is>
      </c>
    </row>
    <row r="673">
      <c r="A673" t="n">
        <v>46</v>
      </c>
      <c r="B673" t="inlineStr">
        <is>
          <t>B</t>
        </is>
      </c>
      <c r="C673" t="inlineStr">
        <is>
          <t>Faithfulness (Pers. 15)</t>
        </is>
      </c>
      <c r="D673" s="3" t="inlineStr">
        <is>
          <t>F = 0,70×Entailment + 0,30×KWoverlap</t>
        </is>
      </c>
      <c r="E673" s="3" t="inlineStr">
        <is>
          <t>Faithfulness = 0,70×Entailment + 0,30×KWoverlap = 0,70×1.0000 + 0,30×0.2463 = 0.7739  (entailment: 6/6 klaim didukung; KWoverlap = (|∩|/|ctx|)^0,65 = (30/259)^0,65 = 0.1158^0,65 = 0.2463)</t>
        </is>
      </c>
      <c r="F673" t="n">
        <v>0.7739</v>
      </c>
      <c r="G673" s="3" t="inlineStr">
        <is>
          <t>metode: llm_entailment + keyword</t>
        </is>
      </c>
    </row>
    <row r="674">
      <c r="A674" t="n">
        <v>46</v>
      </c>
      <c r="B674" t="inlineStr">
        <is>
          <t>B</t>
        </is>
      </c>
      <c r="C674" t="inlineStr">
        <is>
          <t>— Entailment (Pers. 12-13)</t>
        </is>
      </c>
      <c r="D674" s="3" t="inlineStr">
        <is>
          <t>Entailment = Σverdict(sᵢ)/m</t>
        </is>
      </c>
      <c r="E674" s="3" t="inlineStr">
        <is>
          <t>6 klaim YA dari 6 klaim dievaluasi</t>
        </is>
      </c>
      <c r="F674" t="n">
        <v>1</v>
      </c>
      <c r="G674" s="3" t="inlineStr">
        <is>
          <t>verdict per klaim: sheet 'Entailment Detail'</t>
        </is>
      </c>
    </row>
    <row r="675">
      <c r="A675" t="n">
        <v>46</v>
      </c>
      <c r="B675" t="inlineStr">
        <is>
          <t>B</t>
        </is>
      </c>
      <c r="C675" t="inlineStr">
        <is>
          <t>— Keyword Overlap (Pers. 14)</t>
        </is>
      </c>
      <c r="D675" s="3" t="inlineStr">
        <is>
          <t>KWoverlap = (|Stems(ans)∩Stems(ctx)| / |Stems(ctx)|)^0,65</t>
        </is>
      </c>
      <c r="E675" s="3" t="inlineStr">
        <is>
          <t>KWoverlap = (|∩|/|ctx|)^0,65 = (30/259)^0,65 = 0.1158^0,65 = 0.2463</t>
        </is>
      </c>
      <c r="F675" t="n">
        <v>0.2463</v>
      </c>
      <c r="G675" s="3" t="inlineStr"/>
    </row>
    <row r="676">
      <c r="A676" t="n">
        <v>46</v>
      </c>
      <c r="B676" t="inlineStr">
        <is>
          <t>B</t>
        </is>
      </c>
      <c r="C676" t="inlineStr">
        <is>
          <t>Hallucination Risk (Pers. 18)</t>
        </is>
      </c>
      <c r="D676" s="3" t="inlineStr">
        <is>
          <t>Risk = 0,65×(1-F) + 0,20×Contradiction + 0,15×Uncertainty</t>
        </is>
      </c>
      <c r="E676" s="3" t="inlineStr">
        <is>
          <t>Risk = 0,65×OutOfContext + 0,20×Contradiction + 0,15×Uncertainty = 0,65×0.2261 + 0,20×0.0000 + 0,15×0.00 = 0.1470 [RENDAH]</t>
        </is>
      </c>
      <c r="F676" t="n">
        <v>0.147</v>
      </c>
      <c r="G676" s="3" t="inlineStr">
        <is>
          <t>label: RENDAH; kontradiksi 0/51 kalimat; uncertainty flag: False</t>
        </is>
      </c>
    </row>
    <row r="677">
      <c r="A677" t="n">
        <v>46</v>
      </c>
      <c r="B677" t="inlineStr">
        <is>
          <t>B</t>
        </is>
      </c>
      <c r="C677" t="inlineStr">
        <is>
          <t>Answer Accuracy (Pers. 20)</t>
        </is>
      </c>
      <c r="D677" s="3" t="inlineStr">
        <is>
          <t>Correctᵢ ∈ {0,1} via LLM-as-Judge (HASIL: BENAR/SALAH)</t>
        </is>
      </c>
      <c r="E677" s="3" t="inlineStr">
        <is>
          <t>BENAR</t>
        </is>
      </c>
      <c r="F677" t="inlineStr">
        <is>
          <t>BENAR</t>
        </is>
      </c>
      <c r="G677" s="3" t="inlineStr">
        <is>
          <t>evaluator: ollama/llama3</t>
        </is>
      </c>
    </row>
    <row r="678">
      <c r="A678" t="n">
        <v>47</v>
      </c>
      <c r="B678" t="inlineStr">
        <is>
          <t>A</t>
        </is>
      </c>
      <c r="C678" t="inlineStr">
        <is>
          <t>Precision@K (Pers. 2)</t>
        </is>
      </c>
      <c r="D678" s="3" t="inlineStr">
        <is>
          <t>Precision@K = |{d ∈ TopK : sim(q,d) ≥ θ}| / K</t>
        </is>
      </c>
      <c r="E678" s="3" t="inlineStr">
        <is>
          <t>skor = [0.7507, 0.7423, 0.7372, 0.7334, 0.7285, 0.7227] → 6 / 6</t>
        </is>
      </c>
      <c r="F678" t="n">
        <v>1</v>
      </c>
      <c r="G678" s="3" t="inlineStr">
        <is>
          <t>basis: skor chunk nyata (sesuai contoh Pers. 2 skripsi)</t>
        </is>
      </c>
    </row>
    <row r="679">
      <c r="A679" t="n">
        <v>47</v>
      </c>
      <c r="B679" t="inlineStr">
        <is>
          <t>A</t>
        </is>
      </c>
      <c r="C679" t="inlineStr">
        <is>
          <t>Recall@K (Pers. 4)</t>
        </is>
      </c>
      <c r="D679" s="3" t="inlineStr">
        <is>
          <t>Recall@K = |{kata kunci ditemukan : sim ≥ θ}| / |R|</t>
        </is>
      </c>
      <c r="E679" s="3" t="inlineStr">
        <is>
          <t>skor = [0.5466, 0.5208, 0.4058, 0.39, 0.386, 0.3794] → 6 / 6</t>
        </is>
      </c>
      <c r="F679" t="n">
        <v>1</v>
      </c>
      <c r="G679" s="3" t="inlineStr"/>
    </row>
    <row r="680">
      <c r="A680" t="n">
        <v>47</v>
      </c>
      <c r="B680" t="inlineStr">
        <is>
          <t>A</t>
        </is>
      </c>
      <c r="C680" t="inlineStr">
        <is>
          <t>Mean Similarity (Pers. 6)</t>
        </is>
      </c>
      <c r="D680" s="3" t="inlineStr">
        <is>
          <t>MeanSim = (1/K) × Σ sim(q, dᵢ)</t>
        </is>
      </c>
      <c r="E680" s="3" t="inlineStr">
        <is>
          <t>skor = [0.7507, 0.7423, 0.7372, 0.7334, 0.7285, 0.7227] → (0.7507 + 0.7423 + 0.7372 + 0.7334 + 0.7285 + 0.7227) / 6</t>
        </is>
      </c>
      <c r="F680" t="n">
        <v>0.7358</v>
      </c>
      <c r="G680" s="3" t="inlineStr"/>
    </row>
    <row r="681">
      <c r="A681" t="n">
        <v>47</v>
      </c>
      <c r="B681" t="inlineStr">
        <is>
          <t>A</t>
        </is>
      </c>
      <c r="C681" t="inlineStr">
        <is>
          <t>Coverage (Pers. 8)</t>
        </is>
      </c>
      <c r="D681" s="3" t="inlineStr">
        <is>
          <t>Coverage = |{dᵢ ∈ TopK : sim(q,dᵢ) ≥ θc}| / K</t>
        </is>
      </c>
      <c r="E681" s="3" t="inlineStr">
        <is>
          <t>skor = [0.7507, 0.7423, 0.7372, 0.7334, 0.7285, 0.7227] → 6 / 6</t>
        </is>
      </c>
      <c r="F681" t="n">
        <v>1</v>
      </c>
      <c r="G681" s="3" t="inlineStr"/>
    </row>
    <row r="682">
      <c r="A682" t="n">
        <v>47</v>
      </c>
      <c r="B682" t="inlineStr">
        <is>
          <t>A</t>
        </is>
      </c>
      <c r="C682" t="inlineStr">
        <is>
          <t>Source Diversity (Pers. 10)</t>
        </is>
      </c>
      <c r="D682" s="3" t="inlineStr">
        <is>
          <t>Diversity = |sumber unik dalam TopK| / K</t>
        </is>
      </c>
      <c r="E682" s="3" t="inlineStr">
        <is>
          <t>skor = ['GT_CT07.txt', 'GT_CT10.txt', 'GT_CT12.txt', 'GT_DETAIL_PT05_Pattern_Recognition.txt', 'GT_DETAIL_PT11_Perulangan.txt', 'GT_SUBTOPIK_04_Modulo_Siklus.txt'] → 6 / 6</t>
        </is>
      </c>
      <c r="F682" t="n">
        <v>1</v>
      </c>
      <c r="G682" s="3" t="inlineStr">
        <is>
          <t>file unik: GT_CT07.txt, GT_CT10.txt, GT_CT12.txt, GT_DETAIL_PT05_Pattern_Recognition.txt, GT_DETAIL_PT11_Perulangan.txt, GT_SUBTOPIK_04_Modulo_Siklus.txt</t>
        </is>
      </c>
    </row>
    <row r="683">
      <c r="A683" t="n">
        <v>47</v>
      </c>
      <c r="B683" t="inlineStr">
        <is>
          <t>A</t>
        </is>
      </c>
      <c r="C683" t="inlineStr">
        <is>
          <t>Faithfulness (Pers. 15)</t>
        </is>
      </c>
      <c r="D683" s="3" t="inlineStr">
        <is>
          <t>F = 0,70×Entailment + 0,30×KWoverlap</t>
        </is>
      </c>
      <c r="E683" s="3" t="inlineStr">
        <is>
          <t>Faithfulness = 0,70×Entailment + 0,30×KWoverlap = 0,70×0.8333 + 0,30×0.3845 = 0.6987  (entailment: 5/6 klaim didukung; KWoverlap = (|∩|/|ctx|)^0,65 = (54/235)^0,65 = 0.2298^0,65 = 0.3845)</t>
        </is>
      </c>
      <c r="F683" t="n">
        <v>0.6987</v>
      </c>
      <c r="G683" s="3" t="inlineStr">
        <is>
          <t>metode: llm_entailment + keyword</t>
        </is>
      </c>
    </row>
    <row r="684">
      <c r="A684" t="n">
        <v>47</v>
      </c>
      <c r="B684" t="inlineStr">
        <is>
          <t>A</t>
        </is>
      </c>
      <c r="C684" t="inlineStr">
        <is>
          <t>— Entailment (Pers. 12-13)</t>
        </is>
      </c>
      <c r="D684" s="3" t="inlineStr">
        <is>
          <t>Entailment = Σverdict(sᵢ)/m</t>
        </is>
      </c>
      <c r="E684" s="3" t="inlineStr">
        <is>
          <t>5 klaim YA dari 6 klaim dievaluasi</t>
        </is>
      </c>
      <c r="F684" t="n">
        <v>0.8333</v>
      </c>
      <c r="G684" s="3" t="inlineStr">
        <is>
          <t>verdict per klaim: sheet 'Entailment Detail'</t>
        </is>
      </c>
    </row>
    <row r="685">
      <c r="A685" t="n">
        <v>47</v>
      </c>
      <c r="B685" t="inlineStr">
        <is>
          <t>A</t>
        </is>
      </c>
      <c r="C685" t="inlineStr">
        <is>
          <t>— Keyword Overlap (Pers. 14)</t>
        </is>
      </c>
      <c r="D685" s="3" t="inlineStr">
        <is>
          <t>KWoverlap = (|Stems(ans)∩Stems(ctx)| / |Stems(ctx)|)^0,65</t>
        </is>
      </c>
      <c r="E685" s="3" t="inlineStr">
        <is>
          <t>KWoverlap = (|∩|/|ctx|)^0,65 = (54/235)^0,65 = 0.2298^0,65 = 0.3845</t>
        </is>
      </c>
      <c r="F685" t="n">
        <v>0.3845</v>
      </c>
      <c r="G685" s="3" t="inlineStr"/>
    </row>
    <row r="686">
      <c r="A686" t="n">
        <v>47</v>
      </c>
      <c r="B686" t="inlineStr">
        <is>
          <t>A</t>
        </is>
      </c>
      <c r="C686" t="inlineStr">
        <is>
          <t>Hallucination Risk (Pers. 18)</t>
        </is>
      </c>
      <c r="D686" s="3" t="inlineStr">
        <is>
          <t>Risk = 0,65×(1-F) + 0,20×Contradiction + 0,15×Uncertainty</t>
        </is>
      </c>
      <c r="E686" s="3" t="inlineStr">
        <is>
          <t>Risk = 0,65×OutOfContext + 0,20×Contradiction + 0,15×Uncertainty = 0,65×0.3013 + 0,20×0.0000 + 0,15×0.00 = 0.1958 [RENDAH]</t>
        </is>
      </c>
      <c r="F686" t="n">
        <v>0.1958</v>
      </c>
      <c r="G686" s="3" t="inlineStr">
        <is>
          <t>label: RENDAH; kontradiksi 0/40 kalimat; uncertainty flag: False</t>
        </is>
      </c>
    </row>
    <row r="687">
      <c r="A687" t="n">
        <v>47</v>
      </c>
      <c r="B687" t="inlineStr">
        <is>
          <t>A</t>
        </is>
      </c>
      <c r="C687" t="inlineStr">
        <is>
          <t>Answer Accuracy (Pers. 20)</t>
        </is>
      </c>
      <c r="D687" s="3" t="inlineStr">
        <is>
          <t>Correctᵢ ∈ {0,1} via LLM-as-Judge (HASIL: BENAR/SALAH)</t>
        </is>
      </c>
      <c r="E687" s="3" t="inlineStr">
        <is>
          <t>The answer system's response is:
Reasoning: The question asks whether the value of x in the main program changes to 99 after calling a function that assigns x = 99. However, the reference provided does not address this specific scenario.
In Python, variables are passed by object reference, which means that when you modify a variable inside a function, it will affect the original variable outsi</t>
        </is>
      </c>
      <c r="F687" t="inlineStr">
        <is>
          <t>SALAH</t>
        </is>
      </c>
      <c r="G687" s="3" t="inlineStr">
        <is>
          <t>evaluator: ollama/llama3</t>
        </is>
      </c>
    </row>
    <row r="688">
      <c r="A688" t="n">
        <v>47</v>
      </c>
      <c r="B688" t="inlineStr">
        <is>
          <t>B</t>
        </is>
      </c>
      <c r="C688" t="inlineStr">
        <is>
          <t>Faithfulness (Pers. 15)</t>
        </is>
      </c>
      <c r="D688" s="3" t="inlineStr">
        <is>
          <t>F = 0,70×Entailment + 0,30×KWoverlap</t>
        </is>
      </c>
      <c r="E688" s="3" t="inlineStr">
        <is>
          <t>Faithfulness = 0,70×Entailment + 0,30×KWoverlap = 0,70×0.8333 + 0,30×0.1446 = 0.6267  (entailment: 5/6 klaim didukung; KWoverlap = (|∩|/|ctx|)^0,65 = (12/235)^0,65 = 0.0511^0,65 = 0.1446)</t>
        </is>
      </c>
      <c r="F688" t="n">
        <v>0.6267</v>
      </c>
      <c r="G688" s="3" t="inlineStr">
        <is>
          <t>metode: llm_entailment + keyword</t>
        </is>
      </c>
    </row>
    <row r="689">
      <c r="A689" t="n">
        <v>47</v>
      </c>
      <c r="B689" t="inlineStr">
        <is>
          <t>B</t>
        </is>
      </c>
      <c r="C689" t="inlineStr">
        <is>
          <t>— Entailment (Pers. 12-13)</t>
        </is>
      </c>
      <c r="D689" s="3" t="inlineStr">
        <is>
          <t>Entailment = Σverdict(sᵢ)/m</t>
        </is>
      </c>
      <c r="E689" s="3" t="inlineStr">
        <is>
          <t>5 klaim YA dari 6 klaim dievaluasi</t>
        </is>
      </c>
      <c r="F689" t="n">
        <v>0.8333</v>
      </c>
      <c r="G689" s="3" t="inlineStr">
        <is>
          <t>verdict per klaim: sheet 'Entailment Detail'</t>
        </is>
      </c>
    </row>
    <row r="690">
      <c r="A690" t="n">
        <v>47</v>
      </c>
      <c r="B690" t="inlineStr">
        <is>
          <t>B</t>
        </is>
      </c>
      <c r="C690" t="inlineStr">
        <is>
          <t>— Keyword Overlap (Pers. 14)</t>
        </is>
      </c>
      <c r="D690" s="3" t="inlineStr">
        <is>
          <t>KWoverlap = (|Stems(ans)∩Stems(ctx)| / |Stems(ctx)|)^0,65</t>
        </is>
      </c>
      <c r="E690" s="3" t="inlineStr">
        <is>
          <t>KWoverlap = (|∩|/|ctx|)^0,65 = (12/235)^0,65 = 0.0511^0,65 = 0.1446</t>
        </is>
      </c>
      <c r="F690" t="n">
        <v>0.1446</v>
      </c>
      <c r="G690" s="3" t="inlineStr"/>
    </row>
    <row r="691">
      <c r="A691" t="n">
        <v>47</v>
      </c>
      <c r="B691" t="inlineStr">
        <is>
          <t>B</t>
        </is>
      </c>
      <c r="C691" t="inlineStr">
        <is>
          <t>Hallucination Risk (Pers. 18)</t>
        </is>
      </c>
      <c r="D691" s="3" t="inlineStr">
        <is>
          <t>Risk = 0,65×(1-F) + 0,20×Contradiction + 0,15×Uncertainty</t>
        </is>
      </c>
      <c r="E691" s="3" t="inlineStr">
        <is>
          <t>Risk = 0,65×OutOfContext + 0,20×Contradiction + 0,15×Uncertainty = 0,65×0.3733 + 0,20×0.0000 + 0,15×0.00 = 0.2426 [RENDAH]</t>
        </is>
      </c>
      <c r="F691" t="n">
        <v>0.2426</v>
      </c>
      <c r="G691" s="3" t="inlineStr">
        <is>
          <t>label: RENDAH; kontradiksi 0/8 kalimat; uncertainty flag: False</t>
        </is>
      </c>
    </row>
    <row r="692">
      <c r="A692" t="n">
        <v>47</v>
      </c>
      <c r="B692" t="inlineStr">
        <is>
          <t>B</t>
        </is>
      </c>
      <c r="C692" t="inlineStr">
        <is>
          <t>Answer Accuracy (Pers. 20)</t>
        </is>
      </c>
      <c r="D692" s="3" t="inlineStr">
        <is>
          <t>Correctᵢ ∈ {0,1} via LLM-as-Judge (HASIL: BENAR/SALAH)</t>
        </is>
      </c>
      <c r="E692" s="3" t="inlineStr">
        <is>
          <t>BENAR</t>
        </is>
      </c>
      <c r="F692" t="inlineStr">
        <is>
          <t>BENAR</t>
        </is>
      </c>
      <c r="G692" s="3" t="inlineStr">
        <is>
          <t>evaluator: ollama/llama3</t>
        </is>
      </c>
    </row>
    <row r="693">
      <c r="A693" t="n">
        <v>48</v>
      </c>
      <c r="B693" t="inlineStr">
        <is>
          <t>A</t>
        </is>
      </c>
      <c r="C693" t="inlineStr">
        <is>
          <t>Precision@K (Pers. 2)</t>
        </is>
      </c>
      <c r="D693" s="3" t="inlineStr">
        <is>
          <t>Precision@K = |{d ∈ TopK : sim(q,d) ≥ θ}| / K</t>
        </is>
      </c>
      <c r="E693" s="3" t="inlineStr">
        <is>
          <t>skor = [0.7539, 0.7244, 0.6944, 0.6919, 0.6918, 0.6893] → 6 / 6</t>
        </is>
      </c>
      <c r="F693" t="n">
        <v>1</v>
      </c>
      <c r="G693" s="3" t="inlineStr">
        <is>
          <t>basis: skor chunk nyata (sesuai contoh Pers. 2 skripsi)</t>
        </is>
      </c>
    </row>
    <row r="694">
      <c r="A694" t="n">
        <v>48</v>
      </c>
      <c r="B694" t="inlineStr">
        <is>
          <t>A</t>
        </is>
      </c>
      <c r="C694" t="inlineStr">
        <is>
          <t>Recall@K (Pers. 4)</t>
        </is>
      </c>
      <c r="D694" s="3" t="inlineStr">
        <is>
          <t>Recall@K = |{kata kunci ditemukan : sim ≥ θ}| / |R|</t>
        </is>
      </c>
      <c r="E694" s="3" t="inlineStr">
        <is>
          <t>skor = [0.664, 0.5568, 0.4766, 0.3951, 0.3911, 0.3805] → 6 / 6</t>
        </is>
      </c>
      <c r="F694" t="n">
        <v>1</v>
      </c>
      <c r="G694" s="3" t="inlineStr"/>
    </row>
    <row r="695">
      <c r="A695" t="n">
        <v>48</v>
      </c>
      <c r="B695" t="inlineStr">
        <is>
          <t>A</t>
        </is>
      </c>
      <c r="C695" t="inlineStr">
        <is>
          <t>Mean Similarity (Pers. 6)</t>
        </is>
      </c>
      <c r="D695" s="3" t="inlineStr">
        <is>
          <t>MeanSim = (1/K) × Σ sim(q, dᵢ)</t>
        </is>
      </c>
      <c r="E695" s="3" t="inlineStr">
        <is>
          <t>skor = [0.7539, 0.7244, 0.6944, 0.6919, 0.6918, 0.6893] → (0.7539 + 0.7244 + 0.6944 + 0.6919 + 0.6918 + 0.6893) / 6</t>
        </is>
      </c>
      <c r="F695" t="n">
        <v>0.7076</v>
      </c>
      <c r="G695" s="3" t="inlineStr"/>
    </row>
    <row r="696">
      <c r="A696" t="n">
        <v>48</v>
      </c>
      <c r="B696" t="inlineStr">
        <is>
          <t>A</t>
        </is>
      </c>
      <c r="C696" t="inlineStr">
        <is>
          <t>Coverage (Pers. 8)</t>
        </is>
      </c>
      <c r="D696" s="3" t="inlineStr">
        <is>
          <t>Coverage = |{dᵢ ∈ TopK : sim(q,dᵢ) ≥ θc}| / K</t>
        </is>
      </c>
      <c r="E696" s="3" t="inlineStr">
        <is>
          <t>skor = [0.7539, 0.7244, 0.6944, 0.6919, 0.6918, 0.6893] → 6 / 6</t>
        </is>
      </c>
      <c r="F696" t="n">
        <v>1</v>
      </c>
      <c r="G696" s="3" t="inlineStr"/>
    </row>
    <row r="697">
      <c r="A697" t="n">
        <v>48</v>
      </c>
      <c r="B697" t="inlineStr">
        <is>
          <t>A</t>
        </is>
      </c>
      <c r="C697" t="inlineStr">
        <is>
          <t>Source Diversity (Pers. 10)</t>
        </is>
      </c>
      <c r="D697" s="3" t="inlineStr">
        <is>
          <t>Diversity = |sumber unik dalam TopK| / K</t>
        </is>
      </c>
      <c r="E697" s="3" t="inlineStr">
        <is>
          <t>skor = ['GT_CT03.txt', 'GT_CT05.txt', 'GT_CT09.txt', 'GT_CT12.txt', 'GT_DETAIL_PT12_Fungsi.txt'] → 5 / 6</t>
        </is>
      </c>
      <c r="F697" t="n">
        <v>0.8333</v>
      </c>
      <c r="G697" s="3" t="inlineStr">
        <is>
          <t>file unik: GT_CT03.txt, GT_CT05.txt, GT_CT09.txt, GT_CT12.txt, GT_DETAIL_PT12_Fungsi.txt</t>
        </is>
      </c>
    </row>
    <row r="698">
      <c r="A698" t="n">
        <v>48</v>
      </c>
      <c r="B698" t="inlineStr">
        <is>
          <t>A</t>
        </is>
      </c>
      <c r="C698" t="inlineStr">
        <is>
          <t>Faithfulness (Pers. 15)</t>
        </is>
      </c>
      <c r="D698" s="3" t="inlineStr">
        <is>
          <t>F = 0,70×Entailment + 0,30×KWoverlap</t>
        </is>
      </c>
      <c r="E698" s="3" t="inlineStr">
        <is>
          <t>Faithfulness = 0,70×Entailment + 0,30×KWoverlap = 0,70×1.0000 + 0,30×0.2392 = 0.7718  (entailment: 6/6 klaim didukung; KWoverlap = (|∩|/|ctx|)^0,65 = (31/280)^0,65 = 0.1107^0,65 = 0.2392)</t>
        </is>
      </c>
      <c r="F698" t="n">
        <v>0.7718</v>
      </c>
      <c r="G698" s="3" t="inlineStr">
        <is>
          <t>metode: llm_entailment + keyword</t>
        </is>
      </c>
    </row>
    <row r="699">
      <c r="A699" t="n">
        <v>48</v>
      </c>
      <c r="B699" t="inlineStr">
        <is>
          <t>A</t>
        </is>
      </c>
      <c r="C699" t="inlineStr">
        <is>
          <t>— Entailment (Pers. 12-13)</t>
        </is>
      </c>
      <c r="D699" s="3" t="inlineStr">
        <is>
          <t>Entailment = Σverdict(sᵢ)/m</t>
        </is>
      </c>
      <c r="E699" s="3" t="inlineStr">
        <is>
          <t>6 klaim YA dari 6 klaim dievaluasi</t>
        </is>
      </c>
      <c r="F699" t="n">
        <v>1</v>
      </c>
      <c r="G699" s="3" t="inlineStr">
        <is>
          <t>verdict per klaim: sheet 'Entailment Detail'</t>
        </is>
      </c>
    </row>
    <row r="700">
      <c r="A700" t="n">
        <v>48</v>
      </c>
      <c r="B700" t="inlineStr">
        <is>
          <t>A</t>
        </is>
      </c>
      <c r="C700" t="inlineStr">
        <is>
          <t>— Keyword Overlap (Pers. 14)</t>
        </is>
      </c>
      <c r="D700" s="3" t="inlineStr">
        <is>
          <t>KWoverlap = (|Stems(ans)∩Stems(ctx)| / |Stems(ctx)|)^0,65</t>
        </is>
      </c>
      <c r="E700" s="3" t="inlineStr">
        <is>
          <t>KWoverlap = (|∩|/|ctx|)^0,65 = (31/280)^0,65 = 0.1107^0,65 = 0.2392</t>
        </is>
      </c>
      <c r="F700" t="n">
        <v>0.2392</v>
      </c>
      <c r="G700" s="3" t="inlineStr"/>
    </row>
    <row r="701">
      <c r="A701" t="n">
        <v>48</v>
      </c>
      <c r="B701" t="inlineStr">
        <is>
          <t>A</t>
        </is>
      </c>
      <c r="C701" t="inlineStr">
        <is>
          <t>Hallucination Risk (Pers. 18)</t>
        </is>
      </c>
      <c r="D701" s="3" t="inlineStr">
        <is>
          <t>Risk = 0,65×(1-F) + 0,20×Contradiction + 0,15×Uncertainty</t>
        </is>
      </c>
      <c r="E701" s="3" t="inlineStr">
        <is>
          <t>Risk = 0,65×OutOfContext + 0,20×Contradiction + 0,15×Uncertainty = 0,65×0.2282 + 0,20×0.0000 + 0,15×0.00 = 0.1483 [RENDAH]</t>
        </is>
      </c>
      <c r="F701" t="n">
        <v>0.1483</v>
      </c>
      <c r="G701" s="3" t="inlineStr">
        <is>
          <t>label: RENDAH; kontradiksi 0/11 kalimat; uncertainty flag: False</t>
        </is>
      </c>
    </row>
    <row r="702">
      <c r="A702" t="n">
        <v>48</v>
      </c>
      <c r="B702" t="inlineStr">
        <is>
          <t>A</t>
        </is>
      </c>
      <c r="C702" t="inlineStr">
        <is>
          <t>Answer Accuracy (Pers. 20)</t>
        </is>
      </c>
      <c r="D702" s="3" t="inlineStr">
        <is>
          <t>Correctᵢ ∈ {0,1} via LLM-as-Judge (HASIL: BENAR/SALAH)</t>
        </is>
      </c>
      <c r="E702" s="3" t="inlineStr">
        <is>
          <t>Jawaban sistem tersebut tidak menjawab pertanyaan dengan benar berdasarkan referensi. Referensi hanya membahas tentang penggunaan fungsi, dekomposisi, dan abstraksi, tapi jawaban sistem menyatakan bahwa rekursi memiliki sifat yang berbeda dalam hal implementasinya tanpa menjelaskan apa yang membuatnya "spesial" dibanding fungsi biasa.</t>
        </is>
      </c>
      <c r="F702" t="inlineStr">
        <is>
          <t>SALAH</t>
        </is>
      </c>
      <c r="G702" s="3" t="inlineStr">
        <is>
          <t>evaluator: ollama/llama3</t>
        </is>
      </c>
    </row>
    <row r="703">
      <c r="A703" t="n">
        <v>48</v>
      </c>
      <c r="B703" t="inlineStr">
        <is>
          <t>B</t>
        </is>
      </c>
      <c r="C703" t="inlineStr">
        <is>
          <t>Faithfulness (Pers. 15)</t>
        </is>
      </c>
      <c r="D703" s="3" t="inlineStr">
        <is>
          <t>F = 0,70×Entailment + 0,30×KWoverlap</t>
        </is>
      </c>
      <c r="E703" s="3" t="inlineStr">
        <is>
          <t>Faithfulness = 0,70×Entailment + 0,30×KWoverlap = 0,70×1.0000 + 0,30×0.2239 = 0.7672  (entailment: 6/6 klaim didukung; KWoverlap = (|∩|/|ctx|)^0,65 = (28/280)^0,65 = 0.1000^0,65 = 0.2239)</t>
        </is>
      </c>
      <c r="F703" t="n">
        <v>0.7672</v>
      </c>
      <c r="G703" s="3" t="inlineStr">
        <is>
          <t>metode: llm_entailment + keyword</t>
        </is>
      </c>
    </row>
    <row r="704">
      <c r="A704" t="n">
        <v>48</v>
      </c>
      <c r="B704" t="inlineStr">
        <is>
          <t>B</t>
        </is>
      </c>
      <c r="C704" t="inlineStr">
        <is>
          <t>— Entailment (Pers. 12-13)</t>
        </is>
      </c>
      <c r="D704" s="3" t="inlineStr">
        <is>
          <t>Entailment = Σverdict(sᵢ)/m</t>
        </is>
      </c>
      <c r="E704" s="3" t="inlineStr">
        <is>
          <t>6 klaim YA dari 6 klaim dievaluasi</t>
        </is>
      </c>
      <c r="F704" t="n">
        <v>1</v>
      </c>
      <c r="G704" s="3" t="inlineStr">
        <is>
          <t>verdict per klaim: sheet 'Entailment Detail'</t>
        </is>
      </c>
    </row>
    <row r="705">
      <c r="A705" t="n">
        <v>48</v>
      </c>
      <c r="B705" t="inlineStr">
        <is>
          <t>B</t>
        </is>
      </c>
      <c r="C705" t="inlineStr">
        <is>
          <t>— Keyword Overlap (Pers. 14)</t>
        </is>
      </c>
      <c r="D705" s="3" t="inlineStr">
        <is>
          <t>KWoverlap = (|Stems(ans)∩Stems(ctx)| / |Stems(ctx)|)^0,65</t>
        </is>
      </c>
      <c r="E705" s="3" t="inlineStr">
        <is>
          <t>KWoverlap = (|∩|/|ctx|)^0,65 = (28/280)^0,65 = 0.1000^0,65 = 0.2239</t>
        </is>
      </c>
      <c r="F705" t="n">
        <v>0.2239</v>
      </c>
      <c r="G705" s="3" t="inlineStr"/>
    </row>
    <row r="706">
      <c r="A706" t="n">
        <v>48</v>
      </c>
      <c r="B706" t="inlineStr">
        <is>
          <t>B</t>
        </is>
      </c>
      <c r="C706" t="inlineStr">
        <is>
          <t>Hallucination Risk (Pers. 18)</t>
        </is>
      </c>
      <c r="D706" s="3" t="inlineStr">
        <is>
          <t>Risk = 0,65×(1-F) + 0,20×Contradiction + 0,15×Uncertainty</t>
        </is>
      </c>
      <c r="E706" s="3" t="inlineStr">
        <is>
          <t>Risk = 0,65×OutOfContext + 0,20×Contradiction + 0,15×Uncertainty = 0,65×0.2328 + 0,20×0.0000 + 0,15×0.00 = 0.1513 [RENDAH]</t>
        </is>
      </c>
      <c r="F706" t="n">
        <v>0.1513</v>
      </c>
      <c r="G706" s="3" t="inlineStr">
        <is>
          <t>label: RENDAH; kontradiksi 0/11 kalimat; uncertainty flag: False</t>
        </is>
      </c>
    </row>
    <row r="707">
      <c r="A707" t="n">
        <v>48</v>
      </c>
      <c r="B707" t="inlineStr">
        <is>
          <t>B</t>
        </is>
      </c>
      <c r="C707" t="inlineStr">
        <is>
          <t>Answer Accuracy (Pers. 20)</t>
        </is>
      </c>
      <c r="D707" s="3" t="inlineStr">
        <is>
          <t>Correctᵢ ∈ {0,1} via LLM-as-Judge (HASIL: BENAR/SALAH)</t>
        </is>
      </c>
      <c r="E707" s="3" t="inlineStr">
        <is>
          <t>Alasan: Jawaban sistem tidak secara eksplisit berdasarkan referensi, tidak mengacu pada penggunaan fungsi dan analogi sederhana untuk memahami fungsi sebagai dekomposisi dan abstraksi.</t>
        </is>
      </c>
      <c r="F707" t="inlineStr">
        <is>
          <t>SALAH</t>
        </is>
      </c>
      <c r="G707" s="3" t="inlineStr">
        <is>
          <t>evaluator: ollama/llama3</t>
        </is>
      </c>
    </row>
    <row r="708">
      <c r="A708" t="n">
        <v>49</v>
      </c>
      <c r="B708" t="inlineStr">
        <is>
          <t>A</t>
        </is>
      </c>
      <c r="C708" t="inlineStr">
        <is>
          <t>Precision@K (Pers. 2)</t>
        </is>
      </c>
      <c r="D708" s="3" t="inlineStr">
        <is>
          <t>Precision@K = |{d ∈ TopK : sim(q,d) ≥ θ}| / K</t>
        </is>
      </c>
      <c r="E708" s="3" t="inlineStr">
        <is>
          <t>skor = [0.7439, 0.7176, 0.7159, 0.7144, 0.7128, 0.7115] → 6 / 6</t>
        </is>
      </c>
      <c r="F708" t="n">
        <v>1</v>
      </c>
      <c r="G708" s="3" t="inlineStr">
        <is>
          <t>basis: skor chunk nyata (sesuai contoh Pers. 2 skripsi)</t>
        </is>
      </c>
    </row>
    <row r="709">
      <c r="A709" t="n">
        <v>49</v>
      </c>
      <c r="B709" t="inlineStr">
        <is>
          <t>A</t>
        </is>
      </c>
      <c r="C709" t="inlineStr">
        <is>
          <t>Recall@K (Pers. 4)</t>
        </is>
      </c>
      <c r="D709" s="3" t="inlineStr">
        <is>
          <t>Recall@K = |{kata kunci ditemukan : sim ≥ θ}| / |R|</t>
        </is>
      </c>
      <c r="E709" s="3" t="inlineStr">
        <is>
          <t>skor = [0.6416, 0.6233, 0.5288, 0.5173, 0.4841, 0.4268] → 6 / 6</t>
        </is>
      </c>
      <c r="F709" t="n">
        <v>1</v>
      </c>
      <c r="G709" s="3" t="inlineStr"/>
    </row>
    <row r="710">
      <c r="A710" t="n">
        <v>49</v>
      </c>
      <c r="B710" t="inlineStr">
        <is>
          <t>A</t>
        </is>
      </c>
      <c r="C710" t="inlineStr">
        <is>
          <t>Mean Similarity (Pers. 6)</t>
        </is>
      </c>
      <c r="D710" s="3" t="inlineStr">
        <is>
          <t>MeanSim = (1/K) × Σ sim(q, dᵢ)</t>
        </is>
      </c>
      <c r="E710" s="3" t="inlineStr">
        <is>
          <t>skor = [0.7439, 0.7176, 0.7159, 0.7144, 0.7128, 0.7115] → (0.7439 + 0.7176 + 0.7159 + 0.7144 + 0.7128 + 0.7115) / 6</t>
        </is>
      </c>
      <c r="F710" t="n">
        <v>0.7194</v>
      </c>
      <c r="G710" s="3" t="inlineStr"/>
    </row>
    <row r="711">
      <c r="A711" t="n">
        <v>49</v>
      </c>
      <c r="B711" t="inlineStr">
        <is>
          <t>A</t>
        </is>
      </c>
      <c r="C711" t="inlineStr">
        <is>
          <t>Coverage (Pers. 8)</t>
        </is>
      </c>
      <c r="D711" s="3" t="inlineStr">
        <is>
          <t>Coverage = |{dᵢ ∈ TopK : sim(q,dᵢ) ≥ θc}| / K</t>
        </is>
      </c>
      <c r="E711" s="3" t="inlineStr">
        <is>
          <t>skor = [0.7439, 0.7176, 0.7159, 0.7144, 0.7128, 0.7115] → 6 / 6</t>
        </is>
      </c>
      <c r="F711" t="n">
        <v>1</v>
      </c>
      <c r="G711" s="3" t="inlineStr"/>
    </row>
    <row r="712">
      <c r="A712" t="n">
        <v>49</v>
      </c>
      <c r="B712" t="inlineStr">
        <is>
          <t>A</t>
        </is>
      </c>
      <c r="C712" t="inlineStr">
        <is>
          <t>Source Diversity (Pers. 10)</t>
        </is>
      </c>
      <c r="D712" s="3" t="inlineStr">
        <is>
          <t>Diversity = |sumber unik dalam TopK| / K</t>
        </is>
      </c>
      <c r="E712" s="3" t="inlineStr">
        <is>
          <t>skor = ['GT_CT12.txt', 'GT_DETAIL_PT12_Fungsi.txt', 'GT_SUBTOPIK_02_Abstraksi_Formulasi.txt'] → 3 / 6</t>
        </is>
      </c>
      <c r="F712" t="n">
        <v>0.5</v>
      </c>
      <c r="G712" s="3" t="inlineStr">
        <is>
          <t>file unik: GT_CT12.txt, GT_DETAIL_PT12_Fungsi.txt, GT_SUBTOPIK_02_Abstraksi_Formulasi.txt</t>
        </is>
      </c>
    </row>
    <row r="713">
      <c r="A713" t="n">
        <v>49</v>
      </c>
      <c r="B713" t="inlineStr">
        <is>
          <t>A</t>
        </is>
      </c>
      <c r="C713" t="inlineStr">
        <is>
          <t>Faithfulness (Pers. 15)</t>
        </is>
      </c>
      <c r="D713" s="3" t="inlineStr">
        <is>
          <t>F = 0,70×Entailment + 0,30×KWoverlap</t>
        </is>
      </c>
      <c r="E713" s="3" t="inlineStr">
        <is>
          <t>Faithfulness = 0,70×Entailment + 0,30×KWoverlap = 0,70×1.0000 + 0,30×0.2849 = 0.7855  (entailment: 6/6 klaim didukung; KWoverlap = (|∩|/|ctx|)^0,65 = (40/276)^0,65 = 0.1449^0,65 = 0.2849)</t>
        </is>
      </c>
      <c r="F713" t="n">
        <v>0.7855</v>
      </c>
      <c r="G713" s="3" t="inlineStr">
        <is>
          <t>metode: llm_entailment + keyword</t>
        </is>
      </c>
    </row>
    <row r="714">
      <c r="A714" t="n">
        <v>49</v>
      </c>
      <c r="B714" t="inlineStr">
        <is>
          <t>A</t>
        </is>
      </c>
      <c r="C714" t="inlineStr">
        <is>
          <t>— Entailment (Pers. 12-13)</t>
        </is>
      </c>
      <c r="D714" s="3" t="inlineStr">
        <is>
          <t>Entailment = Σverdict(sᵢ)/m</t>
        </is>
      </c>
      <c r="E714" s="3" t="inlineStr">
        <is>
          <t>6 klaim YA dari 6 klaim dievaluasi</t>
        </is>
      </c>
      <c r="F714" t="n">
        <v>1</v>
      </c>
      <c r="G714" s="3" t="inlineStr">
        <is>
          <t>verdict per klaim: sheet 'Entailment Detail'</t>
        </is>
      </c>
    </row>
    <row r="715">
      <c r="A715" t="n">
        <v>49</v>
      </c>
      <c r="B715" t="inlineStr">
        <is>
          <t>A</t>
        </is>
      </c>
      <c r="C715" t="inlineStr">
        <is>
          <t>— Keyword Overlap (Pers. 14)</t>
        </is>
      </c>
      <c r="D715" s="3" t="inlineStr">
        <is>
          <t>KWoverlap = (|Stems(ans)∩Stems(ctx)| / |Stems(ctx)|)^0,65</t>
        </is>
      </c>
      <c r="E715" s="3" t="inlineStr">
        <is>
          <t>KWoverlap = (|∩|/|ctx|)^0,65 = (40/276)^0,65 = 0.1449^0,65 = 0.2849</t>
        </is>
      </c>
      <c r="F715" t="n">
        <v>0.2849</v>
      </c>
      <c r="G715" s="3" t="inlineStr"/>
    </row>
    <row r="716">
      <c r="A716" t="n">
        <v>49</v>
      </c>
      <c r="B716" t="inlineStr">
        <is>
          <t>A</t>
        </is>
      </c>
      <c r="C716" t="inlineStr">
        <is>
          <t>Hallucination Risk (Pers. 18)</t>
        </is>
      </c>
      <c r="D716" s="3" t="inlineStr">
        <is>
          <t>Risk = 0,65×(1-F) + 0,20×Contradiction + 0,15×Uncertainty</t>
        </is>
      </c>
      <c r="E716" s="3" t="inlineStr">
        <is>
          <t>Risk = 0,65×OutOfContext + 0,20×Contradiction + 0,15×Uncertainty = 0,65×0.2145 + 0,20×0.0000 + 0,15×0.00 = 0.1394 [RENDAH]</t>
        </is>
      </c>
      <c r="F716" t="n">
        <v>0.1394</v>
      </c>
      <c r="G716" s="3" t="inlineStr">
        <is>
          <t>label: RENDAH; kontradiksi 0/16 kalimat; uncertainty flag: False</t>
        </is>
      </c>
    </row>
    <row r="717">
      <c r="A717" t="n">
        <v>49</v>
      </c>
      <c r="B717" t="inlineStr">
        <is>
          <t>A</t>
        </is>
      </c>
      <c r="C717" t="inlineStr">
        <is>
          <t>Answer Accuracy (Pers. 20)</t>
        </is>
      </c>
      <c r="D717" s="3" t="inlineStr">
        <is>
          <t>Correctᵢ ∈ {0,1} via LLM-as-Judge (HASIL: BENAR/SALAH)</t>
        </is>
      </c>
      <c r="E717" s="3" t="inlineStr">
        <is>
          <t>Menurut referensi dokumen materi GT, fungsi sebagai implementasi dekomposisi dan abstraksi telah diajarkan di CT. Oleh karena itu, jawaban sistem yang tepat adalah:
BENAR</t>
        </is>
      </c>
      <c r="F717" t="inlineStr">
        <is>
          <t>BENAR</t>
        </is>
      </c>
      <c r="G717" s="3" t="inlineStr">
        <is>
          <t>evaluator: ollama/llama3</t>
        </is>
      </c>
    </row>
    <row r="718">
      <c r="A718" t="n">
        <v>49</v>
      </c>
      <c r="B718" t="inlineStr">
        <is>
          <t>B</t>
        </is>
      </c>
      <c r="C718" t="inlineStr">
        <is>
          <t>Faithfulness (Pers. 15)</t>
        </is>
      </c>
      <c r="D718" s="3" t="inlineStr">
        <is>
          <t>F = 0,70×Entailment + 0,30×KWoverlap</t>
        </is>
      </c>
      <c r="E718" s="3" t="inlineStr">
        <is>
          <t>Faithfulness = 0,70×Entailment + 0,30×KWoverlap = 0,70×1.0000 + 0,30×0.1932 = 0.7580  (entailment: 4/4 klaim didukung; KWoverlap = (|∩|/|ctx|)^0,65 = (22/276)^0,65 = 0.0797^0,65 = 0.1932)</t>
        </is>
      </c>
      <c r="F718" t="n">
        <v>0.758</v>
      </c>
      <c r="G718" s="3" t="inlineStr">
        <is>
          <t>metode: llm_entailment + keyword</t>
        </is>
      </c>
    </row>
    <row r="719">
      <c r="A719" t="n">
        <v>49</v>
      </c>
      <c r="B719" t="inlineStr">
        <is>
          <t>B</t>
        </is>
      </c>
      <c r="C719" t="inlineStr">
        <is>
          <t>— Entailment (Pers. 12-13)</t>
        </is>
      </c>
      <c r="D719" s="3" t="inlineStr">
        <is>
          <t>Entailment = Σverdict(sᵢ)/m</t>
        </is>
      </c>
      <c r="E719" s="3" t="inlineStr">
        <is>
          <t>4 klaim YA dari 4 klaim dievaluasi</t>
        </is>
      </c>
      <c r="F719" t="n">
        <v>1</v>
      </c>
      <c r="G719" s="3" t="inlineStr">
        <is>
          <t>verdict per klaim: sheet 'Entailment Detail'</t>
        </is>
      </c>
    </row>
    <row r="720">
      <c r="A720" t="n">
        <v>49</v>
      </c>
      <c r="B720" t="inlineStr">
        <is>
          <t>B</t>
        </is>
      </c>
      <c r="C720" t="inlineStr">
        <is>
          <t>— Keyword Overlap (Pers. 14)</t>
        </is>
      </c>
      <c r="D720" s="3" t="inlineStr">
        <is>
          <t>KWoverlap = (|Stems(ans)∩Stems(ctx)| / |Stems(ctx)|)^0,65</t>
        </is>
      </c>
      <c r="E720" s="3" t="inlineStr">
        <is>
          <t>KWoverlap = (|∩|/|ctx|)^0,65 = (22/276)^0,65 = 0.0797^0,65 = 0.1932</t>
        </is>
      </c>
      <c r="F720" t="n">
        <v>0.1932</v>
      </c>
      <c r="G720" s="3" t="inlineStr"/>
    </row>
    <row r="721">
      <c r="A721" t="n">
        <v>49</v>
      </c>
      <c r="B721" t="inlineStr">
        <is>
          <t>B</t>
        </is>
      </c>
      <c r="C721" t="inlineStr">
        <is>
          <t>Hallucination Risk (Pers. 18)</t>
        </is>
      </c>
      <c r="D721" s="3" t="inlineStr">
        <is>
          <t>Risk = 0,65×(1-F) + 0,20×Contradiction + 0,15×Uncertainty</t>
        </is>
      </c>
      <c r="E721" s="3" t="inlineStr">
        <is>
          <t>Risk = 0,65×OutOfContext + 0,20×Contradiction + 0,15×Uncertainty = 0,65×0.2420 + 0,20×0.0000 + 0,15×0.00 = 0.1573 [RENDAH]</t>
        </is>
      </c>
      <c r="F721" t="n">
        <v>0.1573</v>
      </c>
      <c r="G721" s="3" t="inlineStr">
        <is>
          <t>label: RENDAH; kontradiksi 0/4 kalimat; uncertainty flag: False</t>
        </is>
      </c>
    </row>
    <row r="722">
      <c r="A722" t="n">
        <v>49</v>
      </c>
      <c r="B722" t="inlineStr">
        <is>
          <t>B</t>
        </is>
      </c>
      <c r="C722" t="inlineStr">
        <is>
          <t>Answer Accuracy (Pers. 20)</t>
        </is>
      </c>
      <c r="D722" s="3" t="inlineStr">
        <is>
          <t>Correctᵢ ∈ {0,1} via LLM-as-Judge (HASIL: BENAR/SALAH)</t>
        </is>
      </c>
      <c r="E722" s="3" t="inlineStr">
        <is>
          <t>The answer is: 
Rationale:
* The question asks if the concept of higher-order functions, which accept another function as a parameter, is taught in CT (Computer Science).
* According to the GT (General Training) document, it is mentioned that "fungsi" (function) can take parameters, but it does not explicitly discuss higher-order functions.
* However, the document does cover the concept of funct</t>
        </is>
      </c>
      <c r="F722" t="inlineStr">
        <is>
          <t>BENAR</t>
        </is>
      </c>
      <c r="G722" s="3" t="inlineStr">
        <is>
          <t>evaluator: ollama/llama3</t>
        </is>
      </c>
    </row>
    <row r="723">
      <c r="A723" t="n">
        <v>50</v>
      </c>
      <c r="B723" t="inlineStr">
        <is>
          <t>A</t>
        </is>
      </c>
      <c r="C723" t="inlineStr">
        <is>
          <t>Precision@K (Pers. 2)</t>
        </is>
      </c>
      <c r="D723" s="3" t="inlineStr">
        <is>
          <t>Precision@K = |{d ∈ TopK : sim(q,d) ≥ θ}| / K</t>
        </is>
      </c>
      <c r="E723" s="3" t="inlineStr">
        <is>
          <t>skor = [0.7081, 0.703, 0.6997, 0.6815, 0.6802, 0.6731] → 6 / 6</t>
        </is>
      </c>
      <c r="F723" t="n">
        <v>1</v>
      </c>
      <c r="G723" s="3" t="inlineStr">
        <is>
          <t>basis: skor chunk nyata (sesuai contoh Pers. 2 skripsi)</t>
        </is>
      </c>
    </row>
    <row r="724">
      <c r="A724" t="n">
        <v>50</v>
      </c>
      <c r="B724" t="inlineStr">
        <is>
          <t>A</t>
        </is>
      </c>
      <c r="C724" t="inlineStr">
        <is>
          <t>Recall@K (Pers. 4)</t>
        </is>
      </c>
      <c r="D724" s="3" t="inlineStr">
        <is>
          <t>Recall@K = |{kata kunci ditemukan : sim ≥ θ}| / |R|</t>
        </is>
      </c>
      <c r="E724" s="3" t="inlineStr">
        <is>
          <t>skor = [0.576, 0.5558, 0.4896, 0.4784, 0.4552, 0.4501] → 6 / 6</t>
        </is>
      </c>
      <c r="F724" t="n">
        <v>1</v>
      </c>
      <c r="G724" s="3" t="inlineStr"/>
    </row>
    <row r="725">
      <c r="A725" t="n">
        <v>50</v>
      </c>
      <c r="B725" t="inlineStr">
        <is>
          <t>A</t>
        </is>
      </c>
      <c r="C725" t="inlineStr">
        <is>
          <t>Mean Similarity (Pers. 6)</t>
        </is>
      </c>
      <c r="D725" s="3" t="inlineStr">
        <is>
          <t>MeanSim = (1/K) × Σ sim(q, dᵢ)</t>
        </is>
      </c>
      <c r="E725" s="3" t="inlineStr">
        <is>
          <t>skor = [0.7081, 0.703, 0.6997, 0.6815, 0.6802, 0.6731] → (0.7081 + 0.7030 + 0.6997 + 0.6815 + 0.6802 + 0.6731) / 6</t>
        </is>
      </c>
      <c r="F725" t="n">
        <v>0.6909</v>
      </c>
      <c r="G725" s="3" t="inlineStr"/>
    </row>
    <row r="726">
      <c r="A726" t="n">
        <v>50</v>
      </c>
      <c r="B726" t="inlineStr">
        <is>
          <t>A</t>
        </is>
      </c>
      <c r="C726" t="inlineStr">
        <is>
          <t>Coverage (Pers. 8)</t>
        </is>
      </c>
      <c r="D726" s="3" t="inlineStr">
        <is>
          <t>Coverage = |{dᵢ ∈ TopK : sim(q,dᵢ) ≥ θc}| / K</t>
        </is>
      </c>
      <c r="E726" s="3" t="inlineStr">
        <is>
          <t>skor = [0.7081, 0.703, 0.6997, 0.6815, 0.6802, 0.6731] → 6 / 6</t>
        </is>
      </c>
      <c r="F726" t="n">
        <v>1</v>
      </c>
      <c r="G726" s="3" t="inlineStr"/>
    </row>
    <row r="727">
      <c r="A727" t="n">
        <v>50</v>
      </c>
      <c r="B727" t="inlineStr">
        <is>
          <t>A</t>
        </is>
      </c>
      <c r="C727" t="inlineStr">
        <is>
          <t>Source Diversity (Pers. 10)</t>
        </is>
      </c>
      <c r="D727" s="3" t="inlineStr">
        <is>
          <t>Diversity = |sumber unik dalam TopK| / K</t>
        </is>
      </c>
      <c r="E727" s="3" t="inlineStr">
        <is>
          <t>skor = ['GT_CT04.txt', 'GT_DETAIL_PT04_Abstraksi.txt', 'GT_DETAIL_PT06_Block_Programming.txt', 'GT_SUBTOPIK_04_Modulo_Siklus.txt', 'GT_SUBTOPIK_10_Fungsi_Modularitas.txt', 'GT_SUBTOPIK_11_Rekursi.txt'] → 6 / 6</t>
        </is>
      </c>
      <c r="F727" t="n">
        <v>1</v>
      </c>
      <c r="G727" s="3" t="inlineStr">
        <is>
          <t>file unik: GT_CT04.txt, GT_DETAIL_PT04_Abstraksi.txt, GT_DETAIL_PT06_Block_Programming.txt, GT_SUBTOPIK_04_Modulo_Siklus.txt, GT_SUBTOPIK_10_Fungsi_Modularitas.txt, GT_SUBTOPIK_11_Rekursi.txt</t>
        </is>
      </c>
    </row>
    <row r="728">
      <c r="A728" t="n">
        <v>50</v>
      </c>
      <c r="B728" t="inlineStr">
        <is>
          <t>A</t>
        </is>
      </c>
      <c r="C728" t="inlineStr">
        <is>
          <t>Faithfulness (Pers. 15)</t>
        </is>
      </c>
      <c r="D728" s="3" t="inlineStr">
        <is>
          <t>F = 0,70×Entailment + 0,30×KWoverlap</t>
        </is>
      </c>
      <c r="E728" s="3" t="inlineStr">
        <is>
          <t>Faithfulness = 0,70×Entailment + 0,30×KWoverlap = 0,70×0.8333 + 0,30×0.3319 = 0.6829  (entailment: 5/6 klaim didukung; KWoverlap = (|∩|/|ctx|)^0,65 = (57/311)^0,65 = 0.1833^0,65 = 0.3319)</t>
        </is>
      </c>
      <c r="F728" t="n">
        <v>0.6829</v>
      </c>
      <c r="G728" s="3" t="inlineStr">
        <is>
          <t>metode: llm_entailment + keyword</t>
        </is>
      </c>
    </row>
    <row r="729">
      <c r="A729" t="n">
        <v>50</v>
      </c>
      <c r="B729" t="inlineStr">
        <is>
          <t>A</t>
        </is>
      </c>
      <c r="C729" t="inlineStr">
        <is>
          <t>— Entailment (Pers. 12-13)</t>
        </is>
      </c>
      <c r="D729" s="3" t="inlineStr">
        <is>
          <t>Entailment = Σverdict(sᵢ)/m</t>
        </is>
      </c>
      <c r="E729" s="3" t="inlineStr">
        <is>
          <t>5 klaim YA dari 6 klaim dievaluasi</t>
        </is>
      </c>
      <c r="F729" t="n">
        <v>0.8333</v>
      </c>
      <c r="G729" s="3" t="inlineStr">
        <is>
          <t>verdict per klaim: sheet 'Entailment Detail'</t>
        </is>
      </c>
    </row>
    <row r="730">
      <c r="A730" t="n">
        <v>50</v>
      </c>
      <c r="B730" t="inlineStr">
        <is>
          <t>A</t>
        </is>
      </c>
      <c r="C730" t="inlineStr">
        <is>
          <t>— Keyword Overlap (Pers. 14)</t>
        </is>
      </c>
      <c r="D730" s="3" t="inlineStr">
        <is>
          <t>KWoverlap = (|Stems(ans)∩Stems(ctx)| / |Stems(ctx)|)^0,65</t>
        </is>
      </c>
      <c r="E730" s="3" t="inlineStr">
        <is>
          <t>KWoverlap = (|∩|/|ctx|)^0,65 = (57/311)^0,65 = 0.1833^0,65 = 0.3319</t>
        </is>
      </c>
      <c r="F730" t="n">
        <v>0.3319</v>
      </c>
      <c r="G730" s="3" t="inlineStr"/>
    </row>
    <row r="731">
      <c r="A731" t="n">
        <v>50</v>
      </c>
      <c r="B731" t="inlineStr">
        <is>
          <t>A</t>
        </is>
      </c>
      <c r="C731" t="inlineStr">
        <is>
          <t>Hallucination Risk (Pers. 18)</t>
        </is>
      </c>
      <c r="D731" s="3" t="inlineStr">
        <is>
          <t>Risk = 0,65×(1-F) + 0,20×Contradiction + 0,15×Uncertainty</t>
        </is>
      </c>
      <c r="E731" s="3" t="inlineStr">
        <is>
          <t>Risk = 0,65×OutOfContext + 0,20×Contradiction + 0,15×Uncertainty = 0,65×0.3171 + 0,20×0.0000 + 0,15×0.00 = 0.2061 [RENDAH]</t>
        </is>
      </c>
      <c r="F731" t="n">
        <v>0.2061</v>
      </c>
      <c r="G731" s="3" t="inlineStr">
        <is>
          <t>label: RENDAH; kontradiksi 0/30 kalimat; uncertainty flag: False</t>
        </is>
      </c>
    </row>
    <row r="732">
      <c r="A732" t="n">
        <v>50</v>
      </c>
      <c r="B732" t="inlineStr">
        <is>
          <t>A</t>
        </is>
      </c>
      <c r="C732" t="inlineStr">
        <is>
          <t>Answer Accuracy (Pers. 20)</t>
        </is>
      </c>
      <c r="D732" s="3" t="inlineStr">
        <is>
          <t>Correctᵢ ∈ {0,1} via LLM-as-Judge (HASIL: BENAR/SALAH)</t>
        </is>
      </c>
      <c r="E732" s="3" t="inlineStr">
        <is>
          <t>The answer system's response does not fully address the question based on the provided reference.
The student asked for help with a recursive function that crashes due to "maximum recursion depth exceeded" error, despite having added a base case. The system simply provides examples of symptoms vs. problems and pseudocode for finding the first turtle in a modular arithmetic problem, without provid</t>
        </is>
      </c>
      <c r="F732" t="inlineStr">
        <is>
          <t>BENAR</t>
        </is>
      </c>
      <c r="G732" s="3" t="inlineStr">
        <is>
          <t>evaluator: ollama/llama3</t>
        </is>
      </c>
    </row>
    <row r="733">
      <c r="A733" t="n">
        <v>50</v>
      </c>
      <c r="B733" t="inlineStr">
        <is>
          <t>B</t>
        </is>
      </c>
      <c r="C733" t="inlineStr">
        <is>
          <t>Faithfulness (Pers. 15)</t>
        </is>
      </c>
      <c r="D733" s="3" t="inlineStr">
        <is>
          <t>F = 0,70×Entailment + 0,30×KWoverlap</t>
        </is>
      </c>
      <c r="E733" s="3" t="inlineStr">
        <is>
          <t>Faithfulness = 0,70×Entailment + 0,30×KWoverlap = 0,70×0.8333 + 0,30×0.2091 = 0.6460  (entailment: 5/6 klaim didukung; KWoverlap = (|∩|/|ctx|)^0,65 = (28/311)^0,65 = 0.0900^0,65 = 0.2091)</t>
        </is>
      </c>
      <c r="F733" t="n">
        <v>0.646</v>
      </c>
      <c r="G733" s="3" t="inlineStr">
        <is>
          <t>metode: llm_entailment + keyword</t>
        </is>
      </c>
    </row>
    <row r="734">
      <c r="A734" t="n">
        <v>50</v>
      </c>
      <c r="B734" t="inlineStr">
        <is>
          <t>B</t>
        </is>
      </c>
      <c r="C734" t="inlineStr">
        <is>
          <t>— Entailment (Pers. 12-13)</t>
        </is>
      </c>
      <c r="D734" s="3" t="inlineStr">
        <is>
          <t>Entailment = Σverdict(sᵢ)/m</t>
        </is>
      </c>
      <c r="E734" s="3" t="inlineStr">
        <is>
          <t>5 klaim YA dari 6 klaim dievaluasi</t>
        </is>
      </c>
      <c r="F734" t="n">
        <v>0.8333</v>
      </c>
      <c r="G734" s="3" t="inlineStr">
        <is>
          <t>verdict per klaim: sheet 'Entailment Detail'</t>
        </is>
      </c>
    </row>
    <row r="735">
      <c r="A735" t="n">
        <v>50</v>
      </c>
      <c r="B735" t="inlineStr">
        <is>
          <t>B</t>
        </is>
      </c>
      <c r="C735" t="inlineStr">
        <is>
          <t>— Keyword Overlap (Pers. 14)</t>
        </is>
      </c>
      <c r="D735" s="3" t="inlineStr">
        <is>
          <t>KWoverlap = (|Stems(ans)∩Stems(ctx)| / |Stems(ctx)|)^0,65</t>
        </is>
      </c>
      <c r="E735" s="3" t="inlineStr">
        <is>
          <t>KWoverlap = (|∩|/|ctx|)^0,65 = (28/311)^0,65 = 0.0900^0,65 = 0.2091</t>
        </is>
      </c>
      <c r="F735" t="n">
        <v>0.2091</v>
      </c>
      <c r="G735" s="3" t="inlineStr"/>
    </row>
    <row r="736">
      <c r="A736" t="n">
        <v>50</v>
      </c>
      <c r="B736" t="inlineStr">
        <is>
          <t>B</t>
        </is>
      </c>
      <c r="C736" t="inlineStr">
        <is>
          <t>Hallucination Risk (Pers. 18)</t>
        </is>
      </c>
      <c r="D736" s="3" t="inlineStr">
        <is>
          <t>Risk = 0,65×(1-F) + 0,20×Contradiction + 0,15×Uncertainty</t>
        </is>
      </c>
      <c r="E736" s="3" t="inlineStr">
        <is>
          <t>Risk = 0,65×OutOfContext + 0,20×Contradiction + 0,15×Uncertainty = 0,65×0.3540 + 0,20×0.0000 + 0,15×0.20 = 0.2601 [RENDAH]</t>
        </is>
      </c>
      <c r="F736" t="n">
        <v>0.2601</v>
      </c>
      <c r="G736" s="3" t="inlineStr">
        <is>
          <t>label: RENDAH; kontradiksi 0/21 kalimat; uncertainty flag: True</t>
        </is>
      </c>
    </row>
    <row r="737">
      <c r="A737" t="n">
        <v>50</v>
      </c>
      <c r="B737" t="inlineStr">
        <is>
          <t>B</t>
        </is>
      </c>
      <c r="C737" t="inlineStr">
        <is>
          <t>Answer Accuracy (Pers. 20)</t>
        </is>
      </c>
      <c r="D737" s="3" t="inlineStr">
        <is>
          <t>Correctᵢ ∈ {0,1} via LLM-as-Judge (HASIL: BENAR/SALAH)</t>
        </is>
      </c>
      <c r="E737" s="3" t="inlineStr">
        <is>
          <t>BENAR</t>
        </is>
      </c>
      <c r="F737" t="inlineStr">
        <is>
          <t>BENAR</t>
        </is>
      </c>
      <c r="G737" s="3" t="inlineStr">
        <is>
          <t>evaluator: ollama/llama3</t>
        </is>
      </c>
    </row>
    <row r="738">
      <c r="A738" t="n">
        <v>51</v>
      </c>
      <c r="B738" t="inlineStr">
        <is>
          <t>A</t>
        </is>
      </c>
      <c r="C738" t="inlineStr">
        <is>
          <t>Precision@K (Pers. 2)</t>
        </is>
      </c>
      <c r="D738" s="3" t="inlineStr">
        <is>
          <t>Precision@K = |{d ∈ TopK : sim(q,d) ≥ θ}| / K</t>
        </is>
      </c>
      <c r="E738" s="3" t="inlineStr">
        <is>
          <t>skor = [0.777, 0.7547, 0.7472, 0.737, 0.7273, 0.7151] → 6 / 6</t>
        </is>
      </c>
      <c r="F738" t="n">
        <v>1</v>
      </c>
      <c r="G738" s="3" t="inlineStr">
        <is>
          <t>basis: skor chunk nyata (sesuai contoh Pers. 2 skripsi)</t>
        </is>
      </c>
    </row>
    <row r="739">
      <c r="A739" t="n">
        <v>51</v>
      </c>
      <c r="B739" t="inlineStr">
        <is>
          <t>A</t>
        </is>
      </c>
      <c r="C739" t="inlineStr">
        <is>
          <t>Recall@K (Pers. 4)</t>
        </is>
      </c>
      <c r="D739" s="3" t="inlineStr">
        <is>
          <t>Recall@K = |{kata kunci ditemukan : sim ≥ θ}| / |R|</t>
        </is>
      </c>
      <c r="E739" s="3" t="inlineStr">
        <is>
          <t>skor = [0.6108, 0.5968, 0.5856, 0.5324, 0.4149, 0.4138] → 6 / 6</t>
        </is>
      </c>
      <c r="F739" t="n">
        <v>1</v>
      </c>
      <c r="G739" s="3" t="inlineStr"/>
    </row>
    <row r="740">
      <c r="A740" t="n">
        <v>51</v>
      </c>
      <c r="B740" t="inlineStr">
        <is>
          <t>A</t>
        </is>
      </c>
      <c r="C740" t="inlineStr">
        <is>
          <t>Mean Similarity (Pers. 6)</t>
        </is>
      </c>
      <c r="D740" s="3" t="inlineStr">
        <is>
          <t>MeanSim = (1/K) × Σ sim(q, dᵢ)</t>
        </is>
      </c>
      <c r="E740" s="3" t="inlineStr">
        <is>
          <t>skor = [0.777, 0.7547, 0.7472, 0.737, 0.7273, 0.7151] → (0.7770 + 0.7547 + 0.7472 + 0.7370 + 0.7273 + 0.7151) / 6</t>
        </is>
      </c>
      <c r="F740" t="n">
        <v>0.743</v>
      </c>
      <c r="G740" s="3" t="inlineStr"/>
    </row>
    <row r="741">
      <c r="A741" t="n">
        <v>51</v>
      </c>
      <c r="B741" t="inlineStr">
        <is>
          <t>A</t>
        </is>
      </c>
      <c r="C741" t="inlineStr">
        <is>
          <t>Coverage (Pers. 8)</t>
        </is>
      </c>
      <c r="D741" s="3" t="inlineStr">
        <is>
          <t>Coverage = |{dᵢ ∈ TopK : sim(q,dᵢ) ≥ θc}| / K</t>
        </is>
      </c>
      <c r="E741" s="3" t="inlineStr">
        <is>
          <t>skor = [0.777, 0.7547, 0.7472, 0.737, 0.7273, 0.7151] → 6 / 6</t>
        </is>
      </c>
      <c r="F741" t="n">
        <v>1</v>
      </c>
      <c r="G741" s="3" t="inlineStr"/>
    </row>
    <row r="742">
      <c r="A742" t="n">
        <v>51</v>
      </c>
      <c r="B742" t="inlineStr">
        <is>
          <t>A</t>
        </is>
      </c>
      <c r="C742" t="inlineStr">
        <is>
          <t>Source Diversity (Pers. 10)</t>
        </is>
      </c>
      <c r="D742" s="3" t="inlineStr">
        <is>
          <t>Diversity = |sumber unik dalam TopK| / K</t>
        </is>
      </c>
      <c r="E742" s="3" t="inlineStr">
        <is>
          <t>skor = ['GT_CT13.txt', 'GT_DETAIL_PT01_Pendahuluan.txt', 'GT_DETAIL_PT13_Struktur_Data.txt', 'GT_SUBTOPIK_02_Abstraksi_Formulasi.txt', 'GT_SUBTOPIK_12_Stack_Queue.txt'] → 5 / 6</t>
        </is>
      </c>
      <c r="F742" t="n">
        <v>0.8333</v>
      </c>
      <c r="G742" s="3" t="inlineStr">
        <is>
          <t>file unik: GT_CT13.txt, GT_DETAIL_PT01_Pendahuluan.txt, GT_DETAIL_PT13_Struktur_Data.txt, GT_SUBTOPIK_02_Abstraksi_Formulasi.txt, GT_SUBTOPIK_12_Stack_Queue.txt</t>
        </is>
      </c>
    </row>
    <row r="743">
      <c r="A743" t="n">
        <v>51</v>
      </c>
      <c r="B743" t="inlineStr">
        <is>
          <t>A</t>
        </is>
      </c>
      <c r="C743" t="inlineStr">
        <is>
          <t>Faithfulness (Pers. 15)</t>
        </is>
      </c>
      <c r="D743" s="3" t="inlineStr">
        <is>
          <t>F = 0,70×Entailment + 0,30×KWoverlap</t>
        </is>
      </c>
      <c r="E743" s="3" t="inlineStr">
        <is>
          <t>Faithfulness = 0,70×Entailment + 0,30×KWoverlap = 0,70×1.0000 + 0,30×0.1703 = 0.7511  (entailment: 6/6 klaim didukung; KWoverlap = (|∩|/|ctx|)^0,65 = (22/335)^0,65 = 0.0657^0,65 = 0.1703)</t>
        </is>
      </c>
      <c r="F743" t="n">
        <v>0.7511</v>
      </c>
      <c r="G743" s="3" t="inlineStr">
        <is>
          <t>metode: llm_entailment + keyword</t>
        </is>
      </c>
    </row>
    <row r="744">
      <c r="A744" t="n">
        <v>51</v>
      </c>
      <c r="B744" t="inlineStr">
        <is>
          <t>A</t>
        </is>
      </c>
      <c r="C744" t="inlineStr">
        <is>
          <t>— Entailment (Pers. 12-13)</t>
        </is>
      </c>
      <c r="D744" s="3" t="inlineStr">
        <is>
          <t>Entailment = Σverdict(sᵢ)/m</t>
        </is>
      </c>
      <c r="E744" s="3" t="inlineStr">
        <is>
          <t>6 klaim YA dari 6 klaim dievaluasi</t>
        </is>
      </c>
      <c r="F744" t="n">
        <v>1</v>
      </c>
      <c r="G744" s="3" t="inlineStr">
        <is>
          <t>verdict per klaim: sheet 'Entailment Detail'</t>
        </is>
      </c>
    </row>
    <row r="745">
      <c r="A745" t="n">
        <v>51</v>
      </c>
      <c r="B745" t="inlineStr">
        <is>
          <t>A</t>
        </is>
      </c>
      <c r="C745" t="inlineStr">
        <is>
          <t>— Keyword Overlap (Pers. 14)</t>
        </is>
      </c>
      <c r="D745" s="3" t="inlineStr">
        <is>
          <t>KWoverlap = (|Stems(ans)∩Stems(ctx)| / |Stems(ctx)|)^0,65</t>
        </is>
      </c>
      <c r="E745" s="3" t="inlineStr">
        <is>
          <t>KWoverlap = (|∩|/|ctx|)^0,65 = (22/335)^0,65 = 0.0657^0,65 = 0.1703</t>
        </is>
      </c>
      <c r="F745" t="n">
        <v>0.1703</v>
      </c>
      <c r="G745" s="3" t="inlineStr"/>
    </row>
    <row r="746">
      <c r="A746" t="n">
        <v>51</v>
      </c>
      <c r="B746" t="inlineStr">
        <is>
          <t>A</t>
        </is>
      </c>
      <c r="C746" t="inlineStr">
        <is>
          <t>Hallucination Risk (Pers. 18)</t>
        </is>
      </c>
      <c r="D746" s="3" t="inlineStr">
        <is>
          <t>Risk = 0,65×(1-F) + 0,20×Contradiction + 0,15×Uncertainty</t>
        </is>
      </c>
      <c r="E746" s="3" t="inlineStr">
        <is>
          <t>Risk = 0,65×OutOfContext + 0,20×Contradiction + 0,15×Uncertainty = 0,65×0.2489 + 0,20×0.0000 + 0,15×0.00 = 0.1618 [RENDAH]</t>
        </is>
      </c>
      <c r="F746" t="n">
        <v>0.1618</v>
      </c>
      <c r="G746" s="3" t="inlineStr">
        <is>
          <t>label: RENDAH; kontradiksi 0/20 kalimat; uncertainty flag: False</t>
        </is>
      </c>
    </row>
    <row r="747">
      <c r="A747" t="n">
        <v>51</v>
      </c>
      <c r="B747" t="inlineStr">
        <is>
          <t>A</t>
        </is>
      </c>
      <c r="C747" t="inlineStr">
        <is>
          <t>Answer Accuracy (Pers. 20)</t>
        </is>
      </c>
      <c r="D747" s="3" t="inlineStr">
        <is>
          <t>Correctᵢ ∈ {0,1} via LLM-as-Judge (HASIL: BENAR/SALAH)</t>
        </is>
      </c>
      <c r="E747" s="3" t="inlineStr">
        <is>
          <t>BENAR
Keterangan: Jawaban sistem menjelaskan fase "naik" (push) sebagai penambahan data ke atas stack dan fase "turun" (pop) sebagai penghapusan data dari stack, sesuai dengan referensi yang diberikan.</t>
        </is>
      </c>
      <c r="F747" t="inlineStr">
        <is>
          <t>BENAR</t>
        </is>
      </c>
      <c r="G747" s="3" t="inlineStr">
        <is>
          <t>evaluator: ollama/llama3</t>
        </is>
      </c>
    </row>
    <row r="748">
      <c r="A748" t="n">
        <v>51</v>
      </c>
      <c r="B748" t="inlineStr">
        <is>
          <t>B</t>
        </is>
      </c>
      <c r="C748" t="inlineStr">
        <is>
          <t>Faithfulness (Pers. 15)</t>
        </is>
      </c>
      <c r="D748" s="3" t="inlineStr">
        <is>
          <t>F = 0,70×Entailment + 0,30×KWoverlap</t>
        </is>
      </c>
      <c r="E748" s="3" t="inlineStr">
        <is>
          <t>Faithfulness = 0,70×Entailment + 0,30×KWoverlap = 0,70×0.6667 + 0,30×0.1328 = 0.5065  (entailment: 4/6 klaim didukung; KWoverlap = (|∩|/|ctx|)^0,65 = (15/335)^0,65 = 0.0448^0,65 = 0.1328)</t>
        </is>
      </c>
      <c r="F748" t="n">
        <v>0.5065</v>
      </c>
      <c r="G748" s="3" t="inlineStr">
        <is>
          <t>metode: llm_entailment + keyword</t>
        </is>
      </c>
    </row>
    <row r="749">
      <c r="A749" t="n">
        <v>51</v>
      </c>
      <c r="B749" t="inlineStr">
        <is>
          <t>B</t>
        </is>
      </c>
      <c r="C749" t="inlineStr">
        <is>
          <t>— Entailment (Pers. 12-13)</t>
        </is>
      </c>
      <c r="D749" s="3" t="inlineStr">
        <is>
          <t>Entailment = Σverdict(sᵢ)/m</t>
        </is>
      </c>
      <c r="E749" s="3" t="inlineStr">
        <is>
          <t>4 klaim YA dari 6 klaim dievaluasi</t>
        </is>
      </c>
      <c r="F749" t="n">
        <v>0.6667</v>
      </c>
      <c r="G749" s="3" t="inlineStr">
        <is>
          <t>verdict per klaim: sheet 'Entailment Detail'</t>
        </is>
      </c>
    </row>
    <row r="750">
      <c r="A750" t="n">
        <v>51</v>
      </c>
      <c r="B750" t="inlineStr">
        <is>
          <t>B</t>
        </is>
      </c>
      <c r="C750" t="inlineStr">
        <is>
          <t>— Keyword Overlap (Pers. 14)</t>
        </is>
      </c>
      <c r="D750" s="3" t="inlineStr">
        <is>
          <t>KWoverlap = (|Stems(ans)∩Stems(ctx)| / |Stems(ctx)|)^0,65</t>
        </is>
      </c>
      <c r="E750" s="3" t="inlineStr">
        <is>
          <t>KWoverlap = (|∩|/|ctx|)^0,65 = (15/335)^0,65 = 0.0448^0,65 = 0.1328</t>
        </is>
      </c>
      <c r="F750" t="n">
        <v>0.1328</v>
      </c>
      <c r="G750" s="3" t="inlineStr"/>
    </row>
    <row r="751">
      <c r="A751" t="n">
        <v>51</v>
      </c>
      <c r="B751" t="inlineStr">
        <is>
          <t>B</t>
        </is>
      </c>
      <c r="C751" t="inlineStr">
        <is>
          <t>Hallucination Risk (Pers. 18)</t>
        </is>
      </c>
      <c r="D751" s="3" t="inlineStr">
        <is>
          <t>Risk = 0,65×(1-F) + 0,20×Contradiction + 0,15×Uncertainty</t>
        </is>
      </c>
      <c r="E751" s="3" t="inlineStr">
        <is>
          <t>Risk = 0,65×OutOfContext + 0,20×Contradiction + 0,15×Uncertainty = 0,65×0.4935 + 0,20×0.0000 + 0,15×0.00 = 0.3208 [SEDANG]</t>
        </is>
      </c>
      <c r="F751" t="n">
        <v>0.3208</v>
      </c>
      <c r="G751" s="3" t="inlineStr">
        <is>
          <t>label: SEDANG; kontradiksi 0/21 kalimat; uncertainty flag: False</t>
        </is>
      </c>
    </row>
    <row r="752">
      <c r="A752" t="n">
        <v>51</v>
      </c>
      <c r="B752" t="inlineStr">
        <is>
          <t>B</t>
        </is>
      </c>
      <c r="C752" t="inlineStr">
        <is>
          <t>Answer Accuracy (Pers. 20)</t>
        </is>
      </c>
      <c r="D752" s="3" t="inlineStr">
        <is>
          <t>Correctᵢ ∈ {0,1} via LLM-as-Judge (HASIL: BENAR/SALAH)</t>
        </is>
      </c>
      <c r="E752" s="3" t="inlineStr">
        <is>
          <t>Jawaban sistem tersebut menjawab pertanyaan faktorial(4) secara lengkap, tetapi tidak sesuai dengan referensi yang diberikan. Referensi mengatakan bahwa fase "turun" (push) adalah saat data dimasukkan ke dalam stack, sedangkan fase "naik" (pop) adalah saat data dihapus dari stack. Jawaban sistem tidak mempertahankan konsep tersebut dan juga tidak sesuai dengan contoh simulasi rangkaian instruksi y</t>
        </is>
      </c>
      <c r="F752" t="inlineStr">
        <is>
          <t>SALAH</t>
        </is>
      </c>
      <c r="G752" s="3" t="inlineStr">
        <is>
          <t>evaluator: ollama/llama3</t>
        </is>
      </c>
    </row>
    <row r="753">
      <c r="A753" t="n">
        <v>52</v>
      </c>
      <c r="B753" t="inlineStr">
        <is>
          <t>A</t>
        </is>
      </c>
      <c r="C753" t="inlineStr">
        <is>
          <t>Precision@K (Pers. 2)</t>
        </is>
      </c>
      <c r="D753" s="3" t="inlineStr">
        <is>
          <t>Precision@K = |{d ∈ TopK : sim(q,d) ≥ θ}| / K</t>
        </is>
      </c>
      <c r="E753" s="3" t="inlineStr">
        <is>
          <t>skor = [0.742, 0.7304, 0.7268, 0.7197, 0.7172, 0.7156] → 6 / 6</t>
        </is>
      </c>
      <c r="F753" t="n">
        <v>1</v>
      </c>
      <c r="G753" s="3" t="inlineStr">
        <is>
          <t>basis: skor chunk nyata (sesuai contoh Pers. 2 skripsi)</t>
        </is>
      </c>
    </row>
    <row r="754">
      <c r="A754" t="n">
        <v>52</v>
      </c>
      <c r="B754" t="inlineStr">
        <is>
          <t>A</t>
        </is>
      </c>
      <c r="C754" t="inlineStr">
        <is>
          <t>Recall@K (Pers. 4)</t>
        </is>
      </c>
      <c r="D754" s="3" t="inlineStr">
        <is>
          <t>Recall@K = |{kata kunci ditemukan : sim ≥ θ}| / |R|</t>
        </is>
      </c>
      <c r="E754" s="3" t="inlineStr">
        <is>
          <t>skor = [0.549, 0.5089, 0.5074, 0.5069, 0.4696, 0.4223] → 6 / 6</t>
        </is>
      </c>
      <c r="F754" t="n">
        <v>1</v>
      </c>
      <c r="G754" s="3" t="inlineStr"/>
    </row>
    <row r="755">
      <c r="A755" t="n">
        <v>52</v>
      </c>
      <c r="B755" t="inlineStr">
        <is>
          <t>A</t>
        </is>
      </c>
      <c r="C755" t="inlineStr">
        <is>
          <t>Mean Similarity (Pers. 6)</t>
        </is>
      </c>
      <c r="D755" s="3" t="inlineStr">
        <is>
          <t>MeanSim = (1/K) × Σ sim(q, dᵢ)</t>
        </is>
      </c>
      <c r="E755" s="3" t="inlineStr">
        <is>
          <t>skor = [0.742, 0.7304, 0.7268, 0.7197, 0.7172, 0.7156] → (0.7420 + 0.7304 + 0.7268 + 0.7197 + 0.7172 + 0.7156) / 6</t>
        </is>
      </c>
      <c r="F755" t="n">
        <v>0.7252999999999999</v>
      </c>
      <c r="G755" s="3" t="inlineStr"/>
    </row>
    <row r="756">
      <c r="A756" t="n">
        <v>52</v>
      </c>
      <c r="B756" t="inlineStr">
        <is>
          <t>A</t>
        </is>
      </c>
      <c r="C756" t="inlineStr">
        <is>
          <t>Coverage (Pers. 8)</t>
        </is>
      </c>
      <c r="D756" s="3" t="inlineStr">
        <is>
          <t>Coverage = |{dᵢ ∈ TopK : sim(q,dᵢ) ≥ θc}| / K</t>
        </is>
      </c>
      <c r="E756" s="3" t="inlineStr">
        <is>
          <t>skor = [0.742, 0.7304, 0.7268, 0.7197, 0.7172, 0.7156] → 6 / 6</t>
        </is>
      </c>
      <c r="F756" t="n">
        <v>1</v>
      </c>
      <c r="G756" s="3" t="inlineStr"/>
    </row>
    <row r="757">
      <c r="A757" t="n">
        <v>52</v>
      </c>
      <c r="B757" t="inlineStr">
        <is>
          <t>A</t>
        </is>
      </c>
      <c r="C757" t="inlineStr">
        <is>
          <t>Source Diversity (Pers. 10)</t>
        </is>
      </c>
      <c r="D757" s="3" t="inlineStr">
        <is>
          <t>Diversity = |sumber unik dalam TopK| / K</t>
        </is>
      </c>
      <c r="E757" s="3" t="inlineStr">
        <is>
          <t>skor = ['GT_CT01.txt', 'GT_CT05.txt', 'GT_CT10.txt', 'GT_SUBTOPIK_03_Pola_Bilangan_Deret.txt', 'GT_SUBTOPIK_04_Modulo_Siklus.txt', 'GT_SUBTOPIK_14_Kompleksitas_BigO.txt'] → 6 / 6</t>
        </is>
      </c>
      <c r="F757" t="n">
        <v>1</v>
      </c>
      <c r="G757" s="3" t="inlineStr">
        <is>
          <t>file unik: GT_CT01.txt, GT_CT05.txt, GT_CT10.txt, GT_SUBTOPIK_03_Pola_Bilangan_Deret.txt, GT_SUBTOPIK_04_Modulo_Siklus.txt, GT_SUBTOPIK_14_Kompleksitas_BigO.txt</t>
        </is>
      </c>
    </row>
    <row r="758">
      <c r="A758" t="n">
        <v>52</v>
      </c>
      <c r="B758" t="inlineStr">
        <is>
          <t>A</t>
        </is>
      </c>
      <c r="C758" t="inlineStr">
        <is>
          <t>Faithfulness (Pers. 15)</t>
        </is>
      </c>
      <c r="D758" s="3" t="inlineStr">
        <is>
          <t>F = 0,70×Entailment + 0,30×KWoverlap</t>
        </is>
      </c>
      <c r="E758" s="3" t="inlineStr">
        <is>
          <t>Faithfulness = 0,70×Entailment + 0,30×KWoverlap = 0,70×0.6667 + 0,30×0.2378 = 0.5380  (entailment: 4/6 klaim didukung; KWoverlap = (|∩|/|ctx|)^0,65 = (27/246)^0,65 = 0.1098^0,65 = 0.2378)</t>
        </is>
      </c>
      <c r="F758" t="n">
        <v>0.538</v>
      </c>
      <c r="G758" s="3" t="inlineStr">
        <is>
          <t>metode: llm_entailment + keyword</t>
        </is>
      </c>
    </row>
    <row r="759">
      <c r="A759" t="n">
        <v>52</v>
      </c>
      <c r="B759" t="inlineStr">
        <is>
          <t>A</t>
        </is>
      </c>
      <c r="C759" t="inlineStr">
        <is>
          <t>— Entailment (Pers. 12-13)</t>
        </is>
      </c>
      <c r="D759" s="3" t="inlineStr">
        <is>
          <t>Entailment = Σverdict(sᵢ)/m</t>
        </is>
      </c>
      <c r="E759" s="3" t="inlineStr">
        <is>
          <t>4 klaim YA dari 6 klaim dievaluasi</t>
        </is>
      </c>
      <c r="F759" t="n">
        <v>0.6667</v>
      </c>
      <c r="G759" s="3" t="inlineStr">
        <is>
          <t>verdict per klaim: sheet 'Entailment Detail'</t>
        </is>
      </c>
    </row>
    <row r="760">
      <c r="A760" t="n">
        <v>52</v>
      </c>
      <c r="B760" t="inlineStr">
        <is>
          <t>A</t>
        </is>
      </c>
      <c r="C760" t="inlineStr">
        <is>
          <t>— Keyword Overlap (Pers. 14)</t>
        </is>
      </c>
      <c r="D760" s="3" t="inlineStr">
        <is>
          <t>KWoverlap = (|Stems(ans)∩Stems(ctx)| / |Stems(ctx)|)^0,65</t>
        </is>
      </c>
      <c r="E760" s="3" t="inlineStr">
        <is>
          <t>KWoverlap = (|∩|/|ctx|)^0,65 = (27/246)^0,65 = 0.1098^0,65 = 0.2378</t>
        </is>
      </c>
      <c r="F760" t="n">
        <v>0.2378</v>
      </c>
      <c r="G760" s="3" t="inlineStr"/>
    </row>
    <row r="761">
      <c r="A761" t="n">
        <v>52</v>
      </c>
      <c r="B761" t="inlineStr">
        <is>
          <t>A</t>
        </is>
      </c>
      <c r="C761" t="inlineStr">
        <is>
          <t>Hallucination Risk (Pers. 18)</t>
        </is>
      </c>
      <c r="D761" s="3" t="inlineStr">
        <is>
          <t>Risk = 0,65×(1-F) + 0,20×Contradiction + 0,15×Uncertainty</t>
        </is>
      </c>
      <c r="E761" s="3" t="inlineStr">
        <is>
          <t>Risk = 0,65×OutOfContext + 0,20×Contradiction + 0,15×Uncertainty = 0,65×0.4620 + 0,20×0.0000 + 0,15×0.20 = 0.3303 [SEDANG]</t>
        </is>
      </c>
      <c r="F761" t="n">
        <v>0.3303</v>
      </c>
      <c r="G761" s="3" t="inlineStr">
        <is>
          <t>label: SEDANG; kontradiksi 0/15 kalimat; uncertainty flag: True</t>
        </is>
      </c>
    </row>
    <row r="762">
      <c r="A762" t="n">
        <v>52</v>
      </c>
      <c r="B762" t="inlineStr">
        <is>
          <t>A</t>
        </is>
      </c>
      <c r="C762" t="inlineStr">
        <is>
          <t>Answer Accuracy (Pers. 20)</t>
        </is>
      </c>
      <c r="D762" s="3" t="inlineStr">
        <is>
          <t>Correctᵢ ∈ {0,1} via LLM-as-Judge (HASIL: BENAR/SALAH)</t>
        </is>
      </c>
      <c r="E762" s="3" t="inlineStr">
        <is>
          <t>JAWABAN: 
Rumus pola deret segitiga n(n+1)/2 tidak relevan dengan masalah Fibonacci yang terkait dengan kompleksitas algoritme dan waktu eksekusi program. Referensi yang diberikan hanya berisi soal-soal matematika sederhana, seperti bebek nomor berapa yang pertama tidak mendapat coklat, dan tidak ada kaitannya dengan konsep kompleksitas algoritme. Jawaban sistem tidak menjawab pertanyaan dengan b</t>
        </is>
      </c>
      <c r="F762" t="inlineStr">
        <is>
          <t>SALAH</t>
        </is>
      </c>
      <c r="G762" s="3" t="inlineStr">
        <is>
          <t>evaluator: ollama/llama3</t>
        </is>
      </c>
    </row>
    <row r="763">
      <c r="A763" t="n">
        <v>52</v>
      </c>
      <c r="B763" t="inlineStr">
        <is>
          <t>B</t>
        </is>
      </c>
      <c r="C763" t="inlineStr">
        <is>
          <t>Faithfulness (Pers. 15)</t>
        </is>
      </c>
      <c r="D763" s="3" t="inlineStr">
        <is>
          <t>F = 0,70×Entailment + 0,30×KWoverlap</t>
        </is>
      </c>
      <c r="E763" s="3" t="inlineStr">
        <is>
          <t>Faithfulness = 0,70×Entailment + 0,30×KWoverlap = 0,70×0.5000 + 0,30×0.2203 = 0.4161  (entailment: 3/6 klaim didukung; KWoverlap = (|∩|/|ctx|)^0,65 = (24/246)^0,65 = 0.0976^0,65 = 0.2203)</t>
        </is>
      </c>
      <c r="F763" t="n">
        <v>0.4161</v>
      </c>
      <c r="G763" s="3" t="inlineStr">
        <is>
          <t>metode: llm_entailment + keyword</t>
        </is>
      </c>
    </row>
    <row r="764">
      <c r="A764" t="n">
        <v>52</v>
      </c>
      <c r="B764" t="inlineStr">
        <is>
          <t>B</t>
        </is>
      </c>
      <c r="C764" t="inlineStr">
        <is>
          <t>— Entailment (Pers. 12-13)</t>
        </is>
      </c>
      <c r="D764" s="3" t="inlineStr">
        <is>
          <t>Entailment = Σverdict(sᵢ)/m</t>
        </is>
      </c>
      <c r="E764" s="3" t="inlineStr">
        <is>
          <t>3 klaim YA dari 6 klaim dievaluasi</t>
        </is>
      </c>
      <c r="F764" t="n">
        <v>0.5</v>
      </c>
      <c r="G764" s="3" t="inlineStr">
        <is>
          <t>verdict per klaim: sheet 'Entailment Detail'</t>
        </is>
      </c>
    </row>
    <row r="765">
      <c r="A765" t="n">
        <v>52</v>
      </c>
      <c r="B765" t="inlineStr">
        <is>
          <t>B</t>
        </is>
      </c>
      <c r="C765" t="inlineStr">
        <is>
          <t>— Keyword Overlap (Pers. 14)</t>
        </is>
      </c>
      <c r="D765" s="3" t="inlineStr">
        <is>
          <t>KWoverlap = (|Stems(ans)∩Stems(ctx)| / |Stems(ctx)|)^0,65</t>
        </is>
      </c>
      <c r="E765" s="3" t="inlineStr">
        <is>
          <t>KWoverlap = (|∩|/|ctx|)^0,65 = (24/246)^0,65 = 0.0976^0,65 = 0.2203</t>
        </is>
      </c>
      <c r="F765" t="n">
        <v>0.2203</v>
      </c>
      <c r="G765" s="3" t="inlineStr"/>
    </row>
    <row r="766">
      <c r="A766" t="n">
        <v>52</v>
      </c>
      <c r="B766" t="inlineStr">
        <is>
          <t>B</t>
        </is>
      </c>
      <c r="C766" t="inlineStr">
        <is>
          <t>Hallucination Risk (Pers. 18)</t>
        </is>
      </c>
      <c r="D766" s="3" t="inlineStr">
        <is>
          <t>Risk = 0,65×(1-F) + 0,20×Contradiction + 0,15×Uncertainty</t>
        </is>
      </c>
      <c r="E766" s="3" t="inlineStr">
        <is>
          <t>Risk = 0,65×OutOfContext + 0,20×Contradiction + 0,15×Uncertainty = 0,65×0.5839 + 0,20×0.0000 + 0,15×0.00 = 0.3795 [SEDANG]</t>
        </is>
      </c>
      <c r="F766" t="n">
        <v>0.3795</v>
      </c>
      <c r="G766" s="3" t="inlineStr">
        <is>
          <t>label: SEDANG; kontradiksi 0/11 kalimat; uncertainty flag: False</t>
        </is>
      </c>
    </row>
    <row r="767">
      <c r="A767" t="n">
        <v>52</v>
      </c>
      <c r="B767" t="inlineStr">
        <is>
          <t>B</t>
        </is>
      </c>
      <c r="C767" t="inlineStr">
        <is>
          <t>Answer Accuracy (Pers. 20)</t>
        </is>
      </c>
      <c r="D767" s="3" t="inlineStr">
        <is>
          <t>Correctᵢ ∈ {0,1} via LLM-as-Judge (HASIL: BENAR/SALAH)</t>
        </is>
      </c>
      <c r="E767" s="3" t="inlineStr">
        <is>
          <t>JAWABAN:</t>
        </is>
      </c>
      <c r="F767" t="inlineStr">
        <is>
          <t>BENAR</t>
        </is>
      </c>
      <c r="G767" s="3" t="inlineStr">
        <is>
          <t>evaluator: ollama/llama3</t>
        </is>
      </c>
    </row>
    <row r="768">
      <c r="A768" t="n">
        <v>53</v>
      </c>
      <c r="B768" t="inlineStr">
        <is>
          <t>A</t>
        </is>
      </c>
      <c r="C768" t="inlineStr">
        <is>
          <t>Precision@K (Pers. 2)</t>
        </is>
      </c>
      <c r="D768" s="3" t="inlineStr">
        <is>
          <t>Precision@K = |{d ∈ TopK : sim(q,d) ≥ θ}| / K</t>
        </is>
      </c>
      <c r="E768" s="3" t="inlineStr">
        <is>
          <t>skor = [0.7865, 0.7772, 0.775, 0.7694, 0.769, 0.7667] → 6 / 6</t>
        </is>
      </c>
      <c r="F768" t="n">
        <v>1</v>
      </c>
      <c r="G768" s="3" t="inlineStr">
        <is>
          <t>basis: skor chunk nyata (sesuai contoh Pers. 2 skripsi)</t>
        </is>
      </c>
    </row>
    <row r="769">
      <c r="A769" t="n">
        <v>53</v>
      </c>
      <c r="B769" t="inlineStr">
        <is>
          <t>A</t>
        </is>
      </c>
      <c r="C769" t="inlineStr">
        <is>
          <t>Recall@K (Pers. 4)</t>
        </is>
      </c>
      <c r="D769" s="3" t="inlineStr">
        <is>
          <t>Recall@K = |{kata kunci ditemukan : sim ≥ θ}| / |R|</t>
        </is>
      </c>
      <c r="E769" s="3" t="inlineStr">
        <is>
          <t>skor = [0.5794, 0.5704, 0.5465, 0.5379, 0.5085, 0.4311] → 6 / 6</t>
        </is>
      </c>
      <c r="F769" t="n">
        <v>1</v>
      </c>
      <c r="G769" s="3" t="inlineStr"/>
    </row>
    <row r="770">
      <c r="A770" t="n">
        <v>53</v>
      </c>
      <c r="B770" t="inlineStr">
        <is>
          <t>A</t>
        </is>
      </c>
      <c r="C770" t="inlineStr">
        <is>
          <t>Mean Similarity (Pers. 6)</t>
        </is>
      </c>
      <c r="D770" s="3" t="inlineStr">
        <is>
          <t>MeanSim = (1/K) × Σ sim(q, dᵢ)</t>
        </is>
      </c>
      <c r="E770" s="3" t="inlineStr">
        <is>
          <t>skor = [0.7865, 0.7772, 0.775, 0.7694, 0.769, 0.7667] → (0.7865 + 0.7772 + 0.7750 + 0.7694 + 0.7690 + 0.7667) / 6</t>
        </is>
      </c>
      <c r="F770" t="n">
        <v>0.774</v>
      </c>
      <c r="G770" s="3" t="inlineStr"/>
    </row>
    <row r="771">
      <c r="A771" t="n">
        <v>53</v>
      </c>
      <c r="B771" t="inlineStr">
        <is>
          <t>A</t>
        </is>
      </c>
      <c r="C771" t="inlineStr">
        <is>
          <t>Coverage (Pers. 8)</t>
        </is>
      </c>
      <c r="D771" s="3" t="inlineStr">
        <is>
          <t>Coverage = |{dᵢ ∈ TopK : sim(q,dᵢ) ≥ θc}| / K</t>
        </is>
      </c>
      <c r="E771" s="3" t="inlineStr">
        <is>
          <t>skor = [0.7865, 0.7772, 0.775, 0.7694, 0.769, 0.7667] → 6 / 6</t>
        </is>
      </c>
      <c r="F771" t="n">
        <v>1</v>
      </c>
      <c r="G771" s="3" t="inlineStr"/>
    </row>
    <row r="772">
      <c r="A772" t="n">
        <v>53</v>
      </c>
      <c r="B772" t="inlineStr">
        <is>
          <t>A</t>
        </is>
      </c>
      <c r="C772" t="inlineStr">
        <is>
          <t>Source Diversity (Pers. 10)</t>
        </is>
      </c>
      <c r="D772" s="3" t="inlineStr">
        <is>
          <t>Diversity = |sumber unik dalam TopK| / K</t>
        </is>
      </c>
      <c r="E772" s="3" t="inlineStr">
        <is>
          <t>skor = ['GT_CT07.txt', 'GT_DETAIL_PT05_Pattern_Recognition.txt', 'GT_SUBTOPIK_03_Pola_Bilangan_Deret.txt', 'GT_SUBTOPIK_14_Kompleksitas_BigO.txt'] → 4 / 6</t>
        </is>
      </c>
      <c r="F772" t="n">
        <v>0.6667</v>
      </c>
      <c r="G772" s="3" t="inlineStr">
        <is>
          <t>file unik: GT_CT07.txt, GT_DETAIL_PT05_Pattern_Recognition.txt, GT_SUBTOPIK_03_Pola_Bilangan_Deret.txt, GT_SUBTOPIK_14_Kompleksitas_BigO.txt</t>
        </is>
      </c>
    </row>
    <row r="773">
      <c r="A773" t="n">
        <v>53</v>
      </c>
      <c r="B773" t="inlineStr">
        <is>
          <t>A</t>
        </is>
      </c>
      <c r="C773" t="inlineStr">
        <is>
          <t>Faithfulness (Pers. 15)</t>
        </is>
      </c>
      <c r="D773" s="3" t="inlineStr">
        <is>
          <t>F = 0,70×Entailment + 0,30×KWoverlap</t>
        </is>
      </c>
      <c r="E773" s="3" t="inlineStr">
        <is>
          <t>Faithfulness = 0,70×Entailment + 0,30×KWoverlap = 0,70×0.5000 + 0,30×0.4511 = 0.4853  (entailment: 3/6 klaim didukung; KWoverlap = (|∩|/|ctx|)^0,65 = (57/194)^0,65 = 0.2938^0,65 = 0.4511)</t>
        </is>
      </c>
      <c r="F773" t="n">
        <v>0.4853</v>
      </c>
      <c r="G773" s="3" t="inlineStr">
        <is>
          <t>metode: llm_entailment + keyword</t>
        </is>
      </c>
    </row>
    <row r="774">
      <c r="A774" t="n">
        <v>53</v>
      </c>
      <c r="B774" t="inlineStr">
        <is>
          <t>A</t>
        </is>
      </c>
      <c r="C774" t="inlineStr">
        <is>
          <t>— Entailment (Pers. 12-13)</t>
        </is>
      </c>
      <c r="D774" s="3" t="inlineStr">
        <is>
          <t>Entailment = Σverdict(sᵢ)/m</t>
        </is>
      </c>
      <c r="E774" s="3" t="inlineStr">
        <is>
          <t>3 klaim YA dari 6 klaim dievaluasi</t>
        </is>
      </c>
      <c r="F774" t="n">
        <v>0.5</v>
      </c>
      <c r="G774" s="3" t="inlineStr">
        <is>
          <t>verdict per klaim: sheet 'Entailment Detail'</t>
        </is>
      </c>
    </row>
    <row r="775">
      <c r="A775" t="n">
        <v>53</v>
      </c>
      <c r="B775" t="inlineStr">
        <is>
          <t>A</t>
        </is>
      </c>
      <c r="C775" t="inlineStr">
        <is>
          <t>— Keyword Overlap (Pers. 14)</t>
        </is>
      </c>
      <c r="D775" s="3" t="inlineStr">
        <is>
          <t>KWoverlap = (|Stems(ans)∩Stems(ctx)| / |Stems(ctx)|)^0,65</t>
        </is>
      </c>
      <c r="E775" s="3" t="inlineStr">
        <is>
          <t>KWoverlap = (|∩|/|ctx|)^0,65 = (57/194)^0,65 = 0.2938^0,65 = 0.4511</t>
        </is>
      </c>
      <c r="F775" t="n">
        <v>0.4511</v>
      </c>
      <c r="G775" s="3" t="inlineStr"/>
    </row>
    <row r="776">
      <c r="A776" t="n">
        <v>53</v>
      </c>
      <c r="B776" t="inlineStr">
        <is>
          <t>A</t>
        </is>
      </c>
      <c r="C776" t="inlineStr">
        <is>
          <t>Hallucination Risk (Pers. 18)</t>
        </is>
      </c>
      <c r="D776" s="3" t="inlineStr">
        <is>
          <t>Risk = 0,65×(1-F) + 0,20×Contradiction + 0,15×Uncertainty</t>
        </is>
      </c>
      <c r="E776" s="3" t="inlineStr">
        <is>
          <t>Risk = 0,65×OutOfContext + 0,20×Contradiction + 0,15×Uncertainty = 0,65×0.5147 + 0,20×0.0000 + 0,15×0.00 = 0.3346 [SEDANG]</t>
        </is>
      </c>
      <c r="F776" t="n">
        <v>0.3346</v>
      </c>
      <c r="G776" s="3" t="inlineStr">
        <is>
          <t>label: SEDANG; kontradiksi 0/37 kalimat; uncertainty flag: False</t>
        </is>
      </c>
    </row>
    <row r="777">
      <c r="A777" t="n">
        <v>53</v>
      </c>
      <c r="B777" t="inlineStr">
        <is>
          <t>A</t>
        </is>
      </c>
      <c r="C777" t="inlineStr">
        <is>
          <t>Answer Accuracy (Pers. 20)</t>
        </is>
      </c>
      <c r="D777" s="3" t="inlineStr">
        <is>
          <t>Correctᵢ ∈ {0,1} via LLM-as-Judge (HASIL: BENAR/SALAH)</t>
        </is>
      </c>
      <c r="E777" s="3" t="inlineStr">
        <is>
          <t>Jawaban sistem:</t>
        </is>
      </c>
      <c r="F777" t="inlineStr">
        <is>
          <t>BENAR</t>
        </is>
      </c>
      <c r="G777" s="3" t="inlineStr">
        <is>
          <t>evaluator: ollama/llama3</t>
        </is>
      </c>
    </row>
    <row r="778">
      <c r="A778" t="n">
        <v>53</v>
      </c>
      <c r="B778" t="inlineStr">
        <is>
          <t>B</t>
        </is>
      </c>
      <c r="C778" t="inlineStr">
        <is>
          <t>Faithfulness (Pers. 15)</t>
        </is>
      </c>
      <c r="D778" s="3" t="inlineStr">
        <is>
          <t>F = 0,70×Entailment + 0,30×KWoverlap</t>
        </is>
      </c>
      <c r="E778" s="3" t="inlineStr">
        <is>
          <t>Faithfulness = 0,70×Entailment + 0,30×KWoverlap = 0,70×0.3333 + 0,30×0.1359 = 0.2741  (entailment: 1/3 klaim didukung; KWoverlap = (|∩|/|ctx|)^0,65 = (9/194)^0,65 = 0.0464^0,65 = 0.1359)</t>
        </is>
      </c>
      <c r="F778" t="n">
        <v>0.2741</v>
      </c>
      <c r="G778" s="3" t="inlineStr">
        <is>
          <t>metode: llm_entailment + keyword</t>
        </is>
      </c>
    </row>
    <row r="779">
      <c r="A779" t="n">
        <v>53</v>
      </c>
      <c r="B779" t="inlineStr">
        <is>
          <t>B</t>
        </is>
      </c>
      <c r="C779" t="inlineStr">
        <is>
          <t>— Entailment (Pers. 12-13)</t>
        </is>
      </c>
      <c r="D779" s="3" t="inlineStr">
        <is>
          <t>Entailment = Σverdict(sᵢ)/m</t>
        </is>
      </c>
      <c r="E779" s="3" t="inlineStr">
        <is>
          <t>1 klaim YA dari 3 klaim dievaluasi</t>
        </is>
      </c>
      <c r="F779" t="n">
        <v>0.3333</v>
      </c>
      <c r="G779" s="3" t="inlineStr">
        <is>
          <t>verdict per klaim: sheet 'Entailment Detail'</t>
        </is>
      </c>
    </row>
    <row r="780">
      <c r="A780" t="n">
        <v>53</v>
      </c>
      <c r="B780" t="inlineStr">
        <is>
          <t>B</t>
        </is>
      </c>
      <c r="C780" t="inlineStr">
        <is>
          <t>— Keyword Overlap (Pers. 14)</t>
        </is>
      </c>
      <c r="D780" s="3" t="inlineStr">
        <is>
          <t>KWoverlap = (|Stems(ans)∩Stems(ctx)| / |Stems(ctx)|)^0,65</t>
        </is>
      </c>
      <c r="E780" s="3" t="inlineStr">
        <is>
          <t>KWoverlap = (|∩|/|ctx|)^0,65 = (9/194)^0,65 = 0.0464^0,65 = 0.1359</t>
        </is>
      </c>
      <c r="F780" t="n">
        <v>0.1359</v>
      </c>
      <c r="G780" s="3" t="inlineStr"/>
    </row>
    <row r="781">
      <c r="A781" t="n">
        <v>53</v>
      </c>
      <c r="B781" t="inlineStr">
        <is>
          <t>B</t>
        </is>
      </c>
      <c r="C781" t="inlineStr">
        <is>
          <t>Hallucination Risk (Pers. 18)</t>
        </is>
      </c>
      <c r="D781" s="3" t="inlineStr">
        <is>
          <t>Risk = 0,65×(1-F) + 0,20×Contradiction + 0,15×Uncertainty</t>
        </is>
      </c>
      <c r="E781" s="3" t="inlineStr">
        <is>
          <t>Risk = 0,65×OutOfContext + 0,20×Contradiction + 0,15×Uncertainty = 0,65×0.7259 + 0,20×0.0000 + 0,15×0.00 = 0.4718 [SEDANG]</t>
        </is>
      </c>
      <c r="F781" t="n">
        <v>0.4718</v>
      </c>
      <c r="G781" s="3" t="inlineStr">
        <is>
          <t>label: SEDANG; kontradiksi 0/28 kalimat; uncertainty flag: False</t>
        </is>
      </c>
    </row>
    <row r="782">
      <c r="A782" t="n">
        <v>53</v>
      </c>
      <c r="B782" t="inlineStr">
        <is>
          <t>B</t>
        </is>
      </c>
      <c r="C782" t="inlineStr">
        <is>
          <t>Answer Accuracy (Pers. 20)</t>
        </is>
      </c>
      <c r="D782" s="3" t="inlineStr">
        <is>
          <t>Correctᵢ ∈ {0,1} via LLM-as-Judge (HASIL: BENAR/SALAH)</t>
        </is>
      </c>
      <c r="E782" s="3" t="inlineStr">
        <is>
          <t>Menurut definisi rekursif Fib(6) = Fib(5) + Fib(4), kita lihat:
Fib(5) = 3 (dalam jawaban sistem)
Fib(4) = 3 (dalam jawaban sistem)
Maka, Fib(6) = 3 + 3 = 6.
Jawaban sistem:</t>
        </is>
      </c>
      <c r="F782" t="inlineStr">
        <is>
          <t>BENAR</t>
        </is>
      </c>
      <c r="G782" s="3" t="inlineStr">
        <is>
          <t>evaluator: ollama/llama3</t>
        </is>
      </c>
    </row>
    <row r="783">
      <c r="A783" t="n">
        <v>54</v>
      </c>
      <c r="B783" t="inlineStr">
        <is>
          <t>A</t>
        </is>
      </c>
      <c r="C783" t="inlineStr">
        <is>
          <t>Precision@K (Pers. 2)</t>
        </is>
      </c>
      <c r="D783" s="3" t="inlineStr">
        <is>
          <t>Precision@K = |{d ∈ TopK : sim(q,d) ≥ θ}| / K</t>
        </is>
      </c>
      <c r="E783" s="3" t="inlineStr">
        <is>
          <t>skor = [0.7269, 0.7221, 0.7172, 0.7162, 0.7162, 0.7149] → 6 / 6</t>
        </is>
      </c>
      <c r="F783" t="n">
        <v>1</v>
      </c>
      <c r="G783" s="3" t="inlineStr">
        <is>
          <t>basis: skor chunk nyata (sesuai contoh Pers. 2 skripsi)</t>
        </is>
      </c>
    </row>
    <row r="784">
      <c r="A784" t="n">
        <v>54</v>
      </c>
      <c r="B784" t="inlineStr">
        <is>
          <t>A</t>
        </is>
      </c>
      <c r="C784" t="inlineStr">
        <is>
          <t>Recall@K (Pers. 4)</t>
        </is>
      </c>
      <c r="D784" s="3" t="inlineStr">
        <is>
          <t>Recall@K = |{kata kunci ditemukan : sim ≥ θ}| / |R|</t>
        </is>
      </c>
      <c r="E784" s="3" t="inlineStr">
        <is>
          <t>skor = [0.6666, 0.6658, 0.6543, 0.598, 0.5825, 0.5585] → 6 / 6</t>
        </is>
      </c>
      <c r="F784" t="n">
        <v>1</v>
      </c>
      <c r="G784" s="3" t="inlineStr"/>
    </row>
    <row r="785">
      <c r="A785" t="n">
        <v>54</v>
      </c>
      <c r="B785" t="inlineStr">
        <is>
          <t>A</t>
        </is>
      </c>
      <c r="C785" t="inlineStr">
        <is>
          <t>Mean Similarity (Pers. 6)</t>
        </is>
      </c>
      <c r="D785" s="3" t="inlineStr">
        <is>
          <t>MeanSim = (1/K) × Σ sim(q, dᵢ)</t>
        </is>
      </c>
      <c r="E785" s="3" t="inlineStr">
        <is>
          <t>skor = [0.7269, 0.7221, 0.7172, 0.7162, 0.7162, 0.7149] → (0.7269 + 0.7221 + 0.7172 + 0.7162 + 0.7162 + 0.7149) / 6</t>
        </is>
      </c>
      <c r="F785" t="n">
        <v>0.7189</v>
      </c>
      <c r="G785" s="3" t="inlineStr"/>
    </row>
    <row r="786">
      <c r="A786" t="n">
        <v>54</v>
      </c>
      <c r="B786" t="inlineStr">
        <is>
          <t>A</t>
        </is>
      </c>
      <c r="C786" t="inlineStr">
        <is>
          <t>Coverage (Pers. 8)</t>
        </is>
      </c>
      <c r="D786" s="3" t="inlineStr">
        <is>
          <t>Coverage = |{dᵢ ∈ TopK : sim(q,dᵢ) ≥ θc}| / K</t>
        </is>
      </c>
      <c r="E786" s="3" t="inlineStr">
        <is>
          <t>skor = [0.7269, 0.7221, 0.7172, 0.7162, 0.7162, 0.7149] → 6 / 6</t>
        </is>
      </c>
      <c r="F786" t="n">
        <v>1</v>
      </c>
      <c r="G786" s="3" t="inlineStr"/>
    </row>
    <row r="787">
      <c r="A787" t="n">
        <v>54</v>
      </c>
      <c r="B787" t="inlineStr">
        <is>
          <t>A</t>
        </is>
      </c>
      <c r="C787" t="inlineStr">
        <is>
          <t>Source Diversity (Pers. 10)</t>
        </is>
      </c>
      <c r="D787" s="3" t="inlineStr">
        <is>
          <t>Diversity = |sumber unik dalam TopK| / K</t>
        </is>
      </c>
      <c r="E787" s="3" t="inlineStr">
        <is>
          <t>skor = ['GT_CT03.txt', 'GT_CT05.txt', 'GT_CT07.txt', 'GT_CT10.txt', 'GT_DETAIL_PT01_Pendahuluan.txt', 'GT_SUBTOPIK_11_Rekursi.txt'] → 6 / 6</t>
        </is>
      </c>
      <c r="F787" t="n">
        <v>1</v>
      </c>
      <c r="G787" s="3" t="inlineStr">
        <is>
          <t>file unik: GT_CT03.txt, GT_CT05.txt, GT_CT07.txt, GT_CT10.txt, GT_DETAIL_PT01_Pendahuluan.txt, GT_SUBTOPIK_11_Rekursi.txt</t>
        </is>
      </c>
    </row>
    <row r="788">
      <c r="A788" t="n">
        <v>54</v>
      </c>
      <c r="B788" t="inlineStr">
        <is>
          <t>A</t>
        </is>
      </c>
      <c r="C788" t="inlineStr">
        <is>
          <t>Faithfulness (Pers. 15)</t>
        </is>
      </c>
      <c r="D788" s="3" t="inlineStr">
        <is>
          <t>F = 0,70×Entailment + 0,30×KWoverlap</t>
        </is>
      </c>
      <c r="E788" s="3" t="inlineStr">
        <is>
          <t>Faithfulness = 0,70×Entailment + 0,30×KWoverlap = 0,70×0.8333 + 0,30×0.2281 = 0.6517  (entailment: 5/6 klaim didukung; KWoverlap = (|∩|/|ctx|)^0,65 = (32/311)^0,65 = 0.1029^0,65 = 0.2281)</t>
        </is>
      </c>
      <c r="F788" t="n">
        <v>0.6516999999999999</v>
      </c>
      <c r="G788" s="3" t="inlineStr">
        <is>
          <t>metode: llm_entailment + keyword</t>
        </is>
      </c>
    </row>
    <row r="789">
      <c r="A789" t="n">
        <v>54</v>
      </c>
      <c r="B789" t="inlineStr">
        <is>
          <t>A</t>
        </is>
      </c>
      <c r="C789" t="inlineStr">
        <is>
          <t>— Entailment (Pers. 12-13)</t>
        </is>
      </c>
      <c r="D789" s="3" t="inlineStr">
        <is>
          <t>Entailment = Σverdict(sᵢ)/m</t>
        </is>
      </c>
      <c r="E789" s="3" t="inlineStr">
        <is>
          <t>5 klaim YA dari 6 klaim dievaluasi</t>
        </is>
      </c>
      <c r="F789" t="n">
        <v>0.8333</v>
      </c>
      <c r="G789" s="3" t="inlineStr">
        <is>
          <t>verdict per klaim: sheet 'Entailment Detail'</t>
        </is>
      </c>
    </row>
    <row r="790">
      <c r="A790" t="n">
        <v>54</v>
      </c>
      <c r="B790" t="inlineStr">
        <is>
          <t>A</t>
        </is>
      </c>
      <c r="C790" t="inlineStr">
        <is>
          <t>— Keyword Overlap (Pers. 14)</t>
        </is>
      </c>
      <c r="D790" s="3" t="inlineStr">
        <is>
          <t>KWoverlap = (|Stems(ans)∩Stems(ctx)| / |Stems(ctx)|)^0,65</t>
        </is>
      </c>
      <c r="E790" s="3" t="inlineStr">
        <is>
          <t>KWoverlap = (|∩|/|ctx|)^0,65 = (32/311)^0,65 = 0.1029^0,65 = 0.2281</t>
        </is>
      </c>
      <c r="F790" t="n">
        <v>0.2281</v>
      </c>
      <c r="G790" s="3" t="inlineStr"/>
    </row>
    <row r="791">
      <c r="A791" t="n">
        <v>54</v>
      </c>
      <c r="B791" t="inlineStr">
        <is>
          <t>A</t>
        </is>
      </c>
      <c r="C791" t="inlineStr">
        <is>
          <t>Hallucination Risk (Pers. 18)</t>
        </is>
      </c>
      <c r="D791" s="3" t="inlineStr">
        <is>
          <t>Risk = 0,65×(1-F) + 0,20×Contradiction + 0,15×Uncertainty</t>
        </is>
      </c>
      <c r="E791" s="3" t="inlineStr">
        <is>
          <t>Risk = 0,65×OutOfContext + 0,20×Contradiction + 0,15×Uncertainty = 0,65×0.3483 + 0,20×0.0000 + 0,15×0.00 = 0.2264 [RENDAH]</t>
        </is>
      </c>
      <c r="F791" t="n">
        <v>0.2264</v>
      </c>
      <c r="G791" s="3" t="inlineStr">
        <is>
          <t>label: RENDAH; kontradiksi 0/10 kalimat; uncertainty flag: False</t>
        </is>
      </c>
    </row>
    <row r="792">
      <c r="A792" t="n">
        <v>54</v>
      </c>
      <c r="B792" t="inlineStr">
        <is>
          <t>A</t>
        </is>
      </c>
      <c r="C792" t="inlineStr">
        <is>
          <t>Answer Accuracy (Pers. 20)</t>
        </is>
      </c>
      <c r="D792" s="3" t="inlineStr">
        <is>
          <t>Correctᵢ ∈ {0,1} via LLM-as-Judge (HASIL: BENAR/SALAH)</t>
        </is>
      </c>
      <c r="E792" s="3" t="inlineStr"/>
      <c r="F792" t="inlineStr">
        <is>
          <t>BENAR</t>
        </is>
      </c>
      <c r="G792" s="3" t="inlineStr">
        <is>
          <t>evaluator: ollama/llama3</t>
        </is>
      </c>
    </row>
    <row r="793">
      <c r="A793" t="n">
        <v>54</v>
      </c>
      <c r="B793" t="inlineStr">
        <is>
          <t>B</t>
        </is>
      </c>
      <c r="C793" t="inlineStr">
        <is>
          <t>Faithfulness (Pers. 15)</t>
        </is>
      </c>
      <c r="D793" s="3" t="inlineStr">
        <is>
          <t>F = 0,70×Entailment + 0,30×KWoverlap</t>
        </is>
      </c>
      <c r="E793" s="3" t="inlineStr">
        <is>
          <t>Faithfulness = 0,70×Entailment + 0,30×KWoverlap = 0,70×0.6667 + 0,30×0.2091 = 0.5294  (entailment: 4/6 klaim didukung; KWoverlap = (|∩|/|ctx|)^0,65 = (28/311)^0,65 = 0.0900^0,65 = 0.2091)</t>
        </is>
      </c>
      <c r="F793" t="n">
        <v>0.5294</v>
      </c>
      <c r="G793" s="3" t="inlineStr">
        <is>
          <t>metode: llm_entailment + keyword</t>
        </is>
      </c>
    </row>
    <row r="794">
      <c r="A794" t="n">
        <v>54</v>
      </c>
      <c r="B794" t="inlineStr">
        <is>
          <t>B</t>
        </is>
      </c>
      <c r="C794" t="inlineStr">
        <is>
          <t>— Entailment (Pers. 12-13)</t>
        </is>
      </c>
      <c r="D794" s="3" t="inlineStr">
        <is>
          <t>Entailment = Σverdict(sᵢ)/m</t>
        </is>
      </c>
      <c r="E794" s="3" t="inlineStr">
        <is>
          <t>4 klaim YA dari 6 klaim dievaluasi</t>
        </is>
      </c>
      <c r="F794" t="n">
        <v>0.6667</v>
      </c>
      <c r="G794" s="3" t="inlineStr">
        <is>
          <t>verdict per klaim: sheet 'Entailment Detail'</t>
        </is>
      </c>
    </row>
    <row r="795">
      <c r="A795" t="n">
        <v>54</v>
      </c>
      <c r="B795" t="inlineStr">
        <is>
          <t>B</t>
        </is>
      </c>
      <c r="C795" t="inlineStr">
        <is>
          <t>— Keyword Overlap (Pers. 14)</t>
        </is>
      </c>
      <c r="D795" s="3" t="inlineStr">
        <is>
          <t>KWoverlap = (|Stems(ans)∩Stems(ctx)| / |Stems(ctx)|)^0,65</t>
        </is>
      </c>
      <c r="E795" s="3" t="inlineStr">
        <is>
          <t>KWoverlap = (|∩|/|ctx|)^0,65 = (28/311)^0,65 = 0.0900^0,65 = 0.2091</t>
        </is>
      </c>
      <c r="F795" t="n">
        <v>0.2091</v>
      </c>
      <c r="G795" s="3" t="inlineStr"/>
    </row>
    <row r="796">
      <c r="A796" t="n">
        <v>54</v>
      </c>
      <c r="B796" t="inlineStr">
        <is>
          <t>B</t>
        </is>
      </c>
      <c r="C796" t="inlineStr">
        <is>
          <t>Hallucination Risk (Pers. 18)</t>
        </is>
      </c>
      <c r="D796" s="3" t="inlineStr">
        <is>
          <t>Risk = 0,65×(1-F) + 0,20×Contradiction + 0,15×Uncertainty</t>
        </is>
      </c>
      <c r="E796" s="3" t="inlineStr">
        <is>
          <t>Risk = 0,65×OutOfContext + 0,20×Contradiction + 0,15×Uncertainty = 0,65×0.4706 + 0,20×0.0000 + 0,15×0.20 = 0.3359 [SEDANG]</t>
        </is>
      </c>
      <c r="F796" t="n">
        <v>0.3359</v>
      </c>
      <c r="G796" s="3" t="inlineStr">
        <is>
          <t>label: SEDANG; kontradiksi 0/17 kalimat; uncertainty flag: True</t>
        </is>
      </c>
    </row>
    <row r="797">
      <c r="A797" t="n">
        <v>54</v>
      </c>
      <c r="B797" t="inlineStr">
        <is>
          <t>B</t>
        </is>
      </c>
      <c r="C797" t="inlineStr">
        <is>
          <t>Answer Accuracy (Pers. 20)</t>
        </is>
      </c>
      <c r="D797" s="3" t="inlineStr">
        <is>
          <t>Correctᵢ ∈ {0,1} via LLM-as-Judge (HASIL: BENAR/SALAH)</t>
        </is>
      </c>
      <c r="E797" s="3" t="inlineStr">
        <is>
          <t>BENAR</t>
        </is>
      </c>
      <c r="F797" t="inlineStr">
        <is>
          <t>BENAR</t>
        </is>
      </c>
      <c r="G797" s="3" t="inlineStr">
        <is>
          <t>evaluator: ollama/llama3</t>
        </is>
      </c>
    </row>
    <row r="798">
      <c r="A798" t="n">
        <v>55</v>
      </c>
      <c r="B798" t="inlineStr">
        <is>
          <t>A</t>
        </is>
      </c>
      <c r="C798" t="inlineStr">
        <is>
          <t>Precision@K (Pers. 2)</t>
        </is>
      </c>
      <c r="D798" s="3" t="inlineStr">
        <is>
          <t>Precision@K = |{d ∈ TopK : sim(q,d) ≥ θ}| / K</t>
        </is>
      </c>
      <c r="E798" s="3" t="inlineStr">
        <is>
          <t>skor = [0.7217, 0.7137, 0.6994, 0.6961, 0.6836, 0.6771] → 6 / 6</t>
        </is>
      </c>
      <c r="F798" t="n">
        <v>1</v>
      </c>
      <c r="G798" s="3" t="inlineStr">
        <is>
          <t>basis: skor chunk nyata (sesuai contoh Pers. 2 skripsi)</t>
        </is>
      </c>
    </row>
    <row r="799">
      <c r="A799" t="n">
        <v>55</v>
      </c>
      <c r="B799" t="inlineStr">
        <is>
          <t>A</t>
        </is>
      </c>
      <c r="C799" t="inlineStr">
        <is>
          <t>Recall@K (Pers. 4)</t>
        </is>
      </c>
      <c r="D799" s="3" t="inlineStr">
        <is>
          <t>Recall@K = |{kata kunci ditemukan : sim ≥ θ}| / |R|</t>
        </is>
      </c>
      <c r="E799" s="3" t="inlineStr">
        <is>
          <t>skor = [0.6409, 0.6287, 0.5464, 0.4539, 0.4366, 0.3929] → 6 / 6</t>
        </is>
      </c>
      <c r="F799" t="n">
        <v>1</v>
      </c>
      <c r="G799" s="3" t="inlineStr"/>
    </row>
    <row r="800">
      <c r="A800" t="n">
        <v>55</v>
      </c>
      <c r="B800" t="inlineStr">
        <is>
          <t>A</t>
        </is>
      </c>
      <c r="C800" t="inlineStr">
        <is>
          <t>Mean Similarity (Pers. 6)</t>
        </is>
      </c>
      <c r="D800" s="3" t="inlineStr">
        <is>
          <t>MeanSim = (1/K) × Σ sim(q, dᵢ)</t>
        </is>
      </c>
      <c r="E800" s="3" t="inlineStr">
        <is>
          <t>skor = [0.7217, 0.7137, 0.6994, 0.6961, 0.6836, 0.6771] → (0.7217 + 0.7137 + 0.6994 + 0.6961 + 0.6836 + 0.6771) / 6</t>
        </is>
      </c>
      <c r="F800" t="n">
        <v>0.6986</v>
      </c>
      <c r="G800" s="3" t="inlineStr"/>
    </row>
    <row r="801">
      <c r="A801" t="n">
        <v>55</v>
      </c>
      <c r="B801" t="inlineStr">
        <is>
          <t>A</t>
        </is>
      </c>
      <c r="C801" t="inlineStr">
        <is>
          <t>Coverage (Pers. 8)</t>
        </is>
      </c>
      <c r="D801" s="3" t="inlineStr">
        <is>
          <t>Coverage = |{dᵢ ∈ TopK : sim(q,dᵢ) ≥ θc}| / K</t>
        </is>
      </c>
      <c r="E801" s="3" t="inlineStr">
        <is>
          <t>skor = [0.7217, 0.7137, 0.6994, 0.6961, 0.6836, 0.6771] → 6 / 6</t>
        </is>
      </c>
      <c r="F801" t="n">
        <v>1</v>
      </c>
      <c r="G801" s="3" t="inlineStr"/>
    </row>
    <row r="802">
      <c r="A802" t="n">
        <v>55</v>
      </c>
      <c r="B802" t="inlineStr">
        <is>
          <t>A</t>
        </is>
      </c>
      <c r="C802" t="inlineStr">
        <is>
          <t>Source Diversity (Pers. 10)</t>
        </is>
      </c>
      <c r="D802" s="3" t="inlineStr">
        <is>
          <t>Diversity = |sumber unik dalam TopK| / K</t>
        </is>
      </c>
      <c r="E802" s="3" t="inlineStr">
        <is>
          <t>skor = ['GT_CT09.txt', 'GT_CT13.txt', 'GT_DETAIL_PT01_Pendahuluan.txt', 'GT_DETAIL_PT11_Perulangan.txt', 'GT_SUBTOPIK_13_Graph_Tree.txt', 'GT_SUBTOPIK_14_Kompleksitas_BigO.txt'] → 6 / 6</t>
        </is>
      </c>
      <c r="F802" t="n">
        <v>1</v>
      </c>
      <c r="G802" s="3" t="inlineStr">
        <is>
          <t>file unik: GT_CT09.txt, GT_CT13.txt, GT_DETAIL_PT01_Pendahuluan.txt, GT_DETAIL_PT11_Perulangan.txt, GT_SUBTOPIK_13_Graph_Tree.txt, GT_SUBTOPIK_14_Kompleksitas_BigO.txt</t>
        </is>
      </c>
    </row>
    <row r="803">
      <c r="A803" t="n">
        <v>55</v>
      </c>
      <c r="B803" t="inlineStr">
        <is>
          <t>A</t>
        </is>
      </c>
      <c r="C803" t="inlineStr">
        <is>
          <t>Faithfulness (Pers. 15)</t>
        </is>
      </c>
      <c r="D803" s="3" t="inlineStr">
        <is>
          <t>F = 0,70×Entailment + 0,30×KWoverlap</t>
        </is>
      </c>
      <c r="E803" s="3" t="inlineStr">
        <is>
          <t>Faithfulness = 0,70×Entailment + 0,30×KWoverlap = 0,70×0.8333 + 0,30×0.2392 = 0.6551  (entailment: 5/6 klaim didukung; KWoverlap = (|∩|/|ctx|)^0,65 = (31/280)^0,65 = 0.1107^0,65 = 0.2392)</t>
        </is>
      </c>
      <c r="F803" t="n">
        <v>0.6551</v>
      </c>
      <c r="G803" s="3" t="inlineStr">
        <is>
          <t>metode: llm_entailment + keyword</t>
        </is>
      </c>
    </row>
    <row r="804">
      <c r="A804" t="n">
        <v>55</v>
      </c>
      <c r="B804" t="inlineStr">
        <is>
          <t>A</t>
        </is>
      </c>
      <c r="C804" t="inlineStr">
        <is>
          <t>— Entailment (Pers. 12-13)</t>
        </is>
      </c>
      <c r="D804" s="3" t="inlineStr">
        <is>
          <t>Entailment = Σverdict(sᵢ)/m</t>
        </is>
      </c>
      <c r="E804" s="3" t="inlineStr">
        <is>
          <t>5 klaim YA dari 6 klaim dievaluasi</t>
        </is>
      </c>
      <c r="F804" t="n">
        <v>0.8333</v>
      </c>
      <c r="G804" s="3" t="inlineStr">
        <is>
          <t>verdict per klaim: sheet 'Entailment Detail'</t>
        </is>
      </c>
    </row>
    <row r="805">
      <c r="A805" t="n">
        <v>55</v>
      </c>
      <c r="B805" t="inlineStr">
        <is>
          <t>A</t>
        </is>
      </c>
      <c r="C805" t="inlineStr">
        <is>
          <t>— Keyword Overlap (Pers. 14)</t>
        </is>
      </c>
      <c r="D805" s="3" t="inlineStr">
        <is>
          <t>KWoverlap = (|Stems(ans)∩Stems(ctx)| / |Stems(ctx)|)^0,65</t>
        </is>
      </c>
      <c r="E805" s="3" t="inlineStr">
        <is>
          <t>KWoverlap = (|∩|/|ctx|)^0,65 = (31/280)^0,65 = 0.1107^0,65 = 0.2392</t>
        </is>
      </c>
      <c r="F805" t="n">
        <v>0.2392</v>
      </c>
      <c r="G805" s="3" t="inlineStr"/>
    </row>
    <row r="806">
      <c r="A806" t="n">
        <v>55</v>
      </c>
      <c r="B806" t="inlineStr">
        <is>
          <t>A</t>
        </is>
      </c>
      <c r="C806" t="inlineStr">
        <is>
          <t>Hallucination Risk (Pers. 18)</t>
        </is>
      </c>
      <c r="D806" s="3" t="inlineStr">
        <is>
          <t>Risk = 0,65×(1-F) + 0,20×Contradiction + 0,15×Uncertainty</t>
        </is>
      </c>
      <c r="E806" s="3" t="inlineStr">
        <is>
          <t>Risk = 0,65×OutOfContext + 0,20×Contradiction + 0,15×Uncertainty = 0,65×0.3449 + 0,20×0.0000 + 0,15×0.00 = 0.2242 [RENDAH]</t>
        </is>
      </c>
      <c r="F806" t="n">
        <v>0.2242</v>
      </c>
      <c r="G806" s="3" t="inlineStr">
        <is>
          <t>label: RENDAH; kontradiksi 0/14 kalimat; uncertainty flag: False</t>
        </is>
      </c>
    </row>
    <row r="807">
      <c r="A807" t="n">
        <v>55</v>
      </c>
      <c r="B807" t="inlineStr">
        <is>
          <t>A</t>
        </is>
      </c>
      <c r="C807" t="inlineStr">
        <is>
          <t>Answer Accuracy (Pers. 20)</t>
        </is>
      </c>
      <c r="D807" s="3" t="inlineStr">
        <is>
          <t>Correctᵢ ∈ {0,1} via LLM-as-Judge (HASIL: BENAR/SALAH)</t>
        </is>
      </c>
      <c r="E807" s="3" t="inlineStr">
        <is>
          <t>BENAR
Karena jawaban sistem menjelaskan bahwa array dan list memiliki definisi yang berbeda dalam Python, serta menjelaskan ciri-ciri masing-masing (array: menampung elemen-elemen yang sama jenisnya, ukuran tetap, dan diakses menggunakan indeks; list: lebih umum digunakan, dapat menampung elemen-elemen yang berbeda jenis), maka jawaban sistem telah menjawab pertanyaan dengan benar berdasarkan ref</t>
        </is>
      </c>
      <c r="F807" t="inlineStr">
        <is>
          <t>BENAR</t>
        </is>
      </c>
      <c r="G807" s="3" t="inlineStr">
        <is>
          <t>evaluator: ollama/llama3</t>
        </is>
      </c>
    </row>
    <row r="808">
      <c r="A808" t="n">
        <v>55</v>
      </c>
      <c r="B808" t="inlineStr">
        <is>
          <t>B</t>
        </is>
      </c>
      <c r="C808" t="inlineStr">
        <is>
          <t>Faithfulness (Pers. 15)</t>
        </is>
      </c>
      <c r="D808" s="3" t="inlineStr">
        <is>
          <t>F = 0,70×Entailment + 0,30×KWoverlap</t>
        </is>
      </c>
      <c r="E808" s="3" t="inlineStr">
        <is>
          <t>Faithfulness = 0,70×Entailment + 0,30×KWoverlap = 0,70×1.0000 + 0,30×0.2186 = 0.7656  (entailment: 6/6 klaim didukung; KWoverlap = (|∩|/|ctx|)^0,65 = (27/280)^0,65 = 0.0964^0,65 = 0.2186)</t>
        </is>
      </c>
      <c r="F808" t="n">
        <v>0.7655999999999999</v>
      </c>
      <c r="G808" s="3" t="inlineStr">
        <is>
          <t>metode: llm_entailment + keyword</t>
        </is>
      </c>
    </row>
    <row r="809">
      <c r="A809" t="n">
        <v>55</v>
      </c>
      <c r="B809" t="inlineStr">
        <is>
          <t>B</t>
        </is>
      </c>
      <c r="C809" t="inlineStr">
        <is>
          <t>— Entailment (Pers. 12-13)</t>
        </is>
      </c>
      <c r="D809" s="3" t="inlineStr">
        <is>
          <t>Entailment = Σverdict(sᵢ)/m</t>
        </is>
      </c>
      <c r="E809" s="3" t="inlineStr">
        <is>
          <t>6 klaim YA dari 6 klaim dievaluasi</t>
        </is>
      </c>
      <c r="F809" t="n">
        <v>1</v>
      </c>
      <c r="G809" s="3" t="inlineStr">
        <is>
          <t>verdict per klaim: sheet 'Entailment Detail'</t>
        </is>
      </c>
    </row>
    <row r="810">
      <c r="A810" t="n">
        <v>55</v>
      </c>
      <c r="B810" t="inlineStr">
        <is>
          <t>B</t>
        </is>
      </c>
      <c r="C810" t="inlineStr">
        <is>
          <t>— Keyword Overlap (Pers. 14)</t>
        </is>
      </c>
      <c r="D810" s="3" t="inlineStr">
        <is>
          <t>KWoverlap = (|Stems(ans)∩Stems(ctx)| / |Stems(ctx)|)^0,65</t>
        </is>
      </c>
      <c r="E810" s="3" t="inlineStr">
        <is>
          <t>KWoverlap = (|∩|/|ctx|)^0,65 = (27/280)^0,65 = 0.0964^0,65 = 0.2186</t>
        </is>
      </c>
      <c r="F810" t="n">
        <v>0.2186</v>
      </c>
      <c r="G810" s="3" t="inlineStr"/>
    </row>
    <row r="811">
      <c r="A811" t="n">
        <v>55</v>
      </c>
      <c r="B811" t="inlineStr">
        <is>
          <t>B</t>
        </is>
      </c>
      <c r="C811" t="inlineStr">
        <is>
          <t>Hallucination Risk (Pers. 18)</t>
        </is>
      </c>
      <c r="D811" s="3" t="inlineStr">
        <is>
          <t>Risk = 0,65×(1-F) + 0,20×Contradiction + 0,15×Uncertainty</t>
        </is>
      </c>
      <c r="E811" s="3" t="inlineStr">
        <is>
          <t>Risk = 0,65×OutOfContext + 0,20×Contradiction + 0,15×Uncertainty = 0,65×0.2344 + 0,20×0.0000 + 0,15×0.00 = 0.1524 [RENDAH]</t>
        </is>
      </c>
      <c r="F811" t="n">
        <v>0.1524</v>
      </c>
      <c r="G811" s="3" t="inlineStr">
        <is>
          <t>label: RENDAH; kontradiksi 0/21 kalimat; uncertainty flag: False</t>
        </is>
      </c>
    </row>
    <row r="812">
      <c r="A812" t="n">
        <v>55</v>
      </c>
      <c r="B812" t="inlineStr">
        <is>
          <t>B</t>
        </is>
      </c>
      <c r="C812" t="inlineStr">
        <is>
          <t>Answer Accuracy (Pers. 20)</t>
        </is>
      </c>
      <c r="D812" s="3" t="inlineStr">
        <is>
          <t>Correctᵢ ∈ {0,1} via LLM-as-Judge (HASIL: BENAR/SALAH)</t>
        </is>
      </c>
      <c r="E812" s="3" t="inlineStr">
        <is>
          <t>Jawaban sistem: 
Alasan: Sistem menjawab bahwa `list` di Python adalah sebuah objek yang dapat menampung sejumlah nilai dari tipe data yang sama atau berbeda, dan memiliki fitur-fitur seperti homogeneous, dynamic sizing, dan lain-lain. Hal ini sesuai dengan referensi dokumen materi GT yang tidak membedakan antara array dan list.</t>
        </is>
      </c>
      <c r="F812" t="inlineStr">
        <is>
          <t>BENAR</t>
        </is>
      </c>
      <c r="G812" s="3" t="inlineStr">
        <is>
          <t>evaluator: ollama/llama3</t>
        </is>
      </c>
    </row>
    <row r="813">
      <c r="A813" t="n">
        <v>56</v>
      </c>
      <c r="B813" t="inlineStr">
        <is>
          <t>A</t>
        </is>
      </c>
      <c r="C813" t="inlineStr">
        <is>
          <t>Precision@K (Pers. 2)</t>
        </is>
      </c>
      <c r="D813" s="3" t="inlineStr">
        <is>
          <t>Precision@K = |{d ∈ TopK : sim(q,d) ≥ θ}| / K</t>
        </is>
      </c>
      <c r="E813" s="3" t="inlineStr">
        <is>
          <t>skor = [0.7302, 0.72, 0.7186, 0.7182, 0.701, 0.6995] → 6 / 6</t>
        </is>
      </c>
      <c r="F813" t="n">
        <v>1</v>
      </c>
      <c r="G813" s="3" t="inlineStr">
        <is>
          <t>basis: skor chunk nyata (sesuai contoh Pers. 2 skripsi)</t>
        </is>
      </c>
    </row>
    <row r="814">
      <c r="A814" t="n">
        <v>56</v>
      </c>
      <c r="B814" t="inlineStr">
        <is>
          <t>A</t>
        </is>
      </c>
      <c r="C814" t="inlineStr">
        <is>
          <t>Recall@K (Pers. 4)</t>
        </is>
      </c>
      <c r="D814" s="3" t="inlineStr">
        <is>
          <t>Recall@K = |{kata kunci ditemukan : sim ≥ θ}| / |R|</t>
        </is>
      </c>
      <c r="E814" s="3" t="inlineStr">
        <is>
          <t>skor = [0.6433, 0.6228, 0.4556, 0.4528, 0.41, 0.3867] → 6 / 6</t>
        </is>
      </c>
      <c r="F814" t="n">
        <v>1</v>
      </c>
      <c r="G814" s="3" t="inlineStr"/>
    </row>
    <row r="815">
      <c r="A815" t="n">
        <v>56</v>
      </c>
      <c r="B815" t="inlineStr">
        <is>
          <t>A</t>
        </is>
      </c>
      <c r="C815" t="inlineStr">
        <is>
          <t>Mean Similarity (Pers. 6)</t>
        </is>
      </c>
      <c r="D815" s="3" t="inlineStr">
        <is>
          <t>MeanSim = (1/K) × Σ sim(q, dᵢ)</t>
        </is>
      </c>
      <c r="E815" s="3" t="inlineStr">
        <is>
          <t>skor = [0.7302, 0.72, 0.7186, 0.7182, 0.701, 0.6995] → (0.7302 + 0.7200 + 0.7186 + 0.7182 + 0.7010 + 0.6995) / 6</t>
        </is>
      </c>
      <c r="F815" t="n">
        <v>0.7146</v>
      </c>
      <c r="G815" s="3" t="inlineStr"/>
    </row>
    <row r="816">
      <c r="A816" t="n">
        <v>56</v>
      </c>
      <c r="B816" t="inlineStr">
        <is>
          <t>A</t>
        </is>
      </c>
      <c r="C816" t="inlineStr">
        <is>
          <t>Coverage (Pers. 8)</t>
        </is>
      </c>
      <c r="D816" s="3" t="inlineStr">
        <is>
          <t>Coverage = |{dᵢ ∈ TopK : sim(q,dᵢ) ≥ θc}| / K</t>
        </is>
      </c>
      <c r="E816" s="3" t="inlineStr">
        <is>
          <t>skor = [0.7302, 0.72, 0.7186, 0.7182, 0.701, 0.6995] → 6 / 6</t>
        </is>
      </c>
      <c r="F816" t="n">
        <v>1</v>
      </c>
      <c r="G816" s="3" t="inlineStr"/>
    </row>
    <row r="817">
      <c r="A817" t="n">
        <v>56</v>
      </c>
      <c r="B817" t="inlineStr">
        <is>
          <t>A</t>
        </is>
      </c>
      <c r="C817" t="inlineStr">
        <is>
          <t>Source Diversity (Pers. 10)</t>
        </is>
      </c>
      <c r="D817" s="3" t="inlineStr">
        <is>
          <t>Diversity = |sumber unik dalam TopK| / K</t>
        </is>
      </c>
      <c r="E817" s="3" t="inlineStr">
        <is>
          <t>skor = ['GT_CT06.txt', 'GT_CT09.txt', 'GT_DETAIL_PT11_Perulangan.txt', 'GT_SUBTOPIK_14_Kompleksitas_BigO.txt'] → 4 / 6</t>
        </is>
      </c>
      <c r="F817" t="n">
        <v>0.6667</v>
      </c>
      <c r="G817" s="3" t="inlineStr">
        <is>
          <t>file unik: GT_CT06.txt, GT_CT09.txt, GT_DETAIL_PT11_Perulangan.txt, GT_SUBTOPIK_14_Kompleksitas_BigO.txt</t>
        </is>
      </c>
    </row>
    <row r="818">
      <c r="A818" t="n">
        <v>56</v>
      </c>
      <c r="B818" t="inlineStr">
        <is>
          <t>A</t>
        </is>
      </c>
      <c r="C818" t="inlineStr">
        <is>
          <t>Faithfulness (Pers. 15)</t>
        </is>
      </c>
      <c r="D818" s="3" t="inlineStr">
        <is>
          <t>F = 0,70×Entailment + 0,30×KWoverlap</t>
        </is>
      </c>
      <c r="E818" s="3" t="inlineStr">
        <is>
          <t>Faithfulness = 0,70×Entailment + 0,30×KWoverlap = 0,70×1.0000 + 0,30×0.2730 = 0.7819  (entailment: 6/6 klaim didukung; KWoverlap = (|∩|/|ctx|)^0,65 = (35/258)^0,65 = 0.1357^0,65 = 0.2730)</t>
        </is>
      </c>
      <c r="F818" t="n">
        <v>0.7819</v>
      </c>
      <c r="G818" s="3" t="inlineStr">
        <is>
          <t>metode: llm_entailment + keyword</t>
        </is>
      </c>
    </row>
    <row r="819">
      <c r="A819" t="n">
        <v>56</v>
      </c>
      <c r="B819" t="inlineStr">
        <is>
          <t>A</t>
        </is>
      </c>
      <c r="C819" t="inlineStr">
        <is>
          <t>— Entailment (Pers. 12-13)</t>
        </is>
      </c>
      <c r="D819" s="3" t="inlineStr">
        <is>
          <t>Entailment = Σverdict(sᵢ)/m</t>
        </is>
      </c>
      <c r="E819" s="3" t="inlineStr">
        <is>
          <t>6 klaim YA dari 6 klaim dievaluasi</t>
        </is>
      </c>
      <c r="F819" t="n">
        <v>1</v>
      </c>
      <c r="G819" s="3" t="inlineStr">
        <is>
          <t>verdict per klaim: sheet 'Entailment Detail'</t>
        </is>
      </c>
    </row>
    <row r="820">
      <c r="A820" t="n">
        <v>56</v>
      </c>
      <c r="B820" t="inlineStr">
        <is>
          <t>A</t>
        </is>
      </c>
      <c r="C820" t="inlineStr">
        <is>
          <t>— Keyword Overlap (Pers. 14)</t>
        </is>
      </c>
      <c r="D820" s="3" t="inlineStr">
        <is>
          <t>KWoverlap = (|Stems(ans)∩Stems(ctx)| / |Stems(ctx)|)^0,65</t>
        </is>
      </c>
      <c r="E820" s="3" t="inlineStr">
        <is>
          <t>KWoverlap = (|∩|/|ctx|)^0,65 = (35/258)^0,65 = 0.1357^0,65 = 0.2730</t>
        </is>
      </c>
      <c r="F820" t="n">
        <v>0.273</v>
      </c>
      <c r="G820" s="3" t="inlineStr"/>
    </row>
    <row r="821">
      <c r="A821" t="n">
        <v>56</v>
      </c>
      <c r="B821" t="inlineStr">
        <is>
          <t>A</t>
        </is>
      </c>
      <c r="C821" t="inlineStr">
        <is>
          <t>Hallucination Risk (Pers. 18)</t>
        </is>
      </c>
      <c r="D821" s="3" t="inlineStr">
        <is>
          <t>Risk = 0,65×(1-F) + 0,20×Contradiction + 0,15×Uncertainty</t>
        </is>
      </c>
      <c r="E821" s="3" t="inlineStr">
        <is>
          <t>Risk = 0,65×OutOfContext + 0,20×Contradiction + 0,15×Uncertainty = 0,65×0.2181 + 0,20×0.0000 + 0,15×0.00 = 0.1418 [RENDAH]</t>
        </is>
      </c>
      <c r="F821" t="n">
        <v>0.1418</v>
      </c>
      <c r="G821" s="3" t="inlineStr">
        <is>
          <t>label: RENDAH; kontradiksi 0/13 kalimat; uncertainty flag: False</t>
        </is>
      </c>
    </row>
    <row r="822">
      <c r="A822" t="n">
        <v>56</v>
      </c>
      <c r="B822" t="inlineStr">
        <is>
          <t>B</t>
        </is>
      </c>
      <c r="C822" t="inlineStr">
        <is>
          <t>Faithfulness (Pers. 15)</t>
        </is>
      </c>
      <c r="D822" s="3" t="inlineStr">
        <is>
          <t>F = 0,70×Entailment + 0,30×KWoverlap</t>
        </is>
      </c>
      <c r="E822" s="3" t="inlineStr">
        <is>
          <t>Faithfulness = 0,70×Entailment + 0,30×KWoverlap = 0,70×1.0000 + 0,30×0.2627 = 0.7788  (entailment: 6/6 klaim didukung; KWoverlap = (|∩|/|ctx|)^0,65 = (33/258)^0,65 = 0.1279^0,65 = 0.2627)</t>
        </is>
      </c>
      <c r="F822" t="n">
        <v>0.7788</v>
      </c>
      <c r="G822" s="3" t="inlineStr">
        <is>
          <t>metode: llm_entailment + keyword</t>
        </is>
      </c>
    </row>
    <row r="823">
      <c r="A823" t="n">
        <v>56</v>
      </c>
      <c r="B823" t="inlineStr">
        <is>
          <t>B</t>
        </is>
      </c>
      <c r="C823" t="inlineStr">
        <is>
          <t>— Entailment (Pers. 12-13)</t>
        </is>
      </c>
      <c r="D823" s="3" t="inlineStr">
        <is>
          <t>Entailment = Σverdict(sᵢ)/m</t>
        </is>
      </c>
      <c r="E823" s="3" t="inlineStr">
        <is>
          <t>6 klaim YA dari 6 klaim dievaluasi</t>
        </is>
      </c>
      <c r="F823" t="n">
        <v>1</v>
      </c>
      <c r="G823" s="3" t="inlineStr">
        <is>
          <t>verdict per klaim: sheet 'Entailment Detail'</t>
        </is>
      </c>
    </row>
    <row r="824">
      <c r="A824" t="n">
        <v>56</v>
      </c>
      <c r="B824" t="inlineStr">
        <is>
          <t>B</t>
        </is>
      </c>
      <c r="C824" t="inlineStr">
        <is>
          <t>— Keyword Overlap (Pers. 14)</t>
        </is>
      </c>
      <c r="D824" s="3" t="inlineStr">
        <is>
          <t>KWoverlap = (|Stems(ans)∩Stems(ctx)| / |Stems(ctx)|)^0,65</t>
        </is>
      </c>
      <c r="E824" s="3" t="inlineStr">
        <is>
          <t>KWoverlap = (|∩|/|ctx|)^0,65 = (33/258)^0,65 = 0.1279^0,65 = 0.2627</t>
        </is>
      </c>
      <c r="F824" t="n">
        <v>0.2627</v>
      </c>
      <c r="G824" s="3" t="inlineStr"/>
    </row>
    <row r="825">
      <c r="A825" t="n">
        <v>56</v>
      </c>
      <c r="B825" t="inlineStr">
        <is>
          <t>B</t>
        </is>
      </c>
      <c r="C825" t="inlineStr">
        <is>
          <t>Hallucination Risk (Pers. 18)</t>
        </is>
      </c>
      <c r="D825" s="3" t="inlineStr">
        <is>
          <t>Risk = 0,65×(1-F) + 0,20×Contradiction + 0,15×Uncertainty</t>
        </is>
      </c>
      <c r="E825" s="3" t="inlineStr">
        <is>
          <t>Risk = 0,65×OutOfContext + 0,20×Contradiction + 0,15×Uncertainty = 0,65×0.2212 + 0,20×0.0000 + 0,15×0.20 = 0.1738 [RENDAH]</t>
        </is>
      </c>
      <c r="F825" t="n">
        <v>0.1738</v>
      </c>
      <c r="G825" s="3" t="inlineStr">
        <is>
          <t>label: RENDAH; kontradiksi 0/17 kalimat; uncertainty flag: True</t>
        </is>
      </c>
    </row>
    <row r="826">
      <c r="A826" t="n">
        <v>56</v>
      </c>
      <c r="B826" t="inlineStr">
        <is>
          <t>B</t>
        </is>
      </c>
      <c r="C826" t="inlineStr">
        <is>
          <t>Answer Accuracy (Pers. 20)</t>
        </is>
      </c>
      <c r="D826" s="3" t="inlineStr">
        <is>
          <t>Correctᵢ ∈ {0,1} via LLM-as-Judge (HASIL: BENAR/SALAH)</t>
        </is>
      </c>
      <c r="E826" s="3" t="inlineStr">
        <is>
          <t>Jawaban sistem: 
Penjelasan: Jawaban sistem hanya menjawab pertanyaan dengan umum dan tidak spesifik, sehingga belum menjawab pertanyaan dengan benar berdasarkan referensi.
Referensi dari dokumen materi GT menjelaskan bahwa kses menggunakan indeks posisinya, namun jawaban sistem tidak memperhatikan hal ini. Oleh karena itu, jawaban sistem tidak sesuai dengan referensi dan tidak menjawab pertanya</t>
        </is>
      </c>
      <c r="F826" t="inlineStr">
        <is>
          <t>SALAH</t>
        </is>
      </c>
      <c r="G826" s="3" t="inlineStr">
        <is>
          <t>evaluator: ollama/llama3</t>
        </is>
      </c>
    </row>
    <row r="827">
      <c r="A827" t="n">
        <v>57</v>
      </c>
      <c r="B827" t="inlineStr">
        <is>
          <t>A</t>
        </is>
      </c>
      <c r="C827" t="inlineStr">
        <is>
          <t>Precision@K (Pers. 2)</t>
        </is>
      </c>
      <c r="D827" s="3" t="inlineStr">
        <is>
          <t>Precision@K = |{d ∈ TopK : sim(q,d) ≥ θ}| / K</t>
        </is>
      </c>
      <c r="E827" s="3" t="inlineStr">
        <is>
          <t>skor = [0.6855, 0.6805, 0.6801, 0.6797, 0.6737, 0.673] → 6 / 6</t>
        </is>
      </c>
      <c r="F827" t="n">
        <v>1</v>
      </c>
      <c r="G827" s="3" t="inlineStr">
        <is>
          <t>basis: skor chunk nyata (sesuai contoh Pers. 2 skripsi)</t>
        </is>
      </c>
    </row>
    <row r="828">
      <c r="A828" t="n">
        <v>57</v>
      </c>
      <c r="B828" t="inlineStr">
        <is>
          <t>A</t>
        </is>
      </c>
      <c r="C828" t="inlineStr">
        <is>
          <t>Recall@K (Pers. 4)</t>
        </is>
      </c>
      <c r="D828" s="3" t="inlineStr">
        <is>
          <t>Recall@K = |{kata kunci ditemukan : sim ≥ θ}| / |R|</t>
        </is>
      </c>
      <c r="E828" s="3" t="inlineStr">
        <is>
          <t>skor = [0.6886, 0.6193, 0.566, 0.5001, 0.4325, 0.429] → 6 / 6</t>
        </is>
      </c>
      <c r="F828" t="n">
        <v>1</v>
      </c>
      <c r="G828" s="3" t="inlineStr"/>
    </row>
    <row r="829">
      <c r="A829" t="n">
        <v>57</v>
      </c>
      <c r="B829" t="inlineStr">
        <is>
          <t>A</t>
        </is>
      </c>
      <c r="C829" t="inlineStr">
        <is>
          <t>Mean Similarity (Pers. 6)</t>
        </is>
      </c>
      <c r="D829" s="3" t="inlineStr">
        <is>
          <t>MeanSim = (1/K) × Σ sim(q, dᵢ)</t>
        </is>
      </c>
      <c r="E829" s="3" t="inlineStr">
        <is>
          <t>skor = [0.6855, 0.6805, 0.6801, 0.6797, 0.6737, 0.673] → (0.6855 + 0.6805 + 0.6801 + 0.6797 + 0.6737 + 0.6730) / 6</t>
        </is>
      </c>
      <c r="F829" t="n">
        <v>0.6787</v>
      </c>
      <c r="G829" s="3" t="inlineStr"/>
    </row>
    <row r="830">
      <c r="A830" t="n">
        <v>57</v>
      </c>
      <c r="B830" t="inlineStr">
        <is>
          <t>A</t>
        </is>
      </c>
      <c r="C830" t="inlineStr">
        <is>
          <t>Coverage (Pers. 8)</t>
        </is>
      </c>
      <c r="D830" s="3" t="inlineStr">
        <is>
          <t>Coverage = |{dᵢ ∈ TopK : sim(q,dᵢ) ≥ θc}| / K</t>
        </is>
      </c>
      <c r="E830" s="3" t="inlineStr">
        <is>
          <t>skor = [0.6855, 0.6805, 0.6801, 0.6797, 0.6737, 0.673] → 6 / 6</t>
        </is>
      </c>
      <c r="F830" t="n">
        <v>1</v>
      </c>
      <c r="G830" s="3" t="inlineStr"/>
    </row>
    <row r="831">
      <c r="A831" t="n">
        <v>57</v>
      </c>
      <c r="B831" t="inlineStr">
        <is>
          <t>A</t>
        </is>
      </c>
      <c r="C831" t="inlineStr">
        <is>
          <t>Source Diversity (Pers. 10)</t>
        </is>
      </c>
      <c r="D831" s="3" t="inlineStr">
        <is>
          <t>Diversity = |sumber unik dalam TopK| / K</t>
        </is>
      </c>
      <c r="E831" s="3" t="inlineStr">
        <is>
          <t>skor = ['GT_CT03.txt', 'GT_CT13.txt', 'GT_DETAIL_PT01_Pendahuluan.txt', 'GT_DETAIL_PT13_Struktur_Data.txt', 'GT_SUBTOPIK_13_Graph_Tree.txt'] → 5 / 6</t>
        </is>
      </c>
      <c r="F831" t="n">
        <v>0.8333</v>
      </c>
      <c r="G831" s="3" t="inlineStr">
        <is>
          <t>file unik: GT_CT03.txt, GT_CT13.txt, GT_DETAIL_PT01_Pendahuluan.txt, GT_DETAIL_PT13_Struktur_Data.txt, GT_SUBTOPIK_13_Graph_Tree.txt</t>
        </is>
      </c>
    </row>
    <row r="832">
      <c r="A832" t="n">
        <v>57</v>
      </c>
      <c r="B832" t="inlineStr">
        <is>
          <t>A</t>
        </is>
      </c>
      <c r="C832" t="inlineStr">
        <is>
          <t>Faithfulness (Pers. 15)</t>
        </is>
      </c>
      <c r="D832" s="3" t="inlineStr">
        <is>
          <t>F = 0,70×Entailment + 0,30×KWoverlap</t>
        </is>
      </c>
      <c r="E832" s="3" t="inlineStr">
        <is>
          <t>Faithfulness = 0,70×Entailment + 0,30×KWoverlap = 0,70×1.0000 + 0,30×0.2139 = 0.7642  (entailment: 6/6 klaim didukung; KWoverlap = (|∩|/|ctx|)^0,65 = (29/311)^0,65 = 0.0932^0,65 = 0.2139)</t>
        </is>
      </c>
      <c r="F832" t="n">
        <v>0.7642</v>
      </c>
      <c r="G832" s="3" t="inlineStr">
        <is>
          <t>metode: llm_entailment + keyword</t>
        </is>
      </c>
    </row>
    <row r="833">
      <c r="A833" t="n">
        <v>57</v>
      </c>
      <c r="B833" t="inlineStr">
        <is>
          <t>A</t>
        </is>
      </c>
      <c r="C833" t="inlineStr">
        <is>
          <t>— Entailment (Pers. 12-13)</t>
        </is>
      </c>
      <c r="D833" s="3" t="inlineStr">
        <is>
          <t>Entailment = Σverdict(sᵢ)/m</t>
        </is>
      </c>
      <c r="E833" s="3" t="inlineStr">
        <is>
          <t>6 klaim YA dari 6 klaim dievaluasi</t>
        </is>
      </c>
      <c r="F833" t="n">
        <v>1</v>
      </c>
      <c r="G833" s="3" t="inlineStr">
        <is>
          <t>verdict per klaim: sheet 'Entailment Detail'</t>
        </is>
      </c>
    </row>
    <row r="834">
      <c r="A834" t="n">
        <v>57</v>
      </c>
      <c r="B834" t="inlineStr">
        <is>
          <t>A</t>
        </is>
      </c>
      <c r="C834" t="inlineStr">
        <is>
          <t>— Keyword Overlap (Pers. 14)</t>
        </is>
      </c>
      <c r="D834" s="3" t="inlineStr">
        <is>
          <t>KWoverlap = (|Stems(ans)∩Stems(ctx)| / |Stems(ctx)|)^0,65</t>
        </is>
      </c>
      <c r="E834" s="3" t="inlineStr">
        <is>
          <t>KWoverlap = (|∩|/|ctx|)^0,65 = (29/311)^0,65 = 0.0932^0,65 = 0.2139</t>
        </is>
      </c>
      <c r="F834" t="n">
        <v>0.2139</v>
      </c>
      <c r="G834" s="3" t="inlineStr"/>
    </row>
    <row r="835">
      <c r="A835" t="n">
        <v>57</v>
      </c>
      <c r="B835" t="inlineStr">
        <is>
          <t>A</t>
        </is>
      </c>
      <c r="C835" t="inlineStr">
        <is>
          <t>Hallucination Risk (Pers. 18)</t>
        </is>
      </c>
      <c r="D835" s="3" t="inlineStr">
        <is>
          <t>Risk = 0,65×(1-F) + 0,20×Contradiction + 0,15×Uncertainty</t>
        </is>
      </c>
      <c r="E835" s="3" t="inlineStr">
        <is>
          <t>Risk = 0,65×OutOfContext + 0,20×Contradiction + 0,15×Uncertainty = 0,65×0.2358 + 0,20×0.0000 + 0,15×0.00 = 0.1533 [RENDAH]</t>
        </is>
      </c>
      <c r="F835" t="n">
        <v>0.1533</v>
      </c>
      <c r="G835" s="3" t="inlineStr">
        <is>
          <t>label: RENDAH; kontradiksi 0/8 kalimat; uncertainty flag: False</t>
        </is>
      </c>
    </row>
    <row r="836">
      <c r="A836" t="n">
        <v>57</v>
      </c>
      <c r="B836" t="inlineStr">
        <is>
          <t>A</t>
        </is>
      </c>
      <c r="C836" t="inlineStr">
        <is>
          <t>Answer Accuracy (Pers. 20)</t>
        </is>
      </c>
      <c r="D836" s="3" t="inlineStr">
        <is>
          <t>Correctᵢ ∈ {0,1} via LLM-as-Judge (HASIL: BENAR/SALAH)</t>
        </is>
      </c>
      <c r="E836" s="3" t="inlineStr">
        <is>
          <t>Jawaban sistem:</t>
        </is>
      </c>
      <c r="F836" t="inlineStr">
        <is>
          <t>BENAR</t>
        </is>
      </c>
      <c r="G836" s="3" t="inlineStr">
        <is>
          <t>evaluator: ollama/llama3</t>
        </is>
      </c>
    </row>
    <row r="837">
      <c r="A837" t="n">
        <v>57</v>
      </c>
      <c r="B837" t="inlineStr">
        <is>
          <t>B</t>
        </is>
      </c>
      <c r="C837" t="inlineStr">
        <is>
          <t>Faithfulness (Pers. 15)</t>
        </is>
      </c>
      <c r="D837" s="3" t="inlineStr">
        <is>
          <t>F = 0,70×Entailment + 0,30×KWoverlap</t>
        </is>
      </c>
      <c r="E837" s="3" t="inlineStr">
        <is>
          <t>Faithfulness = 0,70×Entailment + 0,30×KWoverlap = 0,70×0.8333 + 0,30×0.1734 = 0.6353  (entailment: 5/6 klaim didukung; KWoverlap = (|∩|/|ctx|)^0,65 = (21/311)^0,65 = 0.0675^0,65 = 0.1734)</t>
        </is>
      </c>
      <c r="F837" t="n">
        <v>0.6353</v>
      </c>
      <c r="G837" s="3" t="inlineStr">
        <is>
          <t>metode: llm_entailment + keyword</t>
        </is>
      </c>
    </row>
    <row r="838">
      <c r="A838" t="n">
        <v>57</v>
      </c>
      <c r="B838" t="inlineStr">
        <is>
          <t>B</t>
        </is>
      </c>
      <c r="C838" t="inlineStr">
        <is>
          <t>— Entailment (Pers. 12-13)</t>
        </is>
      </c>
      <c r="D838" s="3" t="inlineStr">
        <is>
          <t>Entailment = Σverdict(sᵢ)/m</t>
        </is>
      </c>
      <c r="E838" s="3" t="inlineStr">
        <is>
          <t>5 klaim YA dari 6 klaim dievaluasi</t>
        </is>
      </c>
      <c r="F838" t="n">
        <v>0.8333</v>
      </c>
      <c r="G838" s="3" t="inlineStr">
        <is>
          <t>verdict per klaim: sheet 'Entailment Detail'</t>
        </is>
      </c>
    </row>
    <row r="839">
      <c r="A839" t="n">
        <v>57</v>
      </c>
      <c r="B839" t="inlineStr">
        <is>
          <t>B</t>
        </is>
      </c>
      <c r="C839" t="inlineStr">
        <is>
          <t>— Keyword Overlap (Pers. 14)</t>
        </is>
      </c>
      <c r="D839" s="3" t="inlineStr">
        <is>
          <t>KWoverlap = (|Stems(ans)∩Stems(ctx)| / |Stems(ctx)|)^0,65</t>
        </is>
      </c>
      <c r="E839" s="3" t="inlineStr">
        <is>
          <t>KWoverlap = (|∩|/|ctx|)^0,65 = (21/311)^0,65 = 0.0675^0,65 = 0.1734</t>
        </is>
      </c>
      <c r="F839" t="n">
        <v>0.1734</v>
      </c>
      <c r="G839" s="3" t="inlineStr"/>
    </row>
    <row r="840">
      <c r="A840" t="n">
        <v>57</v>
      </c>
      <c r="B840" t="inlineStr">
        <is>
          <t>B</t>
        </is>
      </c>
      <c r="C840" t="inlineStr">
        <is>
          <t>Hallucination Risk (Pers. 18)</t>
        </is>
      </c>
      <c r="D840" s="3" t="inlineStr">
        <is>
          <t>Risk = 0,65×(1-F) + 0,20×Contradiction + 0,15×Uncertainty</t>
        </is>
      </c>
      <c r="E840" s="3" t="inlineStr">
        <is>
          <t>Risk = 0,65×OutOfContext + 0,20×Contradiction + 0,15×Uncertainty = 0,65×0.3647 + 0,20×0.0000 + 0,15×0.00 = 0.2371 [RENDAH]</t>
        </is>
      </c>
      <c r="F840" t="n">
        <v>0.2371</v>
      </c>
      <c r="G840" s="3" t="inlineStr">
        <is>
          <t>label: RENDAH; kontradiksi 0/9 kalimat; uncertainty flag: False</t>
        </is>
      </c>
    </row>
    <row r="841">
      <c r="A841" t="n">
        <v>57</v>
      </c>
      <c r="B841" t="inlineStr">
        <is>
          <t>B</t>
        </is>
      </c>
      <c r="C841" t="inlineStr">
        <is>
          <t>Answer Accuracy (Pers. 20)</t>
        </is>
      </c>
      <c r="D841" s="3" t="inlineStr">
        <is>
          <t>Correctᵢ ∈ {0,1} via LLM-as-Judge (HASIL: BENAR/SALAH)</t>
        </is>
      </c>
      <c r="E841" s="3" t="inlineStr">
        <is>
          <t>Jawaban sistem: 
Rationale:
* The system's answer states that linked list is taught in the CT course, which is supported by the reference (dokumen materi GT) stating that the course focuses on important information only.
* The answer also mentions the efficiency of linked list operations, such as insert and delete, which is a correct concept related to linked lists.
However, it's worth noting t</t>
        </is>
      </c>
      <c r="F841" t="inlineStr">
        <is>
          <t>BENAR</t>
        </is>
      </c>
      <c r="G841" s="3" t="inlineStr">
        <is>
          <t>evaluator: ollama/llama3</t>
        </is>
      </c>
    </row>
    <row r="842">
      <c r="A842" t="n">
        <v>58</v>
      </c>
      <c r="B842" t="inlineStr">
        <is>
          <t>A</t>
        </is>
      </c>
      <c r="C842" t="inlineStr">
        <is>
          <t>Precision@K (Pers. 2)</t>
        </is>
      </c>
      <c r="D842" s="3" t="inlineStr">
        <is>
          <t>Precision@K = |{d ∈ TopK : sim(q,d) ≥ θ}| / K</t>
        </is>
      </c>
      <c r="E842" s="3" t="inlineStr">
        <is>
          <t>skor = [0.7516, 0.7412, 0.738, 0.7326, 0.721, 0.7146] → 6 / 6</t>
        </is>
      </c>
      <c r="F842" t="n">
        <v>1</v>
      </c>
      <c r="G842" s="3" t="inlineStr">
        <is>
          <t>basis: skor chunk nyata (sesuai contoh Pers. 2 skripsi)</t>
        </is>
      </c>
    </row>
    <row r="843">
      <c r="A843" t="n">
        <v>58</v>
      </c>
      <c r="B843" t="inlineStr">
        <is>
          <t>A</t>
        </is>
      </c>
      <c r="C843" t="inlineStr">
        <is>
          <t>Recall@K (Pers. 4)</t>
        </is>
      </c>
      <c r="D843" s="3" t="inlineStr">
        <is>
          <t>Recall@K = |{kata kunci ditemukan : sim ≥ θ}| / |R|</t>
        </is>
      </c>
      <c r="E843" s="3" t="inlineStr">
        <is>
          <t>skor = [0.6524, 0.6116, 0.596, 0.5299, 0.5176, 0.4996] → 6 / 6</t>
        </is>
      </c>
      <c r="F843" t="n">
        <v>1</v>
      </c>
      <c r="G843" s="3" t="inlineStr"/>
    </row>
    <row r="844">
      <c r="A844" t="n">
        <v>58</v>
      </c>
      <c r="B844" t="inlineStr">
        <is>
          <t>A</t>
        </is>
      </c>
      <c r="C844" t="inlineStr">
        <is>
          <t>Mean Similarity (Pers. 6)</t>
        </is>
      </c>
      <c r="D844" s="3" t="inlineStr">
        <is>
          <t>MeanSim = (1/K) × Σ sim(q, dᵢ)</t>
        </is>
      </c>
      <c r="E844" s="3" t="inlineStr">
        <is>
          <t>skor = [0.7516, 0.7412, 0.738, 0.7326, 0.721, 0.7146] → (0.7516 + 0.7412 + 0.7380 + 0.7326 + 0.7210 + 0.7146) / 6</t>
        </is>
      </c>
      <c r="F844" t="n">
        <v>0.7332</v>
      </c>
      <c r="G844" s="3" t="inlineStr"/>
    </row>
    <row r="845">
      <c r="A845" t="n">
        <v>58</v>
      </c>
      <c r="B845" t="inlineStr">
        <is>
          <t>A</t>
        </is>
      </c>
      <c r="C845" t="inlineStr">
        <is>
          <t>Coverage (Pers. 8)</t>
        </is>
      </c>
      <c r="D845" s="3" t="inlineStr">
        <is>
          <t>Coverage = |{dᵢ ∈ TopK : sim(q,dᵢ) ≥ θc}| / K</t>
        </is>
      </c>
      <c r="E845" s="3" t="inlineStr">
        <is>
          <t>skor = [0.7516, 0.7412, 0.738, 0.7326, 0.721, 0.7146] → 6 / 6</t>
        </is>
      </c>
      <c r="F845" t="n">
        <v>1</v>
      </c>
      <c r="G845" s="3" t="inlineStr"/>
    </row>
    <row r="846">
      <c r="A846" t="n">
        <v>58</v>
      </c>
      <c r="B846" t="inlineStr">
        <is>
          <t>A</t>
        </is>
      </c>
      <c r="C846" t="inlineStr">
        <is>
          <t>Source Diversity (Pers. 10)</t>
        </is>
      </c>
      <c r="D846" s="3" t="inlineStr">
        <is>
          <t>Diversity = |sumber unik dalam TopK| / K</t>
        </is>
      </c>
      <c r="E846" s="3" t="inlineStr">
        <is>
          <t>skor = ['GT_CT11.txt', 'GT_DETAIL_PT07_Notasi_Algoritme.txt', 'GT_DETAIL_PT11_Perulangan.txt', 'GT_SUBTOPIK_14_Kompleksitas_BigO.txt'] → 4 / 6</t>
        </is>
      </c>
      <c r="F846" t="n">
        <v>0.6667</v>
      </c>
      <c r="G846" s="3" t="inlineStr">
        <is>
          <t>file unik: GT_CT11.txt, GT_DETAIL_PT07_Notasi_Algoritme.txt, GT_DETAIL_PT11_Perulangan.txt, GT_SUBTOPIK_14_Kompleksitas_BigO.txt</t>
        </is>
      </c>
    </row>
    <row r="847">
      <c r="A847" t="n">
        <v>58</v>
      </c>
      <c r="B847" t="inlineStr">
        <is>
          <t>A</t>
        </is>
      </c>
      <c r="C847" t="inlineStr">
        <is>
          <t>Faithfulness (Pers. 15)</t>
        </is>
      </c>
      <c r="D847" s="3" t="inlineStr">
        <is>
          <t>F = 0,70×Entailment + 0,30×KWoverlap</t>
        </is>
      </c>
      <c r="E847" s="3" t="inlineStr">
        <is>
          <t>Faithfulness = 0,70×Entailment + 0,30×KWoverlap = 0,70×0.3333 + 0,30×0.2676 = 0.3136  (entailment: 2/6 klaim didukung; KWoverlap = (|∩|/|ctx|)^0,65 = (25/190)^0,65 = 0.1316^0,65 = 0.2676)</t>
        </is>
      </c>
      <c r="F847" t="n">
        <v>0.3136</v>
      </c>
      <c r="G847" s="3" t="inlineStr">
        <is>
          <t>metode: llm_entailment + keyword</t>
        </is>
      </c>
    </row>
    <row r="848">
      <c r="A848" t="n">
        <v>58</v>
      </c>
      <c r="B848" t="inlineStr">
        <is>
          <t>A</t>
        </is>
      </c>
      <c r="C848" t="inlineStr">
        <is>
          <t>— Entailment (Pers. 12-13)</t>
        </is>
      </c>
      <c r="D848" s="3" t="inlineStr">
        <is>
          <t>Entailment = Σverdict(sᵢ)/m</t>
        </is>
      </c>
      <c r="E848" s="3" t="inlineStr">
        <is>
          <t>2 klaim YA dari 6 klaim dievaluasi</t>
        </is>
      </c>
      <c r="F848" t="n">
        <v>0.3333</v>
      </c>
      <c r="G848" s="3" t="inlineStr">
        <is>
          <t>verdict per klaim: sheet 'Entailment Detail'</t>
        </is>
      </c>
    </row>
    <row r="849">
      <c r="A849" t="n">
        <v>58</v>
      </c>
      <c r="B849" t="inlineStr">
        <is>
          <t>A</t>
        </is>
      </c>
      <c r="C849" t="inlineStr">
        <is>
          <t>— Keyword Overlap (Pers. 14)</t>
        </is>
      </c>
      <c r="D849" s="3" t="inlineStr">
        <is>
          <t>KWoverlap = (|Stems(ans)∩Stems(ctx)| / |Stems(ctx)|)^0,65</t>
        </is>
      </c>
      <c r="E849" s="3" t="inlineStr">
        <is>
          <t>KWoverlap = (|∩|/|ctx|)^0,65 = (25/190)^0,65 = 0.1316^0,65 = 0.2676</t>
        </is>
      </c>
      <c r="F849" t="n">
        <v>0.2676</v>
      </c>
      <c r="G849" s="3" t="inlineStr"/>
    </row>
    <row r="850">
      <c r="A850" t="n">
        <v>58</v>
      </c>
      <c r="B850" t="inlineStr">
        <is>
          <t>A</t>
        </is>
      </c>
      <c r="C850" t="inlineStr">
        <is>
          <t>Hallucination Risk (Pers. 18)</t>
        </is>
      </c>
      <c r="D850" s="3" t="inlineStr">
        <is>
          <t>Risk = 0,65×(1-F) + 0,20×Contradiction + 0,15×Uncertainty</t>
        </is>
      </c>
      <c r="E850" s="3" t="inlineStr">
        <is>
          <t>Risk = 0,65×OutOfContext + 0,20×Contradiction + 0,15×Uncertainty = 0,65×0.6864 + 0,20×0.0000 + 0,15×0.00 = 0.4462 [SEDANG]</t>
        </is>
      </c>
      <c r="F850" t="n">
        <v>0.4462</v>
      </c>
      <c r="G850" s="3" t="inlineStr">
        <is>
          <t>label: SEDANG; kontradiksi 0/41 kalimat; uncertainty flag: False</t>
        </is>
      </c>
    </row>
    <row r="851">
      <c r="A851" t="n">
        <v>58</v>
      </c>
      <c r="B851" t="inlineStr">
        <is>
          <t>A</t>
        </is>
      </c>
      <c r="C851" t="inlineStr">
        <is>
          <t>Answer Accuracy (Pers. 20)</t>
        </is>
      </c>
      <c r="D851" s="3" t="inlineStr">
        <is>
          <t>Correctᵢ ∈ {0,1} via LLM-as-Judge (HASIL: BENAR/SALAH)</t>
        </is>
      </c>
      <c r="E851" s="3" t="inlineStr">
        <is>
          <t>BENAR
Jawaban sistem menjawab pertanyaan dengan benar berdasarkan referensi. Sistem menggunakan konsep loop dan analisis kompleksitas waktu yang diajarkan dalam materi referensi untuk mencari rata-rata dan membagi mahasiswa menjadi dua kelompok: di atas dan di bawah rata-rata.</t>
        </is>
      </c>
      <c r="F851" t="inlineStr">
        <is>
          <t>BENAR</t>
        </is>
      </c>
      <c r="G851" s="3" t="inlineStr">
        <is>
          <t>evaluator: ollama/llama3</t>
        </is>
      </c>
    </row>
    <row r="852">
      <c r="A852" t="n">
        <v>58</v>
      </c>
      <c r="B852" t="inlineStr">
        <is>
          <t>B</t>
        </is>
      </c>
      <c r="C852" t="inlineStr">
        <is>
          <t>Faithfulness (Pers. 15)</t>
        </is>
      </c>
      <c r="D852" s="3" t="inlineStr">
        <is>
          <t>F = 0,70×Entailment + 0,30×KWoverlap</t>
        </is>
      </c>
      <c r="E852" s="3" t="inlineStr">
        <is>
          <t>Faithfulness = 0,70×Entailment + 0,30×KWoverlap = 0,70×0.1667 + 0,30×0.2315 = 0.1861  (entailment: 1/6 klaim didukung; KWoverlap = (|∩|/|ctx|)^0,65 = (20/190)^0,65 = 0.1053^0,65 = 0.2315)</t>
        </is>
      </c>
      <c r="F852" t="n">
        <v>0.1861</v>
      </c>
      <c r="G852" s="3" t="inlineStr">
        <is>
          <t>metode: llm_entailment + keyword</t>
        </is>
      </c>
    </row>
    <row r="853">
      <c r="A853" t="n">
        <v>58</v>
      </c>
      <c r="B853" t="inlineStr">
        <is>
          <t>B</t>
        </is>
      </c>
      <c r="C853" t="inlineStr">
        <is>
          <t>— Entailment (Pers. 12-13)</t>
        </is>
      </c>
      <c r="D853" s="3" t="inlineStr">
        <is>
          <t>Entailment = Σverdict(sᵢ)/m</t>
        </is>
      </c>
      <c r="E853" s="3" t="inlineStr">
        <is>
          <t>1 klaim YA dari 6 klaim dievaluasi</t>
        </is>
      </c>
      <c r="F853" t="n">
        <v>0.1667</v>
      </c>
      <c r="G853" s="3" t="inlineStr">
        <is>
          <t>verdict per klaim: sheet 'Entailment Detail'</t>
        </is>
      </c>
    </row>
    <row r="854">
      <c r="A854" t="n">
        <v>58</v>
      </c>
      <c r="B854" t="inlineStr">
        <is>
          <t>B</t>
        </is>
      </c>
      <c r="C854" t="inlineStr">
        <is>
          <t>— Keyword Overlap (Pers. 14)</t>
        </is>
      </c>
      <c r="D854" s="3" t="inlineStr">
        <is>
          <t>KWoverlap = (|Stems(ans)∩Stems(ctx)| / |Stems(ctx)|)^0,65</t>
        </is>
      </c>
      <c r="E854" s="3" t="inlineStr">
        <is>
          <t>KWoverlap = (|∩|/|ctx|)^0,65 = (20/190)^0,65 = 0.1053^0,65 = 0.2315</t>
        </is>
      </c>
      <c r="F854" t="n">
        <v>0.2315</v>
      </c>
      <c r="G854" s="3" t="inlineStr"/>
    </row>
    <row r="855">
      <c r="A855" t="n">
        <v>58</v>
      </c>
      <c r="B855" t="inlineStr">
        <is>
          <t>B</t>
        </is>
      </c>
      <c r="C855" t="inlineStr">
        <is>
          <t>Hallucination Risk (Pers. 18)</t>
        </is>
      </c>
      <c r="D855" s="3" t="inlineStr">
        <is>
          <t>Risk = 0,65×(1-F) + 0,20×Contradiction + 0,15×Uncertainty</t>
        </is>
      </c>
      <c r="E855" s="3" t="inlineStr">
        <is>
          <t>Risk = 0,65×OutOfContext + 0,20×Contradiction + 0,15×Uncertainty = 0,65×0.8139 + 0,20×0.0000 + 0,15×0.00 = 0.5290 [SEDANG]</t>
        </is>
      </c>
      <c r="F855" t="n">
        <v>0.529</v>
      </c>
      <c r="G855" s="3" t="inlineStr">
        <is>
          <t>label: SEDANG; kontradiksi 0/48 kalimat; uncertainty flag: False</t>
        </is>
      </c>
    </row>
    <row r="856">
      <c r="A856" t="n">
        <v>58</v>
      </c>
      <c r="B856" t="inlineStr">
        <is>
          <t>B</t>
        </is>
      </c>
      <c r="C856" t="inlineStr">
        <is>
          <t>Answer Accuracy (Pers. 20)</t>
        </is>
      </c>
      <c r="D856" s="3" t="inlineStr">
        <is>
          <t>Correctᵢ ∈ {0,1} via LLM-as-Judge (HASIL: BENAR/SALAH)</t>
        </is>
      </c>
      <c r="E856" s="3" t="inlineStr">
        <is>
          <t>JAWABAN SISTEM: 
Rationale:
1. The system's answer correctly calculates the average value using a single loop, which is in line with the concept of perulangan luar (outer loop) mentioned in the reference.
2. The code provided uses a for loop to iterate through the list of values, adding each value to `nilai_rata` and incrementing `jumlah_data` accordingly. This is consistent with the description</t>
        </is>
      </c>
      <c r="F856" t="inlineStr">
        <is>
          <t>BENAR</t>
        </is>
      </c>
      <c r="G856" s="3" t="inlineStr">
        <is>
          <t>evaluator: ollama/llama3</t>
        </is>
      </c>
    </row>
    <row r="857">
      <c r="A857" t="n">
        <v>59</v>
      </c>
      <c r="B857" t="inlineStr">
        <is>
          <t>A</t>
        </is>
      </c>
      <c r="C857" t="inlineStr">
        <is>
          <t>Precision@K (Pers. 2)</t>
        </is>
      </c>
      <c r="D857" s="3" t="inlineStr">
        <is>
          <t>Precision@K = |{d ∈ TopK : sim(q,d) ≥ θ}| / K</t>
        </is>
      </c>
      <c r="E857" s="3" t="inlineStr">
        <is>
          <t>skor = [0.8183, 0.7865, 0.7843, 0.7768, 0.7742, 0.769] → 6 / 6</t>
        </is>
      </c>
      <c r="F857" t="n">
        <v>1</v>
      </c>
      <c r="G857" s="3" t="inlineStr">
        <is>
          <t>basis: skor chunk nyata (sesuai contoh Pers. 2 skripsi)</t>
        </is>
      </c>
    </row>
    <row r="858">
      <c r="A858" t="n">
        <v>59</v>
      </c>
      <c r="B858" t="inlineStr">
        <is>
          <t>A</t>
        </is>
      </c>
      <c r="C858" t="inlineStr">
        <is>
          <t>Recall@K (Pers. 4)</t>
        </is>
      </c>
      <c r="D858" s="3" t="inlineStr">
        <is>
          <t>Recall@K = |{kata kunci ditemukan : sim ≥ θ}| / |R|</t>
        </is>
      </c>
      <c r="E858" s="3" t="inlineStr">
        <is>
          <t>skor = [0.6815, 0.5811, 0.5811, 0.5811, 0.5811, 0.4719] → 6 / 7</t>
        </is>
      </c>
      <c r="F858" t="n">
        <v>0.8571</v>
      </c>
      <c r="G858" s="3" t="inlineStr"/>
    </row>
    <row r="859">
      <c r="A859" t="n">
        <v>59</v>
      </c>
      <c r="B859" t="inlineStr">
        <is>
          <t>A</t>
        </is>
      </c>
      <c r="C859" t="inlineStr">
        <is>
          <t>Mean Similarity (Pers. 6)</t>
        </is>
      </c>
      <c r="D859" s="3" t="inlineStr">
        <is>
          <t>MeanSim = (1/K) × Σ sim(q, dᵢ)</t>
        </is>
      </c>
      <c r="E859" s="3" t="inlineStr">
        <is>
          <t>skor = [0.8183, 0.7865, 0.7843, 0.7768, 0.7742, 0.769] → (0.8183 + 0.7865 + 0.7843 + 0.7768 + 0.7742 + 0.7690) / 6</t>
        </is>
      </c>
      <c r="F859" t="n">
        <v>0.7849</v>
      </c>
      <c r="G859" s="3" t="inlineStr"/>
    </row>
    <row r="860">
      <c r="A860" t="n">
        <v>59</v>
      </c>
      <c r="B860" t="inlineStr">
        <is>
          <t>A</t>
        </is>
      </c>
      <c r="C860" t="inlineStr">
        <is>
          <t>Coverage (Pers. 8)</t>
        </is>
      </c>
      <c r="D860" s="3" t="inlineStr">
        <is>
          <t>Coverage = |{dᵢ ∈ TopK : sim(q,dᵢ) ≥ θc}| / K</t>
        </is>
      </c>
      <c r="E860" s="3" t="inlineStr">
        <is>
          <t>skor = [0.8183, 0.7865, 0.7843, 0.7768, 0.7742, 0.769] → 6 / 6</t>
        </is>
      </c>
      <c r="F860" t="n">
        <v>1</v>
      </c>
      <c r="G860" s="3" t="inlineStr"/>
    </row>
    <row r="861">
      <c r="A861" t="n">
        <v>59</v>
      </c>
      <c r="B861" t="inlineStr">
        <is>
          <t>A</t>
        </is>
      </c>
      <c r="C861" t="inlineStr">
        <is>
          <t>Source Diversity (Pers. 10)</t>
        </is>
      </c>
      <c r="D861" s="3" t="inlineStr">
        <is>
          <t>Diversity = |sumber unik dalam TopK| / K</t>
        </is>
      </c>
      <c r="E861" s="3" t="inlineStr">
        <is>
          <t>skor = ['GT_CT13.txt', 'GT_DETAIL_PT13_Struktur_Data.txt', 'GT_SUBTOPIK_12_Stack_Queue.txt', 'GT_SUBTOPIK_14_Kompleksitas_BigO.txt'] → 4 / 6</t>
        </is>
      </c>
      <c r="F861" t="n">
        <v>0.6667</v>
      </c>
      <c r="G861" s="3" t="inlineStr">
        <is>
          <t>file unik: GT_CT13.txt, GT_DETAIL_PT13_Struktur_Data.txt, GT_SUBTOPIK_12_Stack_Queue.txt, GT_SUBTOPIK_14_Kompleksitas_BigO.txt</t>
        </is>
      </c>
    </row>
    <row r="862">
      <c r="A862" t="n">
        <v>59</v>
      </c>
      <c r="B862" t="inlineStr">
        <is>
          <t>A</t>
        </is>
      </c>
      <c r="C862" t="inlineStr">
        <is>
          <t>Faithfulness (Pers. 15)</t>
        </is>
      </c>
      <c r="D862" s="3" t="inlineStr">
        <is>
          <t>F = 0,70×Entailment + 0,30×KWoverlap</t>
        </is>
      </c>
      <c r="E862" s="3" t="inlineStr">
        <is>
          <t>Faithfulness = 0,70×Entailment + 0,30×KWoverlap = 0,70×1.0000 + 0,30×0.4289 = 0.8287  (entailment: 6/6 klaim didukung; KWoverlap = (|∩|/|ctx|)^0,65 = (59/217)^0,65 = 0.2719^0,65 = 0.4289)</t>
        </is>
      </c>
      <c r="F862" t="n">
        <v>0.8287</v>
      </c>
      <c r="G862" s="3" t="inlineStr">
        <is>
          <t>metode: llm_entailment + keyword</t>
        </is>
      </c>
    </row>
    <row r="863">
      <c r="A863" t="n">
        <v>59</v>
      </c>
      <c r="B863" t="inlineStr">
        <is>
          <t>A</t>
        </is>
      </c>
      <c r="C863" t="inlineStr">
        <is>
          <t>— Entailment (Pers. 12-13)</t>
        </is>
      </c>
      <c r="D863" s="3" t="inlineStr">
        <is>
          <t>Entailment = Σverdict(sᵢ)/m</t>
        </is>
      </c>
      <c r="E863" s="3" t="inlineStr">
        <is>
          <t>6 klaim YA dari 6 klaim dievaluasi</t>
        </is>
      </c>
      <c r="F863" t="n">
        <v>1</v>
      </c>
      <c r="G863" s="3" t="inlineStr">
        <is>
          <t>verdict per klaim: sheet 'Entailment Detail'</t>
        </is>
      </c>
    </row>
    <row r="864">
      <c r="A864" t="n">
        <v>59</v>
      </c>
      <c r="B864" t="inlineStr">
        <is>
          <t>A</t>
        </is>
      </c>
      <c r="C864" t="inlineStr">
        <is>
          <t>— Keyword Overlap (Pers. 14)</t>
        </is>
      </c>
      <c r="D864" s="3" t="inlineStr">
        <is>
          <t>KWoverlap = (|Stems(ans)∩Stems(ctx)| / |Stems(ctx)|)^0,65</t>
        </is>
      </c>
      <c r="E864" s="3" t="inlineStr">
        <is>
          <t>KWoverlap = (|∩|/|ctx|)^0,65 = (59/217)^0,65 = 0.2719^0,65 = 0.4289</t>
        </is>
      </c>
      <c r="F864" t="n">
        <v>0.4289</v>
      </c>
      <c r="G864" s="3" t="inlineStr"/>
    </row>
    <row r="865">
      <c r="A865" t="n">
        <v>59</v>
      </c>
      <c r="B865" t="inlineStr">
        <is>
          <t>A</t>
        </is>
      </c>
      <c r="C865" t="inlineStr">
        <is>
          <t>Hallucination Risk (Pers. 18)</t>
        </is>
      </c>
      <c r="D865" s="3" t="inlineStr">
        <is>
          <t>Risk = 0,65×(1-F) + 0,20×Contradiction + 0,15×Uncertainty</t>
        </is>
      </c>
      <c r="E865" s="3" t="inlineStr">
        <is>
          <t>Risk = 0,65×OutOfContext + 0,20×Contradiction + 0,15×Uncertainty = 0,65×0.1713 + 0,20×0.0000 + 0,15×0.00 = 0.1113 [RENDAH]</t>
        </is>
      </c>
      <c r="F865" t="n">
        <v>0.1113</v>
      </c>
      <c r="G865" s="3" t="inlineStr">
        <is>
          <t>label: RENDAH; kontradiksi 0/16 kalimat; uncertainty flag: False</t>
        </is>
      </c>
    </row>
    <row r="866">
      <c r="A866" t="n">
        <v>59</v>
      </c>
      <c r="B866" t="inlineStr">
        <is>
          <t>A</t>
        </is>
      </c>
      <c r="C866" t="inlineStr">
        <is>
          <t>Answer Accuracy (Pers. 20)</t>
        </is>
      </c>
      <c r="D866" s="3" t="inlineStr">
        <is>
          <t>Correctᵢ ∈ {0,1} via LLM-as-Judge (HASIL: BENAR/SALAH)</t>
        </is>
      </c>
      <c r="E866" s="3" t="inlineStr">
        <is>
          <t>BENAR</t>
        </is>
      </c>
      <c r="F866" t="inlineStr">
        <is>
          <t>BENAR</t>
        </is>
      </c>
      <c r="G866" s="3" t="inlineStr">
        <is>
          <t>evaluator: ollama/llama3</t>
        </is>
      </c>
    </row>
    <row r="867">
      <c r="A867" t="n">
        <v>59</v>
      </c>
      <c r="B867" t="inlineStr">
        <is>
          <t>B</t>
        </is>
      </c>
      <c r="C867" t="inlineStr">
        <is>
          <t>Faithfulness (Pers. 15)</t>
        </is>
      </c>
      <c r="D867" s="3" t="inlineStr">
        <is>
          <t>F = 0,70×Entailment + 0,30×KWoverlap</t>
        </is>
      </c>
      <c r="E867" s="3" t="inlineStr">
        <is>
          <t>Faithfulness = 0,70×Entailment + 0,30×KWoverlap = 0,70×1.0000 + 0,30×0.1836 = 0.7551  (entailment: 6/6 klaim didukung; KWoverlap = (|∩|/|ctx|)^0,65 = (16/217)^0,65 = 0.0737^0,65 = 0.1836)</t>
        </is>
      </c>
      <c r="F867" t="n">
        <v>0.7551</v>
      </c>
      <c r="G867" s="3" t="inlineStr">
        <is>
          <t>metode: llm_entailment + keyword</t>
        </is>
      </c>
    </row>
    <row r="868">
      <c r="A868" t="n">
        <v>59</v>
      </c>
      <c r="B868" t="inlineStr">
        <is>
          <t>B</t>
        </is>
      </c>
      <c r="C868" t="inlineStr">
        <is>
          <t>— Entailment (Pers. 12-13)</t>
        </is>
      </c>
      <c r="D868" s="3" t="inlineStr">
        <is>
          <t>Entailment = Σverdict(sᵢ)/m</t>
        </is>
      </c>
      <c r="E868" s="3" t="inlineStr">
        <is>
          <t>6 klaim YA dari 6 klaim dievaluasi</t>
        </is>
      </c>
      <c r="F868" t="n">
        <v>1</v>
      </c>
      <c r="G868" s="3" t="inlineStr">
        <is>
          <t>verdict per klaim: sheet 'Entailment Detail'</t>
        </is>
      </c>
    </row>
    <row r="869">
      <c r="A869" t="n">
        <v>59</v>
      </c>
      <c r="B869" t="inlineStr">
        <is>
          <t>B</t>
        </is>
      </c>
      <c r="C869" t="inlineStr">
        <is>
          <t>— Keyword Overlap (Pers. 14)</t>
        </is>
      </c>
      <c r="D869" s="3" t="inlineStr">
        <is>
          <t>KWoverlap = (|Stems(ans)∩Stems(ctx)| / |Stems(ctx)|)^0,65</t>
        </is>
      </c>
      <c r="E869" s="3" t="inlineStr">
        <is>
          <t>KWoverlap = (|∩|/|ctx|)^0,65 = (16/217)^0,65 = 0.0737^0,65 = 0.1836</t>
        </is>
      </c>
      <c r="F869" t="n">
        <v>0.1836</v>
      </c>
      <c r="G869" s="3" t="inlineStr"/>
    </row>
    <row r="870">
      <c r="A870" t="n">
        <v>59</v>
      </c>
      <c r="B870" t="inlineStr">
        <is>
          <t>B</t>
        </is>
      </c>
      <c r="C870" t="inlineStr">
        <is>
          <t>Hallucination Risk (Pers. 18)</t>
        </is>
      </c>
      <c r="D870" s="3" t="inlineStr">
        <is>
          <t>Risk = 0,65×(1-F) + 0,20×Contradiction + 0,15×Uncertainty</t>
        </is>
      </c>
      <c r="E870" s="3" t="inlineStr">
        <is>
          <t>Risk = 0,65×OutOfContext + 0,20×Contradiction + 0,15×Uncertainty = 0,65×0.2449 + 0,20×0.0000 + 0,15×0.00 = 0.1592 [RENDAH]</t>
        </is>
      </c>
      <c r="F870" t="n">
        <v>0.1592</v>
      </c>
      <c r="G870" s="3" t="inlineStr">
        <is>
          <t>label: RENDAH; kontradiksi 0/18 kalimat; uncertainty flag: False</t>
        </is>
      </c>
    </row>
    <row r="871">
      <c r="A871" t="n">
        <v>59</v>
      </c>
      <c r="B871" t="inlineStr">
        <is>
          <t>B</t>
        </is>
      </c>
      <c r="C871" t="inlineStr">
        <is>
          <t>Answer Accuracy (Pers. 20)</t>
        </is>
      </c>
      <c r="D871" s="3" t="inlineStr">
        <is>
          <t>Correctᵢ ∈ {0,1} via LLM-as-Judge (HASIL: BENAR/SALAH)</t>
        </is>
      </c>
      <c r="E871" s="3" t="inlineStr"/>
      <c r="F871" t="inlineStr">
        <is>
          <t>BENAR</t>
        </is>
      </c>
      <c r="G871" s="3" t="inlineStr">
        <is>
          <t>evaluator: ollama/llama3</t>
        </is>
      </c>
    </row>
    <row r="872">
      <c r="A872" t="n">
        <v>60</v>
      </c>
      <c r="B872" t="inlineStr">
        <is>
          <t>A</t>
        </is>
      </c>
      <c r="C872" t="inlineStr">
        <is>
          <t>Precision@K (Pers. 2)</t>
        </is>
      </c>
      <c r="D872" s="3" t="inlineStr">
        <is>
          <t>Precision@K = |{d ∈ TopK : sim(q,d) ≥ θ}| / K</t>
        </is>
      </c>
      <c r="E872" s="3" t="inlineStr">
        <is>
          <t>skor = [0.8065, 0.7717, 0.7663, 0.7607, 0.7602, 0.7577] → 6 / 6</t>
        </is>
      </c>
      <c r="F872" t="n">
        <v>1</v>
      </c>
      <c r="G872" s="3" t="inlineStr">
        <is>
          <t>basis: skor chunk nyata (sesuai contoh Pers. 2 skripsi)</t>
        </is>
      </c>
    </row>
    <row r="873">
      <c r="A873" t="n">
        <v>60</v>
      </c>
      <c r="B873" t="inlineStr">
        <is>
          <t>A</t>
        </is>
      </c>
      <c r="C873" t="inlineStr">
        <is>
          <t>Recall@K (Pers. 4)</t>
        </is>
      </c>
      <c r="D873" s="3" t="inlineStr">
        <is>
          <t>Recall@K = |{kata kunci ditemukan : sim ≥ θ}| / |R|</t>
        </is>
      </c>
      <c r="E873" s="3" t="inlineStr">
        <is>
          <t>skor = [0.7492, 0.5724, 0.5724, 0.5724, 0.4981, 0.4222] → 6 / 7</t>
        </is>
      </c>
      <c r="F873" t="n">
        <v>0.8571</v>
      </c>
      <c r="G873" s="3" t="inlineStr"/>
    </row>
    <row r="874">
      <c r="A874" t="n">
        <v>60</v>
      </c>
      <c r="B874" t="inlineStr">
        <is>
          <t>A</t>
        </is>
      </c>
      <c r="C874" t="inlineStr">
        <is>
          <t>Mean Similarity (Pers. 6)</t>
        </is>
      </c>
      <c r="D874" s="3" t="inlineStr">
        <is>
          <t>MeanSim = (1/K) × Σ sim(q, dᵢ)</t>
        </is>
      </c>
      <c r="E874" s="3" t="inlineStr">
        <is>
          <t>skor = [0.8065, 0.7717, 0.7663, 0.7607, 0.7602, 0.7577] → (0.8065 + 0.7717 + 0.7663 + 0.7607 + 0.7602 + 0.7577) / 6</t>
        </is>
      </c>
      <c r="F874" t="n">
        <v>0.7705</v>
      </c>
      <c r="G874" s="3" t="inlineStr"/>
    </row>
    <row r="875">
      <c r="A875" t="n">
        <v>60</v>
      </c>
      <c r="B875" t="inlineStr">
        <is>
          <t>A</t>
        </is>
      </c>
      <c r="C875" t="inlineStr">
        <is>
          <t>Coverage (Pers. 8)</t>
        </is>
      </c>
      <c r="D875" s="3" t="inlineStr">
        <is>
          <t>Coverage = |{dᵢ ∈ TopK : sim(q,dᵢ) ≥ θc}| / K</t>
        </is>
      </c>
      <c r="E875" s="3" t="inlineStr">
        <is>
          <t>skor = [0.8065, 0.7717, 0.7663, 0.7607, 0.7602, 0.7577] → 6 / 6</t>
        </is>
      </c>
      <c r="F875" t="n">
        <v>1</v>
      </c>
      <c r="G875" s="3" t="inlineStr"/>
    </row>
    <row r="876">
      <c r="A876" t="n">
        <v>60</v>
      </c>
      <c r="B876" t="inlineStr">
        <is>
          <t>A</t>
        </is>
      </c>
      <c r="C876" t="inlineStr">
        <is>
          <t>Source Diversity (Pers. 10)</t>
        </is>
      </c>
      <c r="D876" s="3" t="inlineStr">
        <is>
          <t>Diversity = |sumber unik dalam TopK| / K</t>
        </is>
      </c>
      <c r="E876" s="3" t="inlineStr">
        <is>
          <t>skor = ['GT_CT13.txt', 'GT_DETAIL_PT13_Struktur_Data.txt', 'GT_SUBTOPIK_12_Stack_Queue.txt'] → 3 / 6</t>
        </is>
      </c>
      <c r="F876" t="n">
        <v>0.5</v>
      </c>
      <c r="G876" s="3" t="inlineStr">
        <is>
          <t>file unik: GT_CT13.txt, GT_DETAIL_PT13_Struktur_Data.txt, GT_SUBTOPIK_12_Stack_Queue.txt</t>
        </is>
      </c>
    </row>
    <row r="877">
      <c r="A877" t="n">
        <v>60</v>
      </c>
      <c r="B877" t="inlineStr">
        <is>
          <t>A</t>
        </is>
      </c>
      <c r="C877" t="inlineStr">
        <is>
          <t>Faithfulness (Pers. 15)</t>
        </is>
      </c>
      <c r="D877" s="3" t="inlineStr">
        <is>
          <t>F = 0,70×Entailment + 0,30×KWoverlap</t>
        </is>
      </c>
      <c r="E877" s="3" t="inlineStr">
        <is>
          <t>Faithfulness = 0,70×Entailment + 0,30×KWoverlap = 0,70×1.0000 + 0,30×0.2068 = 0.7621  (entailment: 6/6 klaim didukung; KWoverlap = (|∩|/|ctx|)^0,65 = (17/192)^0,65 = 0.0885^0,65 = 0.2068)</t>
        </is>
      </c>
      <c r="F877" t="n">
        <v>0.7621</v>
      </c>
      <c r="G877" s="3" t="inlineStr">
        <is>
          <t>metode: llm_entailment + keyword</t>
        </is>
      </c>
    </row>
    <row r="878">
      <c r="A878" t="n">
        <v>60</v>
      </c>
      <c r="B878" t="inlineStr">
        <is>
          <t>A</t>
        </is>
      </c>
      <c r="C878" t="inlineStr">
        <is>
          <t>— Entailment (Pers. 12-13)</t>
        </is>
      </c>
      <c r="D878" s="3" t="inlineStr">
        <is>
          <t>Entailment = Σverdict(sᵢ)/m</t>
        </is>
      </c>
      <c r="E878" s="3" t="inlineStr">
        <is>
          <t>6 klaim YA dari 6 klaim dievaluasi</t>
        </is>
      </c>
      <c r="F878" t="n">
        <v>1</v>
      </c>
      <c r="G878" s="3" t="inlineStr">
        <is>
          <t>verdict per klaim: sheet 'Entailment Detail'</t>
        </is>
      </c>
    </row>
    <row r="879">
      <c r="A879" t="n">
        <v>60</v>
      </c>
      <c r="B879" t="inlineStr">
        <is>
          <t>A</t>
        </is>
      </c>
      <c r="C879" t="inlineStr">
        <is>
          <t>— Keyword Overlap (Pers. 14)</t>
        </is>
      </c>
      <c r="D879" s="3" t="inlineStr">
        <is>
          <t>KWoverlap = (|Stems(ans)∩Stems(ctx)| / |Stems(ctx)|)^0,65</t>
        </is>
      </c>
      <c r="E879" s="3" t="inlineStr">
        <is>
          <t>KWoverlap = (|∩|/|ctx|)^0,65 = (17/192)^0,65 = 0.0885^0,65 = 0.2068</t>
        </is>
      </c>
      <c r="F879" t="n">
        <v>0.2068</v>
      </c>
      <c r="G879" s="3" t="inlineStr"/>
    </row>
    <row r="880">
      <c r="A880" t="n">
        <v>60</v>
      </c>
      <c r="B880" t="inlineStr">
        <is>
          <t>A</t>
        </is>
      </c>
      <c r="C880" t="inlineStr">
        <is>
          <t>Hallucination Risk (Pers. 18)</t>
        </is>
      </c>
      <c r="D880" s="3" t="inlineStr">
        <is>
          <t>Risk = 0,65×(1-F) + 0,20×Contradiction + 0,15×Uncertainty</t>
        </is>
      </c>
      <c r="E880" s="3" t="inlineStr">
        <is>
          <t>Risk = 0,65×OutOfContext + 0,20×Contradiction + 0,15×Uncertainty = 0,65×0.2379 + 0,20×0.0000 + 0,15×0.00 = 0.1546 [RENDAH]</t>
        </is>
      </c>
      <c r="F880" t="n">
        <v>0.1546</v>
      </c>
      <c r="G880" s="3" t="inlineStr">
        <is>
          <t>label: RENDAH; kontradiksi 0/22 kalimat; uncertainty flag: False</t>
        </is>
      </c>
    </row>
    <row r="881">
      <c r="A881" t="n">
        <v>60</v>
      </c>
      <c r="B881" t="inlineStr">
        <is>
          <t>A</t>
        </is>
      </c>
      <c r="C881" t="inlineStr">
        <is>
          <t>Answer Accuracy (Pers. 20)</t>
        </is>
      </c>
      <c r="D881" s="3" t="inlineStr">
        <is>
          <t>Correctᵢ ∈ {0,1} via LLM-as-Judge (HASIL: BENAR/SALAH)</t>
        </is>
      </c>
      <c r="E881" s="3" t="inlineStr">
        <is>
          <t>BENAR</t>
        </is>
      </c>
      <c r="F881" t="inlineStr">
        <is>
          <t>BENAR</t>
        </is>
      </c>
      <c r="G881" s="3" t="inlineStr">
        <is>
          <t>evaluator: ollama/llama3</t>
        </is>
      </c>
    </row>
    <row r="882">
      <c r="A882" t="n">
        <v>60</v>
      </c>
      <c r="B882" t="inlineStr">
        <is>
          <t>B</t>
        </is>
      </c>
      <c r="C882" t="inlineStr">
        <is>
          <t>Faithfulness (Pers. 15)</t>
        </is>
      </c>
      <c r="D882" s="3" t="inlineStr">
        <is>
          <t>F = 0,70×Entailment + 0,30×KWoverlap</t>
        </is>
      </c>
      <c r="E882" s="3" t="inlineStr">
        <is>
          <t>Faithfulness = 0,70×Entailment + 0,30×KWoverlap = 0,70×1.0000 + 0,30×0.1267 = 0.7380  (entailment: 6/6 klaim didukung; KWoverlap = (|∩|/|ctx|)^0,65 = (8/192)^0,65 = 0.0417^0,65 = 0.1267)</t>
        </is>
      </c>
      <c r="F882" t="n">
        <v>0.738</v>
      </c>
      <c r="G882" s="3" t="inlineStr">
        <is>
          <t>metode: llm_entailment + keyword</t>
        </is>
      </c>
    </row>
    <row r="883">
      <c r="A883" t="n">
        <v>60</v>
      </c>
      <c r="B883" t="inlineStr">
        <is>
          <t>B</t>
        </is>
      </c>
      <c r="C883" t="inlineStr">
        <is>
          <t>— Entailment (Pers. 12-13)</t>
        </is>
      </c>
      <c r="D883" s="3" t="inlineStr">
        <is>
          <t>Entailment = Σverdict(sᵢ)/m</t>
        </is>
      </c>
      <c r="E883" s="3" t="inlineStr">
        <is>
          <t>6 klaim YA dari 6 klaim dievaluasi</t>
        </is>
      </c>
      <c r="F883" t="n">
        <v>1</v>
      </c>
      <c r="G883" s="3" t="inlineStr">
        <is>
          <t>verdict per klaim: sheet 'Entailment Detail'</t>
        </is>
      </c>
    </row>
    <row r="884">
      <c r="A884" t="n">
        <v>60</v>
      </c>
      <c r="B884" t="inlineStr">
        <is>
          <t>B</t>
        </is>
      </c>
      <c r="C884" t="inlineStr">
        <is>
          <t>— Keyword Overlap (Pers. 14)</t>
        </is>
      </c>
      <c r="D884" s="3" t="inlineStr">
        <is>
          <t>KWoverlap = (|Stems(ans)∩Stems(ctx)| / |Stems(ctx)|)^0,65</t>
        </is>
      </c>
      <c r="E884" s="3" t="inlineStr">
        <is>
          <t>KWoverlap = (|∩|/|ctx|)^0,65 = (8/192)^0,65 = 0.0417^0,65 = 0.1267</t>
        </is>
      </c>
      <c r="F884" t="n">
        <v>0.1267</v>
      </c>
      <c r="G884" s="3" t="inlineStr"/>
    </row>
    <row r="885">
      <c r="A885" t="n">
        <v>60</v>
      </c>
      <c r="B885" t="inlineStr">
        <is>
          <t>B</t>
        </is>
      </c>
      <c r="C885" t="inlineStr">
        <is>
          <t>Hallucination Risk (Pers. 18)</t>
        </is>
      </c>
      <c r="D885" s="3" t="inlineStr">
        <is>
          <t>Risk = 0,65×(1-F) + 0,20×Contradiction + 0,15×Uncertainty</t>
        </is>
      </c>
      <c r="E885" s="3" t="inlineStr">
        <is>
          <t>Risk = 0,65×OutOfContext + 0,20×Contradiction + 0,15×Uncertainty = 0,65×0.2620 + 0,20×0.0000 + 0,15×0.00 = 0.1703 [RENDAH]</t>
        </is>
      </c>
      <c r="F885" t="n">
        <v>0.1703</v>
      </c>
      <c r="G885" s="3" t="inlineStr">
        <is>
          <t>label: RENDAH; kontradiksi 0/30 kalimat; uncertainty flag: False</t>
        </is>
      </c>
    </row>
    <row r="886">
      <c r="A886" t="n">
        <v>60</v>
      </c>
      <c r="B886" t="inlineStr">
        <is>
          <t>B</t>
        </is>
      </c>
      <c r="C886" t="inlineStr">
        <is>
          <t>Answer Accuracy (Pers. 20)</t>
        </is>
      </c>
      <c r="D886" s="3" t="inlineStr">
        <is>
          <t>Correctᵢ ∈ {0,1} via LLM-as-Judge (HASIL: BENAR/SALAH)</t>
        </is>
      </c>
      <c r="E886" s="3" t="inlineStr"/>
      <c r="F886" t="inlineStr">
        <is>
          <t>BENAR</t>
        </is>
      </c>
      <c r="G886" s="3" t="inlineStr">
        <is>
          <t>evaluator: ollama/llama3</t>
        </is>
      </c>
    </row>
    <row r="887">
      <c r="A887" t="n">
        <v>61</v>
      </c>
      <c r="B887" t="inlineStr">
        <is>
          <t>A</t>
        </is>
      </c>
      <c r="C887" t="inlineStr">
        <is>
          <t>Precision@K (Pers. 2)</t>
        </is>
      </c>
      <c r="D887" s="3" t="inlineStr">
        <is>
          <t>Precision@K = |{d ∈ TopK : sim(q,d) ≥ θ}| / K</t>
        </is>
      </c>
      <c r="E887" s="3" t="inlineStr">
        <is>
          <t>skor = [0.7475, 0.7408, 0.7341, 0.726, 0.7076, 0.706] → 6 / 6</t>
        </is>
      </c>
      <c r="F887" t="n">
        <v>1</v>
      </c>
      <c r="G887" s="3" t="inlineStr">
        <is>
          <t>basis: skor chunk nyata (sesuai contoh Pers. 2 skripsi)</t>
        </is>
      </c>
    </row>
    <row r="888">
      <c r="A888" t="n">
        <v>61</v>
      </c>
      <c r="B888" t="inlineStr">
        <is>
          <t>A</t>
        </is>
      </c>
      <c r="C888" t="inlineStr">
        <is>
          <t>Recall@K (Pers. 4)</t>
        </is>
      </c>
      <c r="D888" s="3" t="inlineStr">
        <is>
          <t>Recall@K = |{kata kunci ditemukan : sim ≥ θ}| / |R|</t>
        </is>
      </c>
      <c r="E888" s="3" t="inlineStr">
        <is>
          <t>skor = [0.6995, 0.6006, 0.563, 0.5503, 0.5113, 0.5113] → 6 / 6</t>
        </is>
      </c>
      <c r="F888" t="n">
        <v>1</v>
      </c>
      <c r="G888" s="3" t="inlineStr"/>
    </row>
    <row r="889">
      <c r="A889" t="n">
        <v>61</v>
      </c>
      <c r="B889" t="inlineStr">
        <is>
          <t>A</t>
        </is>
      </c>
      <c r="C889" t="inlineStr">
        <is>
          <t>Mean Similarity (Pers. 6)</t>
        </is>
      </c>
      <c r="D889" s="3" t="inlineStr">
        <is>
          <t>MeanSim = (1/K) × Σ sim(q, dᵢ)</t>
        </is>
      </c>
      <c r="E889" s="3" t="inlineStr">
        <is>
          <t>skor = [0.7475, 0.7408, 0.7341, 0.726, 0.7076, 0.706] → (0.7475 + 0.7408 + 0.7341 + 0.7260 + 0.7076 + 0.7060) / 6</t>
        </is>
      </c>
      <c r="F889" t="n">
        <v>0.727</v>
      </c>
      <c r="G889" s="3" t="inlineStr"/>
    </row>
    <row r="890">
      <c r="A890" t="n">
        <v>61</v>
      </c>
      <c r="B890" t="inlineStr">
        <is>
          <t>A</t>
        </is>
      </c>
      <c r="C890" t="inlineStr">
        <is>
          <t>Coverage (Pers. 8)</t>
        </is>
      </c>
      <c r="D890" s="3" t="inlineStr">
        <is>
          <t>Coverage = |{dᵢ ∈ TopK : sim(q,dᵢ) ≥ θc}| / K</t>
        </is>
      </c>
      <c r="E890" s="3" t="inlineStr">
        <is>
          <t>skor = [0.7475, 0.7408, 0.7341, 0.726, 0.7076, 0.706] → 6 / 6</t>
        </is>
      </c>
      <c r="F890" t="n">
        <v>1</v>
      </c>
      <c r="G890" s="3" t="inlineStr"/>
    </row>
    <row r="891">
      <c r="A891" t="n">
        <v>61</v>
      </c>
      <c r="B891" t="inlineStr">
        <is>
          <t>A</t>
        </is>
      </c>
      <c r="C891" t="inlineStr">
        <is>
          <t>Source Diversity (Pers. 10)</t>
        </is>
      </c>
      <c r="D891" s="3" t="inlineStr">
        <is>
          <t>Diversity = |sumber unik dalam TopK| / K</t>
        </is>
      </c>
      <c r="E891" s="3" t="inlineStr">
        <is>
          <t>skor = ['GT_CT13.txt', 'GT_DETAIL_PT13_Struktur_Data.txt', 'GT_SUBTOPIK_02_Abstraksi_Formulasi.txt', 'GT_SUBTOPIK_12_Stack_Queue.txt'] → 4 / 6</t>
        </is>
      </c>
      <c r="F891" t="n">
        <v>0.6667</v>
      </c>
      <c r="G891" s="3" t="inlineStr">
        <is>
          <t>file unik: GT_CT13.txt, GT_DETAIL_PT13_Struktur_Data.txt, GT_SUBTOPIK_02_Abstraksi_Formulasi.txt, GT_SUBTOPIK_12_Stack_Queue.txt</t>
        </is>
      </c>
    </row>
    <row r="892">
      <c r="A892" t="n">
        <v>61</v>
      </c>
      <c r="B892" t="inlineStr">
        <is>
          <t>A</t>
        </is>
      </c>
      <c r="C892" t="inlineStr">
        <is>
          <t>Faithfulness (Pers. 15)</t>
        </is>
      </c>
      <c r="D892" s="3" t="inlineStr">
        <is>
          <t>F = 0,70×Entailment + 0,30×KWoverlap</t>
        </is>
      </c>
      <c r="E892" s="3" t="inlineStr">
        <is>
          <t>Faithfulness = 0,70×Entailment + 0,30×KWoverlap = 0,70×1.0000 + 0,30×0.2304 = 0.7691  (entailment: 6/6 klaim didukung; KWoverlap = (|∩|/|ctx|)^0,65 = (30/287)^0,65 = 0.1045^0,65 = 0.2304)</t>
        </is>
      </c>
      <c r="F892" t="n">
        <v>0.7691</v>
      </c>
      <c r="G892" s="3" t="inlineStr">
        <is>
          <t>metode: llm_entailment + keyword</t>
        </is>
      </c>
    </row>
    <row r="893">
      <c r="A893" t="n">
        <v>61</v>
      </c>
      <c r="B893" t="inlineStr">
        <is>
          <t>A</t>
        </is>
      </c>
      <c r="C893" t="inlineStr">
        <is>
          <t>— Entailment (Pers. 12-13)</t>
        </is>
      </c>
      <c r="D893" s="3" t="inlineStr">
        <is>
          <t>Entailment = Σverdict(sᵢ)/m</t>
        </is>
      </c>
      <c r="E893" s="3" t="inlineStr">
        <is>
          <t>6 klaim YA dari 6 klaim dievaluasi</t>
        </is>
      </c>
      <c r="F893" t="n">
        <v>1</v>
      </c>
      <c r="G893" s="3" t="inlineStr">
        <is>
          <t>verdict per klaim: sheet 'Entailment Detail'</t>
        </is>
      </c>
    </row>
    <row r="894">
      <c r="A894" t="n">
        <v>61</v>
      </c>
      <c r="B894" t="inlineStr">
        <is>
          <t>A</t>
        </is>
      </c>
      <c r="C894" t="inlineStr">
        <is>
          <t>— Keyword Overlap (Pers. 14)</t>
        </is>
      </c>
      <c r="D894" s="3" t="inlineStr">
        <is>
          <t>KWoverlap = (|Stems(ans)∩Stems(ctx)| / |Stems(ctx)|)^0,65</t>
        </is>
      </c>
      <c r="E894" s="3" t="inlineStr">
        <is>
          <t>KWoverlap = (|∩|/|ctx|)^0,65 = (30/287)^0,65 = 0.1045^0,65 = 0.2304</t>
        </is>
      </c>
      <c r="F894" t="n">
        <v>0.2304</v>
      </c>
      <c r="G894" s="3" t="inlineStr"/>
    </row>
    <row r="895">
      <c r="A895" t="n">
        <v>61</v>
      </c>
      <c r="B895" t="inlineStr">
        <is>
          <t>A</t>
        </is>
      </c>
      <c r="C895" t="inlineStr">
        <is>
          <t>Hallucination Risk (Pers. 18)</t>
        </is>
      </c>
      <c r="D895" s="3" t="inlineStr">
        <is>
          <t>Risk = 0,65×(1-F) + 0,20×Contradiction + 0,15×Uncertainty</t>
        </is>
      </c>
      <c r="E895" s="3" t="inlineStr">
        <is>
          <t>Risk = 0,65×OutOfContext + 0,20×Contradiction + 0,15×Uncertainty = 0,65×0.2309 + 0,20×0.0000 + 0,15×0.00 = 0.1501 [RENDAH]</t>
        </is>
      </c>
      <c r="F895" t="n">
        <v>0.1501</v>
      </c>
      <c r="G895" s="3" t="inlineStr">
        <is>
          <t>label: RENDAH; kontradiksi 0/11 kalimat; uncertainty flag: False</t>
        </is>
      </c>
    </row>
    <row r="896">
      <c r="A896" t="n">
        <v>61</v>
      </c>
      <c r="B896" t="inlineStr">
        <is>
          <t>A</t>
        </is>
      </c>
      <c r="C896" t="inlineStr">
        <is>
          <t>Answer Accuracy (Pers. 20)</t>
        </is>
      </c>
      <c r="D896" s="3" t="inlineStr">
        <is>
          <t>Correctᵢ ∈ {0,1} via LLM-as-Judge (HASIL: BENAR/SALAH)</t>
        </is>
      </c>
      <c r="E896" s="3" t="inlineStr">
        <is>
          <t>BENAR</t>
        </is>
      </c>
      <c r="F896" t="inlineStr">
        <is>
          <t>BENAR</t>
        </is>
      </c>
      <c r="G896" s="3" t="inlineStr">
        <is>
          <t>evaluator: ollama/llama3</t>
        </is>
      </c>
    </row>
    <row r="897">
      <c r="A897" t="n">
        <v>61</v>
      </c>
      <c r="B897" t="inlineStr">
        <is>
          <t>B</t>
        </is>
      </c>
      <c r="C897" t="inlineStr">
        <is>
          <t>Faithfulness (Pers. 15)</t>
        </is>
      </c>
      <c r="D897" s="3" t="inlineStr">
        <is>
          <t>F = 0,70×Entailment + 0,30×KWoverlap</t>
        </is>
      </c>
      <c r="E897" s="3" t="inlineStr">
        <is>
          <t>Faithfulness = 0,70×Entailment + 0,30×KWoverlap = 0,70×1.0000 + 0,30×0.2499 = 0.7750  (entailment: 6/6 klaim didukung; KWoverlap = (|∩|/|ctx|)^0,65 = (34/287)^0,65 = 0.1185^0,65 = 0.2499)</t>
        </is>
      </c>
      <c r="F897" t="n">
        <v>0.775</v>
      </c>
      <c r="G897" s="3" t="inlineStr">
        <is>
          <t>metode: llm_entailment + keyword</t>
        </is>
      </c>
    </row>
    <row r="898">
      <c r="A898" t="n">
        <v>61</v>
      </c>
      <c r="B898" t="inlineStr">
        <is>
          <t>B</t>
        </is>
      </c>
      <c r="C898" t="inlineStr">
        <is>
          <t>— Entailment (Pers. 12-13)</t>
        </is>
      </c>
      <c r="D898" s="3" t="inlineStr">
        <is>
          <t>Entailment = Σverdict(sᵢ)/m</t>
        </is>
      </c>
      <c r="E898" s="3" t="inlineStr">
        <is>
          <t>6 klaim YA dari 6 klaim dievaluasi</t>
        </is>
      </c>
      <c r="F898" t="n">
        <v>1</v>
      </c>
      <c r="G898" s="3" t="inlineStr">
        <is>
          <t>verdict per klaim: sheet 'Entailment Detail'</t>
        </is>
      </c>
    </row>
    <row r="899">
      <c r="A899" t="n">
        <v>61</v>
      </c>
      <c r="B899" t="inlineStr">
        <is>
          <t>B</t>
        </is>
      </c>
      <c r="C899" t="inlineStr">
        <is>
          <t>— Keyword Overlap (Pers. 14)</t>
        </is>
      </c>
      <c r="D899" s="3" t="inlineStr">
        <is>
          <t>KWoverlap = (|Stems(ans)∩Stems(ctx)| / |Stems(ctx)|)^0,65</t>
        </is>
      </c>
      <c r="E899" s="3" t="inlineStr">
        <is>
          <t>KWoverlap = (|∩|/|ctx|)^0,65 = (34/287)^0,65 = 0.1185^0,65 = 0.2499</t>
        </is>
      </c>
      <c r="F899" t="n">
        <v>0.2499</v>
      </c>
      <c r="G899" s="3" t="inlineStr"/>
    </row>
    <row r="900">
      <c r="A900" t="n">
        <v>61</v>
      </c>
      <c r="B900" t="inlineStr">
        <is>
          <t>B</t>
        </is>
      </c>
      <c r="C900" t="inlineStr">
        <is>
          <t>Hallucination Risk (Pers. 18)</t>
        </is>
      </c>
      <c r="D900" s="3" t="inlineStr">
        <is>
          <t>Risk = 0,65×(1-F) + 0,20×Contradiction + 0,15×Uncertainty</t>
        </is>
      </c>
      <c r="E900" s="3" t="inlineStr">
        <is>
          <t>Risk = 0,65×OutOfContext + 0,20×Contradiction + 0,15×Uncertainty = 0,65×0.2250 + 0,20×0.0000 + 0,15×0.00 = 0.1462 [RENDAH]</t>
        </is>
      </c>
      <c r="F900" t="n">
        <v>0.1462</v>
      </c>
      <c r="G900" s="3" t="inlineStr">
        <is>
          <t>label: RENDAH; kontradiksi 0/12 kalimat; uncertainty flag: False</t>
        </is>
      </c>
    </row>
    <row r="901">
      <c r="A901" t="n">
        <v>61</v>
      </c>
      <c r="B901" t="inlineStr">
        <is>
          <t>B</t>
        </is>
      </c>
      <c r="C901" t="inlineStr">
        <is>
          <t>Answer Accuracy (Pers. 20)</t>
        </is>
      </c>
      <c r="D901" s="3" t="inlineStr">
        <is>
          <t>Correctᵢ ∈ {0,1} via LLM-as-Judge (HASIL: BENAR/SALAH)</t>
        </is>
      </c>
      <c r="E901" s="3" t="inlineStr"/>
      <c r="F901" t="inlineStr">
        <is>
          <t>BENAR</t>
        </is>
      </c>
      <c r="G901" s="3" t="inlineStr">
        <is>
          <t>evaluator: ollama/llama3</t>
        </is>
      </c>
    </row>
    <row r="902">
      <c r="A902" t="n">
        <v>62</v>
      </c>
      <c r="B902" t="inlineStr">
        <is>
          <t>A</t>
        </is>
      </c>
      <c r="C902" t="inlineStr">
        <is>
          <t>Precision@K (Pers. 2)</t>
        </is>
      </c>
      <c r="D902" s="3" t="inlineStr">
        <is>
          <t>Precision@K = |{d ∈ TopK : sim(q,d) ≥ θ}| / K</t>
        </is>
      </c>
      <c r="E902" s="3" t="inlineStr">
        <is>
          <t>skor = [0.7699, 0.7616, 0.7574, 0.7464, 0.7403, 0.74] → 6 / 6</t>
        </is>
      </c>
      <c r="F902" t="n">
        <v>1</v>
      </c>
      <c r="G902" s="3" t="inlineStr">
        <is>
          <t>basis: skor chunk nyata (sesuai contoh Pers. 2 skripsi)</t>
        </is>
      </c>
    </row>
    <row r="903">
      <c r="A903" t="n">
        <v>62</v>
      </c>
      <c r="B903" t="inlineStr">
        <is>
          <t>A</t>
        </is>
      </c>
      <c r="C903" t="inlineStr">
        <is>
          <t>Recall@K (Pers. 4)</t>
        </is>
      </c>
      <c r="D903" s="3" t="inlineStr">
        <is>
          <t>Recall@K = |{kata kunci ditemukan : sim ≥ θ}| / |R|</t>
        </is>
      </c>
      <c r="E903" s="3" t="inlineStr">
        <is>
          <t>skor = [0.6362, 0.6354, 0.628, 0.628, 0.628, 0.5948] → 6 / 7</t>
        </is>
      </c>
      <c r="F903" t="n">
        <v>0.8571</v>
      </c>
      <c r="G903" s="3" t="inlineStr"/>
    </row>
    <row r="904">
      <c r="A904" t="n">
        <v>62</v>
      </c>
      <c r="B904" t="inlineStr">
        <is>
          <t>A</t>
        </is>
      </c>
      <c r="C904" t="inlineStr">
        <is>
          <t>Mean Similarity (Pers. 6)</t>
        </is>
      </c>
      <c r="D904" s="3" t="inlineStr">
        <is>
          <t>MeanSim = (1/K) × Σ sim(q, dᵢ)</t>
        </is>
      </c>
      <c r="E904" s="3" t="inlineStr">
        <is>
          <t>skor = [0.7699, 0.7616, 0.7574, 0.7464, 0.7403, 0.74] → (0.7699 + 0.7616 + 0.7574 + 0.7464 + 0.7403 + 0.7400) / 6</t>
        </is>
      </c>
      <c r="F904" t="n">
        <v>0.7526</v>
      </c>
      <c r="G904" s="3" t="inlineStr"/>
    </row>
    <row r="905">
      <c r="A905" t="n">
        <v>62</v>
      </c>
      <c r="B905" t="inlineStr">
        <is>
          <t>A</t>
        </is>
      </c>
      <c r="C905" t="inlineStr">
        <is>
          <t>Coverage (Pers. 8)</t>
        </is>
      </c>
      <c r="D905" s="3" t="inlineStr">
        <is>
          <t>Coverage = |{dᵢ ∈ TopK : sim(q,dᵢ) ≥ θc}| / K</t>
        </is>
      </c>
      <c r="E905" s="3" t="inlineStr">
        <is>
          <t>skor = [0.7699, 0.7616, 0.7574, 0.7464, 0.7403, 0.74] → 6 / 6</t>
        </is>
      </c>
      <c r="F905" t="n">
        <v>1</v>
      </c>
      <c r="G905" s="3" t="inlineStr"/>
    </row>
    <row r="906">
      <c r="A906" t="n">
        <v>62</v>
      </c>
      <c r="B906" t="inlineStr">
        <is>
          <t>A</t>
        </is>
      </c>
      <c r="C906" t="inlineStr">
        <is>
          <t>Source Diversity (Pers. 10)</t>
        </is>
      </c>
      <c r="D906" s="3" t="inlineStr">
        <is>
          <t>Diversity = |sumber unik dalam TopK| / K</t>
        </is>
      </c>
      <c r="E906" s="3" t="inlineStr">
        <is>
          <t>skor = ['GT_CT07.txt', 'GT_CT13.txt', 'GT_DETAIL_PT04_Abstraksi.txt', 'GT_DETAIL_PT09_Variabel_TipeData_Operator_List.txt', 'GT_SUBTOPIK_12_Stack_Queue.txt'] → 5 / 6</t>
        </is>
      </c>
      <c r="F906" t="n">
        <v>0.8333</v>
      </c>
      <c r="G906" s="3" t="inlineStr">
        <is>
          <t>file unik: GT_CT07.txt, GT_CT13.txt, GT_DETAIL_PT04_Abstraksi.txt, GT_DETAIL_PT09_Variabel_TipeData_Operator_List.txt, GT_SUBTOPIK_12_Stack_Queue.txt</t>
        </is>
      </c>
    </row>
    <row r="907">
      <c r="A907" t="n">
        <v>62</v>
      </c>
      <c r="B907" t="inlineStr">
        <is>
          <t>A</t>
        </is>
      </c>
      <c r="C907" t="inlineStr">
        <is>
          <t>Faithfulness (Pers. 15)</t>
        </is>
      </c>
      <c r="D907" s="3" t="inlineStr">
        <is>
          <t>F = 0,70×Entailment + 0,30×KWoverlap</t>
        </is>
      </c>
      <c r="E907" s="3" t="inlineStr">
        <is>
          <t>Faithfulness = 0,70×Entailment + 0,30×KWoverlap = 0,70×0.5000 + 0,30×0.1895 = 0.4069  (entailment: 3/6 klaim didukung; KWoverlap = (|∩|/|ctx|)^0,65 = (25/323)^0,65 = 0.0774^0,65 = 0.1895)</t>
        </is>
      </c>
      <c r="F907" t="n">
        <v>0.4069</v>
      </c>
      <c r="G907" s="3" t="inlineStr">
        <is>
          <t>metode: llm_entailment + keyword</t>
        </is>
      </c>
    </row>
    <row r="908">
      <c r="A908" t="n">
        <v>62</v>
      </c>
      <c r="B908" t="inlineStr">
        <is>
          <t>A</t>
        </is>
      </c>
      <c r="C908" t="inlineStr">
        <is>
          <t>— Entailment (Pers. 12-13)</t>
        </is>
      </c>
      <c r="D908" s="3" t="inlineStr">
        <is>
          <t>Entailment = Σverdict(sᵢ)/m</t>
        </is>
      </c>
      <c r="E908" s="3" t="inlineStr">
        <is>
          <t>3 klaim YA dari 6 klaim dievaluasi</t>
        </is>
      </c>
      <c r="F908" t="n">
        <v>0.5</v>
      </c>
      <c r="G908" s="3" t="inlineStr">
        <is>
          <t>verdict per klaim: sheet 'Entailment Detail'</t>
        </is>
      </c>
    </row>
    <row r="909">
      <c r="A909" t="n">
        <v>62</v>
      </c>
      <c r="B909" t="inlineStr">
        <is>
          <t>A</t>
        </is>
      </c>
      <c r="C909" t="inlineStr">
        <is>
          <t>— Keyword Overlap (Pers. 14)</t>
        </is>
      </c>
      <c r="D909" s="3" t="inlineStr">
        <is>
          <t>KWoverlap = (|Stems(ans)∩Stems(ctx)| / |Stems(ctx)|)^0,65</t>
        </is>
      </c>
      <c r="E909" s="3" t="inlineStr">
        <is>
          <t>KWoverlap = (|∩|/|ctx|)^0,65 = (25/323)^0,65 = 0.0774^0,65 = 0.1895</t>
        </is>
      </c>
      <c r="F909" t="n">
        <v>0.1895</v>
      </c>
      <c r="G909" s="3" t="inlineStr"/>
    </row>
    <row r="910">
      <c r="A910" t="n">
        <v>62</v>
      </c>
      <c r="B910" t="inlineStr">
        <is>
          <t>A</t>
        </is>
      </c>
      <c r="C910" t="inlineStr">
        <is>
          <t>Hallucination Risk (Pers. 18)</t>
        </is>
      </c>
      <c r="D910" s="3" t="inlineStr">
        <is>
          <t>Risk = 0,65×(1-F) + 0,20×Contradiction + 0,15×Uncertainty</t>
        </is>
      </c>
      <c r="E910" s="3" t="inlineStr">
        <is>
          <t>Risk = 0,65×OutOfContext + 0,20×Contradiction + 0,15×Uncertainty = 0,65×0.5931 + 0,20×0.0000 + 0,15×0.00 = 0.3855 [SEDANG]</t>
        </is>
      </c>
      <c r="F910" t="n">
        <v>0.3855</v>
      </c>
      <c r="G910" s="3" t="inlineStr">
        <is>
          <t>label: SEDANG; kontradiksi 0/35 kalimat; uncertainty flag: False</t>
        </is>
      </c>
    </row>
    <row r="911">
      <c r="A911" t="n">
        <v>62</v>
      </c>
      <c r="B911" t="inlineStr">
        <is>
          <t>A</t>
        </is>
      </c>
      <c r="C911" t="inlineStr">
        <is>
          <t>Answer Accuracy (Pers. 20)</t>
        </is>
      </c>
      <c r="D911" s="3" t="inlineStr">
        <is>
          <t>Correctᵢ ∈ {0,1} via LLM-as-Judge (HASIL: BENAR/SALAH)</t>
        </is>
      </c>
      <c r="E911" s="3" t="inlineStr">
        <is>
          <t>BENAR</t>
        </is>
      </c>
      <c r="F911" t="inlineStr">
        <is>
          <t>BENAR</t>
        </is>
      </c>
      <c r="G911" s="3" t="inlineStr">
        <is>
          <t>evaluator: ollama/llama3</t>
        </is>
      </c>
    </row>
    <row r="912">
      <c r="A912" t="n">
        <v>62</v>
      </c>
      <c r="B912" t="inlineStr">
        <is>
          <t>B</t>
        </is>
      </c>
      <c r="C912" t="inlineStr">
        <is>
          <t>Faithfulness (Pers. 15)</t>
        </is>
      </c>
      <c r="D912" s="3" t="inlineStr">
        <is>
          <t>F = 0,70×Entailment + 0,30×KWoverlap</t>
        </is>
      </c>
      <c r="E912" s="3" t="inlineStr">
        <is>
          <t>Faithfulness = 0,70×Entailment + 0,30×KWoverlap = 0,70×0.8333 + 0,30×0.1692 = 0.6341  (entailment: 5/6 klaim didukung; KWoverlap = (|∩|/|ctx|)^0,65 = (21/323)^0,65 = 0.0650^0,65 = 0.1692)</t>
        </is>
      </c>
      <c r="F912" t="n">
        <v>0.6341</v>
      </c>
      <c r="G912" s="3" t="inlineStr">
        <is>
          <t>metode: llm_entailment + keyword</t>
        </is>
      </c>
    </row>
    <row r="913">
      <c r="A913" t="n">
        <v>62</v>
      </c>
      <c r="B913" t="inlineStr">
        <is>
          <t>B</t>
        </is>
      </c>
      <c r="C913" t="inlineStr">
        <is>
          <t>— Entailment (Pers. 12-13)</t>
        </is>
      </c>
      <c r="D913" s="3" t="inlineStr">
        <is>
          <t>Entailment = Σverdict(sᵢ)/m</t>
        </is>
      </c>
      <c r="E913" s="3" t="inlineStr">
        <is>
          <t>5 klaim YA dari 6 klaim dievaluasi</t>
        </is>
      </c>
      <c r="F913" t="n">
        <v>0.8333</v>
      </c>
      <c r="G913" s="3" t="inlineStr">
        <is>
          <t>verdict per klaim: sheet 'Entailment Detail'</t>
        </is>
      </c>
    </row>
    <row r="914">
      <c r="A914" t="n">
        <v>62</v>
      </c>
      <c r="B914" t="inlineStr">
        <is>
          <t>B</t>
        </is>
      </c>
      <c r="C914" t="inlineStr">
        <is>
          <t>— Keyword Overlap (Pers. 14)</t>
        </is>
      </c>
      <c r="D914" s="3" t="inlineStr">
        <is>
          <t>KWoverlap = (|Stems(ans)∩Stems(ctx)| / |Stems(ctx)|)^0,65</t>
        </is>
      </c>
      <c r="E914" s="3" t="inlineStr">
        <is>
          <t>KWoverlap = (|∩|/|ctx|)^0,65 = (21/323)^0,65 = 0.0650^0,65 = 0.1692</t>
        </is>
      </c>
      <c r="F914" t="n">
        <v>0.1692</v>
      </c>
      <c r="G914" s="3" t="inlineStr"/>
    </row>
    <row r="915">
      <c r="A915" t="n">
        <v>62</v>
      </c>
      <c r="B915" t="inlineStr">
        <is>
          <t>B</t>
        </is>
      </c>
      <c r="C915" t="inlineStr">
        <is>
          <t>Hallucination Risk (Pers. 18)</t>
        </is>
      </c>
      <c r="D915" s="3" t="inlineStr">
        <is>
          <t>Risk = 0,65×(1-F) + 0,20×Contradiction + 0,15×Uncertainty</t>
        </is>
      </c>
      <c r="E915" s="3" t="inlineStr">
        <is>
          <t>Risk = 0,65×OutOfContext + 0,20×Contradiction + 0,15×Uncertainty = 0,65×0.3659 + 0,20×0.0000 + 0,15×0.00 = 0.2378 [RENDAH]</t>
        </is>
      </c>
      <c r="F915" t="n">
        <v>0.2378</v>
      </c>
      <c r="G915" s="3" t="inlineStr">
        <is>
          <t>label: RENDAH; kontradiksi 0/29 kalimat; uncertainty flag: False</t>
        </is>
      </c>
    </row>
    <row r="916">
      <c r="A916" t="n">
        <v>62</v>
      </c>
      <c r="B916" t="inlineStr">
        <is>
          <t>B</t>
        </is>
      </c>
      <c r="C916" t="inlineStr">
        <is>
          <t>Answer Accuracy (Pers. 20)</t>
        </is>
      </c>
      <c r="D916" s="3" t="inlineStr">
        <is>
          <t>Correctᵢ ∈ {0,1} via LLM-as-Judge (HASIL: BENAR/SALAH)</t>
        </is>
      </c>
      <c r="E916" s="3" t="inlineStr">
        <is>
          <t>BENAR
(Sistem jawaban Anda dengan benar berdasarkan referensi)</t>
        </is>
      </c>
      <c r="F916" t="inlineStr">
        <is>
          <t>BENAR</t>
        </is>
      </c>
      <c r="G916" s="3" t="inlineStr">
        <is>
          <t>evaluator: ollama/llama3</t>
        </is>
      </c>
    </row>
    <row r="917">
      <c r="A917" t="n">
        <v>63</v>
      </c>
      <c r="B917" t="inlineStr">
        <is>
          <t>A</t>
        </is>
      </c>
      <c r="C917" t="inlineStr">
        <is>
          <t>Precision@K (Pers. 2)</t>
        </is>
      </c>
      <c r="D917" s="3" t="inlineStr">
        <is>
          <t>Precision@K = |{d ∈ TopK : sim(q,d) ≥ θ}| / K</t>
        </is>
      </c>
      <c r="E917" s="3" t="inlineStr">
        <is>
          <t>skor = [0.7102, 0.6844, 0.6803, 0.6796, 0.6755, 0.6735] → 6 / 6</t>
        </is>
      </c>
      <c r="F917" t="n">
        <v>1</v>
      </c>
      <c r="G917" s="3" t="inlineStr">
        <is>
          <t>basis: skor chunk nyata (sesuai contoh Pers. 2 skripsi)</t>
        </is>
      </c>
    </row>
    <row r="918">
      <c r="A918" t="n">
        <v>63</v>
      </c>
      <c r="B918" t="inlineStr">
        <is>
          <t>A</t>
        </is>
      </c>
      <c r="C918" t="inlineStr">
        <is>
          <t>Recall@K (Pers. 4)</t>
        </is>
      </c>
      <c r="D918" s="3" t="inlineStr">
        <is>
          <t>Recall@K = |{kata kunci ditemukan : sim ≥ θ}| / |R|</t>
        </is>
      </c>
      <c r="E918" s="3" t="inlineStr">
        <is>
          <t>skor = [0.6481, 0.6164, 0.6039, 0.5626, 0.4965, 0.4965] → 6 / 6</t>
        </is>
      </c>
      <c r="F918" t="n">
        <v>1</v>
      </c>
      <c r="G918" s="3" t="inlineStr"/>
    </row>
    <row r="919">
      <c r="A919" t="n">
        <v>63</v>
      </c>
      <c r="B919" t="inlineStr">
        <is>
          <t>A</t>
        </is>
      </c>
      <c r="C919" t="inlineStr">
        <is>
          <t>Mean Similarity (Pers. 6)</t>
        </is>
      </c>
      <c r="D919" s="3" t="inlineStr">
        <is>
          <t>MeanSim = (1/K) × Σ sim(q, dᵢ)</t>
        </is>
      </c>
      <c r="E919" s="3" t="inlineStr">
        <is>
          <t>skor = [0.7102, 0.6844, 0.6803, 0.6796, 0.6755, 0.6735] → (0.7102 + 0.6844 + 0.6803 + 0.6796 + 0.6755 + 0.6735) / 6</t>
        </is>
      </c>
      <c r="F919" t="n">
        <v>0.6839</v>
      </c>
      <c r="G919" s="3" t="inlineStr"/>
    </row>
    <row r="920">
      <c r="A920" t="n">
        <v>63</v>
      </c>
      <c r="B920" t="inlineStr">
        <is>
          <t>A</t>
        </is>
      </c>
      <c r="C920" t="inlineStr">
        <is>
          <t>Coverage (Pers. 8)</t>
        </is>
      </c>
      <c r="D920" s="3" t="inlineStr">
        <is>
          <t>Coverage = |{dᵢ ∈ TopK : sim(q,dᵢ) ≥ θc}| / K</t>
        </is>
      </c>
      <c r="E920" s="3" t="inlineStr">
        <is>
          <t>skor = [0.7102, 0.6844, 0.6803, 0.6796, 0.6755, 0.6735] → 6 / 6</t>
        </is>
      </c>
      <c r="F920" t="n">
        <v>1</v>
      </c>
      <c r="G920" s="3" t="inlineStr"/>
    </row>
    <row r="921">
      <c r="A921" t="n">
        <v>63</v>
      </c>
      <c r="B921" t="inlineStr">
        <is>
          <t>A</t>
        </is>
      </c>
      <c r="C921" t="inlineStr">
        <is>
          <t>Source Diversity (Pers. 10)</t>
        </is>
      </c>
      <c r="D921" s="3" t="inlineStr">
        <is>
          <t>Diversity = |sumber unik dalam TopK| / K</t>
        </is>
      </c>
      <c r="E921" s="3" t="inlineStr">
        <is>
          <t>skor = ['GT_CT01.txt', 'GT_CT06.txt', 'GT_CT07.txt', 'GT_CT13.txt', 'GT_DETAIL_PT10_Percabangan.txt', 'GT_SUBTOPIK_14_Kompleksitas_BigO.txt'] → 6 / 6</t>
        </is>
      </c>
      <c r="F921" t="n">
        <v>1</v>
      </c>
      <c r="G921" s="3" t="inlineStr">
        <is>
          <t>file unik: GT_CT01.txt, GT_CT06.txt, GT_CT07.txt, GT_CT13.txt, GT_DETAIL_PT10_Percabangan.txt, GT_SUBTOPIK_14_Kompleksitas_BigO.txt</t>
        </is>
      </c>
    </row>
    <row r="922">
      <c r="A922" t="n">
        <v>63</v>
      </c>
      <c r="B922" t="inlineStr">
        <is>
          <t>A</t>
        </is>
      </c>
      <c r="C922" t="inlineStr">
        <is>
          <t>Faithfulness (Pers. 15)</t>
        </is>
      </c>
      <c r="D922" s="3" t="inlineStr">
        <is>
          <t>F = 0,70×Entailment + 0,30×KWoverlap</t>
        </is>
      </c>
      <c r="E922" s="3" t="inlineStr">
        <is>
          <t>Faithfulness = 0,70×Entailment + 0,30×KWoverlap = 0,70×0.3333 + 0,30×0.1993 = 0.2931  (entailment: 2/6 klaim didukung; KWoverlap = (|∩|/|ctx|)^0,65 = (23/275)^0,65 = 0.0836^0,65 = 0.1993)</t>
        </is>
      </c>
      <c r="F922" t="n">
        <v>0.2931</v>
      </c>
      <c r="G922" s="3" t="inlineStr">
        <is>
          <t>metode: llm_entailment + keyword</t>
        </is>
      </c>
    </row>
    <row r="923">
      <c r="A923" t="n">
        <v>63</v>
      </c>
      <c r="B923" t="inlineStr">
        <is>
          <t>A</t>
        </is>
      </c>
      <c r="C923" t="inlineStr">
        <is>
          <t>— Entailment (Pers. 12-13)</t>
        </is>
      </c>
      <c r="D923" s="3" t="inlineStr">
        <is>
          <t>Entailment = Σverdict(sᵢ)/m</t>
        </is>
      </c>
      <c r="E923" s="3" t="inlineStr">
        <is>
          <t>2 klaim YA dari 6 klaim dievaluasi</t>
        </is>
      </c>
      <c r="F923" t="n">
        <v>0.3333</v>
      </c>
      <c r="G923" s="3" t="inlineStr">
        <is>
          <t>verdict per klaim: sheet 'Entailment Detail'</t>
        </is>
      </c>
    </row>
    <row r="924">
      <c r="A924" t="n">
        <v>63</v>
      </c>
      <c r="B924" t="inlineStr">
        <is>
          <t>A</t>
        </is>
      </c>
      <c r="C924" t="inlineStr">
        <is>
          <t>— Keyword Overlap (Pers. 14)</t>
        </is>
      </c>
      <c r="D924" s="3" t="inlineStr">
        <is>
          <t>KWoverlap = (|Stems(ans)∩Stems(ctx)| / |Stems(ctx)|)^0,65</t>
        </is>
      </c>
      <c r="E924" s="3" t="inlineStr">
        <is>
          <t>KWoverlap = (|∩|/|ctx|)^0,65 = (23/275)^0,65 = 0.0836^0,65 = 0.1993</t>
        </is>
      </c>
      <c r="F924" t="n">
        <v>0.1993</v>
      </c>
      <c r="G924" s="3" t="inlineStr"/>
    </row>
    <row r="925">
      <c r="A925" t="n">
        <v>63</v>
      </c>
      <c r="B925" t="inlineStr">
        <is>
          <t>A</t>
        </is>
      </c>
      <c r="C925" t="inlineStr">
        <is>
          <t>Hallucination Risk (Pers. 18)</t>
        </is>
      </c>
      <c r="D925" s="3" t="inlineStr">
        <is>
          <t>Risk = 0,65×(1-F) + 0,20×Contradiction + 0,15×Uncertainty</t>
        </is>
      </c>
      <c r="E925" s="3" t="inlineStr">
        <is>
          <t>Risk = 0,65×OutOfContext + 0,20×Contradiction + 0,15×Uncertainty = 0,65×0.7069 + 0,20×0.0000 + 0,15×0.00 = 0.4595 [SEDANG]</t>
        </is>
      </c>
      <c r="F925" t="n">
        <v>0.4595</v>
      </c>
      <c r="G925" s="3" t="inlineStr">
        <is>
          <t>label: SEDANG; kontradiksi 0/10 kalimat; uncertainty flag: False</t>
        </is>
      </c>
    </row>
    <row r="926">
      <c r="A926" t="n">
        <v>63</v>
      </c>
      <c r="B926" t="inlineStr">
        <is>
          <t>A</t>
        </is>
      </c>
      <c r="C926" t="inlineStr">
        <is>
          <t>Answer Accuracy (Pers. 20)</t>
        </is>
      </c>
      <c r="D926" s="3" t="inlineStr">
        <is>
          <t>Correctᵢ ∈ {0,1} via LLM-as-Judge (HASIL: BENAR/SALAH)</t>
        </is>
      </c>
      <c r="E926" s="3" t="inlineStr">
        <is>
          <t>BENAR</t>
        </is>
      </c>
      <c r="F926" t="inlineStr">
        <is>
          <t>BENAR</t>
        </is>
      </c>
      <c r="G926" s="3" t="inlineStr">
        <is>
          <t>evaluator: ollama/llama3</t>
        </is>
      </c>
    </row>
    <row r="927">
      <c r="A927" t="n">
        <v>63</v>
      </c>
      <c r="B927" t="inlineStr">
        <is>
          <t>B</t>
        </is>
      </c>
      <c r="C927" t="inlineStr">
        <is>
          <t>Faithfulness (Pers. 15)</t>
        </is>
      </c>
      <c r="D927" s="3" t="inlineStr">
        <is>
          <t>F = 0,70×Entailment + 0,30×KWoverlap</t>
        </is>
      </c>
      <c r="E927" s="3" t="inlineStr">
        <is>
          <t>Faithfulness = 0,70×Entailment + 0,30×KWoverlap = 0,70×0.3333 + 0,30×0.1993 = 0.2931  (entailment: 2/6 klaim didukung; KWoverlap = (|∩|/|ctx|)^0,65 = (23/275)^0,65 = 0.0836^0,65 = 0.1993)</t>
        </is>
      </c>
      <c r="F927" t="n">
        <v>0.2931</v>
      </c>
      <c r="G927" s="3" t="inlineStr">
        <is>
          <t>metode: llm_entailment + keyword</t>
        </is>
      </c>
    </row>
    <row r="928">
      <c r="A928" t="n">
        <v>63</v>
      </c>
      <c r="B928" t="inlineStr">
        <is>
          <t>B</t>
        </is>
      </c>
      <c r="C928" t="inlineStr">
        <is>
          <t>— Entailment (Pers. 12-13)</t>
        </is>
      </c>
      <c r="D928" s="3" t="inlineStr">
        <is>
          <t>Entailment = Σverdict(sᵢ)/m</t>
        </is>
      </c>
      <c r="E928" s="3" t="inlineStr">
        <is>
          <t>2 klaim YA dari 6 klaim dievaluasi</t>
        </is>
      </c>
      <c r="F928" t="n">
        <v>0.3333</v>
      </c>
      <c r="G928" s="3" t="inlineStr">
        <is>
          <t>verdict per klaim: sheet 'Entailment Detail'</t>
        </is>
      </c>
    </row>
    <row r="929">
      <c r="A929" t="n">
        <v>63</v>
      </c>
      <c r="B929" t="inlineStr">
        <is>
          <t>B</t>
        </is>
      </c>
      <c r="C929" t="inlineStr">
        <is>
          <t>— Keyword Overlap (Pers. 14)</t>
        </is>
      </c>
      <c r="D929" s="3" t="inlineStr">
        <is>
          <t>KWoverlap = (|Stems(ans)∩Stems(ctx)| / |Stems(ctx)|)^0,65</t>
        </is>
      </c>
      <c r="E929" s="3" t="inlineStr">
        <is>
          <t>KWoverlap = (|∩|/|ctx|)^0,65 = (23/275)^0,65 = 0.0836^0,65 = 0.1993</t>
        </is>
      </c>
      <c r="F929" t="n">
        <v>0.1993</v>
      </c>
      <c r="G929" s="3" t="inlineStr"/>
    </row>
    <row r="930">
      <c r="A930" t="n">
        <v>63</v>
      </c>
      <c r="B930" t="inlineStr">
        <is>
          <t>B</t>
        </is>
      </c>
      <c r="C930" t="inlineStr">
        <is>
          <t>Hallucination Risk (Pers. 18)</t>
        </is>
      </c>
      <c r="D930" s="3" t="inlineStr">
        <is>
          <t>Risk = 0,65×(1-F) + 0,20×Contradiction + 0,15×Uncertainty</t>
        </is>
      </c>
      <c r="E930" s="3" t="inlineStr">
        <is>
          <t>Risk = 0,65×OutOfContext + 0,20×Contradiction + 0,15×Uncertainty = 0,65×0.7069 + 0,20×0.0000 + 0,15×0.00 = 0.4595 [SEDANG]</t>
        </is>
      </c>
      <c r="F930" t="n">
        <v>0.4595</v>
      </c>
      <c r="G930" s="3" t="inlineStr">
        <is>
          <t>label: SEDANG; kontradiksi 0/14 kalimat; uncertainty flag: False</t>
        </is>
      </c>
    </row>
    <row r="931">
      <c r="A931" t="n">
        <v>63</v>
      </c>
      <c r="B931" t="inlineStr">
        <is>
          <t>B</t>
        </is>
      </c>
      <c r="C931" t="inlineStr">
        <is>
          <t>Answer Accuracy (Pers. 20)</t>
        </is>
      </c>
      <c r="D931" s="3" t="inlineStr">
        <is>
          <t>Correctᵢ ∈ {0,1} via LLM-as-Judge (HASIL: BENAR/SALAH)</t>
        </is>
      </c>
      <c r="E931" s="3" t="inlineStr">
        <is>
          <t>BENAR</t>
        </is>
      </c>
      <c r="F931" t="inlineStr">
        <is>
          <t>BENAR</t>
        </is>
      </c>
      <c r="G931" s="3" t="inlineStr">
        <is>
          <t>evaluator: ollama/llama3</t>
        </is>
      </c>
    </row>
    <row r="932">
      <c r="A932" t="n">
        <v>64</v>
      </c>
      <c r="B932" t="inlineStr">
        <is>
          <t>A</t>
        </is>
      </c>
      <c r="C932" t="inlineStr">
        <is>
          <t>Precision@K (Pers. 2)</t>
        </is>
      </c>
      <c r="D932" s="3" t="inlineStr">
        <is>
          <t>Precision@K = |{d ∈ TopK : sim(q,d) ≥ θ}| / K</t>
        </is>
      </c>
      <c r="E932" s="3" t="inlineStr">
        <is>
          <t>skor = [0.7484, 0.7352, 0.7339, 0.7054, 0.6988, 0.688] → 6 / 6</t>
        </is>
      </c>
      <c r="F932" t="n">
        <v>1</v>
      </c>
      <c r="G932" s="3" t="inlineStr">
        <is>
          <t>basis: skor chunk nyata (sesuai contoh Pers. 2 skripsi)</t>
        </is>
      </c>
    </row>
    <row r="933">
      <c r="A933" t="n">
        <v>64</v>
      </c>
      <c r="B933" t="inlineStr">
        <is>
          <t>A</t>
        </is>
      </c>
      <c r="C933" t="inlineStr">
        <is>
          <t>Recall@K (Pers. 4)</t>
        </is>
      </c>
      <c r="D933" s="3" t="inlineStr">
        <is>
          <t>Recall@K = |{kata kunci ditemukan : sim ≥ θ}| / |R|</t>
        </is>
      </c>
      <c r="E933" s="3" t="inlineStr">
        <is>
          <t>skor = [0.6999, 0.6411, 0.5397, 0.4846, 0.4134, 0.4134] → 6 / 6</t>
        </is>
      </c>
      <c r="F933" t="n">
        <v>1</v>
      </c>
      <c r="G933" s="3" t="inlineStr"/>
    </row>
    <row r="934">
      <c r="A934" t="n">
        <v>64</v>
      </c>
      <c r="B934" t="inlineStr">
        <is>
          <t>A</t>
        </is>
      </c>
      <c r="C934" t="inlineStr">
        <is>
          <t>Mean Similarity (Pers. 6)</t>
        </is>
      </c>
      <c r="D934" s="3" t="inlineStr">
        <is>
          <t>MeanSim = (1/K) × Σ sim(q, dᵢ)</t>
        </is>
      </c>
      <c r="E934" s="3" t="inlineStr">
        <is>
          <t>skor = [0.7484, 0.7352, 0.7339, 0.7054, 0.6988, 0.688] → (0.7484 + 0.7352 + 0.7339 + 0.7054 + 0.6988 + 0.6880) / 6</t>
        </is>
      </c>
      <c r="F934" t="n">
        <v>0.7183</v>
      </c>
      <c r="G934" s="3" t="inlineStr"/>
    </row>
    <row r="935">
      <c r="A935" t="n">
        <v>64</v>
      </c>
      <c r="B935" t="inlineStr">
        <is>
          <t>A</t>
        </is>
      </c>
      <c r="C935" t="inlineStr">
        <is>
          <t>Coverage (Pers. 8)</t>
        </is>
      </c>
      <c r="D935" s="3" t="inlineStr">
        <is>
          <t>Coverage = |{dᵢ ∈ TopK : sim(q,dᵢ) ≥ θc}| / K</t>
        </is>
      </c>
      <c r="E935" s="3" t="inlineStr">
        <is>
          <t>skor = [0.7484, 0.7352, 0.7339, 0.7054, 0.6988, 0.688] → 6 / 6</t>
        </is>
      </c>
      <c r="F935" t="n">
        <v>1</v>
      </c>
      <c r="G935" s="3" t="inlineStr"/>
    </row>
    <row r="936">
      <c r="A936" t="n">
        <v>64</v>
      </c>
      <c r="B936" t="inlineStr">
        <is>
          <t>A</t>
        </is>
      </c>
      <c r="C936" t="inlineStr">
        <is>
          <t>Source Diversity (Pers. 10)</t>
        </is>
      </c>
      <c r="D936" s="3" t="inlineStr">
        <is>
          <t>Diversity = |sumber unik dalam TopK| / K</t>
        </is>
      </c>
      <c r="E936" s="3" t="inlineStr">
        <is>
          <t>skor = ['GT_CT13.txt', 'GT_DETAIL_PT13_Struktur_Data.txt', 'GT_SUBTOPIK_13_Graph_Tree.txt'] → 3 / 6</t>
        </is>
      </c>
      <c r="F936" t="n">
        <v>0.5</v>
      </c>
      <c r="G936" s="3" t="inlineStr">
        <is>
          <t>file unik: GT_CT13.txt, GT_DETAIL_PT13_Struktur_Data.txt, GT_SUBTOPIK_13_Graph_Tree.txt</t>
        </is>
      </c>
    </row>
    <row r="937">
      <c r="A937" t="n">
        <v>64</v>
      </c>
      <c r="B937" t="inlineStr">
        <is>
          <t>A</t>
        </is>
      </c>
      <c r="C937" t="inlineStr">
        <is>
          <t>Faithfulness (Pers. 15)</t>
        </is>
      </c>
      <c r="D937" s="3" t="inlineStr">
        <is>
          <t>F = 0,70×Entailment + 0,30×KWoverlap</t>
        </is>
      </c>
      <c r="E937" s="3" t="inlineStr">
        <is>
          <t>Faithfulness = 0,70×Entailment + 0,30×KWoverlap = 0,70×1.0000 + 0,30×0.3513 = 0.8054  (entailment: 6/6 klaim didukung; KWoverlap = (|∩|/|ctx|)^0,65 = (52/260)^0,65 = 0.2000^0,65 = 0.3513)</t>
        </is>
      </c>
      <c r="F937" t="n">
        <v>0.8054</v>
      </c>
      <c r="G937" s="3" t="inlineStr">
        <is>
          <t>metode: llm_entailment + keyword</t>
        </is>
      </c>
    </row>
    <row r="938">
      <c r="A938" t="n">
        <v>64</v>
      </c>
      <c r="B938" t="inlineStr">
        <is>
          <t>A</t>
        </is>
      </c>
      <c r="C938" t="inlineStr">
        <is>
          <t>— Entailment (Pers. 12-13)</t>
        </is>
      </c>
      <c r="D938" s="3" t="inlineStr">
        <is>
          <t>Entailment = Σverdict(sᵢ)/m</t>
        </is>
      </c>
      <c r="E938" s="3" t="inlineStr">
        <is>
          <t>6 klaim YA dari 6 klaim dievaluasi</t>
        </is>
      </c>
      <c r="F938" t="n">
        <v>1</v>
      </c>
      <c r="G938" s="3" t="inlineStr">
        <is>
          <t>verdict per klaim: sheet 'Entailment Detail'</t>
        </is>
      </c>
    </row>
    <row r="939">
      <c r="A939" t="n">
        <v>64</v>
      </c>
      <c r="B939" t="inlineStr">
        <is>
          <t>A</t>
        </is>
      </c>
      <c r="C939" t="inlineStr">
        <is>
          <t>— Keyword Overlap (Pers. 14)</t>
        </is>
      </c>
      <c r="D939" s="3" t="inlineStr">
        <is>
          <t>KWoverlap = (|Stems(ans)∩Stems(ctx)| / |Stems(ctx)|)^0,65</t>
        </is>
      </c>
      <c r="E939" s="3" t="inlineStr">
        <is>
          <t>KWoverlap = (|∩|/|ctx|)^0,65 = (52/260)^0,65 = 0.2000^0,65 = 0.3513</t>
        </is>
      </c>
      <c r="F939" t="n">
        <v>0.3513</v>
      </c>
      <c r="G939" s="3" t="inlineStr"/>
    </row>
    <row r="940">
      <c r="A940" t="n">
        <v>64</v>
      </c>
      <c r="B940" t="inlineStr">
        <is>
          <t>A</t>
        </is>
      </c>
      <c r="C940" t="inlineStr">
        <is>
          <t>Hallucination Risk (Pers. 18)</t>
        </is>
      </c>
      <c r="D940" s="3" t="inlineStr">
        <is>
          <t>Risk = 0,65×(1-F) + 0,20×Contradiction + 0,15×Uncertainty</t>
        </is>
      </c>
      <c r="E940" s="3" t="inlineStr">
        <is>
          <t>Risk = 0,65×OutOfContext + 0,20×Contradiction + 0,15×Uncertainty = 0,65×0.1946 + 0,20×0.0000 + 0,15×0.00 = 0.1265 [RENDAH]</t>
        </is>
      </c>
      <c r="F940" t="n">
        <v>0.1265</v>
      </c>
      <c r="G940" s="3" t="inlineStr">
        <is>
          <t>label: RENDAH; kontradiksi 0/12 kalimat; uncertainty flag: False</t>
        </is>
      </c>
    </row>
    <row r="941">
      <c r="A941" t="n">
        <v>64</v>
      </c>
      <c r="B941" t="inlineStr">
        <is>
          <t>A</t>
        </is>
      </c>
      <c r="C941" t="inlineStr">
        <is>
          <t>Answer Accuracy (Pers. 20)</t>
        </is>
      </c>
      <c r="D941" s="3" t="inlineStr">
        <is>
          <t>Correctᵢ ∈ {0,1} via LLM-as-Judge (HASIL: BENAR/SALAH)</t>
        </is>
      </c>
      <c r="E941" s="3" t="inlineStr">
        <is>
          <t>Menurut saya, jawaban sistem sudah menjawab pertanyaan dengan benar berdasarkan referensi.
Jawaban sistem menjelaskan bahwa tree adalah "graph khusus" karena memiliki sifat hierarkis, yaitu setiap node (kecuali root) hanya memiliki 1 parent. Hal ini sesuai dengan definisi tree yang diterangkan dalam dokumen materi GT, yaitu memiliki struktur hierarkis yang unik dan tidak mengandung cycle.
Dengan</t>
        </is>
      </c>
      <c r="F941" t="inlineStr">
        <is>
          <t>BENAR</t>
        </is>
      </c>
      <c r="G941" s="3" t="inlineStr">
        <is>
          <t>evaluator: ollama/llama3</t>
        </is>
      </c>
    </row>
    <row r="942">
      <c r="A942" t="n">
        <v>64</v>
      </c>
      <c r="B942" t="inlineStr">
        <is>
          <t>B</t>
        </is>
      </c>
      <c r="C942" t="inlineStr">
        <is>
          <t>Faithfulness (Pers. 15)</t>
        </is>
      </c>
      <c r="D942" s="3" t="inlineStr">
        <is>
          <t>F = 0,70×Entailment + 0,30×KWoverlap</t>
        </is>
      </c>
      <c r="E942" s="3" t="inlineStr">
        <is>
          <t>Faithfulness = 0,70×Entailment + 0,30×KWoverlap = 0,70×1.0000 + 0,30×0.2008 = 0.7603  (entailment: 6/6 klaim didukung; KWoverlap = (|∩|/|ctx|)^0,65 = (22/260)^0,65 = 0.0846^0,65 = 0.2008)</t>
        </is>
      </c>
      <c r="F942" t="n">
        <v>0.7603</v>
      </c>
      <c r="G942" s="3" t="inlineStr">
        <is>
          <t>metode: llm_entailment + keyword</t>
        </is>
      </c>
    </row>
    <row r="943">
      <c r="A943" t="n">
        <v>64</v>
      </c>
      <c r="B943" t="inlineStr">
        <is>
          <t>B</t>
        </is>
      </c>
      <c r="C943" t="inlineStr">
        <is>
          <t>— Entailment (Pers. 12-13)</t>
        </is>
      </c>
      <c r="D943" s="3" t="inlineStr">
        <is>
          <t>Entailment = Σverdict(sᵢ)/m</t>
        </is>
      </c>
      <c r="E943" s="3" t="inlineStr">
        <is>
          <t>6 klaim YA dari 6 klaim dievaluasi</t>
        </is>
      </c>
      <c r="F943" t="n">
        <v>1</v>
      </c>
      <c r="G943" s="3" t="inlineStr">
        <is>
          <t>verdict per klaim: sheet 'Entailment Detail'</t>
        </is>
      </c>
    </row>
    <row r="944">
      <c r="A944" t="n">
        <v>64</v>
      </c>
      <c r="B944" t="inlineStr">
        <is>
          <t>B</t>
        </is>
      </c>
      <c r="C944" t="inlineStr">
        <is>
          <t>— Keyword Overlap (Pers. 14)</t>
        </is>
      </c>
      <c r="D944" s="3" t="inlineStr">
        <is>
          <t>KWoverlap = (|Stems(ans)∩Stems(ctx)| / |Stems(ctx)|)^0,65</t>
        </is>
      </c>
      <c r="E944" s="3" t="inlineStr">
        <is>
          <t>KWoverlap = (|∩|/|ctx|)^0,65 = (22/260)^0,65 = 0.0846^0,65 = 0.2008</t>
        </is>
      </c>
      <c r="F944" t="n">
        <v>0.2008</v>
      </c>
      <c r="G944" s="3" t="inlineStr"/>
    </row>
    <row r="945">
      <c r="A945" t="n">
        <v>64</v>
      </c>
      <c r="B945" t="inlineStr">
        <is>
          <t>B</t>
        </is>
      </c>
      <c r="C945" t="inlineStr">
        <is>
          <t>Hallucination Risk (Pers. 18)</t>
        </is>
      </c>
      <c r="D945" s="3" t="inlineStr">
        <is>
          <t>Risk = 0,65×(1-F) + 0,20×Contradiction + 0,15×Uncertainty</t>
        </is>
      </c>
      <c r="E945" s="3" t="inlineStr">
        <is>
          <t>Risk = 0,65×OutOfContext + 0,20×Contradiction + 0,15×Uncertainty = 0,65×0.2397 + 0,20×0.0000 + 0,15×0.00 = 0.1558 [RENDAH]</t>
        </is>
      </c>
      <c r="F945" t="n">
        <v>0.1558</v>
      </c>
      <c r="G945" s="3" t="inlineStr">
        <is>
          <t>label: RENDAH; kontradiksi 0/17 kalimat; uncertainty flag: False</t>
        </is>
      </c>
    </row>
    <row r="946">
      <c r="A946" t="n">
        <v>64</v>
      </c>
      <c r="B946" t="inlineStr">
        <is>
          <t>B</t>
        </is>
      </c>
      <c r="C946" t="inlineStr">
        <is>
          <t>Answer Accuracy (Pers. 20)</t>
        </is>
      </c>
      <c r="D946" s="3" t="inlineStr">
        <is>
          <t>Correctᵢ ∈ {0,1} via LLM-as-Judge (HASIL: BENAR/SALAH)</t>
        </is>
      </c>
      <c r="E946" s="3" t="inlineStr">
        <is>
          <t>The answer from the system is:
BENAR
According to the reference (dokumen materi GT), a tree is defined as a graph that satisfies three conditions: no loop, every node has at least one edge connected to another node, and there are no cycles. The system's explanation covers these concepts correctly, so I would rate it as BENAR.</t>
        </is>
      </c>
      <c r="F946" t="inlineStr">
        <is>
          <t>BENAR</t>
        </is>
      </c>
      <c r="G946" s="3" t="inlineStr">
        <is>
          <t>evaluator: ollama/llama3</t>
        </is>
      </c>
    </row>
    <row r="947">
      <c r="A947" t="n">
        <v>65</v>
      </c>
      <c r="B947" t="inlineStr">
        <is>
          <t>A</t>
        </is>
      </c>
      <c r="C947" t="inlineStr">
        <is>
          <t>Precision@K (Pers. 2)</t>
        </is>
      </c>
      <c r="D947" s="3" t="inlineStr">
        <is>
          <t>Precision@K = |{d ∈ TopK : sim(q,d) ≥ θ}| / K</t>
        </is>
      </c>
      <c r="E947" s="3" t="inlineStr">
        <is>
          <t>skor = [0.8055, 0.7844, 0.7761, 0.762, 0.7578, 0.7552] → 6 / 6</t>
        </is>
      </c>
      <c r="F947" t="n">
        <v>1</v>
      </c>
      <c r="G947" s="3" t="inlineStr">
        <is>
          <t>basis: skor chunk nyata (sesuai contoh Pers. 2 skripsi)</t>
        </is>
      </c>
    </row>
    <row r="948">
      <c r="A948" t="n">
        <v>65</v>
      </c>
      <c r="B948" t="inlineStr">
        <is>
          <t>A</t>
        </is>
      </c>
      <c r="C948" t="inlineStr">
        <is>
          <t>Recall@K (Pers. 4)</t>
        </is>
      </c>
      <c r="D948" s="3" t="inlineStr">
        <is>
          <t>Recall@K = |{kata kunci ditemukan : sim ≥ θ}| / |R|</t>
        </is>
      </c>
      <c r="E948" s="3" t="inlineStr">
        <is>
          <t>skor = [0.7034, 0.5796, 0.5796, 0.4566, 0.4543, 0.3957] → 6 / 6</t>
        </is>
      </c>
      <c r="F948" t="n">
        <v>1</v>
      </c>
      <c r="G948" s="3" t="inlineStr"/>
    </row>
    <row r="949">
      <c r="A949" t="n">
        <v>65</v>
      </c>
      <c r="B949" t="inlineStr">
        <is>
          <t>A</t>
        </is>
      </c>
      <c r="C949" t="inlineStr">
        <is>
          <t>Mean Similarity (Pers. 6)</t>
        </is>
      </c>
      <c r="D949" s="3" t="inlineStr">
        <is>
          <t>MeanSim = (1/K) × Σ sim(q, dᵢ)</t>
        </is>
      </c>
      <c r="E949" s="3" t="inlineStr">
        <is>
          <t>skor = [0.8055, 0.7844, 0.7761, 0.762, 0.7578, 0.7552] → (0.8055 + 0.7844 + 0.7761 + 0.7620 + 0.7578 + 0.7552) / 6</t>
        </is>
      </c>
      <c r="F949" t="n">
        <v>0.7735</v>
      </c>
      <c r="G949" s="3" t="inlineStr"/>
    </row>
    <row r="950">
      <c r="A950" t="n">
        <v>65</v>
      </c>
      <c r="B950" t="inlineStr">
        <is>
          <t>A</t>
        </is>
      </c>
      <c r="C950" t="inlineStr">
        <is>
          <t>Coverage (Pers. 8)</t>
        </is>
      </c>
      <c r="D950" s="3" t="inlineStr">
        <is>
          <t>Coverage = |{dᵢ ∈ TopK : sim(q,dᵢ) ≥ θc}| / K</t>
        </is>
      </c>
      <c r="E950" s="3" t="inlineStr">
        <is>
          <t>skor = [0.8055, 0.7844, 0.7761, 0.762, 0.7578, 0.7552] → 6 / 6</t>
        </is>
      </c>
      <c r="F950" t="n">
        <v>1</v>
      </c>
      <c r="G950" s="3" t="inlineStr"/>
    </row>
    <row r="951">
      <c r="A951" t="n">
        <v>65</v>
      </c>
      <c r="B951" t="inlineStr">
        <is>
          <t>A</t>
        </is>
      </c>
      <c r="C951" t="inlineStr">
        <is>
          <t>Source Diversity (Pers. 10)</t>
        </is>
      </c>
      <c r="D951" s="3" t="inlineStr">
        <is>
          <t>Diversity = |sumber unik dalam TopK| / K</t>
        </is>
      </c>
      <c r="E951" s="3" t="inlineStr">
        <is>
          <t>skor = ['GT_CT05.txt', 'GT_CT07.txt', 'GT_CT09.txt', 'GT_CT13.txt', 'GT_DETAIL_PT13_Struktur_Data.txt', 'GT_SUBTOPIK_03_Pola_Bilangan_Deret.txt'] → 6 / 6</t>
        </is>
      </c>
      <c r="F951" t="n">
        <v>1</v>
      </c>
      <c r="G951" s="3" t="inlineStr">
        <is>
          <t>file unik: GT_CT05.txt, GT_CT07.txt, GT_CT09.txt, GT_CT13.txt, GT_DETAIL_PT13_Struktur_Data.txt, GT_SUBTOPIK_03_Pola_Bilangan_Deret.txt</t>
        </is>
      </c>
    </row>
    <row r="952">
      <c r="A952" t="n">
        <v>65</v>
      </c>
      <c r="B952" t="inlineStr">
        <is>
          <t>A</t>
        </is>
      </c>
      <c r="C952" t="inlineStr">
        <is>
          <t>Faithfulness (Pers. 15)</t>
        </is>
      </c>
      <c r="D952" s="3" t="inlineStr">
        <is>
          <t>F = 0,70×Entailment + 0,30×KWoverlap</t>
        </is>
      </c>
      <c r="E952" s="3" t="inlineStr">
        <is>
          <t>Faithfulness = 0,70×Entailment + 0,30×KWoverlap = 0,70×1.0000 + 0,30×0.1878 = 0.7563  (entailment: 6/6 klaim didukung; KWoverlap = (|∩|/|ctx|)^0,65 = (19/249)^0,65 = 0.0763^0,65 = 0.1878)</t>
        </is>
      </c>
      <c r="F952" t="n">
        <v>0.7563</v>
      </c>
      <c r="G952" s="3" t="inlineStr">
        <is>
          <t>metode: llm_entailment + keyword</t>
        </is>
      </c>
    </row>
    <row r="953">
      <c r="A953" t="n">
        <v>65</v>
      </c>
      <c r="B953" t="inlineStr">
        <is>
          <t>A</t>
        </is>
      </c>
      <c r="C953" t="inlineStr">
        <is>
          <t>— Entailment (Pers. 12-13)</t>
        </is>
      </c>
      <c r="D953" s="3" t="inlineStr">
        <is>
          <t>Entailment = Σverdict(sᵢ)/m</t>
        </is>
      </c>
      <c r="E953" s="3" t="inlineStr">
        <is>
          <t>6 klaim YA dari 6 klaim dievaluasi</t>
        </is>
      </c>
      <c r="F953" t="n">
        <v>1</v>
      </c>
      <c r="G953" s="3" t="inlineStr">
        <is>
          <t>verdict per klaim: sheet 'Entailment Detail'</t>
        </is>
      </c>
    </row>
    <row r="954">
      <c r="A954" t="n">
        <v>65</v>
      </c>
      <c r="B954" t="inlineStr">
        <is>
          <t>A</t>
        </is>
      </c>
      <c r="C954" t="inlineStr">
        <is>
          <t>— Keyword Overlap (Pers. 14)</t>
        </is>
      </c>
      <c r="D954" s="3" t="inlineStr">
        <is>
          <t>KWoverlap = (|Stems(ans)∩Stems(ctx)| / |Stems(ctx)|)^0,65</t>
        </is>
      </c>
      <c r="E954" s="3" t="inlineStr">
        <is>
          <t>KWoverlap = (|∩|/|ctx|)^0,65 = (19/249)^0,65 = 0.0763^0,65 = 0.1878</t>
        </is>
      </c>
      <c r="F954" t="n">
        <v>0.1878</v>
      </c>
      <c r="G954" s="3" t="inlineStr"/>
    </row>
    <row r="955">
      <c r="A955" t="n">
        <v>65</v>
      </c>
      <c r="B955" t="inlineStr">
        <is>
          <t>A</t>
        </is>
      </c>
      <c r="C955" t="inlineStr">
        <is>
          <t>Hallucination Risk (Pers. 18)</t>
        </is>
      </c>
      <c r="D955" s="3" t="inlineStr">
        <is>
          <t>Risk = 0,65×(1-F) + 0,20×Contradiction + 0,15×Uncertainty</t>
        </is>
      </c>
      <c r="E955" s="3" t="inlineStr">
        <is>
          <t>Risk = 0,65×OutOfContext + 0,20×Contradiction + 0,15×Uncertainty = 0,65×0.2437 + 0,20×0.0000 + 0,15×0.00 = 0.1584 [RENDAH]</t>
        </is>
      </c>
      <c r="F955" t="n">
        <v>0.1584</v>
      </c>
      <c r="G955" s="3" t="inlineStr">
        <is>
          <t>label: RENDAH; kontradiksi 0/11 kalimat; uncertainty flag: False</t>
        </is>
      </c>
    </row>
    <row r="956">
      <c r="A956" t="n">
        <v>65</v>
      </c>
      <c r="B956" t="inlineStr">
        <is>
          <t>A</t>
        </is>
      </c>
      <c r="C956" t="inlineStr">
        <is>
          <t>Answer Accuracy (Pers. 20)</t>
        </is>
      </c>
      <c r="D956" s="3" t="inlineStr">
        <is>
          <t>Correctᵢ ∈ {0,1} via LLM-as-Judge (HASIL: BENAR/SALAH)</t>
        </is>
      </c>
      <c r="E956" s="3" t="inlineStr">
        <is>
          <t>BENAR</t>
        </is>
      </c>
      <c r="F956" t="inlineStr">
        <is>
          <t>BENAR</t>
        </is>
      </c>
      <c r="G956" s="3" t="inlineStr">
        <is>
          <t>evaluator: ollama/llama3</t>
        </is>
      </c>
    </row>
    <row r="957">
      <c r="A957" t="n">
        <v>65</v>
      </c>
      <c r="B957" t="inlineStr">
        <is>
          <t>B</t>
        </is>
      </c>
      <c r="C957" t="inlineStr">
        <is>
          <t>Faithfulness (Pers. 15)</t>
        </is>
      </c>
      <c r="D957" s="3" t="inlineStr">
        <is>
          <t>F = 0,70×Entailment + 0,30×KWoverlap</t>
        </is>
      </c>
      <c r="E957" s="3" t="inlineStr">
        <is>
          <t>Faithfulness = 0,70×Entailment + 0,30×KWoverlap = 0,70×1.0000 + 0,30×0.1237 = 0.7371  (entailment: 6/6 klaim didukung; KWoverlap = (|∩|/|ctx|)^0,65 = (10/249)^0,65 = 0.0402^0,65 = 0.1237)</t>
        </is>
      </c>
      <c r="F957" t="n">
        <v>0.7371</v>
      </c>
      <c r="G957" s="3" t="inlineStr">
        <is>
          <t>metode: llm_entailment + keyword</t>
        </is>
      </c>
    </row>
    <row r="958">
      <c r="A958" t="n">
        <v>65</v>
      </c>
      <c r="B958" t="inlineStr">
        <is>
          <t>B</t>
        </is>
      </c>
      <c r="C958" t="inlineStr">
        <is>
          <t>— Entailment (Pers. 12-13)</t>
        </is>
      </c>
      <c r="D958" s="3" t="inlineStr">
        <is>
          <t>Entailment = Σverdict(sᵢ)/m</t>
        </is>
      </c>
      <c r="E958" s="3" t="inlineStr">
        <is>
          <t>6 klaim YA dari 6 klaim dievaluasi</t>
        </is>
      </c>
      <c r="F958" t="n">
        <v>1</v>
      </c>
      <c r="G958" s="3" t="inlineStr">
        <is>
          <t>verdict per klaim: sheet 'Entailment Detail'</t>
        </is>
      </c>
    </row>
    <row r="959">
      <c r="A959" t="n">
        <v>65</v>
      </c>
      <c r="B959" t="inlineStr">
        <is>
          <t>B</t>
        </is>
      </c>
      <c r="C959" t="inlineStr">
        <is>
          <t>— Keyword Overlap (Pers. 14)</t>
        </is>
      </c>
      <c r="D959" s="3" t="inlineStr">
        <is>
          <t>KWoverlap = (|Stems(ans)∩Stems(ctx)| / |Stems(ctx)|)^0,65</t>
        </is>
      </c>
      <c r="E959" s="3" t="inlineStr">
        <is>
          <t>KWoverlap = (|∩|/|ctx|)^0,65 = (10/249)^0,65 = 0.0402^0,65 = 0.1237</t>
        </is>
      </c>
      <c r="F959" t="n">
        <v>0.1237</v>
      </c>
      <c r="G959" s="3" t="inlineStr"/>
    </row>
    <row r="960">
      <c r="A960" t="n">
        <v>65</v>
      </c>
      <c r="B960" t="inlineStr">
        <is>
          <t>B</t>
        </is>
      </c>
      <c r="C960" t="inlineStr">
        <is>
          <t>Hallucination Risk (Pers. 18)</t>
        </is>
      </c>
      <c r="D960" s="3" t="inlineStr">
        <is>
          <t>Risk = 0,65×(1-F) + 0,20×Contradiction + 0,15×Uncertainty</t>
        </is>
      </c>
      <c r="E960" s="3" t="inlineStr">
        <is>
          <t>Risk = 0,65×OutOfContext + 0,20×Contradiction + 0,15×Uncertainty = 0,65×0.2629 + 0,20×0.0000 + 0,15×0.00 = 0.1709 [RENDAH]</t>
        </is>
      </c>
      <c r="F960" t="n">
        <v>0.1709</v>
      </c>
      <c r="G960" s="3" t="inlineStr">
        <is>
          <t>label: RENDAH; kontradiksi 0/118 kalimat; uncertainty flag: False</t>
        </is>
      </c>
    </row>
    <row r="961">
      <c r="A961" t="n">
        <v>65</v>
      </c>
      <c r="B961" t="inlineStr">
        <is>
          <t>B</t>
        </is>
      </c>
      <c r="C961" t="inlineStr">
        <is>
          <t>Answer Accuracy (Pers. 20)</t>
        </is>
      </c>
      <c r="D961" s="3" t="inlineStr">
        <is>
          <t>Correctᵢ ∈ {0,1} via LLM-as-Judge (HASIL: BENAR/SALAH)</t>
        </is>
      </c>
      <c r="E961" s="3" t="inlineStr"/>
      <c r="F961" t="inlineStr">
        <is>
          <t>BENAR</t>
        </is>
      </c>
      <c r="G961" s="3" t="inlineStr">
        <is>
          <t>evaluator: ollama/llama3</t>
        </is>
      </c>
    </row>
    <row r="962">
      <c r="A962" t="n">
        <v>66</v>
      </c>
      <c r="B962" t="inlineStr">
        <is>
          <t>A</t>
        </is>
      </c>
      <c r="C962" t="inlineStr">
        <is>
          <t>Precision@K (Pers. 2)</t>
        </is>
      </c>
      <c r="D962" s="3" t="inlineStr">
        <is>
          <t>Precision@K = |{d ∈ TopK : sim(q,d) ≥ θ}| / K</t>
        </is>
      </c>
      <c r="E962" s="3" t="inlineStr">
        <is>
          <t>skor = [0.7389, 0.7376, 0.7372, 0.7262, 0.7257, 0.7249] → 6 / 6</t>
        </is>
      </c>
      <c r="F962" t="n">
        <v>1</v>
      </c>
      <c r="G962" s="3" t="inlineStr">
        <is>
          <t>basis: skor chunk nyata (sesuai contoh Pers. 2 skripsi)</t>
        </is>
      </c>
    </row>
    <row r="963">
      <c r="A963" t="n">
        <v>66</v>
      </c>
      <c r="B963" t="inlineStr">
        <is>
          <t>A</t>
        </is>
      </c>
      <c r="C963" t="inlineStr">
        <is>
          <t>Recall@K (Pers. 4)</t>
        </is>
      </c>
      <c r="D963" s="3" t="inlineStr">
        <is>
          <t>Recall@K = |{kata kunci ditemukan : sim ≥ θ}| / |R|</t>
        </is>
      </c>
      <c r="E963" s="3" t="inlineStr">
        <is>
          <t>skor = [0.5882, 0.5882, 0.5062, 0.4736, 0.4695, 0.4612] → 6 / 7</t>
        </is>
      </c>
      <c r="F963" t="n">
        <v>0.8571</v>
      </c>
      <c r="G963" s="3" t="inlineStr"/>
    </row>
    <row r="964">
      <c r="A964" t="n">
        <v>66</v>
      </c>
      <c r="B964" t="inlineStr">
        <is>
          <t>A</t>
        </is>
      </c>
      <c r="C964" t="inlineStr">
        <is>
          <t>Mean Similarity (Pers. 6)</t>
        </is>
      </c>
      <c r="D964" s="3" t="inlineStr">
        <is>
          <t>MeanSim = (1/K) × Σ sim(q, dᵢ)</t>
        </is>
      </c>
      <c r="E964" s="3" t="inlineStr">
        <is>
          <t>skor = [0.7389, 0.7376, 0.7372, 0.7262, 0.7257, 0.7249] → (0.7389 + 0.7376 + 0.7372 + 0.7262 + 0.7257 + 0.7249) / 6</t>
        </is>
      </c>
      <c r="F964" t="n">
        <v>0.7318</v>
      </c>
      <c r="G964" s="3" t="inlineStr"/>
    </row>
    <row r="965">
      <c r="A965" t="n">
        <v>66</v>
      </c>
      <c r="B965" t="inlineStr">
        <is>
          <t>A</t>
        </is>
      </c>
      <c r="C965" t="inlineStr">
        <is>
          <t>Coverage (Pers. 8)</t>
        </is>
      </c>
      <c r="D965" s="3" t="inlineStr">
        <is>
          <t>Coverage = |{dᵢ ∈ TopK : sim(q,dᵢ) ≥ θc}| / K</t>
        </is>
      </c>
      <c r="E965" s="3" t="inlineStr">
        <is>
          <t>skor = [0.7389, 0.7376, 0.7372, 0.7262, 0.7257, 0.7249] → 6 / 6</t>
        </is>
      </c>
      <c r="F965" t="n">
        <v>1</v>
      </c>
      <c r="G965" s="3" t="inlineStr"/>
    </row>
    <row r="966">
      <c r="A966" t="n">
        <v>66</v>
      </c>
      <c r="B966" t="inlineStr">
        <is>
          <t>A</t>
        </is>
      </c>
      <c r="C966" t="inlineStr">
        <is>
          <t>Source Diversity (Pers. 10)</t>
        </is>
      </c>
      <c r="D966" s="3" t="inlineStr">
        <is>
          <t>Diversity = |sumber unik dalam TopK| / K</t>
        </is>
      </c>
      <c r="E966" s="3" t="inlineStr">
        <is>
          <t>skor = ['GT_CT07.txt', 'GT_CT09.txt', 'GT_CT13.txt', 'GT_DETAIL_PT09_Variabel_TipeData_Operator_List.txt', 'GT_DETAIL_PT11_Perulangan.txt', 'GT_SUBTOPIK_13_Graph_Tree.txt'] → 6 / 6</t>
        </is>
      </c>
      <c r="F966" t="n">
        <v>1</v>
      </c>
      <c r="G966" s="3" t="inlineStr">
        <is>
          <t>file unik: GT_CT07.txt, GT_CT09.txt, GT_CT13.txt, GT_DETAIL_PT09_Variabel_TipeData_Operator_List.txt, GT_DETAIL_PT11_Perulangan.txt, GT_SUBTOPIK_13_Graph_Tree.txt</t>
        </is>
      </c>
    </row>
    <row r="967">
      <c r="A967" t="n">
        <v>66</v>
      </c>
      <c r="B967" t="inlineStr">
        <is>
          <t>A</t>
        </is>
      </c>
      <c r="C967" t="inlineStr">
        <is>
          <t>Faithfulness (Pers. 15)</t>
        </is>
      </c>
      <c r="D967" s="3" t="inlineStr">
        <is>
          <t>F = 0,70×Entailment + 0,30×KWoverlap</t>
        </is>
      </c>
      <c r="E967" s="3" t="inlineStr">
        <is>
          <t>Faithfulness = 0,70×Entailment + 0,30×KWoverlap = 0,70×0.8333 + 0,30×0.2764 = 0.6662  (entailment: 5/6 klaim didukung; KWoverlap = (|∩|/|ctx|)^0,65 = (35/253)^0,65 = 0.1383^0,65 = 0.2764)</t>
        </is>
      </c>
      <c r="F967" t="n">
        <v>0.6662</v>
      </c>
      <c r="G967" s="3" t="inlineStr">
        <is>
          <t>metode: llm_entailment + keyword</t>
        </is>
      </c>
    </row>
    <row r="968">
      <c r="A968" t="n">
        <v>66</v>
      </c>
      <c r="B968" t="inlineStr">
        <is>
          <t>A</t>
        </is>
      </c>
      <c r="C968" t="inlineStr">
        <is>
          <t>— Entailment (Pers. 12-13)</t>
        </is>
      </c>
      <c r="D968" s="3" t="inlineStr">
        <is>
          <t>Entailment = Σverdict(sᵢ)/m</t>
        </is>
      </c>
      <c r="E968" s="3" t="inlineStr">
        <is>
          <t>5 klaim YA dari 6 klaim dievaluasi</t>
        </is>
      </c>
      <c r="F968" t="n">
        <v>0.8333</v>
      </c>
      <c r="G968" s="3" t="inlineStr">
        <is>
          <t>verdict per klaim: sheet 'Entailment Detail'</t>
        </is>
      </c>
    </row>
    <row r="969">
      <c r="A969" t="n">
        <v>66</v>
      </c>
      <c r="B969" t="inlineStr">
        <is>
          <t>A</t>
        </is>
      </c>
      <c r="C969" t="inlineStr">
        <is>
          <t>— Keyword Overlap (Pers. 14)</t>
        </is>
      </c>
      <c r="D969" s="3" t="inlineStr">
        <is>
          <t>KWoverlap = (|Stems(ans)∩Stems(ctx)| / |Stems(ctx)|)^0,65</t>
        </is>
      </c>
      <c r="E969" s="3" t="inlineStr">
        <is>
          <t>KWoverlap = (|∩|/|ctx|)^0,65 = (35/253)^0,65 = 0.1383^0,65 = 0.2764</t>
        </is>
      </c>
      <c r="F969" t="n">
        <v>0.2764</v>
      </c>
      <c r="G969" s="3" t="inlineStr"/>
    </row>
    <row r="970">
      <c r="A970" t="n">
        <v>66</v>
      </c>
      <c r="B970" t="inlineStr">
        <is>
          <t>A</t>
        </is>
      </c>
      <c r="C970" t="inlineStr">
        <is>
          <t>Hallucination Risk (Pers. 18)</t>
        </is>
      </c>
      <c r="D970" s="3" t="inlineStr">
        <is>
          <t>Risk = 0,65×(1-F) + 0,20×Contradiction + 0,15×Uncertainty</t>
        </is>
      </c>
      <c r="E970" s="3" t="inlineStr">
        <is>
          <t>Risk = 0,65×OutOfContext + 0,20×Contradiction + 0,15×Uncertainty = 0,65×0.3338 + 0,20×0.0000 + 0,15×0.00 = 0.2170 [RENDAH]</t>
        </is>
      </c>
      <c r="F970" t="n">
        <v>0.217</v>
      </c>
      <c r="G970" s="3" t="inlineStr">
        <is>
          <t>label: RENDAH; kontradiksi 0/15 kalimat; uncertainty flag: False</t>
        </is>
      </c>
    </row>
    <row r="971">
      <c r="A971" t="n">
        <v>66</v>
      </c>
      <c r="B971" t="inlineStr">
        <is>
          <t>A</t>
        </is>
      </c>
      <c r="C971" t="inlineStr">
        <is>
          <t>Answer Accuracy (Pers. 20)</t>
        </is>
      </c>
      <c r="D971" s="3" t="inlineStr">
        <is>
          <t>Correctᵢ ∈ {0,1} via LLM-as-Judge (HASIL: BENAR/SALAH)</t>
        </is>
      </c>
      <c r="E971" s="3" t="inlineStr">
        <is>
          <t>JAWABAN:</t>
        </is>
      </c>
      <c r="F971" t="inlineStr">
        <is>
          <t>BENAR</t>
        </is>
      </c>
      <c r="G971" s="3" t="inlineStr">
        <is>
          <t>evaluator: ollama/llama3</t>
        </is>
      </c>
    </row>
    <row r="972">
      <c r="A972" t="n">
        <v>66</v>
      </c>
      <c r="B972" t="inlineStr">
        <is>
          <t>B</t>
        </is>
      </c>
      <c r="C972" t="inlineStr">
        <is>
          <t>Faithfulness (Pers. 15)</t>
        </is>
      </c>
      <c r="D972" s="3" t="inlineStr">
        <is>
          <t>F = 0,70×Entailment + 0,30×KWoverlap</t>
        </is>
      </c>
      <c r="E972" s="3" t="inlineStr">
        <is>
          <t>Faithfulness = 0,70×Entailment + 0,30×KWoverlap = 0,70×1.0000 + 0,30×0.2104 = 0.7631  (entailment: 6/6 klaim didukung; KWoverlap = (|∩|/|ctx|)^0,65 = (23/253)^0,65 = 0.0909^0,65 = 0.2104)</t>
        </is>
      </c>
      <c r="F972" t="n">
        <v>0.7631</v>
      </c>
      <c r="G972" s="3" t="inlineStr">
        <is>
          <t>metode: llm_entailment + keyword</t>
        </is>
      </c>
    </row>
    <row r="973">
      <c r="A973" t="n">
        <v>66</v>
      </c>
      <c r="B973" t="inlineStr">
        <is>
          <t>B</t>
        </is>
      </c>
      <c r="C973" t="inlineStr">
        <is>
          <t>— Entailment (Pers. 12-13)</t>
        </is>
      </c>
      <c r="D973" s="3" t="inlineStr">
        <is>
          <t>Entailment = Σverdict(sᵢ)/m</t>
        </is>
      </c>
      <c r="E973" s="3" t="inlineStr">
        <is>
          <t>6 klaim YA dari 6 klaim dievaluasi</t>
        </is>
      </c>
      <c r="F973" t="n">
        <v>1</v>
      </c>
      <c r="G973" s="3" t="inlineStr">
        <is>
          <t>verdict per klaim: sheet 'Entailment Detail'</t>
        </is>
      </c>
    </row>
    <row r="974">
      <c r="A974" t="n">
        <v>66</v>
      </c>
      <c r="B974" t="inlineStr">
        <is>
          <t>B</t>
        </is>
      </c>
      <c r="C974" t="inlineStr">
        <is>
          <t>— Keyword Overlap (Pers. 14)</t>
        </is>
      </c>
      <c r="D974" s="3" t="inlineStr">
        <is>
          <t>KWoverlap = (|Stems(ans)∩Stems(ctx)| / |Stems(ctx)|)^0,65</t>
        </is>
      </c>
      <c r="E974" s="3" t="inlineStr">
        <is>
          <t>KWoverlap = (|∩|/|ctx|)^0,65 = (23/253)^0,65 = 0.0909^0,65 = 0.2104</t>
        </is>
      </c>
      <c r="F974" t="n">
        <v>0.2104</v>
      </c>
      <c r="G974" s="3" t="inlineStr"/>
    </row>
    <row r="975">
      <c r="A975" t="n">
        <v>66</v>
      </c>
      <c r="B975" t="inlineStr">
        <is>
          <t>B</t>
        </is>
      </c>
      <c r="C975" t="inlineStr">
        <is>
          <t>Hallucination Risk (Pers. 18)</t>
        </is>
      </c>
      <c r="D975" s="3" t="inlineStr">
        <is>
          <t>Risk = 0,65×(1-F) + 0,20×Contradiction + 0,15×Uncertainty</t>
        </is>
      </c>
      <c r="E975" s="3" t="inlineStr">
        <is>
          <t>Risk = 0,65×OutOfContext + 0,20×Contradiction + 0,15×Uncertainty = 0,65×0.2369 + 0,20×0.0000 + 0,15×0.00 = 0.1540 [RENDAH]</t>
        </is>
      </c>
      <c r="F975" t="n">
        <v>0.154</v>
      </c>
      <c r="G975" s="3" t="inlineStr">
        <is>
          <t>label: RENDAH; kontradiksi 0/11 kalimat; uncertainty flag: False</t>
        </is>
      </c>
    </row>
    <row r="976">
      <c r="A976" t="n">
        <v>66</v>
      </c>
      <c r="B976" t="inlineStr">
        <is>
          <t>B</t>
        </is>
      </c>
      <c r="C976" t="inlineStr">
        <is>
          <t>Answer Accuracy (Pers. 20)</t>
        </is>
      </c>
      <c r="D976" s="3" t="inlineStr">
        <is>
          <t>Correctᵢ ∈ {0,1} via LLM-as-Judge (HASIL: BENAR/SALAH)</t>
        </is>
      </c>
      <c r="E976" s="3" t="inlineStr">
        <is>
          <t>BENAR</t>
        </is>
      </c>
      <c r="F976" t="inlineStr">
        <is>
          <t>BENAR</t>
        </is>
      </c>
      <c r="G976" s="3" t="inlineStr">
        <is>
          <t>evaluator: ollama/llama3</t>
        </is>
      </c>
    </row>
    <row r="977">
      <c r="A977" t="n">
        <v>67</v>
      </c>
      <c r="B977" t="inlineStr">
        <is>
          <t>A</t>
        </is>
      </c>
      <c r="C977" t="inlineStr">
        <is>
          <t>Precision@K (Pers. 2)</t>
        </is>
      </c>
      <c r="D977" s="3" t="inlineStr">
        <is>
          <t>Precision@K = |{d ∈ TopK : sim(q,d) ≥ θ}| / K</t>
        </is>
      </c>
      <c r="E977" s="3" t="inlineStr">
        <is>
          <t>skor = [0.7734, 0.7706, 0.7445, 0.7398, 0.7225, 0.7207] → 6 / 6</t>
        </is>
      </c>
      <c r="F977" t="n">
        <v>1</v>
      </c>
      <c r="G977" s="3" t="inlineStr">
        <is>
          <t>basis: skor chunk nyata (sesuai contoh Pers. 2 skripsi)</t>
        </is>
      </c>
    </row>
    <row r="978">
      <c r="A978" t="n">
        <v>67</v>
      </c>
      <c r="B978" t="inlineStr">
        <is>
          <t>A</t>
        </is>
      </c>
      <c r="C978" t="inlineStr">
        <is>
          <t>Recall@K (Pers. 4)</t>
        </is>
      </c>
      <c r="D978" s="3" t="inlineStr">
        <is>
          <t>Recall@K = |{kata kunci ditemukan : sim ≥ θ}| / |R|</t>
        </is>
      </c>
      <c r="E978" s="3" t="inlineStr">
        <is>
          <t>skor = [0.6968, 0.6712, 0.583, 0.4665, 0.4285, 0.4046] → 6 / 6</t>
        </is>
      </c>
      <c r="F978" t="n">
        <v>1</v>
      </c>
      <c r="G978" s="3" t="inlineStr"/>
    </row>
    <row r="979">
      <c r="A979" t="n">
        <v>67</v>
      </c>
      <c r="B979" t="inlineStr">
        <is>
          <t>A</t>
        </is>
      </c>
      <c r="C979" t="inlineStr">
        <is>
          <t>Mean Similarity (Pers. 6)</t>
        </is>
      </c>
      <c r="D979" s="3" t="inlineStr">
        <is>
          <t>MeanSim = (1/K) × Σ sim(q, dᵢ)</t>
        </is>
      </c>
      <c r="E979" s="3" t="inlineStr">
        <is>
          <t>skor = [0.7734, 0.7706, 0.7445, 0.7398, 0.7225, 0.7207] → (0.7734 + 0.7706 + 0.7445 + 0.7398 + 0.7225 + 0.7207) / 6</t>
        </is>
      </c>
      <c r="F979" t="n">
        <v>0.7452</v>
      </c>
      <c r="G979" s="3" t="inlineStr"/>
    </row>
    <row r="980">
      <c r="A980" t="n">
        <v>67</v>
      </c>
      <c r="B980" t="inlineStr">
        <is>
          <t>A</t>
        </is>
      </c>
      <c r="C980" t="inlineStr">
        <is>
          <t>Coverage (Pers. 8)</t>
        </is>
      </c>
      <c r="D980" s="3" t="inlineStr">
        <is>
          <t>Coverage = |{dᵢ ∈ TopK : sim(q,dᵢ) ≥ θc}| / K</t>
        </is>
      </c>
      <c r="E980" s="3" t="inlineStr">
        <is>
          <t>skor = [0.7734, 0.7706, 0.7445, 0.7398, 0.7225, 0.7207] → 6 / 6</t>
        </is>
      </c>
      <c r="F980" t="n">
        <v>1</v>
      </c>
      <c r="G980" s="3" t="inlineStr"/>
    </row>
    <row r="981">
      <c r="A981" t="n">
        <v>67</v>
      </c>
      <c r="B981" t="inlineStr">
        <is>
          <t>A</t>
        </is>
      </c>
      <c r="C981" t="inlineStr">
        <is>
          <t>Source Diversity (Pers. 10)</t>
        </is>
      </c>
      <c r="D981" s="3" t="inlineStr">
        <is>
          <t>Diversity = |sumber unik dalam TopK| / K</t>
        </is>
      </c>
      <c r="E981" s="3" t="inlineStr">
        <is>
          <t>skor = ['5PAI.txt', '6TGI.txt', 'GT_CT13.txt', 'GT_DETAIL_PT13_Struktur_Data.txt'] → 4 / 6</t>
        </is>
      </c>
      <c r="F981" t="n">
        <v>0.6667</v>
      </c>
      <c r="G981" s="3" t="inlineStr">
        <is>
          <t>file unik: 5PAI.txt, 6TGI.txt, GT_CT13.txt, GT_DETAIL_PT13_Struktur_Data.txt</t>
        </is>
      </c>
    </row>
    <row r="982">
      <c r="A982" t="n">
        <v>67</v>
      </c>
      <c r="B982" t="inlineStr">
        <is>
          <t>A</t>
        </is>
      </c>
      <c r="C982" t="inlineStr">
        <is>
          <t>Faithfulness (Pers. 15)</t>
        </is>
      </c>
      <c r="D982" s="3" t="inlineStr">
        <is>
          <t>F = 0,70×Entailment + 0,30×KWoverlap</t>
        </is>
      </c>
      <c r="E982" s="3" t="inlineStr">
        <is>
          <t>Faithfulness = 0,70×Entailment + 0,30×KWoverlap = 0,70×1.0000 + 0,30×0.3022 = 0.7907  (entailment: 6/6 klaim didukung; KWoverlap = (|∩|/|ctx|)^0,65 = (33/208)^0,65 = 0.1587^0,65 = 0.3022)</t>
        </is>
      </c>
      <c r="F982" t="n">
        <v>0.7907</v>
      </c>
      <c r="G982" s="3" t="inlineStr">
        <is>
          <t>metode: llm_entailment + keyword</t>
        </is>
      </c>
    </row>
    <row r="983">
      <c r="A983" t="n">
        <v>67</v>
      </c>
      <c r="B983" t="inlineStr">
        <is>
          <t>A</t>
        </is>
      </c>
      <c r="C983" t="inlineStr">
        <is>
          <t>— Entailment (Pers. 12-13)</t>
        </is>
      </c>
      <c r="D983" s="3" t="inlineStr">
        <is>
          <t>Entailment = Σverdict(sᵢ)/m</t>
        </is>
      </c>
      <c r="E983" s="3" t="inlineStr">
        <is>
          <t>6 klaim YA dari 6 klaim dievaluasi</t>
        </is>
      </c>
      <c r="F983" t="n">
        <v>1</v>
      </c>
      <c r="G983" s="3" t="inlineStr">
        <is>
          <t>verdict per klaim: sheet 'Entailment Detail'</t>
        </is>
      </c>
    </row>
    <row r="984">
      <c r="A984" t="n">
        <v>67</v>
      </c>
      <c r="B984" t="inlineStr">
        <is>
          <t>A</t>
        </is>
      </c>
      <c r="C984" t="inlineStr">
        <is>
          <t>— Keyword Overlap (Pers. 14)</t>
        </is>
      </c>
      <c r="D984" s="3" t="inlineStr">
        <is>
          <t>KWoverlap = (|Stems(ans)∩Stems(ctx)| / |Stems(ctx)|)^0,65</t>
        </is>
      </c>
      <c r="E984" s="3" t="inlineStr">
        <is>
          <t>KWoverlap = (|∩|/|ctx|)^0,65 = (33/208)^0,65 = 0.1587^0,65 = 0.3022</t>
        </is>
      </c>
      <c r="F984" t="n">
        <v>0.3022</v>
      </c>
      <c r="G984" s="3" t="inlineStr"/>
    </row>
    <row r="985">
      <c r="A985" t="n">
        <v>67</v>
      </c>
      <c r="B985" t="inlineStr">
        <is>
          <t>A</t>
        </is>
      </c>
      <c r="C985" t="inlineStr">
        <is>
          <t>Hallucination Risk (Pers. 18)</t>
        </is>
      </c>
      <c r="D985" s="3" t="inlineStr">
        <is>
          <t>Risk = 0,65×(1-F) + 0,20×Contradiction + 0,15×Uncertainty</t>
        </is>
      </c>
      <c r="E985" s="3" t="inlineStr">
        <is>
          <t>Risk = 0,65×OutOfContext + 0,20×Contradiction + 0,15×Uncertainty = 0,65×0.2093 + 0,20×0.0000 + 0,15×0.00 = 0.1360 [RENDAH]</t>
        </is>
      </c>
      <c r="F985" t="n">
        <v>0.136</v>
      </c>
      <c r="G985" s="3" t="inlineStr">
        <is>
          <t>label: RENDAH; kontradiksi 0/7 kalimat; uncertainty flag: False</t>
        </is>
      </c>
    </row>
    <row r="986">
      <c r="A986" t="n">
        <v>67</v>
      </c>
      <c r="B986" t="inlineStr">
        <is>
          <t>A</t>
        </is>
      </c>
      <c r="C986" t="inlineStr">
        <is>
          <t>Answer Accuracy (Pers. 20)</t>
        </is>
      </c>
      <c r="D986" s="3" t="inlineStr">
        <is>
          <t>Correctᵢ ∈ {0,1} via LLM-as-Judge (HASIL: BENAR/SALAH)</t>
        </is>
      </c>
      <c r="E986" s="3" t="inlineStr">
        <is>
          <t>BENAR</t>
        </is>
      </c>
      <c r="F986" t="inlineStr">
        <is>
          <t>BENAR</t>
        </is>
      </c>
      <c r="G986" s="3" t="inlineStr">
        <is>
          <t>evaluator: ollama/llama3</t>
        </is>
      </c>
    </row>
    <row r="987">
      <c r="A987" t="n">
        <v>67</v>
      </c>
      <c r="B987" t="inlineStr">
        <is>
          <t>B</t>
        </is>
      </c>
      <c r="C987" t="inlineStr">
        <is>
          <t>Faithfulness (Pers. 15)</t>
        </is>
      </c>
      <c r="D987" s="3" t="inlineStr">
        <is>
          <t>F = 0,70×Entailment + 0,30×KWoverlap</t>
        </is>
      </c>
      <c r="E987" s="3" t="inlineStr">
        <is>
          <t>Faithfulness = 0,70×Entailment + 0,30×KWoverlap = 0,70×1.0000 + 0,30×0.2588 = 0.7776  (entailment: 5/5 klaim didukung; KWoverlap = (|∩|/|ctx|)^0,65 = (26/208)^0,65 = 0.1250^0,65 = 0.2588)</t>
        </is>
      </c>
      <c r="F987" t="n">
        <v>0.7776</v>
      </c>
      <c r="G987" s="3" t="inlineStr">
        <is>
          <t>metode: llm_entailment + keyword</t>
        </is>
      </c>
    </row>
    <row r="988">
      <c r="A988" t="n">
        <v>67</v>
      </c>
      <c r="B988" t="inlineStr">
        <is>
          <t>B</t>
        </is>
      </c>
      <c r="C988" t="inlineStr">
        <is>
          <t>— Entailment (Pers. 12-13)</t>
        </is>
      </c>
      <c r="D988" s="3" t="inlineStr">
        <is>
          <t>Entailment = Σverdict(sᵢ)/m</t>
        </is>
      </c>
      <c r="E988" s="3" t="inlineStr">
        <is>
          <t>5 klaim YA dari 5 klaim dievaluasi</t>
        </is>
      </c>
      <c r="F988" t="n">
        <v>1</v>
      </c>
      <c r="G988" s="3" t="inlineStr">
        <is>
          <t>verdict per klaim: sheet 'Entailment Detail'</t>
        </is>
      </c>
    </row>
    <row r="989">
      <c r="A989" t="n">
        <v>67</v>
      </c>
      <c r="B989" t="inlineStr">
        <is>
          <t>B</t>
        </is>
      </c>
      <c r="C989" t="inlineStr">
        <is>
          <t>— Keyword Overlap (Pers. 14)</t>
        </is>
      </c>
      <c r="D989" s="3" t="inlineStr">
        <is>
          <t>KWoverlap = (|Stems(ans)∩Stems(ctx)| / |Stems(ctx)|)^0,65</t>
        </is>
      </c>
      <c r="E989" s="3" t="inlineStr">
        <is>
          <t>KWoverlap = (|∩|/|ctx|)^0,65 = (26/208)^0,65 = 0.1250^0,65 = 0.2588</t>
        </is>
      </c>
      <c r="F989" t="n">
        <v>0.2588</v>
      </c>
      <c r="G989" s="3" t="inlineStr"/>
    </row>
    <row r="990">
      <c r="A990" t="n">
        <v>67</v>
      </c>
      <c r="B990" t="inlineStr">
        <is>
          <t>B</t>
        </is>
      </c>
      <c r="C990" t="inlineStr">
        <is>
          <t>Hallucination Risk (Pers. 18)</t>
        </is>
      </c>
      <c r="D990" s="3" t="inlineStr">
        <is>
          <t>Risk = 0,65×(1-F) + 0,20×Contradiction + 0,15×Uncertainty</t>
        </is>
      </c>
      <c r="E990" s="3" t="inlineStr">
        <is>
          <t>Risk = 0,65×OutOfContext + 0,20×Contradiction + 0,15×Uncertainty = 0,65×0.2224 + 0,20×0.0000 + 0,15×0.00 = 0.1446 [RENDAH]</t>
        </is>
      </c>
      <c r="F990" t="n">
        <v>0.1446</v>
      </c>
      <c r="G990" s="3" t="inlineStr">
        <is>
          <t>label: RENDAH; kontradiksi 0/6 kalimat; uncertainty flag: False</t>
        </is>
      </c>
    </row>
    <row r="991">
      <c r="A991" t="n">
        <v>68</v>
      </c>
      <c r="B991" t="inlineStr">
        <is>
          <t>A</t>
        </is>
      </c>
      <c r="C991" t="inlineStr">
        <is>
          <t>Precision@K (Pers. 2)</t>
        </is>
      </c>
      <c r="D991" s="3" t="inlineStr">
        <is>
          <t>Precision@K = |{d ∈ TopK : sim(q,d) ≥ θ}| / K</t>
        </is>
      </c>
      <c r="E991" s="3" t="inlineStr">
        <is>
          <t>skor = [0.6695, 0.6689, 0.662, 0.6557, 0.6548, 0.6524] → 6 / 6</t>
        </is>
      </c>
      <c r="F991" t="n">
        <v>1</v>
      </c>
      <c r="G991" s="3" t="inlineStr">
        <is>
          <t>basis: skor chunk nyata (sesuai contoh Pers. 2 skripsi)</t>
        </is>
      </c>
    </row>
    <row r="992">
      <c r="A992" t="n">
        <v>68</v>
      </c>
      <c r="B992" t="inlineStr">
        <is>
          <t>A</t>
        </is>
      </c>
      <c r="C992" t="inlineStr">
        <is>
          <t>Recall@K (Pers. 4)</t>
        </is>
      </c>
      <c r="D992" s="3" t="inlineStr">
        <is>
          <t>Recall@K = |{kata kunci ditemukan : sim ≥ θ}| / |R|</t>
        </is>
      </c>
      <c r="E992" s="3" t="inlineStr">
        <is>
          <t>skor = [0.6366, 0.4812, 0.4714, 0.4468, 0.3959, 0.3879] → 6 / 6</t>
        </is>
      </c>
      <c r="F992" t="n">
        <v>1</v>
      </c>
      <c r="G992" s="3" t="inlineStr"/>
    </row>
    <row r="993">
      <c r="A993" t="n">
        <v>68</v>
      </c>
      <c r="B993" t="inlineStr">
        <is>
          <t>A</t>
        </is>
      </c>
      <c r="C993" t="inlineStr">
        <is>
          <t>Mean Similarity (Pers. 6)</t>
        </is>
      </c>
      <c r="D993" s="3" t="inlineStr">
        <is>
          <t>MeanSim = (1/K) × Σ sim(q, dᵢ)</t>
        </is>
      </c>
      <c r="E993" s="3" t="inlineStr">
        <is>
          <t>skor = [0.6695, 0.6689, 0.662, 0.6557, 0.6548, 0.6524] → (0.6695 + 0.6689 + 0.6620 + 0.6557 + 0.6548 + 0.6524) / 6</t>
        </is>
      </c>
      <c r="F993" t="n">
        <v>0.6606</v>
      </c>
      <c r="G993" s="3" t="inlineStr"/>
    </row>
    <row r="994">
      <c r="A994" t="n">
        <v>68</v>
      </c>
      <c r="B994" t="inlineStr">
        <is>
          <t>A</t>
        </is>
      </c>
      <c r="C994" t="inlineStr">
        <is>
          <t>Coverage (Pers. 8)</t>
        </is>
      </c>
      <c r="D994" s="3" t="inlineStr">
        <is>
          <t>Coverage = |{dᵢ ∈ TopK : sim(q,dᵢ) ≥ θc}| / K</t>
        </is>
      </c>
      <c r="E994" s="3" t="inlineStr">
        <is>
          <t>skor = [0.6695, 0.6689, 0.662, 0.6557, 0.6548, 0.6524] → 6 / 6</t>
        </is>
      </c>
      <c r="F994" t="n">
        <v>1</v>
      </c>
      <c r="G994" s="3" t="inlineStr"/>
    </row>
    <row r="995">
      <c r="A995" t="n">
        <v>68</v>
      </c>
      <c r="B995" t="inlineStr">
        <is>
          <t>A</t>
        </is>
      </c>
      <c r="C995" t="inlineStr">
        <is>
          <t>Source Diversity (Pers. 10)</t>
        </is>
      </c>
      <c r="D995" s="3" t="inlineStr">
        <is>
          <t>Diversity = |sumber unik dalam TopK| / K</t>
        </is>
      </c>
      <c r="E995" s="3" t="inlineStr">
        <is>
          <t>skor = ['GT_CT01.txt', 'GT_CT02.txt', 'GT_DETAIL_PT04_Abstraksi.txt', 'GT_DETAIL_PT13_Struktur_Data.txt', 'GT_SUBTOPIK_02_Abstraksi_Formulasi.txt'] → 5 / 6</t>
        </is>
      </c>
      <c r="F995" t="n">
        <v>0.8333</v>
      </c>
      <c r="G995" s="3" t="inlineStr">
        <is>
          <t>file unik: GT_CT01.txt, GT_CT02.txt, GT_DETAIL_PT04_Abstraksi.txt, GT_DETAIL_PT13_Struktur_Data.txt, GT_SUBTOPIK_02_Abstraksi_Formulasi.txt</t>
        </is>
      </c>
    </row>
    <row r="996">
      <c r="A996" t="n">
        <v>68</v>
      </c>
      <c r="B996" t="inlineStr">
        <is>
          <t>A</t>
        </is>
      </c>
      <c r="C996" t="inlineStr">
        <is>
          <t>Faithfulness (Pers. 15)</t>
        </is>
      </c>
      <c r="D996" s="3" t="inlineStr">
        <is>
          <t>F = 0,70×Entailment + 0,30×KWoverlap</t>
        </is>
      </c>
      <c r="E996" s="3" t="inlineStr">
        <is>
          <t>Faithfulness = 0,70×Entailment + 0,30×KWoverlap = 0,70×0.8333 + 0,30×0.1542 = 0.6296  (entailment: 5/6 klaim didukung; KWoverlap = (|∩|/|ctx|)^0,65 = (23/408)^0,65 = 0.0564^0,65 = 0.1542)</t>
        </is>
      </c>
      <c r="F996" t="n">
        <v>0.6296</v>
      </c>
      <c r="G996" s="3" t="inlineStr">
        <is>
          <t>metode: llm_entailment + keyword</t>
        </is>
      </c>
    </row>
    <row r="997">
      <c r="A997" t="n">
        <v>68</v>
      </c>
      <c r="B997" t="inlineStr">
        <is>
          <t>A</t>
        </is>
      </c>
      <c r="C997" t="inlineStr">
        <is>
          <t>— Entailment (Pers. 12-13)</t>
        </is>
      </c>
      <c r="D997" s="3" t="inlineStr">
        <is>
          <t>Entailment = Σverdict(sᵢ)/m</t>
        </is>
      </c>
      <c r="E997" s="3" t="inlineStr">
        <is>
          <t>5 klaim YA dari 6 klaim dievaluasi</t>
        </is>
      </c>
      <c r="F997" t="n">
        <v>0.8333</v>
      </c>
      <c r="G997" s="3" t="inlineStr">
        <is>
          <t>verdict per klaim: sheet 'Entailment Detail'</t>
        </is>
      </c>
    </row>
    <row r="998">
      <c r="A998" t="n">
        <v>68</v>
      </c>
      <c r="B998" t="inlineStr">
        <is>
          <t>A</t>
        </is>
      </c>
      <c r="C998" t="inlineStr">
        <is>
          <t>— Keyword Overlap (Pers. 14)</t>
        </is>
      </c>
      <c r="D998" s="3" t="inlineStr">
        <is>
          <t>KWoverlap = (|Stems(ans)∩Stems(ctx)| / |Stems(ctx)|)^0,65</t>
        </is>
      </c>
      <c r="E998" s="3" t="inlineStr">
        <is>
          <t>KWoverlap = (|∩|/|ctx|)^0,65 = (23/408)^0,65 = 0.0564^0,65 = 0.1542</t>
        </is>
      </c>
      <c r="F998" t="n">
        <v>0.1542</v>
      </c>
      <c r="G998" s="3" t="inlineStr"/>
    </row>
    <row r="999">
      <c r="A999" t="n">
        <v>68</v>
      </c>
      <c r="B999" t="inlineStr">
        <is>
          <t>A</t>
        </is>
      </c>
      <c r="C999" t="inlineStr">
        <is>
          <t>Hallucination Risk (Pers. 18)</t>
        </is>
      </c>
      <c r="D999" s="3" t="inlineStr">
        <is>
          <t>Risk = 0,65×(1-F) + 0,20×Contradiction + 0,15×Uncertainty</t>
        </is>
      </c>
      <c r="E999" s="3" t="inlineStr">
        <is>
          <t>Risk = 0,65×OutOfContext + 0,20×Contradiction + 0,15×Uncertainty = 0,65×0.3704 + 0,20×0.0000 + 0,15×0.00 = 0.2408 [RENDAH]</t>
        </is>
      </c>
      <c r="F999" t="n">
        <v>0.2408</v>
      </c>
      <c r="G999" s="3" t="inlineStr">
        <is>
          <t>label: RENDAH; kontradiksi 0/29 kalimat; uncertainty flag: False</t>
        </is>
      </c>
    </row>
    <row r="1000">
      <c r="A1000" t="n">
        <v>68</v>
      </c>
      <c r="B1000" t="inlineStr">
        <is>
          <t>A</t>
        </is>
      </c>
      <c r="C1000" t="inlineStr">
        <is>
          <t>Answer Accuracy (Pers. 20)</t>
        </is>
      </c>
      <c r="D1000" s="3" t="inlineStr">
        <is>
          <t>Correctᵢ ∈ {0,1} via LLM-as-Judge (HASIL: BENAR/SALAH)</t>
        </is>
      </c>
      <c r="E1000" s="3" t="inlineStr"/>
      <c r="F1000" t="inlineStr">
        <is>
          <t>BENAR</t>
        </is>
      </c>
      <c r="G1000" s="3" t="inlineStr">
        <is>
          <t>evaluator: ollama/llama3</t>
        </is>
      </c>
    </row>
    <row r="1001">
      <c r="A1001" t="n">
        <v>68</v>
      </c>
      <c r="B1001" t="inlineStr">
        <is>
          <t>B</t>
        </is>
      </c>
      <c r="C1001" t="inlineStr">
        <is>
          <t>Faithfulness (Pers. 15)</t>
        </is>
      </c>
      <c r="D1001" s="3" t="inlineStr">
        <is>
          <t>F = 0,70×Entailment + 0,30×KWoverlap</t>
        </is>
      </c>
      <c r="E1001" s="3" t="inlineStr">
        <is>
          <t>Faithfulness = 0,70×Entailment + 0,30×KWoverlap = 0,70×0.5000 + 0,30×0.1586 = 0.3976  (entailment: 3/6 klaim didukung; KWoverlap = (|∩|/|ctx|)^0,65 = (24/408)^0,65 = 0.0588^0,65 = 0.1586)</t>
        </is>
      </c>
      <c r="F1001" t="n">
        <v>0.3976</v>
      </c>
      <c r="G1001" s="3" t="inlineStr">
        <is>
          <t>metode: llm_entailment + keyword</t>
        </is>
      </c>
    </row>
    <row r="1002">
      <c r="A1002" t="n">
        <v>68</v>
      </c>
      <c r="B1002" t="inlineStr">
        <is>
          <t>B</t>
        </is>
      </c>
      <c r="C1002" t="inlineStr">
        <is>
          <t>— Entailment (Pers. 12-13)</t>
        </is>
      </c>
      <c r="D1002" s="3" t="inlineStr">
        <is>
          <t>Entailment = Σverdict(sᵢ)/m</t>
        </is>
      </c>
      <c r="E1002" s="3" t="inlineStr">
        <is>
          <t>3 klaim YA dari 6 klaim dievaluasi</t>
        </is>
      </c>
      <c r="F1002" t="n">
        <v>0.5</v>
      </c>
      <c r="G1002" s="3" t="inlineStr">
        <is>
          <t>verdict per klaim: sheet 'Entailment Detail'</t>
        </is>
      </c>
    </row>
    <row r="1003">
      <c r="A1003" t="n">
        <v>68</v>
      </c>
      <c r="B1003" t="inlineStr">
        <is>
          <t>B</t>
        </is>
      </c>
      <c r="C1003" t="inlineStr">
        <is>
          <t>— Keyword Overlap (Pers. 14)</t>
        </is>
      </c>
      <c r="D1003" s="3" t="inlineStr">
        <is>
          <t>KWoverlap = (|Stems(ans)∩Stems(ctx)| / |Stems(ctx)|)^0,65</t>
        </is>
      </c>
      <c r="E1003" s="3" t="inlineStr">
        <is>
          <t>KWoverlap = (|∩|/|ctx|)^0,65 = (24/408)^0,65 = 0.0588^0,65 = 0.1586</t>
        </is>
      </c>
      <c r="F1003" t="n">
        <v>0.1586</v>
      </c>
      <c r="G1003" s="3" t="inlineStr"/>
    </row>
    <row r="1004">
      <c r="A1004" t="n">
        <v>68</v>
      </c>
      <c r="B1004" t="inlineStr">
        <is>
          <t>B</t>
        </is>
      </c>
      <c r="C1004" t="inlineStr">
        <is>
          <t>Hallucination Risk (Pers. 18)</t>
        </is>
      </c>
      <c r="D1004" s="3" t="inlineStr">
        <is>
          <t>Risk = 0,65×(1-F) + 0,20×Contradiction + 0,15×Uncertainty</t>
        </is>
      </c>
      <c r="E1004" s="3" t="inlineStr">
        <is>
          <t>Risk = 0,65×OutOfContext + 0,20×Contradiction + 0,15×Uncertainty = 0,65×0.6024 + 0,20×0.0000 + 0,15×0.00 = 0.3916 [SEDANG]</t>
        </is>
      </c>
      <c r="F1004" t="n">
        <v>0.3916</v>
      </c>
      <c r="G1004" s="3" t="inlineStr">
        <is>
          <t>label: SEDANG; kontradiksi 0/66 kalimat; uncertainty flag: False</t>
        </is>
      </c>
    </row>
    <row r="1005">
      <c r="A1005" t="n">
        <v>68</v>
      </c>
      <c r="B1005" t="inlineStr">
        <is>
          <t>B</t>
        </is>
      </c>
      <c r="C1005" t="inlineStr">
        <is>
          <t>Answer Accuracy (Pers. 20)</t>
        </is>
      </c>
      <c r="D1005" s="3" t="inlineStr">
        <is>
          <t>Correctᵢ ∈ {0,1} via LLM-as-Judge (HASIL: BENAR/SALAH)</t>
        </is>
      </c>
      <c r="E1005" s="3" t="inlineStr">
        <is>
          <t>Jawaban sistem:</t>
        </is>
      </c>
      <c r="F1005" t="inlineStr">
        <is>
          <t>BENAR</t>
        </is>
      </c>
      <c r="G1005" s="3" t="inlineStr">
        <is>
          <t>evaluator: ollama/llama3</t>
        </is>
      </c>
    </row>
    <row r="1006">
      <c r="A1006" t="n">
        <v>69</v>
      </c>
      <c r="B1006" t="inlineStr">
        <is>
          <t>A</t>
        </is>
      </c>
      <c r="C1006" t="inlineStr">
        <is>
          <t>Precision@K (Pers. 2)</t>
        </is>
      </c>
      <c r="D1006" s="3" t="inlineStr">
        <is>
          <t>Precision@K = |{d ∈ TopK : sim(q,d) ≥ θ}| / K</t>
        </is>
      </c>
      <c r="E1006" s="3" t="inlineStr">
        <is>
          <t>skor = [0.8151, 0.8076, 0.7797, 0.7677, 0.7615, 0.7613] → 6 / 6</t>
        </is>
      </c>
      <c r="F1006" t="n">
        <v>1</v>
      </c>
      <c r="G1006" s="3" t="inlineStr">
        <is>
          <t>basis: skor chunk nyata (sesuai contoh Pers. 2 skripsi)</t>
        </is>
      </c>
    </row>
    <row r="1007">
      <c r="A1007" t="n">
        <v>69</v>
      </c>
      <c r="B1007" t="inlineStr">
        <is>
          <t>A</t>
        </is>
      </c>
      <c r="C1007" t="inlineStr">
        <is>
          <t>Recall@K (Pers. 4)</t>
        </is>
      </c>
      <c r="D1007" s="3" t="inlineStr">
        <is>
          <t>Recall@K = |{kata kunci ditemukan : sim ≥ θ}| / |R|</t>
        </is>
      </c>
      <c r="E1007" s="3" t="inlineStr">
        <is>
          <t>skor = [0.6856, 0.6198, 0.6084, 0.5683, 0.5167, 0.4895] → 6 / 7</t>
        </is>
      </c>
      <c r="F1007" t="n">
        <v>0.8571</v>
      </c>
      <c r="G1007" s="3" t="inlineStr"/>
    </row>
    <row r="1008">
      <c r="A1008" t="n">
        <v>69</v>
      </c>
      <c r="B1008" t="inlineStr">
        <is>
          <t>A</t>
        </is>
      </c>
      <c r="C1008" t="inlineStr">
        <is>
          <t>Mean Similarity (Pers. 6)</t>
        </is>
      </c>
      <c r="D1008" s="3" t="inlineStr">
        <is>
          <t>MeanSim = (1/K) × Σ sim(q, dᵢ)</t>
        </is>
      </c>
      <c r="E1008" s="3" t="inlineStr">
        <is>
          <t>skor = [0.8151, 0.8076, 0.7797, 0.7677, 0.7615, 0.7613] → (0.8151 + 0.8076 + 0.7797 + 0.7677 + 0.7615 + 0.7613) / 6</t>
        </is>
      </c>
      <c r="F1008" t="n">
        <v>0.7822</v>
      </c>
      <c r="G1008" s="3" t="inlineStr"/>
    </row>
    <row r="1009">
      <c r="A1009" t="n">
        <v>69</v>
      </c>
      <c r="B1009" t="inlineStr">
        <is>
          <t>A</t>
        </is>
      </c>
      <c r="C1009" t="inlineStr">
        <is>
          <t>Coverage (Pers. 8)</t>
        </is>
      </c>
      <c r="D1009" s="3" t="inlineStr">
        <is>
          <t>Coverage = |{dᵢ ∈ TopK : sim(q,dᵢ) ≥ θc}| / K</t>
        </is>
      </c>
      <c r="E1009" s="3" t="inlineStr">
        <is>
          <t>skor = [0.8151, 0.8076, 0.7797, 0.7677, 0.7615, 0.7613] → 6 / 6</t>
        </is>
      </c>
      <c r="F1009" t="n">
        <v>1</v>
      </c>
      <c r="G1009" s="3" t="inlineStr"/>
    </row>
    <row r="1010">
      <c r="A1010" t="n">
        <v>69</v>
      </c>
      <c r="B1010" t="inlineStr">
        <is>
          <t>A</t>
        </is>
      </c>
      <c r="C1010" t="inlineStr">
        <is>
          <t>Source Diversity (Pers. 10)</t>
        </is>
      </c>
      <c r="D1010" s="3" t="inlineStr">
        <is>
          <t>Diversity = |sumber unik dalam TopK| / K</t>
        </is>
      </c>
      <c r="E1010" s="3" t="inlineStr">
        <is>
          <t>skor = ['GT_CT10.txt', 'GT_SUBTOPIK_09_Nested_Loop.txt', 'GT_SUBTOPIK_14_Kompleksitas_BigO.txt'] → 3 / 6</t>
        </is>
      </c>
      <c r="F1010" t="n">
        <v>0.5</v>
      </c>
      <c r="G1010" s="3" t="inlineStr">
        <is>
          <t>file unik: GT_CT10.txt, GT_SUBTOPIK_09_Nested_Loop.txt, GT_SUBTOPIK_14_Kompleksitas_BigO.txt</t>
        </is>
      </c>
    </row>
    <row r="1011">
      <c r="A1011" t="n">
        <v>69</v>
      </c>
      <c r="B1011" t="inlineStr">
        <is>
          <t>A</t>
        </is>
      </c>
      <c r="C1011" t="inlineStr">
        <is>
          <t>Faithfulness (Pers. 15)</t>
        </is>
      </c>
      <c r="D1011" s="3" t="inlineStr">
        <is>
          <t>F = 0,70×Entailment + 0,30×KWoverlap</t>
        </is>
      </c>
      <c r="E1011" s="3" t="inlineStr">
        <is>
          <t>Faithfulness = 0,70×Entailment + 0,30×KWoverlap = 0,70×1.0000 + 0,30×0.2414 = 0.7724  (entailment: 5/5 klaim didukung; KWoverlap = (|∩|/|ctx|)^0,65 = (21/187)^0,65 = 0.1123^0,65 = 0.2414)</t>
        </is>
      </c>
      <c r="F1011" t="n">
        <v>0.7724</v>
      </c>
      <c r="G1011" s="3" t="inlineStr">
        <is>
          <t>metode: llm_entailment + keyword</t>
        </is>
      </c>
    </row>
    <row r="1012">
      <c r="A1012" t="n">
        <v>69</v>
      </c>
      <c r="B1012" t="inlineStr">
        <is>
          <t>A</t>
        </is>
      </c>
      <c r="C1012" t="inlineStr">
        <is>
          <t>— Entailment (Pers. 12-13)</t>
        </is>
      </c>
      <c r="D1012" s="3" t="inlineStr">
        <is>
          <t>Entailment = Σverdict(sᵢ)/m</t>
        </is>
      </c>
      <c r="E1012" s="3" t="inlineStr">
        <is>
          <t>5 klaim YA dari 5 klaim dievaluasi</t>
        </is>
      </c>
      <c r="F1012" t="n">
        <v>1</v>
      </c>
      <c r="G1012" s="3" t="inlineStr">
        <is>
          <t>verdict per klaim: sheet 'Entailment Detail'</t>
        </is>
      </c>
    </row>
    <row r="1013">
      <c r="A1013" t="n">
        <v>69</v>
      </c>
      <c r="B1013" t="inlineStr">
        <is>
          <t>A</t>
        </is>
      </c>
      <c r="C1013" t="inlineStr">
        <is>
          <t>— Keyword Overlap (Pers. 14)</t>
        </is>
      </c>
      <c r="D1013" s="3" t="inlineStr">
        <is>
          <t>KWoverlap = (|Stems(ans)∩Stems(ctx)| / |Stems(ctx)|)^0,65</t>
        </is>
      </c>
      <c r="E1013" s="3" t="inlineStr">
        <is>
          <t>KWoverlap = (|∩|/|ctx|)^0,65 = (21/187)^0,65 = 0.1123^0,65 = 0.2414</t>
        </is>
      </c>
      <c r="F1013" t="n">
        <v>0.2414</v>
      </c>
      <c r="G1013" s="3" t="inlineStr"/>
    </row>
    <row r="1014">
      <c r="A1014" t="n">
        <v>69</v>
      </c>
      <c r="B1014" t="inlineStr">
        <is>
          <t>A</t>
        </is>
      </c>
      <c r="C1014" t="inlineStr">
        <is>
          <t>Hallucination Risk (Pers. 18)</t>
        </is>
      </c>
      <c r="D1014" s="3" t="inlineStr">
        <is>
          <t>Risk = 0,65×(1-F) + 0,20×Contradiction + 0,15×Uncertainty</t>
        </is>
      </c>
      <c r="E1014" s="3" t="inlineStr">
        <is>
          <t>Risk = 0,65×OutOfContext + 0,20×Contradiction + 0,15×Uncertainty = 0,65×0.2276 + 0,20×0.0000 + 0,15×0.00 = 0.1479 [RENDAH]</t>
        </is>
      </c>
      <c r="F1014" t="n">
        <v>0.1479</v>
      </c>
      <c r="G1014" s="3" t="inlineStr">
        <is>
          <t>label: RENDAH; kontradiksi 0/5 kalimat; uncertainty flag: False</t>
        </is>
      </c>
    </row>
    <row r="1015">
      <c r="A1015" t="n">
        <v>69</v>
      </c>
      <c r="B1015" t="inlineStr">
        <is>
          <t>A</t>
        </is>
      </c>
      <c r="C1015" t="inlineStr">
        <is>
          <t>Answer Accuracy (Pers. 20)</t>
        </is>
      </c>
      <c r="D1015" s="3" t="inlineStr">
        <is>
          <t>Correctᵢ ∈ {0,1} via LLM-as-Judge (HASIL: BENAR/SALAH)</t>
        </is>
      </c>
      <c r="E1015" s="3" t="inlineStr">
        <is>
          <t>BENAR.
Jawaban sistem Anda telah menjawab pertanyaan dengan benar berdasarkan referensi. Untuk a), Anda benar bahwa kompleksitasnya adalah O(1) karena hanya butuh satu operasi konstan untuk mengakses indeks 5 dalam array.
Untuk b), Anda juga benar bahwa kompleksitasnya adalah O(n) karena loop yang iteratif sebanyak n kali dan setiap iterasi melakukan operasi print yang membutuhkan waktu konstan.</t>
        </is>
      </c>
      <c r="F1015" t="inlineStr">
        <is>
          <t>BENAR</t>
        </is>
      </c>
      <c r="G1015" s="3" t="inlineStr">
        <is>
          <t>evaluator: ollama/llama3</t>
        </is>
      </c>
    </row>
    <row r="1016">
      <c r="A1016" t="n">
        <v>69</v>
      </c>
      <c r="B1016" t="inlineStr">
        <is>
          <t>B</t>
        </is>
      </c>
      <c r="C1016" t="inlineStr">
        <is>
          <t>Faithfulness (Pers. 15)</t>
        </is>
      </c>
      <c r="D1016" s="3" t="inlineStr">
        <is>
          <t>F = 0,70×Entailment + 0,30×KWoverlap</t>
        </is>
      </c>
      <c r="E1016" s="3" t="inlineStr">
        <is>
          <t>Faithfulness = 0,70×Entailment + 0,30×KWoverlap = 0,70×1.0000 + 0,30×0.2184 = 0.7655  (entailment: 4/4 klaim didukung; KWoverlap = (|∩|/|ctx|)^0,65 = (18/187)^0,65 = 0.0963^0,65 = 0.2184)</t>
        </is>
      </c>
      <c r="F1016" t="n">
        <v>0.7655</v>
      </c>
      <c r="G1016" s="3" t="inlineStr">
        <is>
          <t>metode: llm_entailment + keyword</t>
        </is>
      </c>
    </row>
    <row r="1017">
      <c r="A1017" t="n">
        <v>69</v>
      </c>
      <c r="B1017" t="inlineStr">
        <is>
          <t>B</t>
        </is>
      </c>
      <c r="C1017" t="inlineStr">
        <is>
          <t>— Entailment (Pers. 12-13)</t>
        </is>
      </c>
      <c r="D1017" s="3" t="inlineStr">
        <is>
          <t>Entailment = Σverdict(sᵢ)/m</t>
        </is>
      </c>
      <c r="E1017" s="3" t="inlineStr">
        <is>
          <t>4 klaim YA dari 4 klaim dievaluasi</t>
        </is>
      </c>
      <c r="F1017" t="n">
        <v>1</v>
      </c>
      <c r="G1017" s="3" t="inlineStr">
        <is>
          <t>verdict per klaim: sheet 'Entailment Detail'</t>
        </is>
      </c>
    </row>
    <row r="1018">
      <c r="A1018" t="n">
        <v>69</v>
      </c>
      <c r="B1018" t="inlineStr">
        <is>
          <t>B</t>
        </is>
      </c>
      <c r="C1018" t="inlineStr">
        <is>
          <t>— Keyword Overlap (Pers. 14)</t>
        </is>
      </c>
      <c r="D1018" s="3" t="inlineStr">
        <is>
          <t>KWoverlap = (|Stems(ans)∩Stems(ctx)| / |Stems(ctx)|)^0,65</t>
        </is>
      </c>
      <c r="E1018" s="3" t="inlineStr">
        <is>
          <t>KWoverlap = (|∩|/|ctx|)^0,65 = (18/187)^0,65 = 0.0963^0,65 = 0.2184</t>
        </is>
      </c>
      <c r="F1018" t="n">
        <v>0.2184</v>
      </c>
      <c r="G1018" s="3" t="inlineStr"/>
    </row>
    <row r="1019">
      <c r="A1019" t="n">
        <v>69</v>
      </c>
      <c r="B1019" t="inlineStr">
        <is>
          <t>B</t>
        </is>
      </c>
      <c r="C1019" t="inlineStr">
        <is>
          <t>Hallucination Risk (Pers. 18)</t>
        </is>
      </c>
      <c r="D1019" s="3" t="inlineStr">
        <is>
          <t>Risk = 0,65×(1-F) + 0,20×Contradiction + 0,15×Uncertainty</t>
        </is>
      </c>
      <c r="E1019" s="3" t="inlineStr">
        <is>
          <t>Risk = 0,65×OutOfContext + 0,20×Contradiction + 0,15×Uncertainty = 0,65×0.2345 + 0,20×0.0000 + 0,15×0.00 = 0.1524 [RENDAH]</t>
        </is>
      </c>
      <c r="F1019" t="n">
        <v>0.1524</v>
      </c>
      <c r="G1019" s="3" t="inlineStr">
        <is>
          <t>label: RENDAH; kontradiksi 0/5 kalimat; uncertainty flag: False</t>
        </is>
      </c>
    </row>
    <row r="1020">
      <c r="A1020" t="n">
        <v>70</v>
      </c>
      <c r="B1020" t="inlineStr">
        <is>
          <t>A</t>
        </is>
      </c>
      <c r="C1020" t="inlineStr">
        <is>
          <t>Precision@K (Pers. 2)</t>
        </is>
      </c>
      <c r="D1020" s="3" t="inlineStr">
        <is>
          <t>Precision@K = |{d ∈ TopK : sim(q,d) ≥ θ}| / K</t>
        </is>
      </c>
      <c r="E1020" s="3" t="inlineStr">
        <is>
          <t>skor = [0.7933, 0.7926, 0.7742, 0.7623, 0.751, 0.7419] → 6 / 6</t>
        </is>
      </c>
      <c r="F1020" t="n">
        <v>1</v>
      </c>
      <c r="G1020" s="3" t="inlineStr">
        <is>
          <t>basis: skor chunk nyata (sesuai contoh Pers. 2 skripsi)</t>
        </is>
      </c>
    </row>
    <row r="1021">
      <c r="A1021" t="n">
        <v>70</v>
      </c>
      <c r="B1021" t="inlineStr">
        <is>
          <t>A</t>
        </is>
      </c>
      <c r="C1021" t="inlineStr">
        <is>
          <t>Recall@K (Pers. 4)</t>
        </is>
      </c>
      <c r="D1021" s="3" t="inlineStr">
        <is>
          <t>Recall@K = |{kata kunci ditemukan : sim ≥ θ}| / |R|</t>
        </is>
      </c>
      <c r="E1021" s="3" t="inlineStr">
        <is>
          <t>skor = [0.6447, 0.6379, 0.5805, 0.5495, 0.5441, 0.4532] → 6 / 6</t>
        </is>
      </c>
      <c r="F1021" t="n">
        <v>1</v>
      </c>
      <c r="G1021" s="3" t="inlineStr"/>
    </row>
    <row r="1022">
      <c r="A1022" t="n">
        <v>70</v>
      </c>
      <c r="B1022" t="inlineStr">
        <is>
          <t>A</t>
        </is>
      </c>
      <c r="C1022" t="inlineStr">
        <is>
          <t>Mean Similarity (Pers. 6)</t>
        </is>
      </c>
      <c r="D1022" s="3" t="inlineStr">
        <is>
          <t>MeanSim = (1/K) × Σ sim(q, dᵢ)</t>
        </is>
      </c>
      <c r="E1022" s="3" t="inlineStr">
        <is>
          <t>skor = [0.7933, 0.7926, 0.7742, 0.7623, 0.751, 0.7419] → (0.7933 + 0.7926 + 0.7742 + 0.7623 + 0.7510 + 0.7419) / 6</t>
        </is>
      </c>
      <c r="F1022" t="n">
        <v>0.7692</v>
      </c>
      <c r="G1022" s="3" t="inlineStr"/>
    </row>
    <row r="1023">
      <c r="A1023" t="n">
        <v>70</v>
      </c>
      <c r="B1023" t="inlineStr">
        <is>
          <t>A</t>
        </is>
      </c>
      <c r="C1023" t="inlineStr">
        <is>
          <t>Coverage (Pers. 8)</t>
        </is>
      </c>
      <c r="D1023" s="3" t="inlineStr">
        <is>
          <t>Coverage = |{dᵢ ∈ TopK : sim(q,dᵢ) ≥ θc}| / K</t>
        </is>
      </c>
      <c r="E1023" s="3" t="inlineStr">
        <is>
          <t>skor = [0.7933, 0.7926, 0.7742, 0.7623, 0.751, 0.7419] → 6 / 6</t>
        </is>
      </c>
      <c r="F1023" t="n">
        <v>1</v>
      </c>
      <c r="G1023" s="3" t="inlineStr"/>
    </row>
    <row r="1024">
      <c r="A1024" t="n">
        <v>70</v>
      </c>
      <c r="B1024" t="inlineStr">
        <is>
          <t>A</t>
        </is>
      </c>
      <c r="C1024" t="inlineStr">
        <is>
          <t>Source Diversity (Pers. 10)</t>
        </is>
      </c>
      <c r="D1024" s="3" t="inlineStr">
        <is>
          <t>Diversity = |sumber unik dalam TopK| / K</t>
        </is>
      </c>
      <c r="E1024" s="3" t="inlineStr">
        <is>
          <t>skor = ['GT_CT10.txt', 'GT_CT11.txt', 'GT_DETAIL_PT11_Perulangan.txt', 'GT_SUBTOPIK_14_Kompleksitas_BigO.txt'] → 4 / 6</t>
        </is>
      </c>
      <c r="F1024" t="n">
        <v>0.6667</v>
      </c>
      <c r="G1024" s="3" t="inlineStr">
        <is>
          <t>file unik: GT_CT10.txt, GT_CT11.txt, GT_DETAIL_PT11_Perulangan.txt, GT_SUBTOPIK_14_Kompleksitas_BigO.txt</t>
        </is>
      </c>
    </row>
    <row r="1025">
      <c r="A1025" t="n">
        <v>70</v>
      </c>
      <c r="B1025" t="inlineStr">
        <is>
          <t>A</t>
        </is>
      </c>
      <c r="C1025" t="inlineStr">
        <is>
          <t>Faithfulness (Pers. 15)</t>
        </is>
      </c>
      <c r="D1025" s="3" t="inlineStr">
        <is>
          <t>F = 0,70×Entailment + 0,30×KWoverlap</t>
        </is>
      </c>
      <c r="E1025" s="3" t="inlineStr">
        <is>
          <t>Faithfulness = 0,70×Entailment + 0,30×KWoverlap = 0,70×0.6667 + 0,30×0.2986 = 0.5563  (entailment: 4/6 klaim didukung; KWoverlap = (|∩|/|ctx|)^0,65 = (31/199)^0,65 = 0.1558^0,65 = 0.2986)</t>
        </is>
      </c>
      <c r="F1025" t="n">
        <v>0.5563</v>
      </c>
      <c r="G1025" s="3" t="inlineStr">
        <is>
          <t>metode: llm_entailment + keyword</t>
        </is>
      </c>
    </row>
    <row r="1026">
      <c r="A1026" t="n">
        <v>70</v>
      </c>
      <c r="B1026" t="inlineStr">
        <is>
          <t>A</t>
        </is>
      </c>
      <c r="C1026" t="inlineStr">
        <is>
          <t>— Entailment (Pers. 12-13)</t>
        </is>
      </c>
      <c r="D1026" s="3" t="inlineStr">
        <is>
          <t>Entailment = Σverdict(sᵢ)/m</t>
        </is>
      </c>
      <c r="E1026" s="3" t="inlineStr">
        <is>
          <t>4 klaim YA dari 6 klaim dievaluasi</t>
        </is>
      </c>
      <c r="F1026" t="n">
        <v>0.6667</v>
      </c>
      <c r="G1026" s="3" t="inlineStr">
        <is>
          <t>verdict per klaim: sheet 'Entailment Detail'</t>
        </is>
      </c>
    </row>
    <row r="1027">
      <c r="A1027" t="n">
        <v>70</v>
      </c>
      <c r="B1027" t="inlineStr">
        <is>
          <t>A</t>
        </is>
      </c>
      <c r="C1027" t="inlineStr">
        <is>
          <t>— Keyword Overlap (Pers. 14)</t>
        </is>
      </c>
      <c r="D1027" s="3" t="inlineStr">
        <is>
          <t>KWoverlap = (|Stems(ans)∩Stems(ctx)| / |Stems(ctx)|)^0,65</t>
        </is>
      </c>
      <c r="E1027" s="3" t="inlineStr">
        <is>
          <t>KWoverlap = (|∩|/|ctx|)^0,65 = (31/199)^0,65 = 0.1558^0,65 = 0.2986</t>
        </is>
      </c>
      <c r="F1027" t="n">
        <v>0.2986</v>
      </c>
      <c r="G1027" s="3" t="inlineStr"/>
    </row>
    <row r="1028">
      <c r="A1028" t="n">
        <v>70</v>
      </c>
      <c r="B1028" t="inlineStr">
        <is>
          <t>A</t>
        </is>
      </c>
      <c r="C1028" t="inlineStr">
        <is>
          <t>Hallucination Risk (Pers. 18)</t>
        </is>
      </c>
      <c r="D1028" s="3" t="inlineStr">
        <is>
          <t>Risk = 0,65×(1-F) + 0,20×Contradiction + 0,15×Uncertainty</t>
        </is>
      </c>
      <c r="E1028" s="3" t="inlineStr">
        <is>
          <t>Risk = 0,65×OutOfContext + 0,20×Contradiction + 0,15×Uncertainty = 0,65×0.4437 + 0,20×0.1111 + 0,15×0.00 = 0.3106 [RENDAH]</t>
        </is>
      </c>
      <c r="F1028" t="n">
        <v>0.3106</v>
      </c>
      <c r="G1028" s="3" t="inlineStr">
        <is>
          <t>label: RENDAH; kontradiksi 1/9 kalimat; uncertainty flag: False</t>
        </is>
      </c>
    </row>
    <row r="1029">
      <c r="A1029" t="n">
        <v>70</v>
      </c>
      <c r="B1029" t="inlineStr">
        <is>
          <t>A</t>
        </is>
      </c>
      <c r="C1029" t="inlineStr">
        <is>
          <t>Answer Accuracy (Pers. 20)</t>
        </is>
      </c>
      <c r="D1029" s="3" t="inlineStr">
        <is>
          <t>Correctᵢ ∈ {0,1} via LLM-as-Judge (HASIL: BENAR/SALAH)</t>
        </is>
      </c>
      <c r="E1029" s="3" t="inlineStr">
        <is>
          <t>I think the system's answer is correct!
The key point here is that when you have a nested loop with complexity O(n²) and another loop with complexity O(n) that runs after it, the total time complexity should be considered as O(n²), not O(n²+n).
This is because the outer loop will run n times, and each iteration of the outer loop will execute the inner loop, which has a complexity of O(n²). So, t</t>
        </is>
      </c>
      <c r="F1029" t="inlineStr">
        <is>
          <t>BENAR</t>
        </is>
      </c>
      <c r="G1029" s="3" t="inlineStr">
        <is>
          <t>evaluator: ollama/llama3</t>
        </is>
      </c>
    </row>
    <row r="1030">
      <c r="A1030" t="n">
        <v>70</v>
      </c>
      <c r="B1030" t="inlineStr">
        <is>
          <t>B</t>
        </is>
      </c>
      <c r="C1030" t="inlineStr">
        <is>
          <t>Faithfulness (Pers. 15)</t>
        </is>
      </c>
      <c r="D1030" s="3" t="inlineStr">
        <is>
          <t>F = 0,70×Entailment + 0,30×KWoverlap</t>
        </is>
      </c>
      <c r="E1030" s="3" t="inlineStr">
        <is>
          <t>Faithfulness = 0,70×Entailment + 0,30×KWoverlap = 0,70×1.0000 + 0,30×0.2460 = 0.7738  (entailment: 6/6 klaim didukung; KWoverlap = (|∩|/|ctx|)^0,65 = (23/199)^0,65 = 0.1156^0,65 = 0.2460)</t>
        </is>
      </c>
      <c r="F1030" t="n">
        <v>0.7738</v>
      </c>
      <c r="G1030" s="3" t="inlineStr">
        <is>
          <t>metode: llm_entailment + keyword</t>
        </is>
      </c>
    </row>
    <row r="1031">
      <c r="A1031" t="n">
        <v>70</v>
      </c>
      <c r="B1031" t="inlineStr">
        <is>
          <t>B</t>
        </is>
      </c>
      <c r="C1031" t="inlineStr">
        <is>
          <t>— Entailment (Pers. 12-13)</t>
        </is>
      </c>
      <c r="D1031" s="3" t="inlineStr">
        <is>
          <t>Entailment = Σverdict(sᵢ)/m</t>
        </is>
      </c>
      <c r="E1031" s="3" t="inlineStr">
        <is>
          <t>6 klaim YA dari 6 klaim dievaluasi</t>
        </is>
      </c>
      <c r="F1031" t="n">
        <v>1</v>
      </c>
      <c r="G1031" s="3" t="inlineStr">
        <is>
          <t>verdict per klaim: sheet 'Entailment Detail'</t>
        </is>
      </c>
    </row>
    <row r="1032">
      <c r="A1032" t="n">
        <v>70</v>
      </c>
      <c r="B1032" t="inlineStr">
        <is>
          <t>B</t>
        </is>
      </c>
      <c r="C1032" t="inlineStr">
        <is>
          <t>— Keyword Overlap (Pers. 14)</t>
        </is>
      </c>
      <c r="D1032" s="3" t="inlineStr">
        <is>
          <t>KWoverlap = (|Stems(ans)∩Stems(ctx)| / |Stems(ctx)|)^0,65</t>
        </is>
      </c>
      <c r="E1032" s="3" t="inlineStr">
        <is>
          <t>KWoverlap = (|∩|/|ctx|)^0,65 = (23/199)^0,65 = 0.1156^0,65 = 0.2460</t>
        </is>
      </c>
      <c r="F1032" t="n">
        <v>0.246</v>
      </c>
      <c r="G1032" s="3" t="inlineStr"/>
    </row>
    <row r="1033">
      <c r="A1033" t="n">
        <v>70</v>
      </c>
      <c r="B1033" t="inlineStr">
        <is>
          <t>B</t>
        </is>
      </c>
      <c r="C1033" t="inlineStr">
        <is>
          <t>Hallucination Risk (Pers. 18)</t>
        </is>
      </c>
      <c r="D1033" s="3" t="inlineStr">
        <is>
          <t>Risk = 0,65×(1-F) + 0,20×Contradiction + 0,15×Uncertainty</t>
        </is>
      </c>
      <c r="E1033" s="3" t="inlineStr">
        <is>
          <t>Risk = 0,65×OutOfContext + 0,20×Contradiction + 0,15×Uncertainty = 0,65×0.2262 + 0,20×0.0000 + 0,15×0.00 = 0.1470 [RENDAH]</t>
        </is>
      </c>
      <c r="F1033" t="n">
        <v>0.147</v>
      </c>
      <c r="G1033" s="3" t="inlineStr">
        <is>
          <t>label: RENDAH; kontradiksi 0/10 kalimat; uncertainty flag: False</t>
        </is>
      </c>
    </row>
    <row r="1034">
      <c r="A1034" t="n">
        <v>70</v>
      </c>
      <c r="B1034" t="inlineStr">
        <is>
          <t>B</t>
        </is>
      </c>
      <c r="C1034" t="inlineStr">
        <is>
          <t>Answer Accuracy (Pers. 20)</t>
        </is>
      </c>
      <c r="D1034" s="3" t="inlineStr">
        <is>
          <t>Correctᵢ ∈ {0,1} via LLM-as-Judge (HASIL: BENAR/SALAH)</t>
        </is>
      </c>
      <c r="E1034" s="3" t="inlineStr">
        <is>
          <t xml:space="preserve">Jawaban sistem: BENAR.
Justification:
According to the reference material, when combining loop complexities, we should prioritize the largest one. In this case, the nested loop O(n²) is larger than the linear loop O(n). Therefore, the overall complexity is indeed O(n²), not O(n²+n).
The dosen's correction of writing O(n²) instead of O(n²+n) is correct because it prioritizes the largest term in </t>
        </is>
      </c>
      <c r="F1034" t="inlineStr">
        <is>
          <t>BENAR</t>
        </is>
      </c>
      <c r="G1034" s="3" t="inlineStr">
        <is>
          <t>evaluator: ollama/llama3</t>
        </is>
      </c>
    </row>
    <row r="1035">
      <c r="A1035" t="n">
        <v>71</v>
      </c>
      <c r="B1035" t="inlineStr">
        <is>
          <t>A</t>
        </is>
      </c>
      <c r="C1035" t="inlineStr">
        <is>
          <t>Precision@K (Pers. 2)</t>
        </is>
      </c>
      <c r="D1035" s="3" t="inlineStr">
        <is>
          <t>Precision@K = |{d ∈ TopK : sim(q,d) ≥ θ}| / K</t>
        </is>
      </c>
      <c r="E1035" s="3" t="inlineStr">
        <is>
          <t>skor = [0.8021, 0.7818, 0.7787, 0.7748, 0.772, 0.772] → 6 / 6</t>
        </is>
      </c>
      <c r="F1035" t="n">
        <v>1</v>
      </c>
      <c r="G1035" s="3" t="inlineStr">
        <is>
          <t>basis: skor chunk nyata (sesuai contoh Pers. 2 skripsi)</t>
        </is>
      </c>
    </row>
    <row r="1036">
      <c r="A1036" t="n">
        <v>71</v>
      </c>
      <c r="B1036" t="inlineStr">
        <is>
          <t>A</t>
        </is>
      </c>
      <c r="C1036" t="inlineStr">
        <is>
          <t>Recall@K (Pers. 4)</t>
        </is>
      </c>
      <c r="D1036" s="3" t="inlineStr">
        <is>
          <t>Recall@K = |{kata kunci ditemukan : sim ≥ θ}| / |R|</t>
        </is>
      </c>
      <c r="E1036" s="3" t="inlineStr">
        <is>
          <t>skor = [0.6357, 0.5809, 0.5183, 0.5146, 0.5129, 0.5032] → 6 / 6</t>
        </is>
      </c>
      <c r="F1036" t="n">
        <v>1</v>
      </c>
      <c r="G1036" s="3" t="inlineStr"/>
    </row>
    <row r="1037">
      <c r="A1037" t="n">
        <v>71</v>
      </c>
      <c r="B1037" t="inlineStr">
        <is>
          <t>A</t>
        </is>
      </c>
      <c r="C1037" t="inlineStr">
        <is>
          <t>Mean Similarity (Pers. 6)</t>
        </is>
      </c>
      <c r="D1037" s="3" t="inlineStr">
        <is>
          <t>MeanSim = (1/K) × Σ sim(q, dᵢ)</t>
        </is>
      </c>
      <c r="E1037" s="3" t="inlineStr">
        <is>
          <t>skor = [0.8021, 0.7818, 0.7787, 0.7748, 0.772, 0.772] → (0.8021 + 0.7818 + 0.7787 + 0.7748 + 0.7720 + 0.7720) / 6</t>
        </is>
      </c>
      <c r="F1037" t="n">
        <v>0.7802</v>
      </c>
      <c r="G1037" s="3" t="inlineStr"/>
    </row>
    <row r="1038">
      <c r="A1038" t="n">
        <v>71</v>
      </c>
      <c r="B1038" t="inlineStr">
        <is>
          <t>A</t>
        </is>
      </c>
      <c r="C1038" t="inlineStr">
        <is>
          <t>Coverage (Pers. 8)</t>
        </is>
      </c>
      <c r="D1038" s="3" t="inlineStr">
        <is>
          <t>Coverage = |{dᵢ ∈ TopK : sim(q,dᵢ) ≥ θc}| / K</t>
        </is>
      </c>
      <c r="E1038" s="3" t="inlineStr">
        <is>
          <t>skor = [0.8021, 0.7818, 0.7787, 0.7748, 0.772, 0.772] → 6 / 6</t>
        </is>
      </c>
      <c r="F1038" t="n">
        <v>1</v>
      </c>
      <c r="G1038" s="3" t="inlineStr"/>
    </row>
    <row r="1039">
      <c r="A1039" t="n">
        <v>71</v>
      </c>
      <c r="B1039" t="inlineStr">
        <is>
          <t>A</t>
        </is>
      </c>
      <c r="C1039" t="inlineStr">
        <is>
          <t>Source Diversity (Pers. 10)</t>
        </is>
      </c>
      <c r="D1039" s="3" t="inlineStr">
        <is>
          <t>Diversity = |sumber unik dalam TopK| / K</t>
        </is>
      </c>
      <c r="E1039" s="3" t="inlineStr">
        <is>
          <t>skor = ['GT_CT11.txt', 'GT_DETAIL_PT07_Notasi_Algoritme.txt', 'GT_DETAIL_PT10_Percabangan.txt', 'GT_SUBTOPIK_05_Pseudocode_Algoritme.txt', 'GT_SUBTOPIK_14_Kompleksitas_BigO.txt'] → 5 / 6</t>
        </is>
      </c>
      <c r="F1039" t="n">
        <v>0.8333</v>
      </c>
      <c r="G1039" s="3" t="inlineStr">
        <is>
          <t>file unik: GT_CT11.txt, GT_DETAIL_PT07_Notasi_Algoritme.txt, GT_DETAIL_PT10_Percabangan.txt, GT_SUBTOPIK_05_Pseudocode_Algoritme.txt, GT_SUBTOPIK_14_Kompleksitas_BigO.txt</t>
        </is>
      </c>
    </row>
    <row r="1040">
      <c r="A1040" t="n">
        <v>71</v>
      </c>
      <c r="B1040" t="inlineStr">
        <is>
          <t>A</t>
        </is>
      </c>
      <c r="C1040" t="inlineStr">
        <is>
          <t>Faithfulness (Pers. 15)</t>
        </is>
      </c>
      <c r="D1040" s="3" t="inlineStr">
        <is>
          <t>F = 0,70×Entailment + 0,30×KWoverlap</t>
        </is>
      </c>
      <c r="E1040" s="3" t="inlineStr">
        <is>
          <t>Faithfulness = 0,70×Entailment + 0,30×KWoverlap = 0,70×1.0000 + 0,30×0.2348 = 0.7704  (entailment: 5/5 klaim didukung; KWoverlap = (|∩|/|ctx|)^0,65 = (17/158)^0,65 = 0.1076^0,65 = 0.2348)</t>
        </is>
      </c>
      <c r="F1040" t="n">
        <v>0.7704</v>
      </c>
      <c r="G1040" s="3" t="inlineStr">
        <is>
          <t>metode: llm_entailment + keyword</t>
        </is>
      </c>
    </row>
    <row r="1041">
      <c r="A1041" t="n">
        <v>71</v>
      </c>
      <c r="B1041" t="inlineStr">
        <is>
          <t>A</t>
        </is>
      </c>
      <c r="C1041" t="inlineStr">
        <is>
          <t>— Entailment (Pers. 12-13)</t>
        </is>
      </c>
      <c r="D1041" s="3" t="inlineStr">
        <is>
          <t>Entailment = Σverdict(sᵢ)/m</t>
        </is>
      </c>
      <c r="E1041" s="3" t="inlineStr">
        <is>
          <t>5 klaim YA dari 5 klaim dievaluasi</t>
        </is>
      </c>
      <c r="F1041" t="n">
        <v>1</v>
      </c>
      <c r="G1041" s="3" t="inlineStr">
        <is>
          <t>verdict per klaim: sheet 'Entailment Detail'</t>
        </is>
      </c>
    </row>
    <row r="1042">
      <c r="A1042" t="n">
        <v>71</v>
      </c>
      <c r="B1042" t="inlineStr">
        <is>
          <t>A</t>
        </is>
      </c>
      <c r="C1042" t="inlineStr">
        <is>
          <t>— Keyword Overlap (Pers. 14)</t>
        </is>
      </c>
      <c r="D1042" s="3" t="inlineStr">
        <is>
          <t>KWoverlap = (|Stems(ans)∩Stems(ctx)| / |Stems(ctx)|)^0,65</t>
        </is>
      </c>
      <c r="E1042" s="3" t="inlineStr">
        <is>
          <t>KWoverlap = (|∩|/|ctx|)^0,65 = (17/158)^0,65 = 0.1076^0,65 = 0.2348</t>
        </is>
      </c>
      <c r="F1042" t="n">
        <v>0.2348</v>
      </c>
      <c r="G1042" s="3" t="inlineStr"/>
    </row>
    <row r="1043">
      <c r="A1043" t="n">
        <v>71</v>
      </c>
      <c r="B1043" t="inlineStr">
        <is>
          <t>A</t>
        </is>
      </c>
      <c r="C1043" t="inlineStr">
        <is>
          <t>Hallucination Risk (Pers. 18)</t>
        </is>
      </c>
      <c r="D1043" s="3" t="inlineStr">
        <is>
          <t>Risk = 0,65×(1-F) + 0,20×Contradiction + 0,15×Uncertainty</t>
        </is>
      </c>
      <c r="E1043" s="3" t="inlineStr">
        <is>
          <t>Risk = 0,65×OutOfContext + 0,20×Contradiction + 0,15×Uncertainty = 0,65×0.2296 + 0,20×0.0000 + 0,15×0.00 = 0.1492 [RENDAH]</t>
        </is>
      </c>
      <c r="F1043" t="n">
        <v>0.1492</v>
      </c>
      <c r="G1043" s="3" t="inlineStr">
        <is>
          <t>label: RENDAH; kontradiksi 0/9 kalimat; uncertainty flag: False</t>
        </is>
      </c>
    </row>
    <row r="1044">
      <c r="A1044" t="n">
        <v>71</v>
      </c>
      <c r="B1044" t="inlineStr">
        <is>
          <t>A</t>
        </is>
      </c>
      <c r="C1044" t="inlineStr">
        <is>
          <t>Answer Accuracy (Pers. 20)</t>
        </is>
      </c>
      <c r="D1044" s="3" t="inlineStr">
        <is>
          <t>Correctᵢ ∈ {0,1} via LLM-as-Judge (HASIL: BENAR/SALAH)</t>
        </is>
      </c>
      <c r="E1044" s="3" t="inlineStr">
        <is>
          <t>Based on the provided references from your GT material, the correct answer is:
Jawab HANYA dengan satu baris:
The reasoning is as follows:
1. The outer loop `for i=1 to n do` has a complexity of O(n).
2. The inner loop `while (j &lt; n) do` has a complexity of O(log n), since j starts at 1 and grows exponentially towards n.
3. According to the reference, when you have nested loops, you multiply t</t>
        </is>
      </c>
      <c r="F1044" t="inlineStr">
        <is>
          <t>BENAR</t>
        </is>
      </c>
      <c r="G1044" s="3" t="inlineStr">
        <is>
          <t>evaluator: ollama/llama3</t>
        </is>
      </c>
    </row>
    <row r="1045">
      <c r="A1045" t="n">
        <v>71</v>
      </c>
      <c r="B1045" t="inlineStr">
        <is>
          <t>B</t>
        </is>
      </c>
      <c r="C1045" t="inlineStr">
        <is>
          <t>Faithfulness (Pers. 15)</t>
        </is>
      </c>
      <c r="D1045" s="3" t="inlineStr">
        <is>
          <t>F = 0,70×Entailment + 0,30×KWoverlap</t>
        </is>
      </c>
      <c r="E1045" s="3" t="inlineStr">
        <is>
          <t>Faithfulness = 0,70×Entailment + 0,30×KWoverlap = 0,70×0.8333 + 0,30×0.1663 = 0.6332  (entailment: 5/6 klaim didukung; KWoverlap = (|∩|/|ctx|)^0,65 = (10/158)^0,65 = 0.0633^0,65 = 0.1663)</t>
        </is>
      </c>
      <c r="F1045" t="n">
        <v>0.6332</v>
      </c>
      <c r="G1045" s="3" t="inlineStr">
        <is>
          <t>metode: llm_entailment + keyword</t>
        </is>
      </c>
    </row>
    <row r="1046">
      <c r="A1046" t="n">
        <v>71</v>
      </c>
      <c r="B1046" t="inlineStr">
        <is>
          <t>B</t>
        </is>
      </c>
      <c r="C1046" t="inlineStr">
        <is>
          <t>— Entailment (Pers. 12-13)</t>
        </is>
      </c>
      <c r="D1046" s="3" t="inlineStr">
        <is>
          <t>Entailment = Σverdict(sᵢ)/m</t>
        </is>
      </c>
      <c r="E1046" s="3" t="inlineStr">
        <is>
          <t>5 klaim YA dari 6 klaim dievaluasi</t>
        </is>
      </c>
      <c r="F1046" t="n">
        <v>0.8333</v>
      </c>
      <c r="G1046" s="3" t="inlineStr">
        <is>
          <t>verdict per klaim: sheet 'Entailment Detail'</t>
        </is>
      </c>
    </row>
    <row r="1047">
      <c r="A1047" t="n">
        <v>71</v>
      </c>
      <c r="B1047" t="inlineStr">
        <is>
          <t>B</t>
        </is>
      </c>
      <c r="C1047" t="inlineStr">
        <is>
          <t>— Keyword Overlap (Pers. 14)</t>
        </is>
      </c>
      <c r="D1047" s="3" t="inlineStr">
        <is>
          <t>KWoverlap = (|Stems(ans)∩Stems(ctx)| / |Stems(ctx)|)^0,65</t>
        </is>
      </c>
      <c r="E1047" s="3" t="inlineStr">
        <is>
          <t>KWoverlap = (|∩|/|ctx|)^0,65 = (10/158)^0,65 = 0.0633^0,65 = 0.1663</t>
        </is>
      </c>
      <c r="F1047" t="n">
        <v>0.1663</v>
      </c>
      <c r="G1047" s="3" t="inlineStr"/>
    </row>
    <row r="1048">
      <c r="A1048" t="n">
        <v>71</v>
      </c>
      <c r="B1048" t="inlineStr">
        <is>
          <t>B</t>
        </is>
      </c>
      <c r="C1048" t="inlineStr">
        <is>
          <t>Hallucination Risk (Pers. 18)</t>
        </is>
      </c>
      <c r="D1048" s="3" t="inlineStr">
        <is>
          <t>Risk = 0,65×(1-F) + 0,20×Contradiction + 0,15×Uncertainty</t>
        </is>
      </c>
      <c r="E1048" s="3" t="inlineStr">
        <is>
          <t>Risk = 0,65×OutOfContext + 0,20×Contradiction + 0,15×Uncertainty = 0,65×0.3668 + 0,20×0.0000 + 0,15×0.00 = 0.2384 [RENDAH]</t>
        </is>
      </c>
      <c r="F1048" t="n">
        <v>0.2384</v>
      </c>
      <c r="G1048" s="3" t="inlineStr">
        <is>
          <t>label: RENDAH; kontradiksi 0/6 kalimat; uncertainty flag: False</t>
        </is>
      </c>
    </row>
    <row r="1049">
      <c r="A1049" t="n">
        <v>71</v>
      </c>
      <c r="B1049" t="inlineStr">
        <is>
          <t>B</t>
        </is>
      </c>
      <c r="C1049" t="inlineStr">
        <is>
          <t>Answer Accuracy (Pers. 20)</t>
        </is>
      </c>
      <c r="D1049" s="3" t="inlineStr">
        <is>
          <t>Correctᵢ ∈ {0,1} via LLM-as-Judge (HASIL: BENAR/SALAH)</t>
        </is>
      </c>
      <c r="E1049" s="3" t="inlineStr">
        <is>
          <t>BENAR</t>
        </is>
      </c>
      <c r="F1049" t="inlineStr">
        <is>
          <t>BENAR</t>
        </is>
      </c>
      <c r="G1049" s="3" t="inlineStr">
        <is>
          <t>evaluator: ollama/llama3</t>
        </is>
      </c>
    </row>
    <row r="1050">
      <c r="A1050" t="n">
        <v>72</v>
      </c>
      <c r="B1050" t="inlineStr">
        <is>
          <t>A</t>
        </is>
      </c>
      <c r="C1050" t="inlineStr">
        <is>
          <t>Precision@K (Pers. 2)</t>
        </is>
      </c>
      <c r="D1050" s="3" t="inlineStr">
        <is>
          <t>Precision@K = |{d ∈ TopK : sim(q,d) ≥ θ}| / K</t>
        </is>
      </c>
      <c r="E1050" s="3" t="inlineStr">
        <is>
          <t>skor = [0.731, 0.7169, 0.6993, 0.6961, 0.69, 0.6838] → 6 / 6</t>
        </is>
      </c>
      <c r="F1050" t="n">
        <v>1</v>
      </c>
      <c r="G1050" s="3" t="inlineStr">
        <is>
          <t>basis: skor chunk nyata (sesuai contoh Pers. 2 skripsi)</t>
        </is>
      </c>
    </row>
    <row r="1051">
      <c r="A1051" t="n">
        <v>72</v>
      </c>
      <c r="B1051" t="inlineStr">
        <is>
          <t>A</t>
        </is>
      </c>
      <c r="C1051" t="inlineStr">
        <is>
          <t>Recall@K (Pers. 4)</t>
        </is>
      </c>
      <c r="D1051" s="3" t="inlineStr">
        <is>
          <t>Recall@K = |{kata kunci ditemukan : sim ≥ θ}| / |R|</t>
        </is>
      </c>
      <c r="E1051" s="3" t="inlineStr">
        <is>
          <t>skor = [0.751, 0.6651, 0.5323, 0.5055, 0.4421, 0.4322] → 6 / 6</t>
        </is>
      </c>
      <c r="F1051" t="n">
        <v>1</v>
      </c>
      <c r="G1051" s="3" t="inlineStr"/>
    </row>
    <row r="1052">
      <c r="A1052" t="n">
        <v>72</v>
      </c>
      <c r="B1052" t="inlineStr">
        <is>
          <t>A</t>
        </is>
      </c>
      <c r="C1052" t="inlineStr">
        <is>
          <t>Mean Similarity (Pers. 6)</t>
        </is>
      </c>
      <c r="D1052" s="3" t="inlineStr">
        <is>
          <t>MeanSim = (1/K) × Σ sim(q, dᵢ)</t>
        </is>
      </c>
      <c r="E1052" s="3" t="inlineStr">
        <is>
          <t>skor = [0.731, 0.7169, 0.6993, 0.6961, 0.69, 0.6838] → (0.7310 + 0.7169 + 0.6993 + 0.6961 + 0.6900 + 0.6838) / 6</t>
        </is>
      </c>
      <c r="F1052" t="n">
        <v>0.7029</v>
      </c>
      <c r="G1052" s="3" t="inlineStr"/>
    </row>
    <row r="1053">
      <c r="A1053" t="n">
        <v>72</v>
      </c>
      <c r="B1053" t="inlineStr">
        <is>
          <t>A</t>
        </is>
      </c>
      <c r="C1053" t="inlineStr">
        <is>
          <t>Coverage (Pers. 8)</t>
        </is>
      </c>
      <c r="D1053" s="3" t="inlineStr">
        <is>
          <t>Coverage = |{dᵢ ∈ TopK : sim(q,dᵢ) ≥ θc}| / K</t>
        </is>
      </c>
      <c r="E1053" s="3" t="inlineStr">
        <is>
          <t>skor = [0.731, 0.7169, 0.6993, 0.6961, 0.69, 0.6838] → 6 / 6</t>
        </is>
      </c>
      <c r="F1053" t="n">
        <v>1</v>
      </c>
      <c r="G1053" s="3" t="inlineStr"/>
    </row>
    <row r="1054">
      <c r="A1054" t="n">
        <v>72</v>
      </c>
      <c r="B1054" t="inlineStr">
        <is>
          <t>A</t>
        </is>
      </c>
      <c r="C1054" t="inlineStr">
        <is>
          <t>Source Diversity (Pers. 10)</t>
        </is>
      </c>
      <c r="D1054" s="3" t="inlineStr">
        <is>
          <t>Diversity = |sumber unik dalam TopK| / K</t>
        </is>
      </c>
      <c r="E1054" s="3" t="inlineStr">
        <is>
          <t>skor = ['GT_CT13.txt', 'GT_SUBTOPIK_14_Kompleksitas_BigO.txt'] → 2 / 6</t>
        </is>
      </c>
      <c r="F1054" t="n">
        <v>0.3333</v>
      </c>
      <c r="G1054" s="3" t="inlineStr">
        <is>
          <t>file unik: GT_CT13.txt, GT_SUBTOPIK_14_Kompleksitas_BigO.txt</t>
        </is>
      </c>
    </row>
    <row r="1055">
      <c r="A1055" t="n">
        <v>72</v>
      </c>
      <c r="B1055" t="inlineStr">
        <is>
          <t>A</t>
        </is>
      </c>
      <c r="C1055" t="inlineStr">
        <is>
          <t>Faithfulness (Pers. 15)</t>
        </is>
      </c>
      <c r="D1055" s="3" t="inlineStr">
        <is>
          <t>F = 0,70×Entailment + 0,30×KWoverlap</t>
        </is>
      </c>
      <c r="E1055" s="3" t="inlineStr">
        <is>
          <t>Faithfulness = 0,70×Entailment + 0,30×KWoverlap = 0,70×1.0000 + 0,30×0.2429 = 0.7729  (entailment: 6/6 klaim didukung; KWoverlap = (|∩|/|ctx|)^0,65 = (28/247)^0,65 = 0.1134^0,65 = 0.2429)</t>
        </is>
      </c>
      <c r="F1055" t="n">
        <v>0.7729</v>
      </c>
      <c r="G1055" s="3" t="inlineStr">
        <is>
          <t>metode: llm_entailment + keyword</t>
        </is>
      </c>
    </row>
    <row r="1056">
      <c r="A1056" t="n">
        <v>72</v>
      </c>
      <c r="B1056" t="inlineStr">
        <is>
          <t>A</t>
        </is>
      </c>
      <c r="C1056" t="inlineStr">
        <is>
          <t>— Entailment (Pers. 12-13)</t>
        </is>
      </c>
      <c r="D1056" s="3" t="inlineStr">
        <is>
          <t>Entailment = Σverdict(sᵢ)/m</t>
        </is>
      </c>
      <c r="E1056" s="3" t="inlineStr">
        <is>
          <t>6 klaim YA dari 6 klaim dievaluasi</t>
        </is>
      </c>
      <c r="F1056" t="n">
        <v>1</v>
      </c>
      <c r="G1056" s="3" t="inlineStr">
        <is>
          <t>verdict per klaim: sheet 'Entailment Detail'</t>
        </is>
      </c>
    </row>
    <row r="1057">
      <c r="A1057" t="n">
        <v>72</v>
      </c>
      <c r="B1057" t="inlineStr">
        <is>
          <t>A</t>
        </is>
      </c>
      <c r="C1057" t="inlineStr">
        <is>
          <t>— Keyword Overlap (Pers. 14)</t>
        </is>
      </c>
      <c r="D1057" s="3" t="inlineStr">
        <is>
          <t>KWoverlap = (|Stems(ans)∩Stems(ctx)| / |Stems(ctx)|)^0,65</t>
        </is>
      </c>
      <c r="E1057" s="3" t="inlineStr">
        <is>
          <t>KWoverlap = (|∩|/|ctx|)^0,65 = (28/247)^0,65 = 0.1134^0,65 = 0.2429</t>
        </is>
      </c>
      <c r="F1057" t="n">
        <v>0.2429</v>
      </c>
      <c r="G1057" s="3" t="inlineStr"/>
    </row>
    <row r="1058">
      <c r="A1058" t="n">
        <v>72</v>
      </c>
      <c r="B1058" t="inlineStr">
        <is>
          <t>A</t>
        </is>
      </c>
      <c r="C1058" t="inlineStr">
        <is>
          <t>Hallucination Risk (Pers. 18)</t>
        </is>
      </c>
      <c r="D1058" s="3" t="inlineStr">
        <is>
          <t>Risk = 0,65×(1-F) + 0,20×Contradiction + 0,15×Uncertainty</t>
        </is>
      </c>
      <c r="E1058" s="3" t="inlineStr">
        <is>
          <t>Risk = 0,65×OutOfContext + 0,20×Contradiction + 0,15×Uncertainty = 0,65×0.2271 + 0,20×0.0000 + 0,15×0.00 = 0.1476 [RENDAH]</t>
        </is>
      </c>
      <c r="F1058" t="n">
        <v>0.1476</v>
      </c>
      <c r="G1058" s="3" t="inlineStr">
        <is>
          <t>label: RENDAH; kontradiksi 0/11 kalimat; uncertainty flag: False</t>
        </is>
      </c>
    </row>
    <row r="1059">
      <c r="A1059" t="n">
        <v>72</v>
      </c>
      <c r="B1059" t="inlineStr">
        <is>
          <t>A</t>
        </is>
      </c>
      <c r="C1059" t="inlineStr">
        <is>
          <t>Answer Accuracy (Pers. 20)</t>
        </is>
      </c>
      <c r="D1059" s="3" t="inlineStr">
        <is>
          <t>Correctᵢ ∈ {0,1} via LLM-as-Judge (HASIL: BENAR/SALAH)</t>
        </is>
      </c>
      <c r="E1059" s="3" t="inlineStr">
        <is>
          <t>JAWABAN:</t>
        </is>
      </c>
      <c r="F1059" t="inlineStr">
        <is>
          <t>BENAR</t>
        </is>
      </c>
      <c r="G1059" s="3" t="inlineStr">
        <is>
          <t>evaluator: ollama/llama3</t>
        </is>
      </c>
    </row>
    <row r="1060">
      <c r="A1060" t="n">
        <v>72</v>
      </c>
      <c r="B1060" t="inlineStr">
        <is>
          <t>B</t>
        </is>
      </c>
      <c r="C1060" t="inlineStr">
        <is>
          <t>Faithfulness (Pers. 15)</t>
        </is>
      </c>
      <c r="D1060" s="3" t="inlineStr">
        <is>
          <t>F = 0,70×Entailment + 0,30×KWoverlap</t>
        </is>
      </c>
      <c r="E1060" s="3" t="inlineStr">
        <is>
          <t>Faithfulness = 0,70×Entailment + 0,30×KWoverlap = 0,70×1.0000 + 0,30×0.2485 = 0.7745  (entailment: 6/6 klaim didukung; KWoverlap = (|∩|/|ctx|)^0,65 = (29/247)^0,65 = 0.1174^0,65 = 0.2485)</t>
        </is>
      </c>
      <c r="F1060" t="n">
        <v>0.7745</v>
      </c>
      <c r="G1060" s="3" t="inlineStr">
        <is>
          <t>metode: llm_entailment + keyword</t>
        </is>
      </c>
    </row>
    <row r="1061">
      <c r="A1061" t="n">
        <v>72</v>
      </c>
      <c r="B1061" t="inlineStr">
        <is>
          <t>B</t>
        </is>
      </c>
      <c r="C1061" t="inlineStr">
        <is>
          <t>— Entailment (Pers. 12-13)</t>
        </is>
      </c>
      <c r="D1061" s="3" t="inlineStr">
        <is>
          <t>Entailment = Σverdict(sᵢ)/m</t>
        </is>
      </c>
      <c r="E1061" s="3" t="inlineStr">
        <is>
          <t>6 klaim YA dari 6 klaim dievaluasi</t>
        </is>
      </c>
      <c r="F1061" t="n">
        <v>1</v>
      </c>
      <c r="G1061" s="3" t="inlineStr">
        <is>
          <t>verdict per klaim: sheet 'Entailment Detail'</t>
        </is>
      </c>
    </row>
    <row r="1062">
      <c r="A1062" t="n">
        <v>72</v>
      </c>
      <c r="B1062" t="inlineStr">
        <is>
          <t>B</t>
        </is>
      </c>
      <c r="C1062" t="inlineStr">
        <is>
          <t>— Keyword Overlap (Pers. 14)</t>
        </is>
      </c>
      <c r="D1062" s="3" t="inlineStr">
        <is>
          <t>KWoverlap = (|Stems(ans)∩Stems(ctx)| / |Stems(ctx)|)^0,65</t>
        </is>
      </c>
      <c r="E1062" s="3" t="inlineStr">
        <is>
          <t>KWoverlap = (|∩|/|ctx|)^0,65 = (29/247)^0,65 = 0.1174^0,65 = 0.2485</t>
        </is>
      </c>
      <c r="F1062" t="n">
        <v>0.2485</v>
      </c>
      <c r="G1062" s="3" t="inlineStr"/>
    </row>
    <row r="1063">
      <c r="A1063" t="n">
        <v>72</v>
      </c>
      <c r="B1063" t="inlineStr">
        <is>
          <t>B</t>
        </is>
      </c>
      <c r="C1063" t="inlineStr">
        <is>
          <t>Hallucination Risk (Pers. 18)</t>
        </is>
      </c>
      <c r="D1063" s="3" t="inlineStr">
        <is>
          <t>Risk = 0,65×(1-F) + 0,20×Contradiction + 0,15×Uncertainty</t>
        </is>
      </c>
      <c r="E1063" s="3" t="inlineStr">
        <is>
          <t>Risk = 0,65×OutOfContext + 0,20×Contradiction + 0,15×Uncertainty = 0,65×0.2255 + 0,20×0.0000 + 0,15×0.00 = 0.1466 [RENDAH]</t>
        </is>
      </c>
      <c r="F1063" t="n">
        <v>0.1466</v>
      </c>
      <c r="G1063" s="3" t="inlineStr">
        <is>
          <t>label: RENDAH; kontradiksi 0/14 kalimat; uncertainty flag: False</t>
        </is>
      </c>
    </row>
    <row r="1064">
      <c r="A1064" t="n">
        <v>72</v>
      </c>
      <c r="B1064" t="inlineStr">
        <is>
          <t>B</t>
        </is>
      </c>
      <c r="C1064" t="inlineStr">
        <is>
          <t>Answer Accuracy (Pers. 20)</t>
        </is>
      </c>
      <c r="D1064" s="3" t="inlineStr">
        <is>
          <t>Correctᵢ ∈ {0,1} via LLM-as-Judge (HASIL: BENAR/SALAH)</t>
        </is>
      </c>
      <c r="E1064" s="3" t="inlineStr">
        <is>
          <t>BENAR
Rationale:
* The question asks why merge sort is better for large data, and the answer explains that it has a better time complexity (O(n log n)) compared to bubble sort (O(n^2)).
* The reference provided also supports this conclusion, as it highlights the importance of considering time complexity when choosing an algorithm.
* The system's answer accurately summarizes the main concept, exp</t>
        </is>
      </c>
      <c r="F1064" t="inlineStr">
        <is>
          <t>BENAR</t>
        </is>
      </c>
      <c r="G1064" s="3" t="inlineStr">
        <is>
          <t>evaluator: ollama/llama3</t>
        </is>
      </c>
    </row>
    <row r="1065">
      <c r="A1065" t="n">
        <v>73</v>
      </c>
      <c r="B1065" t="inlineStr">
        <is>
          <t>A</t>
        </is>
      </c>
      <c r="C1065" t="inlineStr">
        <is>
          <t>Precision@K (Pers. 2)</t>
        </is>
      </c>
      <c r="D1065" s="3" t="inlineStr">
        <is>
          <t>Precision@K = |{d ∈ TopK : sim(q,d) ≥ θ}| / K</t>
        </is>
      </c>
      <c r="E1065" s="3" t="inlineStr">
        <is>
          <t>skor = [0.6561, 0.6489, 0.6455, 0.6427, 0.6363, 0.6344] → 6 / 6</t>
        </is>
      </c>
      <c r="F1065" t="n">
        <v>1</v>
      </c>
      <c r="G1065" s="3" t="inlineStr">
        <is>
          <t>basis: skor chunk nyata (sesuai contoh Pers. 2 skripsi)</t>
        </is>
      </c>
    </row>
    <row r="1066">
      <c r="A1066" t="n">
        <v>73</v>
      </c>
      <c r="B1066" t="inlineStr">
        <is>
          <t>A</t>
        </is>
      </c>
      <c r="C1066" t="inlineStr">
        <is>
          <t>Recall@K (Pers. 4)</t>
        </is>
      </c>
      <c r="D1066" s="3" t="inlineStr">
        <is>
          <t>Recall@K = |{kata kunci ditemukan : sim ≥ θ}| / |R|</t>
        </is>
      </c>
      <c r="E1066" s="3" t="inlineStr">
        <is>
          <t>skor = [0.8109, 0.4873, 0.4837, 0.4791, 0.4508, 0.415] → 6 / 6</t>
        </is>
      </c>
      <c r="F1066" t="n">
        <v>1</v>
      </c>
      <c r="G1066" s="3" t="inlineStr"/>
    </row>
    <row r="1067">
      <c r="A1067" t="n">
        <v>73</v>
      </c>
      <c r="B1067" t="inlineStr">
        <is>
          <t>A</t>
        </is>
      </c>
      <c r="C1067" t="inlineStr">
        <is>
          <t>Mean Similarity (Pers. 6)</t>
        </is>
      </c>
      <c r="D1067" s="3" t="inlineStr">
        <is>
          <t>MeanSim = (1/K) × Σ sim(q, dᵢ)</t>
        </is>
      </c>
      <c r="E1067" s="3" t="inlineStr">
        <is>
          <t>skor = [0.6561, 0.6489, 0.6455, 0.6427, 0.6363, 0.6344] → (0.6561 + 0.6489 + 0.6455 + 0.6427 + 0.6363 + 0.6344) / 6</t>
        </is>
      </c>
      <c r="F1067" t="n">
        <v>0.644</v>
      </c>
      <c r="G1067" s="3" t="inlineStr"/>
    </row>
    <row r="1068">
      <c r="A1068" t="n">
        <v>73</v>
      </c>
      <c r="B1068" t="inlineStr">
        <is>
          <t>A</t>
        </is>
      </c>
      <c r="C1068" t="inlineStr">
        <is>
          <t>Coverage (Pers. 8)</t>
        </is>
      </c>
      <c r="D1068" s="3" t="inlineStr">
        <is>
          <t>Coverage = |{dᵢ ∈ TopK : sim(q,dᵢ) ≥ θc}| / K</t>
        </is>
      </c>
      <c r="E1068" s="3" t="inlineStr">
        <is>
          <t>skor = [0.6561, 0.6489, 0.6455, 0.6427, 0.6363, 0.6344] → 6 / 6</t>
        </is>
      </c>
      <c r="F1068" t="n">
        <v>1</v>
      </c>
      <c r="G1068" s="3" t="inlineStr"/>
    </row>
    <row r="1069">
      <c r="A1069" t="n">
        <v>73</v>
      </c>
      <c r="B1069" t="inlineStr">
        <is>
          <t>A</t>
        </is>
      </c>
      <c r="C1069" t="inlineStr">
        <is>
          <t>Source Diversity (Pers. 10)</t>
        </is>
      </c>
      <c r="D1069" s="3" t="inlineStr">
        <is>
          <t>Diversity = |sumber unik dalam TopK| / K</t>
        </is>
      </c>
      <c r="E1069" s="3" t="inlineStr">
        <is>
          <t>skor = ['GT_CT01.txt', 'GT_CT03.txt', 'GT_SUBTOPIK_04_Modulo_Siklus.txt', 'GT_SUBTOPIK_14_Kompleksitas_BigO.txt'] → 4 / 6</t>
        </is>
      </c>
      <c r="F1069" t="n">
        <v>0.6667</v>
      </c>
      <c r="G1069" s="3" t="inlineStr">
        <is>
          <t>file unik: GT_CT01.txt, GT_CT03.txt, GT_SUBTOPIK_04_Modulo_Siklus.txt, GT_SUBTOPIK_14_Kompleksitas_BigO.txt</t>
        </is>
      </c>
    </row>
    <row r="1070">
      <c r="A1070" t="n">
        <v>73</v>
      </c>
      <c r="B1070" t="inlineStr">
        <is>
          <t>A</t>
        </is>
      </c>
      <c r="C1070" t="inlineStr">
        <is>
          <t>Faithfulness (Pers. 15)</t>
        </is>
      </c>
      <c r="D1070" s="3" t="inlineStr">
        <is>
          <t>F = 0,70×Entailment + 0,30×KWoverlap</t>
        </is>
      </c>
      <c r="E1070" s="3" t="inlineStr">
        <is>
          <t>Faithfulness = 0,70×Entailment + 0,30×KWoverlap = 0,70×0.6667 + 0,30×0.2358 = 0.5374  (entailment: 4/6 klaim didukung; KWoverlap = (|∩|/|ctx|)^0,65 = (30/277)^0,65 = 0.1083^0,65 = 0.2358)</t>
        </is>
      </c>
      <c r="F1070" t="n">
        <v>0.5374</v>
      </c>
      <c r="G1070" s="3" t="inlineStr">
        <is>
          <t>metode: llm_entailment + keyword</t>
        </is>
      </c>
    </row>
    <row r="1071">
      <c r="A1071" t="n">
        <v>73</v>
      </c>
      <c r="B1071" t="inlineStr">
        <is>
          <t>A</t>
        </is>
      </c>
      <c r="C1071" t="inlineStr">
        <is>
          <t>— Entailment (Pers. 12-13)</t>
        </is>
      </c>
      <c r="D1071" s="3" t="inlineStr">
        <is>
          <t>Entailment = Σverdict(sᵢ)/m</t>
        </is>
      </c>
      <c r="E1071" s="3" t="inlineStr">
        <is>
          <t>4 klaim YA dari 6 klaim dievaluasi</t>
        </is>
      </c>
      <c r="F1071" t="n">
        <v>0.6667</v>
      </c>
      <c r="G1071" s="3" t="inlineStr">
        <is>
          <t>verdict per klaim: sheet 'Entailment Detail'</t>
        </is>
      </c>
    </row>
    <row r="1072">
      <c r="A1072" t="n">
        <v>73</v>
      </c>
      <c r="B1072" t="inlineStr">
        <is>
          <t>A</t>
        </is>
      </c>
      <c r="C1072" t="inlineStr">
        <is>
          <t>— Keyword Overlap (Pers. 14)</t>
        </is>
      </c>
      <c r="D1072" s="3" t="inlineStr">
        <is>
          <t>KWoverlap = (|Stems(ans)∩Stems(ctx)| / |Stems(ctx)|)^0,65</t>
        </is>
      </c>
      <c r="E1072" s="3" t="inlineStr">
        <is>
          <t>KWoverlap = (|∩|/|ctx|)^0,65 = (30/277)^0,65 = 0.1083^0,65 = 0.2358</t>
        </is>
      </c>
      <c r="F1072" t="n">
        <v>0.2358</v>
      </c>
      <c r="G1072" s="3" t="inlineStr"/>
    </row>
    <row r="1073">
      <c r="A1073" t="n">
        <v>73</v>
      </c>
      <c r="B1073" t="inlineStr">
        <is>
          <t>A</t>
        </is>
      </c>
      <c r="C1073" t="inlineStr">
        <is>
          <t>Hallucination Risk (Pers. 18)</t>
        </is>
      </c>
      <c r="D1073" s="3" t="inlineStr">
        <is>
          <t>Risk = 0,65×(1-F) + 0,20×Contradiction + 0,15×Uncertainty</t>
        </is>
      </c>
      <c r="E1073" s="3" t="inlineStr">
        <is>
          <t>Risk = 0,65×OutOfContext + 0,20×Contradiction + 0,15×Uncertainty = 0,65×0.4626 + 0,20×0.0000 + 0,15×0.00 = 0.3007 [RENDAH]</t>
        </is>
      </c>
      <c r="F1073" t="n">
        <v>0.3007</v>
      </c>
      <c r="G1073" s="3" t="inlineStr">
        <is>
          <t>label: RENDAH; kontradiksi 0/11 kalimat; uncertainty flag: False</t>
        </is>
      </c>
    </row>
    <row r="1074">
      <c r="A1074" t="n">
        <v>73</v>
      </c>
      <c r="B1074" t="inlineStr">
        <is>
          <t>A</t>
        </is>
      </c>
      <c r="C1074" t="inlineStr">
        <is>
          <t>Answer Accuracy (Pers. 20)</t>
        </is>
      </c>
      <c r="D1074" s="3" t="inlineStr">
        <is>
          <t>Correctᵢ ∈ {0,1} via LLM-as-Judge (HASIL: BENAR/SALAH)</t>
        </is>
      </c>
      <c r="E1074" s="3" t="inlineStr">
        <is>
          <t>BENAR</t>
        </is>
      </c>
      <c r="F1074" t="inlineStr">
        <is>
          <t>BENAR</t>
        </is>
      </c>
      <c r="G1074" s="3" t="inlineStr">
        <is>
          <t>evaluator: ollama/llama3</t>
        </is>
      </c>
    </row>
    <row r="1075">
      <c r="A1075" t="n">
        <v>73</v>
      </c>
      <c r="B1075" t="inlineStr">
        <is>
          <t>B</t>
        </is>
      </c>
      <c r="C1075" t="inlineStr">
        <is>
          <t>Faithfulness (Pers. 15)</t>
        </is>
      </c>
      <c r="D1075" s="3" t="inlineStr">
        <is>
          <t>F = 0,70×Entailment + 0,30×KWoverlap</t>
        </is>
      </c>
      <c r="E1075" s="3" t="inlineStr">
        <is>
          <t>Faithfulness = 0,70×Entailment + 0,30×KWoverlap = 0,70×1.0000 + 0,30×0.2558 = 0.7767  (entailment: 6/6 klaim didukung; KWoverlap = (|∩|/|ctx|)^0,65 = (34/277)^0,65 = 0.1227^0,65 = 0.2558)</t>
        </is>
      </c>
      <c r="F1075" t="n">
        <v>0.7766999999999999</v>
      </c>
      <c r="G1075" s="3" t="inlineStr">
        <is>
          <t>metode: llm_entailment + keyword</t>
        </is>
      </c>
    </row>
    <row r="1076">
      <c r="A1076" t="n">
        <v>73</v>
      </c>
      <c r="B1076" t="inlineStr">
        <is>
          <t>B</t>
        </is>
      </c>
      <c r="C1076" t="inlineStr">
        <is>
          <t>— Entailment (Pers. 12-13)</t>
        </is>
      </c>
      <c r="D1076" s="3" t="inlineStr">
        <is>
          <t>Entailment = Σverdict(sᵢ)/m</t>
        </is>
      </c>
      <c r="E1076" s="3" t="inlineStr">
        <is>
          <t>6 klaim YA dari 6 klaim dievaluasi</t>
        </is>
      </c>
      <c r="F1076" t="n">
        <v>1</v>
      </c>
      <c r="G1076" s="3" t="inlineStr">
        <is>
          <t>verdict per klaim: sheet 'Entailment Detail'</t>
        </is>
      </c>
    </row>
    <row r="1077">
      <c r="A1077" t="n">
        <v>73</v>
      </c>
      <c r="B1077" t="inlineStr">
        <is>
          <t>B</t>
        </is>
      </c>
      <c r="C1077" t="inlineStr">
        <is>
          <t>— Keyword Overlap (Pers. 14)</t>
        </is>
      </c>
      <c r="D1077" s="3" t="inlineStr">
        <is>
          <t>KWoverlap = (|Stems(ans)∩Stems(ctx)| / |Stems(ctx)|)^0,65</t>
        </is>
      </c>
      <c r="E1077" s="3" t="inlineStr">
        <is>
          <t>KWoverlap = (|∩|/|ctx|)^0,65 = (34/277)^0,65 = 0.1227^0,65 = 0.2558</t>
        </is>
      </c>
      <c r="F1077" t="n">
        <v>0.2558</v>
      </c>
      <c r="G1077" s="3" t="inlineStr"/>
    </row>
    <row r="1078">
      <c r="A1078" t="n">
        <v>73</v>
      </c>
      <c r="B1078" t="inlineStr">
        <is>
          <t>B</t>
        </is>
      </c>
      <c r="C1078" t="inlineStr">
        <is>
          <t>Hallucination Risk (Pers. 18)</t>
        </is>
      </c>
      <c r="D1078" s="3" t="inlineStr">
        <is>
          <t>Risk = 0,65×(1-F) + 0,20×Contradiction + 0,15×Uncertainty</t>
        </is>
      </c>
      <c r="E1078" s="3" t="inlineStr">
        <is>
          <t>Risk = 0,65×OutOfContext + 0,20×Contradiction + 0,15×Uncertainty = 0,65×0.2233 + 0,20×0.0000 + 0,15×0.00 = 0.1451 [RENDAH]</t>
        </is>
      </c>
      <c r="F1078" t="n">
        <v>0.1451</v>
      </c>
      <c r="G1078" s="3" t="inlineStr">
        <is>
          <t>label: RENDAH; kontradiksi 0/20 kalimat; uncertainty flag: False</t>
        </is>
      </c>
    </row>
    <row r="1079">
      <c r="A1079" t="n">
        <v>73</v>
      </c>
      <c r="B1079" t="inlineStr">
        <is>
          <t>B</t>
        </is>
      </c>
      <c r="C1079" t="inlineStr">
        <is>
          <t>Answer Accuracy (Pers. 20)</t>
        </is>
      </c>
      <c r="D1079" s="3" t="inlineStr">
        <is>
          <t>Correctᵢ ∈ {0,1} via LLM-as-Judge (HASIL: BENAR/SALAH)</t>
        </is>
      </c>
      <c r="E1079" s="3" t="inlineStr">
        <is>
          <t>BENAR</t>
        </is>
      </c>
      <c r="F1079" t="inlineStr">
        <is>
          <t>BENAR</t>
        </is>
      </c>
      <c r="G1079" s="3" t="inlineStr">
        <is>
          <t>evaluator: ollama/llama3</t>
        </is>
      </c>
    </row>
    <row r="1080">
      <c r="A1080" t="n">
        <v>74</v>
      </c>
      <c r="B1080" t="inlineStr">
        <is>
          <t>A</t>
        </is>
      </c>
      <c r="C1080" t="inlineStr">
        <is>
          <t>Precision@K (Pers. 2)</t>
        </is>
      </c>
      <c r="D1080" s="3" t="inlineStr">
        <is>
          <t>Precision@K = |{d ∈ TopK : sim(q,d) ≥ θ}| / K</t>
        </is>
      </c>
      <c r="E1080" s="3" t="inlineStr">
        <is>
          <t>skor = [0.6988, 0.6974, 0.6912, 0.6899, 0.6898, 0.6881] → 6 / 6</t>
        </is>
      </c>
      <c r="F1080" t="n">
        <v>1</v>
      </c>
      <c r="G1080" s="3" t="inlineStr">
        <is>
          <t>basis: skor chunk nyata (sesuai contoh Pers. 2 skripsi)</t>
        </is>
      </c>
    </row>
    <row r="1081">
      <c r="A1081" t="n">
        <v>74</v>
      </c>
      <c r="B1081" t="inlineStr">
        <is>
          <t>A</t>
        </is>
      </c>
      <c r="C1081" t="inlineStr">
        <is>
          <t>Recall@K (Pers. 4)</t>
        </is>
      </c>
      <c r="D1081" s="3" t="inlineStr">
        <is>
          <t>Recall@K = |{kata kunci ditemukan : sim ≥ θ}| / |R|</t>
        </is>
      </c>
      <c r="E1081" s="3" t="inlineStr">
        <is>
          <t>skor = [0.6485, 0.6349, 0.5897, 0.5542, 0.5153, 0.4915] → 6 / 6</t>
        </is>
      </c>
      <c r="F1081" t="n">
        <v>1</v>
      </c>
      <c r="G1081" s="3" t="inlineStr"/>
    </row>
    <row r="1082">
      <c r="A1082" t="n">
        <v>74</v>
      </c>
      <c r="B1082" t="inlineStr">
        <is>
          <t>A</t>
        </is>
      </c>
      <c r="C1082" t="inlineStr">
        <is>
          <t>Mean Similarity (Pers. 6)</t>
        </is>
      </c>
      <c r="D1082" s="3" t="inlineStr">
        <is>
          <t>MeanSim = (1/K) × Σ sim(q, dᵢ)</t>
        </is>
      </c>
      <c r="E1082" s="3" t="inlineStr">
        <is>
          <t>skor = [0.6988, 0.6974, 0.6912, 0.6899, 0.6898, 0.6881] → (0.6988 + 0.6974 + 0.6912 + 0.6899 + 0.6898 + 0.6881) / 6</t>
        </is>
      </c>
      <c r="F1082" t="n">
        <v>0.6925</v>
      </c>
      <c r="G1082" s="3" t="inlineStr"/>
    </row>
    <row r="1083">
      <c r="A1083" t="n">
        <v>74</v>
      </c>
      <c r="B1083" t="inlineStr">
        <is>
          <t>A</t>
        </is>
      </c>
      <c r="C1083" t="inlineStr">
        <is>
          <t>Coverage (Pers. 8)</t>
        </is>
      </c>
      <c r="D1083" s="3" t="inlineStr">
        <is>
          <t>Coverage = |{dᵢ ∈ TopK : sim(q,dᵢ) ≥ θc}| / K</t>
        </is>
      </c>
      <c r="E1083" s="3" t="inlineStr">
        <is>
          <t>skor = [0.6988, 0.6974, 0.6912, 0.6899, 0.6898, 0.6881] → 6 / 6</t>
        </is>
      </c>
      <c r="F1083" t="n">
        <v>1</v>
      </c>
      <c r="G1083" s="3" t="inlineStr"/>
    </row>
    <row r="1084">
      <c r="A1084" t="n">
        <v>74</v>
      </c>
      <c r="B1084" t="inlineStr">
        <is>
          <t>A</t>
        </is>
      </c>
      <c r="C1084" t="inlineStr">
        <is>
          <t>Source Diversity (Pers. 10)</t>
        </is>
      </c>
      <c r="D1084" s="3" t="inlineStr">
        <is>
          <t>Diversity = |sumber unik dalam TopK| / K</t>
        </is>
      </c>
      <c r="E1084" s="3" t="inlineStr">
        <is>
          <t>skor = ['GT_CT07.txt', 'GT_DETAIL_PT01_Pendahuluan.txt', 'GT_DETAIL_PT04_Abstraksi.txt', 'GT_DETAIL_PT13_Struktur_Data.txt', 'GT_SUBTOPIK_01_Dekomposisi_Optimasi.txt', 'GT_SUBTOPIK_02_Abstraksi_Formulasi.txt'] → 6 / 6</t>
        </is>
      </c>
      <c r="F1084" t="n">
        <v>1</v>
      </c>
      <c r="G1084" s="3" t="inlineStr">
        <is>
          <t>file unik: GT_CT07.txt, GT_DETAIL_PT01_Pendahuluan.txt, GT_DETAIL_PT04_Abstraksi.txt, GT_DETAIL_PT13_Struktur_Data.txt, GT_SUBTOPIK_01_Dekomposisi_Optimasi.txt, GT_SUBTOPIK_02_Abstraksi_Formulasi.txt</t>
        </is>
      </c>
    </row>
    <row r="1085">
      <c r="A1085" t="n">
        <v>74</v>
      </c>
      <c r="B1085" t="inlineStr">
        <is>
          <t>A</t>
        </is>
      </c>
      <c r="C1085" t="inlineStr">
        <is>
          <t>Faithfulness (Pers. 15)</t>
        </is>
      </c>
      <c r="D1085" s="3" t="inlineStr">
        <is>
          <t>F = 0,70×Entailment + 0,30×KWoverlap</t>
        </is>
      </c>
      <c r="E1085" s="3" t="inlineStr">
        <is>
          <t>Faithfulness = 0,70×Entailment + 0,30×KWoverlap = 0,70×0.5000 + 0,30×0.0748 = 0.3724  (entailment: 3/6 klaim didukung; KWoverlap = (|∩|/|ctx|)^0,65 = (6/324)^0,65 = 0.0185^0,65 = 0.0748)</t>
        </is>
      </c>
      <c r="F1085" t="n">
        <v>0.3724</v>
      </c>
      <c r="G1085" s="3" t="inlineStr">
        <is>
          <t>metode: llm_entailment + keyword</t>
        </is>
      </c>
    </row>
    <row r="1086">
      <c r="A1086" t="n">
        <v>74</v>
      </c>
      <c r="B1086" t="inlineStr">
        <is>
          <t>A</t>
        </is>
      </c>
      <c r="C1086" t="inlineStr">
        <is>
          <t>— Entailment (Pers. 12-13)</t>
        </is>
      </c>
      <c r="D1086" s="3" t="inlineStr">
        <is>
          <t>Entailment = Σverdict(sᵢ)/m</t>
        </is>
      </c>
      <c r="E1086" s="3" t="inlineStr">
        <is>
          <t>3 klaim YA dari 6 klaim dievaluasi</t>
        </is>
      </c>
      <c r="F1086" t="n">
        <v>0.5</v>
      </c>
      <c r="G1086" s="3" t="inlineStr">
        <is>
          <t>verdict per klaim: sheet 'Entailment Detail'</t>
        </is>
      </c>
    </row>
    <row r="1087">
      <c r="A1087" t="n">
        <v>74</v>
      </c>
      <c r="B1087" t="inlineStr">
        <is>
          <t>A</t>
        </is>
      </c>
      <c r="C1087" t="inlineStr">
        <is>
          <t>— Keyword Overlap (Pers. 14)</t>
        </is>
      </c>
      <c r="D1087" s="3" t="inlineStr">
        <is>
          <t>KWoverlap = (|Stems(ans)∩Stems(ctx)| / |Stems(ctx)|)^0,65</t>
        </is>
      </c>
      <c r="E1087" s="3" t="inlineStr">
        <is>
          <t>KWoverlap = (|∩|/|ctx|)^0,65 = (6/324)^0,65 = 0.0185^0,65 = 0.0748</t>
        </is>
      </c>
      <c r="F1087" t="n">
        <v>0.07480000000000001</v>
      </c>
      <c r="G1087" s="3" t="inlineStr"/>
    </row>
    <row r="1088">
      <c r="A1088" t="n">
        <v>74</v>
      </c>
      <c r="B1088" t="inlineStr">
        <is>
          <t>A</t>
        </is>
      </c>
      <c r="C1088" t="inlineStr">
        <is>
          <t>Hallucination Risk (Pers. 18)</t>
        </is>
      </c>
      <c r="D1088" s="3" t="inlineStr">
        <is>
          <t>Risk = 0,65×(1-F) + 0,20×Contradiction + 0,15×Uncertainty</t>
        </is>
      </c>
      <c r="E1088" s="3" t="inlineStr">
        <is>
          <t>Risk = 0,65×OutOfContext + 0,20×Contradiction + 0,15×Uncertainty = 0,65×0.6276 + 0,20×0.0000 + 0,15×0.00 = 0.4079 [SEDANG]</t>
        </is>
      </c>
      <c r="F1088" t="n">
        <v>0.4079</v>
      </c>
      <c r="G1088" s="3" t="inlineStr">
        <is>
          <t>label: SEDANG; kontradiksi 0/16 kalimat; uncertainty flag: False</t>
        </is>
      </c>
    </row>
    <row r="1089">
      <c r="A1089" t="n">
        <v>74</v>
      </c>
      <c r="B1089" t="inlineStr">
        <is>
          <t>A</t>
        </is>
      </c>
      <c r="C1089" t="inlineStr">
        <is>
          <t>Answer Accuracy (Pers. 20)</t>
        </is>
      </c>
      <c r="D1089" s="3" t="inlineStr">
        <is>
          <t>Correctᵢ ∈ {0,1} via LLM-as-Judge (HASIL: BENAR/SALAH)</t>
        </is>
      </c>
      <c r="E1089" s="3" t="inlineStr"/>
      <c r="F1089" t="inlineStr">
        <is>
          <t>BENAR</t>
        </is>
      </c>
      <c r="G1089" s="3" t="inlineStr">
        <is>
          <t>evaluator: ollama/llama3</t>
        </is>
      </c>
    </row>
    <row r="1090">
      <c r="A1090" t="n">
        <v>74</v>
      </c>
      <c r="B1090" t="inlineStr">
        <is>
          <t>B</t>
        </is>
      </c>
      <c r="C1090" t="inlineStr">
        <is>
          <t>Faithfulness (Pers. 15)</t>
        </is>
      </c>
      <c r="D1090" s="3" t="inlineStr">
        <is>
          <t>F = 0,70×Entailment + 0,30×KWoverlap</t>
        </is>
      </c>
      <c r="E1090" s="3" t="inlineStr">
        <is>
          <t>Faithfulness = 0,70×Entailment + 0,30×KWoverlap = 0,70×0.5000 + 0,30×0.1792 = 0.4038  (entailment: 3/6 klaim didukung; KWoverlap = (|∩|/|ctx|)^0,65 = (23/324)^0,65 = 0.0710^0,65 = 0.1792)</t>
        </is>
      </c>
      <c r="F1090" t="n">
        <v>0.4038</v>
      </c>
      <c r="G1090" s="3" t="inlineStr">
        <is>
          <t>metode: llm_entailment + keyword</t>
        </is>
      </c>
    </row>
    <row r="1091">
      <c r="A1091" t="n">
        <v>74</v>
      </c>
      <c r="B1091" t="inlineStr">
        <is>
          <t>B</t>
        </is>
      </c>
      <c r="C1091" t="inlineStr">
        <is>
          <t>— Entailment (Pers. 12-13)</t>
        </is>
      </c>
      <c r="D1091" s="3" t="inlineStr">
        <is>
          <t>Entailment = Σverdict(sᵢ)/m</t>
        </is>
      </c>
      <c r="E1091" s="3" t="inlineStr">
        <is>
          <t>3 klaim YA dari 6 klaim dievaluasi</t>
        </is>
      </c>
      <c r="F1091" t="n">
        <v>0.5</v>
      </c>
      <c r="G1091" s="3" t="inlineStr">
        <is>
          <t>verdict per klaim: sheet 'Entailment Detail'</t>
        </is>
      </c>
    </row>
    <row r="1092">
      <c r="A1092" t="n">
        <v>74</v>
      </c>
      <c r="B1092" t="inlineStr">
        <is>
          <t>B</t>
        </is>
      </c>
      <c r="C1092" t="inlineStr">
        <is>
          <t>— Keyword Overlap (Pers. 14)</t>
        </is>
      </c>
      <c r="D1092" s="3" t="inlineStr">
        <is>
          <t>KWoverlap = (|Stems(ans)∩Stems(ctx)| / |Stems(ctx)|)^0,65</t>
        </is>
      </c>
      <c r="E1092" s="3" t="inlineStr">
        <is>
          <t>KWoverlap = (|∩|/|ctx|)^0,65 = (23/324)^0,65 = 0.0710^0,65 = 0.1792</t>
        </is>
      </c>
      <c r="F1092" t="n">
        <v>0.1792</v>
      </c>
      <c r="G1092" s="3" t="inlineStr"/>
    </row>
    <row r="1093">
      <c r="A1093" t="n">
        <v>74</v>
      </c>
      <c r="B1093" t="inlineStr">
        <is>
          <t>B</t>
        </is>
      </c>
      <c r="C1093" t="inlineStr">
        <is>
          <t>Hallucination Risk (Pers. 18)</t>
        </is>
      </c>
      <c r="D1093" s="3" t="inlineStr">
        <is>
          <t>Risk = 0,65×(1-F) + 0,20×Contradiction + 0,15×Uncertainty</t>
        </is>
      </c>
      <c r="E1093" s="3" t="inlineStr">
        <is>
          <t>Risk = 0,65×OutOfContext + 0,20×Contradiction + 0,15×Uncertainty = 0,65×0.5962 + 0,20×0.0000 + 0,15×0.20 = 0.4175 [SEDANG]</t>
        </is>
      </c>
      <c r="F1093" t="n">
        <v>0.4175</v>
      </c>
      <c r="G1093" s="3" t="inlineStr">
        <is>
          <t>label: SEDANG; kontradiksi 0/10 kalimat; uncertainty flag: True</t>
        </is>
      </c>
    </row>
    <row r="1094">
      <c r="A1094" t="n">
        <v>74</v>
      </c>
      <c r="B1094" t="inlineStr">
        <is>
          <t>B</t>
        </is>
      </c>
      <c r="C1094" t="inlineStr">
        <is>
          <t>Answer Accuracy (Pers. 20)</t>
        </is>
      </c>
      <c r="D1094" s="3" t="inlineStr">
        <is>
          <t>Correctᵢ ∈ {0,1} via LLM-as-Judge (HASIL: BENAR/SALAH)</t>
        </is>
      </c>
      <c r="E1094" s="3" t="inlineStr"/>
      <c r="F1094" t="inlineStr">
        <is>
          <t>BENAR</t>
        </is>
      </c>
      <c r="G1094" s="3" t="inlineStr">
        <is>
          <t>evaluator: ollama/llama3</t>
        </is>
      </c>
    </row>
    <row r="1095">
      <c r="A1095" t="n">
        <v>75</v>
      </c>
      <c r="B1095" t="inlineStr">
        <is>
          <t>A</t>
        </is>
      </c>
      <c r="C1095" t="inlineStr">
        <is>
          <t>Precision@K (Pers. 2)</t>
        </is>
      </c>
      <c r="D1095" s="3" t="inlineStr">
        <is>
          <t>Precision@K = |{d ∈ TopK : sim(q,d) ≥ θ}| / K</t>
        </is>
      </c>
      <c r="E1095" s="3" t="inlineStr">
        <is>
          <t>skor = [0.7608, 0.7453, 0.745, 0.7374, 0.7312, 0.7304] → 6 / 6</t>
        </is>
      </c>
      <c r="F1095" t="n">
        <v>1</v>
      </c>
      <c r="G1095" s="3" t="inlineStr">
        <is>
          <t>basis: skor chunk nyata (sesuai contoh Pers. 2 skripsi)</t>
        </is>
      </c>
    </row>
    <row r="1096">
      <c r="A1096" t="n">
        <v>75</v>
      </c>
      <c r="B1096" t="inlineStr">
        <is>
          <t>A</t>
        </is>
      </c>
      <c r="C1096" t="inlineStr">
        <is>
          <t>Recall@K (Pers. 4)</t>
        </is>
      </c>
      <c r="D1096" s="3" t="inlineStr">
        <is>
          <t>Recall@K = |{kata kunci ditemukan : sim ≥ θ}| / |R|</t>
        </is>
      </c>
      <c r="E1096" s="3" t="inlineStr">
        <is>
          <t>skor = [0.6504, 0.6134, 0.6078, 0.5491, 0.4419, 0.4164] → 6 / 7</t>
        </is>
      </c>
      <c r="F1096" t="n">
        <v>0.8571</v>
      </c>
      <c r="G1096" s="3" t="inlineStr"/>
    </row>
    <row r="1097">
      <c r="A1097" t="n">
        <v>75</v>
      </c>
      <c r="B1097" t="inlineStr">
        <is>
          <t>A</t>
        </is>
      </c>
      <c r="C1097" t="inlineStr">
        <is>
          <t>Mean Similarity (Pers. 6)</t>
        </is>
      </c>
      <c r="D1097" s="3" t="inlineStr">
        <is>
          <t>MeanSim = (1/K) × Σ sim(q, dᵢ)</t>
        </is>
      </c>
      <c r="E1097" s="3" t="inlineStr">
        <is>
          <t>skor = [0.7608, 0.7453, 0.745, 0.7374, 0.7312, 0.7304] → (0.7608 + 0.7453 + 0.7450 + 0.7374 + 0.7312 + 0.7304) / 6</t>
        </is>
      </c>
      <c r="F1097" t="n">
        <v>0.7417</v>
      </c>
      <c r="G1097" s="3" t="inlineStr"/>
    </row>
    <row r="1098">
      <c r="A1098" t="n">
        <v>75</v>
      </c>
      <c r="B1098" t="inlineStr">
        <is>
          <t>A</t>
        </is>
      </c>
      <c r="C1098" t="inlineStr">
        <is>
          <t>Coverage (Pers. 8)</t>
        </is>
      </c>
      <c r="D1098" s="3" t="inlineStr">
        <is>
          <t>Coverage = |{dᵢ ∈ TopK : sim(q,dᵢ) ≥ θc}| / K</t>
        </is>
      </c>
      <c r="E1098" s="3" t="inlineStr">
        <is>
          <t>skor = [0.7608, 0.7453, 0.745, 0.7374, 0.7312, 0.7304] → 6 / 6</t>
        </is>
      </c>
      <c r="F1098" t="n">
        <v>1</v>
      </c>
      <c r="G1098" s="3" t="inlineStr"/>
    </row>
    <row r="1099">
      <c r="A1099" t="n">
        <v>75</v>
      </c>
      <c r="B1099" t="inlineStr">
        <is>
          <t>A</t>
        </is>
      </c>
      <c r="C1099" t="inlineStr">
        <is>
          <t>Source Diversity (Pers. 10)</t>
        </is>
      </c>
      <c r="D1099" s="3" t="inlineStr">
        <is>
          <t>Diversity = |sumber unik dalam TopK| / K</t>
        </is>
      </c>
      <c r="E1099" s="3" t="inlineStr">
        <is>
          <t>skor = ['GT_CT09.txt', 'GT_DETAIL_PT05_Pattern_Recognition.txt', 'GT_SUBTOPIK_01_Dekomposisi_Optimasi.txt', 'GT_SUBTOPIK_04_Modulo_Siklus.txt', 'GT_SUBTOPIK_14_Kompleksitas_BigO.txt'] → 5 / 6</t>
        </is>
      </c>
      <c r="F1099" t="n">
        <v>0.8333</v>
      </c>
      <c r="G1099" s="3" t="inlineStr">
        <is>
          <t>file unik: GT_CT09.txt, GT_DETAIL_PT05_Pattern_Recognition.txt, GT_SUBTOPIK_01_Dekomposisi_Optimasi.txt, GT_SUBTOPIK_04_Modulo_Siklus.txt, GT_SUBTOPIK_14_Kompleksitas_BigO.txt</t>
        </is>
      </c>
    </row>
    <row r="1100">
      <c r="A1100" t="n">
        <v>75</v>
      </c>
      <c r="B1100" t="inlineStr">
        <is>
          <t>A</t>
        </is>
      </c>
      <c r="C1100" t="inlineStr">
        <is>
          <t>Faithfulness (Pers. 15)</t>
        </is>
      </c>
      <c r="D1100" s="3" t="inlineStr">
        <is>
          <t>F = 0,70×Entailment + 0,30×KWoverlap</t>
        </is>
      </c>
      <c r="E1100" s="3" t="inlineStr">
        <is>
          <t>Faithfulness = 0,70×Entailment + 0,30×KWoverlap = 0,70×0.8333 + 0,30×0.1096 = 0.6162  (entailment: 5/6 klaim didukung; KWoverlap = (|∩|/|ctx|)^0,65 = (8/240)^0,65 = 0.0333^0,65 = 0.1096)</t>
        </is>
      </c>
      <c r="F1100" t="n">
        <v>0.6162</v>
      </c>
      <c r="G1100" s="3" t="inlineStr">
        <is>
          <t>metode: llm_entailment + keyword</t>
        </is>
      </c>
    </row>
    <row r="1101">
      <c r="A1101" t="n">
        <v>75</v>
      </c>
      <c r="B1101" t="inlineStr">
        <is>
          <t>A</t>
        </is>
      </c>
      <c r="C1101" t="inlineStr">
        <is>
          <t>— Entailment (Pers. 12-13)</t>
        </is>
      </c>
      <c r="D1101" s="3" t="inlineStr">
        <is>
          <t>Entailment = Σverdict(sᵢ)/m</t>
        </is>
      </c>
      <c r="E1101" s="3" t="inlineStr">
        <is>
          <t>5 klaim YA dari 6 klaim dievaluasi</t>
        </is>
      </c>
      <c r="F1101" t="n">
        <v>0.8333</v>
      </c>
      <c r="G1101" s="3" t="inlineStr">
        <is>
          <t>verdict per klaim: sheet 'Entailment Detail'</t>
        </is>
      </c>
    </row>
    <row r="1102">
      <c r="A1102" t="n">
        <v>75</v>
      </c>
      <c r="B1102" t="inlineStr">
        <is>
          <t>A</t>
        </is>
      </c>
      <c r="C1102" t="inlineStr">
        <is>
          <t>— Keyword Overlap (Pers. 14)</t>
        </is>
      </c>
      <c r="D1102" s="3" t="inlineStr">
        <is>
          <t>KWoverlap = (|Stems(ans)∩Stems(ctx)| / |Stems(ctx)|)^0,65</t>
        </is>
      </c>
      <c r="E1102" s="3" t="inlineStr">
        <is>
          <t>KWoverlap = (|∩|/|ctx|)^0,65 = (8/240)^0,65 = 0.0333^0,65 = 0.1096</t>
        </is>
      </c>
      <c r="F1102" t="n">
        <v>0.1096</v>
      </c>
      <c r="G1102" s="3" t="inlineStr"/>
    </row>
    <row r="1103">
      <c r="A1103" t="n">
        <v>75</v>
      </c>
      <c r="B1103" t="inlineStr">
        <is>
          <t>A</t>
        </is>
      </c>
      <c r="C1103" t="inlineStr">
        <is>
          <t>Hallucination Risk (Pers. 18)</t>
        </is>
      </c>
      <c r="D1103" s="3" t="inlineStr">
        <is>
          <t>Risk = 0,65×(1-F) + 0,20×Contradiction + 0,15×Uncertainty</t>
        </is>
      </c>
      <c r="E1103" s="3" t="inlineStr">
        <is>
          <t>Risk = 0,65×OutOfContext + 0,20×Contradiction + 0,15×Uncertainty = 0,65×0.3838 + 0,20×0.0000 + 0,15×0.00 = 0.2495 [RENDAH]</t>
        </is>
      </c>
      <c r="F1103" t="n">
        <v>0.2495</v>
      </c>
      <c r="G1103" s="3" t="inlineStr">
        <is>
          <t>label: RENDAH; kontradiksi 0/29 kalimat; uncertainty flag: False</t>
        </is>
      </c>
    </row>
    <row r="1104">
      <c r="A1104" t="n">
        <v>75</v>
      </c>
      <c r="B1104" t="inlineStr">
        <is>
          <t>A</t>
        </is>
      </c>
      <c r="C1104" t="inlineStr">
        <is>
          <t>Answer Accuracy (Pers. 20)</t>
        </is>
      </c>
      <c r="D1104" s="3" t="inlineStr">
        <is>
          <t>Correctᵢ ∈ {0,1} via LLM-as-Judge (HASIL: BENAR/SALAH)</t>
        </is>
      </c>
      <c r="E1104" s="3" t="inlineStr">
        <is>
          <t>BENAR</t>
        </is>
      </c>
      <c r="F1104" t="inlineStr">
        <is>
          <t>BENAR</t>
        </is>
      </c>
      <c r="G1104" s="3" t="inlineStr">
        <is>
          <t>evaluator: ollama/llama3</t>
        </is>
      </c>
    </row>
    <row r="1105">
      <c r="A1105" t="n">
        <v>75</v>
      </c>
      <c r="B1105" t="inlineStr">
        <is>
          <t>B</t>
        </is>
      </c>
      <c r="C1105" t="inlineStr">
        <is>
          <t>Faithfulness (Pers. 15)</t>
        </is>
      </c>
      <c r="D1105" s="3" t="inlineStr">
        <is>
          <t>F = 0,70×Entailment + 0,30×KWoverlap</t>
        </is>
      </c>
      <c r="E1105" s="3" t="inlineStr">
        <is>
          <t>Faithfulness = 0,70×Entailment + 0,30×KWoverlap = 0,70×0.3333 + 0,30×0.1267 = 0.2713  (entailment: 2/6 klaim didukung; KWoverlap = (|∩|/|ctx|)^0,65 = (10/240)^0,65 = 0.0417^0,65 = 0.1267)</t>
        </is>
      </c>
      <c r="F1105" t="n">
        <v>0.2713</v>
      </c>
      <c r="G1105" s="3" t="inlineStr">
        <is>
          <t>metode: llm_entailment + keyword</t>
        </is>
      </c>
    </row>
    <row r="1106">
      <c r="A1106" t="n">
        <v>75</v>
      </c>
      <c r="B1106" t="inlineStr">
        <is>
          <t>B</t>
        </is>
      </c>
      <c r="C1106" t="inlineStr">
        <is>
          <t>— Entailment (Pers. 12-13)</t>
        </is>
      </c>
      <c r="D1106" s="3" t="inlineStr">
        <is>
          <t>Entailment = Σverdict(sᵢ)/m</t>
        </is>
      </c>
      <c r="E1106" s="3" t="inlineStr">
        <is>
          <t>2 klaim YA dari 6 klaim dievaluasi</t>
        </is>
      </c>
      <c r="F1106" t="n">
        <v>0.3333</v>
      </c>
      <c r="G1106" s="3" t="inlineStr">
        <is>
          <t>verdict per klaim: sheet 'Entailment Detail'</t>
        </is>
      </c>
    </row>
    <row r="1107">
      <c r="A1107" t="n">
        <v>75</v>
      </c>
      <c r="B1107" t="inlineStr">
        <is>
          <t>B</t>
        </is>
      </c>
      <c r="C1107" t="inlineStr">
        <is>
          <t>— Keyword Overlap (Pers. 14)</t>
        </is>
      </c>
      <c r="D1107" s="3" t="inlineStr">
        <is>
          <t>KWoverlap = (|Stems(ans)∩Stems(ctx)| / |Stems(ctx)|)^0,65</t>
        </is>
      </c>
      <c r="E1107" s="3" t="inlineStr">
        <is>
          <t>KWoverlap = (|∩|/|ctx|)^0,65 = (10/240)^0,65 = 0.0417^0,65 = 0.1267</t>
        </is>
      </c>
      <c r="F1107" t="n">
        <v>0.1267</v>
      </c>
      <c r="G1107" s="3" t="inlineStr"/>
    </row>
    <row r="1108">
      <c r="A1108" t="n">
        <v>75</v>
      </c>
      <c r="B1108" t="inlineStr">
        <is>
          <t>B</t>
        </is>
      </c>
      <c r="C1108" t="inlineStr">
        <is>
          <t>Hallucination Risk (Pers. 18)</t>
        </is>
      </c>
      <c r="D1108" s="3" t="inlineStr">
        <is>
          <t>Risk = 0,65×(1-F) + 0,20×Contradiction + 0,15×Uncertainty</t>
        </is>
      </c>
      <c r="E1108" s="3" t="inlineStr">
        <is>
          <t>Risk = 0,65×OutOfContext + 0,20×Contradiction + 0,15×Uncertainty = 0,65×0.7287 + 0,20×0.0000 + 0,15×0.00 = 0.4737 [SEDANG]</t>
        </is>
      </c>
      <c r="F1108" t="n">
        <v>0.4737</v>
      </c>
      <c r="G1108" s="3" t="inlineStr">
        <is>
          <t>label: SEDANG; kontradiksi 0/9 kalimat; uncertainty flag: False</t>
        </is>
      </c>
    </row>
    <row r="1109">
      <c r="A1109" t="n">
        <v>75</v>
      </c>
      <c r="B1109" t="inlineStr">
        <is>
          <t>B</t>
        </is>
      </c>
      <c r="C1109" t="inlineStr">
        <is>
          <t>Answer Accuracy (Pers. 20)</t>
        </is>
      </c>
      <c r="D1109" s="3" t="inlineStr">
        <is>
          <t>Correctᵢ ∈ {0,1} via LLM-as-Judge (HASIL: BENAR/SALAH)</t>
        </is>
      </c>
      <c r="E1109" s="3" t="inlineStr">
        <is>
          <t>JAWABAN:</t>
        </is>
      </c>
      <c r="F1109" t="inlineStr">
        <is>
          <t>BENAR</t>
        </is>
      </c>
      <c r="G1109" s="3" t="inlineStr">
        <is>
          <t>evaluator: ollama/llama3</t>
        </is>
      </c>
    </row>
    <row r="1110">
      <c r="A1110" t="n">
        <v>76</v>
      </c>
      <c r="B1110" t="inlineStr">
        <is>
          <t>A</t>
        </is>
      </c>
      <c r="C1110" t="inlineStr">
        <is>
          <t>Precision@K (Pers. 2)</t>
        </is>
      </c>
      <c r="D1110" s="3" t="inlineStr">
        <is>
          <t>Precision@K = |{d ∈ TopK : sim(q,d) ≥ θ}| / K</t>
        </is>
      </c>
      <c r="E1110" s="3" t="inlineStr">
        <is>
          <t>skor = [0.7419, 0.7411, 0.7283, 0.712, 0.7052, 0.704] → 6 / 6</t>
        </is>
      </c>
      <c r="F1110" t="n">
        <v>1</v>
      </c>
      <c r="G1110" s="3" t="inlineStr">
        <is>
          <t>basis: skor chunk nyata (sesuai contoh Pers. 2 skripsi)</t>
        </is>
      </c>
    </row>
    <row r="1111">
      <c r="A1111" t="n">
        <v>76</v>
      </c>
      <c r="B1111" t="inlineStr">
        <is>
          <t>A</t>
        </is>
      </c>
      <c r="C1111" t="inlineStr">
        <is>
          <t>Recall@K (Pers. 4)</t>
        </is>
      </c>
      <c r="D1111" s="3" t="inlineStr">
        <is>
          <t>Recall@K = |{kata kunci ditemukan : sim ≥ θ}| / |R|</t>
        </is>
      </c>
      <c r="E1111" s="3" t="inlineStr">
        <is>
          <t>skor = [0.7511, 0.6059, 0.5845, 0.538, 0.4952, 0.4442] → 6 / 6</t>
        </is>
      </c>
      <c r="F1111" t="n">
        <v>1</v>
      </c>
      <c r="G1111" s="3" t="inlineStr"/>
    </row>
    <row r="1112">
      <c r="A1112" t="n">
        <v>76</v>
      </c>
      <c r="B1112" t="inlineStr">
        <is>
          <t>A</t>
        </is>
      </c>
      <c r="C1112" t="inlineStr">
        <is>
          <t>Mean Similarity (Pers. 6)</t>
        </is>
      </c>
      <c r="D1112" s="3" t="inlineStr">
        <is>
          <t>MeanSim = (1/K) × Σ sim(q, dᵢ)</t>
        </is>
      </c>
      <c r="E1112" s="3" t="inlineStr">
        <is>
          <t>skor = [0.7419, 0.7411, 0.7283, 0.712, 0.7052, 0.704] → (0.7419 + 0.7411 + 0.7283 + 0.7120 + 0.7052 + 0.7040) / 6</t>
        </is>
      </c>
      <c r="F1112" t="n">
        <v>0.7221</v>
      </c>
      <c r="G1112" s="3" t="inlineStr"/>
    </row>
    <row r="1113">
      <c r="A1113" t="n">
        <v>76</v>
      </c>
      <c r="B1113" t="inlineStr">
        <is>
          <t>A</t>
        </is>
      </c>
      <c r="C1113" t="inlineStr">
        <is>
          <t>Coverage (Pers. 8)</t>
        </is>
      </c>
      <c r="D1113" s="3" t="inlineStr">
        <is>
          <t>Coverage = |{dᵢ ∈ TopK : sim(q,dᵢ) ≥ θc}| / K</t>
        </is>
      </c>
      <c r="E1113" s="3" t="inlineStr">
        <is>
          <t>skor = [0.7419, 0.7411, 0.7283, 0.712, 0.7052, 0.704] → 6 / 6</t>
        </is>
      </c>
      <c r="F1113" t="n">
        <v>1</v>
      </c>
      <c r="G1113" s="3" t="inlineStr"/>
    </row>
    <row r="1114">
      <c r="A1114" t="n">
        <v>76</v>
      </c>
      <c r="B1114" t="inlineStr">
        <is>
          <t>A</t>
        </is>
      </c>
      <c r="C1114" t="inlineStr">
        <is>
          <t>Source Diversity (Pers. 10)</t>
        </is>
      </c>
      <c r="D1114" s="3" t="inlineStr">
        <is>
          <t>Diversity = |sumber unik dalam TopK| / K</t>
        </is>
      </c>
      <c r="E1114" s="3" t="inlineStr">
        <is>
          <t>skor = ['GT_CT09.txt', 'GT_DETAIL_PT07_Notasi_Algoritme.txt', 'GT_SUBTOPIK_04_Modulo_Siklus.txt', 'GT_SUBTOPIK_05_Pseudocode_Algoritme.txt', 'GT_SUBTOPIK_11_Rekursi.txt', 'GT_SUBTOPIK_14_Kompleksitas_BigO.txt'] → 6 / 6</t>
        </is>
      </c>
      <c r="F1114" t="n">
        <v>1</v>
      </c>
      <c r="G1114" s="3" t="inlineStr">
        <is>
          <t>file unik: GT_CT09.txt, GT_DETAIL_PT07_Notasi_Algoritme.txt, GT_SUBTOPIK_04_Modulo_Siklus.txt, GT_SUBTOPIK_05_Pseudocode_Algoritme.txt, GT_SUBTOPIK_11_Rekursi.txt, GT_SUBTOPIK_14_Kompleksitas_BigO.txt</t>
        </is>
      </c>
    </row>
    <row r="1115">
      <c r="A1115" t="n">
        <v>76</v>
      </c>
      <c r="B1115" t="inlineStr">
        <is>
          <t>A</t>
        </is>
      </c>
      <c r="C1115" t="inlineStr">
        <is>
          <t>Faithfulness (Pers. 15)</t>
        </is>
      </c>
      <c r="D1115" s="3" t="inlineStr">
        <is>
          <t>F = 0,70×Entailment + 0,30×KWoverlap</t>
        </is>
      </c>
      <c r="E1115" s="3" t="inlineStr">
        <is>
          <t>Faithfulness = 0,70×Entailment + 0,30×KWoverlap = 0,70×1.0000 + 0,30×0.2374 = 0.7712  (entailment: 6/6 klaim didukung; KWoverlap = (|∩|/|ctx|)^0,65 = (22/201)^0,65 = 0.1095^0,65 = 0.2374)</t>
        </is>
      </c>
      <c r="F1115" t="n">
        <v>0.7712</v>
      </c>
      <c r="G1115" s="3" t="inlineStr">
        <is>
          <t>metode: llm_entailment + keyword</t>
        </is>
      </c>
    </row>
    <row r="1116">
      <c r="A1116" t="n">
        <v>76</v>
      </c>
      <c r="B1116" t="inlineStr">
        <is>
          <t>A</t>
        </is>
      </c>
      <c r="C1116" t="inlineStr">
        <is>
          <t>— Entailment (Pers. 12-13)</t>
        </is>
      </c>
      <c r="D1116" s="3" t="inlineStr">
        <is>
          <t>Entailment = Σverdict(sᵢ)/m</t>
        </is>
      </c>
      <c r="E1116" s="3" t="inlineStr">
        <is>
          <t>6 klaim YA dari 6 klaim dievaluasi</t>
        </is>
      </c>
      <c r="F1116" t="n">
        <v>1</v>
      </c>
      <c r="G1116" s="3" t="inlineStr">
        <is>
          <t>verdict per klaim: sheet 'Entailment Detail'</t>
        </is>
      </c>
    </row>
    <row r="1117">
      <c r="A1117" t="n">
        <v>76</v>
      </c>
      <c r="B1117" t="inlineStr">
        <is>
          <t>A</t>
        </is>
      </c>
      <c r="C1117" t="inlineStr">
        <is>
          <t>— Keyword Overlap (Pers. 14)</t>
        </is>
      </c>
      <c r="D1117" s="3" t="inlineStr">
        <is>
          <t>KWoverlap = (|Stems(ans)∩Stems(ctx)| / |Stems(ctx)|)^0,65</t>
        </is>
      </c>
      <c r="E1117" s="3" t="inlineStr">
        <is>
          <t>KWoverlap = (|∩|/|ctx|)^0,65 = (22/201)^0,65 = 0.1095^0,65 = 0.2374</t>
        </is>
      </c>
      <c r="F1117" t="n">
        <v>0.2374</v>
      </c>
      <c r="G1117" s="3" t="inlineStr"/>
    </row>
    <row r="1118">
      <c r="A1118" t="n">
        <v>76</v>
      </c>
      <c r="B1118" t="inlineStr">
        <is>
          <t>A</t>
        </is>
      </c>
      <c r="C1118" t="inlineStr">
        <is>
          <t>Hallucination Risk (Pers. 18)</t>
        </is>
      </c>
      <c r="D1118" s="3" t="inlineStr">
        <is>
          <t>Risk = 0,65×(1-F) + 0,20×Contradiction + 0,15×Uncertainty</t>
        </is>
      </c>
      <c r="E1118" s="3" t="inlineStr">
        <is>
          <t>Risk = 0,65×OutOfContext + 0,20×Contradiction + 0,15×Uncertainty = 0,65×0.2288 + 0,20×0.0000 + 0,15×0.00 = 0.1487 [RENDAH]</t>
        </is>
      </c>
      <c r="F1118" t="n">
        <v>0.1487</v>
      </c>
      <c r="G1118" s="3" t="inlineStr">
        <is>
          <t>label: RENDAH; kontradiksi 0/12 kalimat; uncertainty flag: False</t>
        </is>
      </c>
    </row>
    <row r="1119">
      <c r="A1119" t="n">
        <v>76</v>
      </c>
      <c r="B1119" t="inlineStr">
        <is>
          <t>B</t>
        </is>
      </c>
      <c r="C1119" t="inlineStr">
        <is>
          <t>Faithfulness (Pers. 15)</t>
        </is>
      </c>
      <c r="D1119" s="3" t="inlineStr">
        <is>
          <t>F = 0,70×Entailment + 0,30×KWoverlap</t>
        </is>
      </c>
      <c r="E1119" s="3" t="inlineStr">
        <is>
          <t>Faithfulness = 0,70×Entailment + 0,30×KWoverlap = 0,70×0.6000 + 0,30×0.1851 = 0.4755  (entailment: 3/5 klaim didukung; KWoverlap = (|∩|/|ctx|)^0,65 = (15/201)^0,65 = 0.0746^0,65 = 0.1851)</t>
        </is>
      </c>
      <c r="F1119" t="n">
        <v>0.4755</v>
      </c>
      <c r="G1119" s="3" t="inlineStr">
        <is>
          <t>metode: llm_entailment + keyword</t>
        </is>
      </c>
    </row>
    <row r="1120">
      <c r="A1120" t="n">
        <v>76</v>
      </c>
      <c r="B1120" t="inlineStr">
        <is>
          <t>B</t>
        </is>
      </c>
      <c r="C1120" t="inlineStr">
        <is>
          <t>— Entailment (Pers. 12-13)</t>
        </is>
      </c>
      <c r="D1120" s="3" t="inlineStr">
        <is>
          <t>Entailment = Σverdict(sᵢ)/m</t>
        </is>
      </c>
      <c r="E1120" s="3" t="inlineStr">
        <is>
          <t>3 klaim YA dari 5 klaim dievaluasi</t>
        </is>
      </c>
      <c r="F1120" t="n">
        <v>0.6</v>
      </c>
      <c r="G1120" s="3" t="inlineStr">
        <is>
          <t>verdict per klaim: sheet 'Entailment Detail'</t>
        </is>
      </c>
    </row>
    <row r="1121">
      <c r="A1121" t="n">
        <v>76</v>
      </c>
      <c r="B1121" t="inlineStr">
        <is>
          <t>B</t>
        </is>
      </c>
      <c r="C1121" t="inlineStr">
        <is>
          <t>— Keyword Overlap (Pers. 14)</t>
        </is>
      </c>
      <c r="D1121" s="3" t="inlineStr">
        <is>
          <t>KWoverlap = (|Stems(ans)∩Stems(ctx)| / |Stems(ctx)|)^0,65</t>
        </is>
      </c>
      <c r="E1121" s="3" t="inlineStr">
        <is>
          <t>KWoverlap = (|∩|/|ctx|)^0,65 = (15/201)^0,65 = 0.0746^0,65 = 0.1851</t>
        </is>
      </c>
      <c r="F1121" t="n">
        <v>0.1851</v>
      </c>
      <c r="G1121" s="3" t="inlineStr"/>
    </row>
    <row r="1122">
      <c r="A1122" t="n">
        <v>76</v>
      </c>
      <c r="B1122" t="inlineStr">
        <is>
          <t>B</t>
        </is>
      </c>
      <c r="C1122" t="inlineStr">
        <is>
          <t>Hallucination Risk (Pers. 18)</t>
        </is>
      </c>
      <c r="D1122" s="3" t="inlineStr">
        <is>
          <t>Risk = 0,65×(1-F) + 0,20×Contradiction + 0,15×Uncertainty</t>
        </is>
      </c>
      <c r="E1122" s="3" t="inlineStr">
        <is>
          <t>Risk = 0,65×OutOfContext + 0,20×Contradiction + 0,15×Uncertainty = 0,65×0.5245 + 0,20×0.0000 + 0,15×0.00 = 0.3409 [SEDANG]</t>
        </is>
      </c>
      <c r="F1122" t="n">
        <v>0.3409</v>
      </c>
      <c r="G1122" s="3" t="inlineStr">
        <is>
          <t>label: SEDANG; kontradiksi 0/5 kalimat; uncertainty flag: False</t>
        </is>
      </c>
    </row>
    <row r="1123">
      <c r="A1123" t="n">
        <v>76</v>
      </c>
      <c r="B1123" t="inlineStr">
        <is>
          <t>B</t>
        </is>
      </c>
      <c r="C1123" t="inlineStr">
        <is>
          <t>Answer Accuracy (Pers. 20)</t>
        </is>
      </c>
      <c r="D1123" s="3" t="inlineStr">
        <is>
          <t>Correctᵢ ∈ {0,1} via LLM-as-Judge (HASIL: BENAR/SALAH)</t>
        </is>
      </c>
      <c r="E1123" s="3" t="inlineStr">
        <is>
          <t>BENAR</t>
        </is>
      </c>
      <c r="F1123" t="inlineStr">
        <is>
          <t>BENAR</t>
        </is>
      </c>
      <c r="G1123" s="3" t="inlineStr">
        <is>
          <t>evaluator: ollama/llama3</t>
        </is>
      </c>
    </row>
    <row r="1124">
      <c r="A1124" t="n">
        <v>77</v>
      </c>
      <c r="B1124" t="inlineStr">
        <is>
          <t>A</t>
        </is>
      </c>
      <c r="C1124" t="inlineStr">
        <is>
          <t>Precision@K (Pers. 2)</t>
        </is>
      </c>
      <c r="D1124" s="3" t="inlineStr">
        <is>
          <t>Precision@K = |{d ∈ TopK : sim(q,d) ≥ θ}| / K</t>
        </is>
      </c>
      <c r="E1124" s="3" t="inlineStr">
        <is>
          <t>skor = [0.7659, 0.7378, 0.7215, 0.72, 0.7176, 0.7149] → 6 / 6</t>
        </is>
      </c>
      <c r="F1124" t="n">
        <v>1</v>
      </c>
      <c r="G1124" s="3" t="inlineStr">
        <is>
          <t>basis: skor chunk nyata (sesuai contoh Pers. 2 skripsi)</t>
        </is>
      </c>
    </row>
    <row r="1125">
      <c r="A1125" t="n">
        <v>77</v>
      </c>
      <c r="B1125" t="inlineStr">
        <is>
          <t>A</t>
        </is>
      </c>
      <c r="C1125" t="inlineStr">
        <is>
          <t>Recall@K (Pers. 4)</t>
        </is>
      </c>
      <c r="D1125" s="3" t="inlineStr">
        <is>
          <t>Recall@K = |{kata kunci ditemukan : sim ≥ θ}| / |R|</t>
        </is>
      </c>
      <c r="E1125" s="3" t="inlineStr">
        <is>
          <t>skor = [0.6953, 0.5872, 0.5436, 0.4268, 0.4154, 0.393] → 6 / 6</t>
        </is>
      </c>
      <c r="F1125" t="n">
        <v>1</v>
      </c>
      <c r="G1125" s="3" t="inlineStr"/>
    </row>
    <row r="1126">
      <c r="A1126" t="n">
        <v>77</v>
      </c>
      <c r="B1126" t="inlineStr">
        <is>
          <t>A</t>
        </is>
      </c>
      <c r="C1126" t="inlineStr">
        <is>
          <t>Mean Similarity (Pers. 6)</t>
        </is>
      </c>
      <c r="D1126" s="3" t="inlineStr">
        <is>
          <t>MeanSim = (1/K) × Σ sim(q, dᵢ)</t>
        </is>
      </c>
      <c r="E1126" s="3" t="inlineStr">
        <is>
          <t>skor = [0.7659, 0.7378, 0.7215, 0.72, 0.7176, 0.7149] → (0.7659 + 0.7378 + 0.7215 + 0.7200 + 0.7176 + 0.7149) / 6</t>
        </is>
      </c>
      <c r="F1126" t="n">
        <v>0.7296</v>
      </c>
      <c r="G1126" s="3" t="inlineStr"/>
    </row>
    <row r="1127">
      <c r="A1127" t="n">
        <v>77</v>
      </c>
      <c r="B1127" t="inlineStr">
        <is>
          <t>A</t>
        </is>
      </c>
      <c r="C1127" t="inlineStr">
        <is>
          <t>Coverage (Pers. 8)</t>
        </is>
      </c>
      <c r="D1127" s="3" t="inlineStr">
        <is>
          <t>Coverage = |{dᵢ ∈ TopK : sim(q,dᵢ) ≥ θc}| / K</t>
        </is>
      </c>
      <c r="E1127" s="3" t="inlineStr">
        <is>
          <t>skor = [0.7659, 0.7378, 0.7215, 0.72, 0.7176, 0.7149] → 6 / 6</t>
        </is>
      </c>
      <c r="F1127" t="n">
        <v>1</v>
      </c>
      <c r="G1127" s="3" t="inlineStr"/>
    </row>
    <row r="1128">
      <c r="A1128" t="n">
        <v>77</v>
      </c>
      <c r="B1128" t="inlineStr">
        <is>
          <t>A</t>
        </is>
      </c>
      <c r="C1128" t="inlineStr">
        <is>
          <t>Source Diversity (Pers. 10)</t>
        </is>
      </c>
      <c r="D1128" s="3" t="inlineStr">
        <is>
          <t>Diversity = |sumber unik dalam TopK| / K</t>
        </is>
      </c>
      <c r="E1128" s="3" t="inlineStr">
        <is>
          <t>skor = ['GT_CT13.txt', 'GT_DETAIL_PT07_Notasi_Algoritme.txt', 'GT_SUBTOPIK_14_Kompleksitas_BigO.txt'] → 3 / 6</t>
        </is>
      </c>
      <c r="F1128" t="n">
        <v>0.5</v>
      </c>
      <c r="G1128" s="3" t="inlineStr">
        <is>
          <t>file unik: GT_CT13.txt, GT_DETAIL_PT07_Notasi_Algoritme.txt, GT_SUBTOPIK_14_Kompleksitas_BigO.txt</t>
        </is>
      </c>
    </row>
    <row r="1129">
      <c r="A1129" t="n">
        <v>77</v>
      </c>
      <c r="B1129" t="inlineStr">
        <is>
          <t>A</t>
        </is>
      </c>
      <c r="C1129" t="inlineStr">
        <is>
          <t>Faithfulness (Pers. 15)</t>
        </is>
      </c>
      <c r="D1129" s="3" t="inlineStr">
        <is>
          <t>F = 0,70×Entailment + 0,30×KWoverlap</t>
        </is>
      </c>
      <c r="E1129" s="3" t="inlineStr">
        <is>
          <t>Faithfulness = 0,70×Entailment + 0,30×KWoverlap = 0,70×0.8333 + 0,30×0.2741 = 0.6655  (entailment: 5/6 klaim didukung; KWoverlap = (|∩|/|ctx|)^0,65 = (34/249)^0,65 = 0.1365^0,65 = 0.2741)</t>
        </is>
      </c>
      <c r="F1129" t="n">
        <v>0.6655</v>
      </c>
      <c r="G1129" s="3" t="inlineStr">
        <is>
          <t>metode: llm_entailment + keyword</t>
        </is>
      </c>
    </row>
    <row r="1130">
      <c r="A1130" t="n">
        <v>77</v>
      </c>
      <c r="B1130" t="inlineStr">
        <is>
          <t>A</t>
        </is>
      </c>
      <c r="C1130" t="inlineStr">
        <is>
          <t>— Entailment (Pers. 12-13)</t>
        </is>
      </c>
      <c r="D1130" s="3" t="inlineStr">
        <is>
          <t>Entailment = Σverdict(sᵢ)/m</t>
        </is>
      </c>
      <c r="E1130" s="3" t="inlineStr">
        <is>
          <t>5 klaim YA dari 6 klaim dievaluasi</t>
        </is>
      </c>
      <c r="F1130" t="n">
        <v>0.8333</v>
      </c>
      <c r="G1130" s="3" t="inlineStr">
        <is>
          <t>verdict per klaim: sheet 'Entailment Detail'</t>
        </is>
      </c>
    </row>
    <row r="1131">
      <c r="A1131" t="n">
        <v>77</v>
      </c>
      <c r="B1131" t="inlineStr">
        <is>
          <t>A</t>
        </is>
      </c>
      <c r="C1131" t="inlineStr">
        <is>
          <t>— Keyword Overlap (Pers. 14)</t>
        </is>
      </c>
      <c r="D1131" s="3" t="inlineStr">
        <is>
          <t>KWoverlap = (|Stems(ans)∩Stems(ctx)| / |Stems(ctx)|)^0,65</t>
        </is>
      </c>
      <c r="E1131" s="3" t="inlineStr">
        <is>
          <t>KWoverlap = (|∩|/|ctx|)^0,65 = (34/249)^0,65 = 0.1365^0,65 = 0.2741</t>
        </is>
      </c>
      <c r="F1131" t="n">
        <v>0.2741</v>
      </c>
      <c r="G1131" s="3" t="inlineStr"/>
    </row>
    <row r="1132">
      <c r="A1132" t="n">
        <v>77</v>
      </c>
      <c r="B1132" t="inlineStr">
        <is>
          <t>A</t>
        </is>
      </c>
      <c r="C1132" t="inlineStr">
        <is>
          <t>Hallucination Risk (Pers. 18)</t>
        </is>
      </c>
      <c r="D1132" s="3" t="inlineStr">
        <is>
          <t>Risk = 0,65×(1-F) + 0,20×Contradiction + 0,15×Uncertainty</t>
        </is>
      </c>
      <c r="E1132" s="3" t="inlineStr">
        <is>
          <t>Risk = 0,65×OutOfContext + 0,20×Contradiction + 0,15×Uncertainty = 0,65×0.3345 + 0,20×0.0000 + 0,15×0.00 = 0.2174 [RENDAH]</t>
        </is>
      </c>
      <c r="F1132" t="n">
        <v>0.2174</v>
      </c>
      <c r="G1132" s="3" t="inlineStr">
        <is>
          <t>label: RENDAH; kontradiksi 0/10 kalimat; uncertainty flag: False</t>
        </is>
      </c>
    </row>
    <row r="1133">
      <c r="A1133" t="n">
        <v>77</v>
      </c>
      <c r="B1133" t="inlineStr">
        <is>
          <t>A</t>
        </is>
      </c>
      <c r="C1133" t="inlineStr">
        <is>
          <t>Answer Accuracy (Pers. 20)</t>
        </is>
      </c>
      <c r="D1133" s="3" t="inlineStr">
        <is>
          <t>Correctᵢ ∈ {0,1} via LLM-as-Judge (HASIL: BENAR/SALAH)</t>
        </is>
      </c>
      <c r="E1133" s="3" t="inlineStr">
        <is>
          <t>BENAR</t>
        </is>
      </c>
      <c r="F1133" t="inlineStr">
        <is>
          <t>BENAR</t>
        </is>
      </c>
      <c r="G1133" s="3" t="inlineStr">
        <is>
          <t>evaluator: ollama/llama3</t>
        </is>
      </c>
    </row>
    <row r="1134">
      <c r="A1134" t="n">
        <v>77</v>
      </c>
      <c r="B1134" t="inlineStr">
        <is>
          <t>B</t>
        </is>
      </c>
      <c r="C1134" t="inlineStr">
        <is>
          <t>Faithfulness (Pers. 15)</t>
        </is>
      </c>
      <c r="D1134" s="3" t="inlineStr">
        <is>
          <t>F = 0,70×Entailment + 0,30×KWoverlap</t>
        </is>
      </c>
      <c r="E1134" s="3" t="inlineStr">
        <is>
          <t>Faithfulness = 0,70×Entailment + 0,30×KWoverlap = 0,70×0.1667 + 0,30×0.1813 = 0.1711  (entailment: 1/6 klaim didukung; KWoverlap = (|∩|/|ctx|)^0,65 = (18/249)^0,65 = 0.0723^0,65 = 0.1813)</t>
        </is>
      </c>
      <c r="F1134" t="n">
        <v>0.1711</v>
      </c>
      <c r="G1134" s="3" t="inlineStr">
        <is>
          <t>metode: llm_entailment + keyword</t>
        </is>
      </c>
    </row>
    <row r="1135">
      <c r="A1135" t="n">
        <v>77</v>
      </c>
      <c r="B1135" t="inlineStr">
        <is>
          <t>B</t>
        </is>
      </c>
      <c r="C1135" t="inlineStr">
        <is>
          <t>— Entailment (Pers. 12-13)</t>
        </is>
      </c>
      <c r="D1135" s="3" t="inlineStr">
        <is>
          <t>Entailment = Σverdict(sᵢ)/m</t>
        </is>
      </c>
      <c r="E1135" s="3" t="inlineStr">
        <is>
          <t>1 klaim YA dari 6 klaim dievaluasi</t>
        </is>
      </c>
      <c r="F1135" t="n">
        <v>0.1667</v>
      </c>
      <c r="G1135" s="3" t="inlineStr">
        <is>
          <t>verdict per klaim: sheet 'Entailment Detail'</t>
        </is>
      </c>
    </row>
    <row r="1136">
      <c r="A1136" t="n">
        <v>77</v>
      </c>
      <c r="B1136" t="inlineStr">
        <is>
          <t>B</t>
        </is>
      </c>
      <c r="C1136" t="inlineStr">
        <is>
          <t>— Keyword Overlap (Pers. 14)</t>
        </is>
      </c>
      <c r="D1136" s="3" t="inlineStr">
        <is>
          <t>KWoverlap = (|Stems(ans)∩Stems(ctx)| / |Stems(ctx)|)^0,65</t>
        </is>
      </c>
      <c r="E1136" s="3" t="inlineStr">
        <is>
          <t>KWoverlap = (|∩|/|ctx|)^0,65 = (18/249)^0,65 = 0.0723^0,65 = 0.1813</t>
        </is>
      </c>
      <c r="F1136" t="n">
        <v>0.1813</v>
      </c>
      <c r="G1136" s="3" t="inlineStr"/>
    </row>
    <row r="1137">
      <c r="A1137" t="n">
        <v>77</v>
      </c>
      <c r="B1137" t="inlineStr">
        <is>
          <t>B</t>
        </is>
      </c>
      <c r="C1137" t="inlineStr">
        <is>
          <t>Hallucination Risk (Pers. 18)</t>
        </is>
      </c>
      <c r="D1137" s="3" t="inlineStr">
        <is>
          <t>Risk = 0,65×(1-F) + 0,20×Contradiction + 0,15×Uncertainty</t>
        </is>
      </c>
      <c r="E1137" s="3" t="inlineStr">
        <is>
          <t>Risk = 0,65×OutOfContext + 0,20×Contradiction + 0,15×Uncertainty = 0,65×0.8289 + 0,20×0.0000 + 0,15×0.00 = 0.5388 [SEDANG]</t>
        </is>
      </c>
      <c r="F1137" t="n">
        <v>0.5387999999999999</v>
      </c>
      <c r="G1137" s="3" t="inlineStr">
        <is>
          <t>label: SEDANG; kontradiksi 0/27 kalimat; uncertainty flag: False</t>
        </is>
      </c>
    </row>
    <row r="1138">
      <c r="A1138" t="n">
        <v>77</v>
      </c>
      <c r="B1138" t="inlineStr">
        <is>
          <t>B</t>
        </is>
      </c>
      <c r="C1138" t="inlineStr">
        <is>
          <t>Answer Accuracy (Pers. 20)</t>
        </is>
      </c>
      <c r="D1138" s="3" t="inlineStr">
        <is>
          <t>Correctᵢ ∈ {0,1} via LLM-as-Judge (HASIL: BENAR/SALAH)</t>
        </is>
      </c>
      <c r="E1138" s="3" t="inlineStr">
        <is>
          <t>BENAR</t>
        </is>
      </c>
      <c r="F1138" t="inlineStr">
        <is>
          <t>BENAR</t>
        </is>
      </c>
      <c r="G1138" s="3" t="inlineStr">
        <is>
          <t>evaluator: ollama/llama3</t>
        </is>
      </c>
    </row>
    <row r="1139">
      <c r="A1139" t="n">
        <v>78</v>
      </c>
      <c r="B1139" t="inlineStr">
        <is>
          <t>A</t>
        </is>
      </c>
      <c r="C1139" t="inlineStr">
        <is>
          <t>Precision@K (Pers. 2)</t>
        </is>
      </c>
      <c r="D1139" s="3" t="inlineStr">
        <is>
          <t>Precision@K = |{d ∈ TopK : sim(q,d) ≥ θ}| / K</t>
        </is>
      </c>
      <c r="E1139" s="3" t="inlineStr">
        <is>
          <t>skor = [0.7951, 0.758, 0.7514, 0.7267, 0.7228, 0.7167] → 6 / 6</t>
        </is>
      </c>
      <c r="F1139" t="n">
        <v>1</v>
      </c>
      <c r="G1139" s="3" t="inlineStr">
        <is>
          <t>basis: skor chunk nyata (sesuai contoh Pers. 2 skripsi)</t>
        </is>
      </c>
    </row>
    <row r="1140">
      <c r="A1140" t="n">
        <v>78</v>
      </c>
      <c r="B1140" t="inlineStr">
        <is>
          <t>A</t>
        </is>
      </c>
      <c r="C1140" t="inlineStr">
        <is>
          <t>Recall@K (Pers. 4)</t>
        </is>
      </c>
      <c r="D1140" s="3" t="inlineStr">
        <is>
          <t>Recall@K = |{kata kunci ditemukan : sim ≥ θ}| / |R|</t>
        </is>
      </c>
      <c r="E1140" s="3" t="inlineStr">
        <is>
          <t>skor = [0.7314, 0.5366, 0.5223, 0.4364, 0.4348, 0.3672] → 6 / 6</t>
        </is>
      </c>
      <c r="F1140" t="n">
        <v>1</v>
      </c>
      <c r="G1140" s="3" t="inlineStr"/>
    </row>
    <row r="1141">
      <c r="A1141" t="n">
        <v>78</v>
      </c>
      <c r="B1141" t="inlineStr">
        <is>
          <t>A</t>
        </is>
      </c>
      <c r="C1141" t="inlineStr">
        <is>
          <t>Mean Similarity (Pers. 6)</t>
        </is>
      </c>
      <c r="D1141" s="3" t="inlineStr">
        <is>
          <t>MeanSim = (1/K) × Σ sim(q, dᵢ)</t>
        </is>
      </c>
      <c r="E1141" s="3" t="inlineStr">
        <is>
          <t>skor = [0.7951, 0.758, 0.7514, 0.7267, 0.7228, 0.7167] → (0.7951 + 0.7580 + 0.7514 + 0.7267 + 0.7228 + 0.7167) / 6</t>
        </is>
      </c>
      <c r="F1141" t="n">
        <v>0.7451</v>
      </c>
      <c r="G1141" s="3" t="inlineStr"/>
    </row>
    <row r="1142">
      <c r="A1142" t="n">
        <v>78</v>
      </c>
      <c r="B1142" t="inlineStr">
        <is>
          <t>A</t>
        </is>
      </c>
      <c r="C1142" t="inlineStr">
        <is>
          <t>Coverage (Pers. 8)</t>
        </is>
      </c>
      <c r="D1142" s="3" t="inlineStr">
        <is>
          <t>Coverage = |{dᵢ ∈ TopK : sim(q,dᵢ) ≥ θc}| / K</t>
        </is>
      </c>
      <c r="E1142" s="3" t="inlineStr">
        <is>
          <t>skor = [0.7951, 0.758, 0.7514, 0.7267, 0.7228, 0.7167] → 6 / 6</t>
        </is>
      </c>
      <c r="F1142" t="n">
        <v>1</v>
      </c>
      <c r="G1142" s="3" t="inlineStr"/>
    </row>
    <row r="1143">
      <c r="A1143" t="n">
        <v>78</v>
      </c>
      <c r="B1143" t="inlineStr">
        <is>
          <t>A</t>
        </is>
      </c>
      <c r="C1143" t="inlineStr">
        <is>
          <t>Source Diversity (Pers. 10)</t>
        </is>
      </c>
      <c r="D1143" s="3" t="inlineStr">
        <is>
          <t>Diversity = |sumber unik dalam TopK| / K</t>
        </is>
      </c>
      <c r="E1143" s="3" t="inlineStr">
        <is>
          <t>skor = ['GT_SUBTOPIK_09_Nested_Loop.txt', 'GT_SUBTOPIK_14_Kompleksitas_BigO.txt'] → 2 / 6</t>
        </is>
      </c>
      <c r="F1143" t="n">
        <v>0.3333</v>
      </c>
      <c r="G1143" s="3" t="inlineStr">
        <is>
          <t>file unik: GT_SUBTOPIK_09_Nested_Loop.txt, GT_SUBTOPIK_14_Kompleksitas_BigO.txt</t>
        </is>
      </c>
    </row>
    <row r="1144">
      <c r="A1144" t="n">
        <v>78</v>
      </c>
      <c r="B1144" t="inlineStr">
        <is>
          <t>A</t>
        </is>
      </c>
      <c r="C1144" t="inlineStr">
        <is>
          <t>Faithfulness (Pers. 15)</t>
        </is>
      </c>
      <c r="D1144" s="3" t="inlineStr">
        <is>
          <t>F = 0,70×Entailment + 0,30×KWoverlap</t>
        </is>
      </c>
      <c r="E1144" s="3" t="inlineStr">
        <is>
          <t>Faithfulness = 0,70×Entailment + 0,30×KWoverlap = 0,70×0.6667 + 0,30×0.2841 = 0.5519  (entailment: 4/6 klaim didukung; KWoverlap = (|∩|/|ctx|)^0,65 = (29/201)^0,65 = 0.1443^0,65 = 0.2841)</t>
        </is>
      </c>
      <c r="F1144" t="n">
        <v>0.5518999999999999</v>
      </c>
      <c r="G1144" s="3" t="inlineStr">
        <is>
          <t>metode: llm_entailment + keyword</t>
        </is>
      </c>
    </row>
    <row r="1145">
      <c r="A1145" t="n">
        <v>78</v>
      </c>
      <c r="B1145" t="inlineStr">
        <is>
          <t>A</t>
        </is>
      </c>
      <c r="C1145" t="inlineStr">
        <is>
          <t>— Entailment (Pers. 12-13)</t>
        </is>
      </c>
      <c r="D1145" s="3" t="inlineStr">
        <is>
          <t>Entailment = Σverdict(sᵢ)/m</t>
        </is>
      </c>
      <c r="E1145" s="3" t="inlineStr">
        <is>
          <t>4 klaim YA dari 6 klaim dievaluasi</t>
        </is>
      </c>
      <c r="F1145" t="n">
        <v>0.6667</v>
      </c>
      <c r="G1145" s="3" t="inlineStr">
        <is>
          <t>verdict per klaim: sheet 'Entailment Detail'</t>
        </is>
      </c>
    </row>
    <row r="1146">
      <c r="A1146" t="n">
        <v>78</v>
      </c>
      <c r="B1146" t="inlineStr">
        <is>
          <t>A</t>
        </is>
      </c>
      <c r="C1146" t="inlineStr">
        <is>
          <t>— Keyword Overlap (Pers. 14)</t>
        </is>
      </c>
      <c r="D1146" s="3" t="inlineStr">
        <is>
          <t>KWoverlap = (|Stems(ans)∩Stems(ctx)| / |Stems(ctx)|)^0,65</t>
        </is>
      </c>
      <c r="E1146" s="3" t="inlineStr">
        <is>
          <t>KWoverlap = (|∩|/|ctx|)^0,65 = (29/201)^0,65 = 0.1443^0,65 = 0.2841</t>
        </is>
      </c>
      <c r="F1146" t="n">
        <v>0.2841</v>
      </c>
      <c r="G1146" s="3" t="inlineStr"/>
    </row>
    <row r="1147">
      <c r="A1147" t="n">
        <v>78</v>
      </c>
      <c r="B1147" t="inlineStr">
        <is>
          <t>A</t>
        </is>
      </c>
      <c r="C1147" t="inlineStr">
        <is>
          <t>Hallucination Risk (Pers. 18)</t>
        </is>
      </c>
      <c r="D1147" s="3" t="inlineStr">
        <is>
          <t>Risk = 0,65×(1-F) + 0,20×Contradiction + 0,15×Uncertainty</t>
        </is>
      </c>
      <c r="E1147" s="3" t="inlineStr">
        <is>
          <t>Risk = 0,65×OutOfContext + 0,20×Contradiction + 0,15×Uncertainty = 0,65×0.4481 + 0,20×0.0000 + 0,15×0.00 = 0.2913 [RENDAH]</t>
        </is>
      </c>
      <c r="F1147" t="n">
        <v>0.2913</v>
      </c>
      <c r="G1147" s="3" t="inlineStr">
        <is>
          <t>label: RENDAH; kontradiksi 0/17 kalimat; uncertainty flag: False</t>
        </is>
      </c>
    </row>
    <row r="1148">
      <c r="A1148" t="n">
        <v>78</v>
      </c>
      <c r="B1148" t="inlineStr">
        <is>
          <t>A</t>
        </is>
      </c>
      <c r="C1148" t="inlineStr">
        <is>
          <t>Answer Accuracy (Pers. 20)</t>
        </is>
      </c>
      <c r="D1148" s="3" t="inlineStr">
        <is>
          <t>Correctᵢ ∈ {0,1} via LLM-as-Judge (HASIL: BENAR/SALAH)</t>
        </is>
      </c>
      <c r="E1148" s="3" t="inlineStr">
        <is>
          <t>Jawaban:</t>
        </is>
      </c>
      <c r="F1148" t="inlineStr">
        <is>
          <t>BENAR</t>
        </is>
      </c>
      <c r="G1148" s="3" t="inlineStr">
        <is>
          <t>evaluator: ollama/llama3</t>
        </is>
      </c>
    </row>
    <row r="1149">
      <c r="A1149" t="n">
        <v>78</v>
      </c>
      <c r="B1149" t="inlineStr">
        <is>
          <t>B</t>
        </is>
      </c>
      <c r="C1149" t="inlineStr">
        <is>
          <t>Faithfulness (Pers. 15)</t>
        </is>
      </c>
      <c r="D1149" s="3" t="inlineStr">
        <is>
          <t>F = 0,70×Entailment + 0,30×KWoverlap</t>
        </is>
      </c>
      <c r="E1149" s="3" t="inlineStr">
        <is>
          <t>Faithfulness = 0,70×Entailment + 0,30×KWoverlap = 0,70×0.8000 + 0,30×0.2303 = 0.6291  (entailment: 4/5 klaim didukung; KWoverlap = (|∩|/|ctx|)^0,65 = (21/201)^0,65 = 0.1045^0,65 = 0.2303)</t>
        </is>
      </c>
      <c r="F1149" t="n">
        <v>0.6291</v>
      </c>
      <c r="G1149" s="3" t="inlineStr">
        <is>
          <t>metode: llm_entailment + keyword</t>
        </is>
      </c>
    </row>
    <row r="1150">
      <c r="A1150" t="n">
        <v>78</v>
      </c>
      <c r="B1150" t="inlineStr">
        <is>
          <t>B</t>
        </is>
      </c>
      <c r="C1150" t="inlineStr">
        <is>
          <t>— Entailment (Pers. 12-13)</t>
        </is>
      </c>
      <c r="D1150" s="3" t="inlineStr">
        <is>
          <t>Entailment = Σverdict(sᵢ)/m</t>
        </is>
      </c>
      <c r="E1150" s="3" t="inlineStr">
        <is>
          <t>4 klaim YA dari 5 klaim dievaluasi</t>
        </is>
      </c>
      <c r="F1150" t="n">
        <v>0.8</v>
      </c>
      <c r="G1150" s="3" t="inlineStr">
        <is>
          <t>verdict per klaim: sheet 'Entailment Detail'</t>
        </is>
      </c>
    </row>
    <row r="1151">
      <c r="A1151" t="n">
        <v>78</v>
      </c>
      <c r="B1151" t="inlineStr">
        <is>
          <t>B</t>
        </is>
      </c>
      <c r="C1151" t="inlineStr">
        <is>
          <t>— Keyword Overlap (Pers. 14)</t>
        </is>
      </c>
      <c r="D1151" s="3" t="inlineStr">
        <is>
          <t>KWoverlap = (|Stems(ans)∩Stems(ctx)| / |Stems(ctx)|)^0,65</t>
        </is>
      </c>
      <c r="E1151" s="3" t="inlineStr">
        <is>
          <t>KWoverlap = (|∩|/|ctx|)^0,65 = (21/201)^0,65 = 0.1045^0,65 = 0.2303</t>
        </is>
      </c>
      <c r="F1151" t="n">
        <v>0.2303</v>
      </c>
      <c r="G1151" s="3" t="inlineStr"/>
    </row>
    <row r="1152">
      <c r="A1152" t="n">
        <v>78</v>
      </c>
      <c r="B1152" t="inlineStr">
        <is>
          <t>B</t>
        </is>
      </c>
      <c r="C1152" t="inlineStr">
        <is>
          <t>Hallucination Risk (Pers. 18)</t>
        </is>
      </c>
      <c r="D1152" s="3" t="inlineStr">
        <is>
          <t>Risk = 0,65×(1-F) + 0,20×Contradiction + 0,15×Uncertainty</t>
        </is>
      </c>
      <c r="E1152" s="3" t="inlineStr">
        <is>
          <t>Risk = 0,65×OutOfContext + 0,20×Contradiction + 0,15×Uncertainty = 0,65×0.3709 + 0,20×0.0000 + 0,15×0.00 = 0.2411 [RENDAH]</t>
        </is>
      </c>
      <c r="F1152" t="n">
        <v>0.2411</v>
      </c>
      <c r="G1152" s="3" t="inlineStr">
        <is>
          <t>label: RENDAH; kontradiksi 0/5 kalimat; uncertainty flag: False</t>
        </is>
      </c>
    </row>
    <row r="1153">
      <c r="A1153" t="n">
        <v>78</v>
      </c>
      <c r="B1153" t="inlineStr">
        <is>
          <t>B</t>
        </is>
      </c>
      <c r="C1153" t="inlineStr">
        <is>
          <t>Answer Accuracy (Pers. 20)</t>
        </is>
      </c>
      <c r="D1153" s="3" t="inlineStr">
        <is>
          <t>Correctᵢ ∈ {0,1} via LLM-as-Judge (HASIL: BENAR/SALAH)</t>
        </is>
      </c>
      <c r="E1153" s="3" t="inlineStr">
        <is>
          <t>Jawaban sistem:</t>
        </is>
      </c>
      <c r="F1153" t="inlineStr">
        <is>
          <t>BENAR</t>
        </is>
      </c>
      <c r="G1153" s="3" t="inlineStr">
        <is>
          <t>evaluator: ollama/llama3</t>
        </is>
      </c>
    </row>
    <row r="1154">
      <c r="A1154" t="n">
        <v>79</v>
      </c>
      <c r="B1154" t="inlineStr">
        <is>
          <t>A</t>
        </is>
      </c>
      <c r="C1154" t="inlineStr">
        <is>
          <t>Precision@K (Pers. 2)</t>
        </is>
      </c>
      <c r="D1154" s="3" t="inlineStr">
        <is>
          <t>Precision@K = |{d ∈ TopK : sim(q,d) ≥ θ}| / K</t>
        </is>
      </c>
      <c r="E1154" s="3" t="inlineStr">
        <is>
          <t>skor = [0.719, 0.7106, 0.7045, 0.6989, 0.6981, 0.6871] → 6 / 6</t>
        </is>
      </c>
      <c r="F1154" t="n">
        <v>1</v>
      </c>
      <c r="G1154" s="3" t="inlineStr">
        <is>
          <t>basis: skor chunk nyata (sesuai contoh Pers. 2 skripsi)</t>
        </is>
      </c>
    </row>
    <row r="1155">
      <c r="A1155" t="n">
        <v>79</v>
      </c>
      <c r="B1155" t="inlineStr">
        <is>
          <t>A</t>
        </is>
      </c>
      <c r="C1155" t="inlineStr">
        <is>
          <t>Recall@K (Pers. 4)</t>
        </is>
      </c>
      <c r="D1155" s="3" t="inlineStr">
        <is>
          <t>Recall@K = |{kata kunci ditemukan : sim ≥ θ}| / |R|</t>
        </is>
      </c>
      <c r="E1155" s="3" t="inlineStr">
        <is>
          <t>skor = [0.7726, 0.7406, 0.5312, 0.5207, 0.5129, 0.4816] → 6 / 6</t>
        </is>
      </c>
      <c r="F1155" t="n">
        <v>1</v>
      </c>
      <c r="G1155" s="3" t="inlineStr"/>
    </row>
    <row r="1156">
      <c r="A1156" t="n">
        <v>79</v>
      </c>
      <c r="B1156" t="inlineStr">
        <is>
          <t>A</t>
        </is>
      </c>
      <c r="C1156" t="inlineStr">
        <is>
          <t>Mean Similarity (Pers. 6)</t>
        </is>
      </c>
      <c r="D1156" s="3" t="inlineStr">
        <is>
          <t>MeanSim = (1/K) × Σ sim(q, dᵢ)</t>
        </is>
      </c>
      <c r="E1156" s="3" t="inlineStr">
        <is>
          <t>skor = [0.719, 0.7106, 0.7045, 0.6989, 0.6981, 0.6871] → (0.7190 + 0.7106 + 0.7045 + 0.6989 + 0.6981 + 0.6871) / 6</t>
        </is>
      </c>
      <c r="F1156" t="n">
        <v>0.703</v>
      </c>
      <c r="G1156" s="3" t="inlineStr"/>
    </row>
    <row r="1157">
      <c r="A1157" t="n">
        <v>79</v>
      </c>
      <c r="B1157" t="inlineStr">
        <is>
          <t>A</t>
        </is>
      </c>
      <c r="C1157" t="inlineStr">
        <is>
          <t>Coverage (Pers. 8)</t>
        </is>
      </c>
      <c r="D1157" s="3" t="inlineStr">
        <is>
          <t>Coverage = |{dᵢ ∈ TopK : sim(q,dᵢ) ≥ θc}| / K</t>
        </is>
      </c>
      <c r="E1157" s="3" t="inlineStr">
        <is>
          <t>skor = [0.719, 0.7106, 0.7045, 0.6989, 0.6981, 0.6871] → 6 / 6</t>
        </is>
      </c>
      <c r="F1157" t="n">
        <v>1</v>
      </c>
      <c r="G1157" s="3" t="inlineStr"/>
    </row>
    <row r="1158">
      <c r="A1158" t="n">
        <v>79</v>
      </c>
      <c r="B1158" t="inlineStr">
        <is>
          <t>A</t>
        </is>
      </c>
      <c r="C1158" t="inlineStr">
        <is>
          <t>Source Diversity (Pers. 10)</t>
        </is>
      </c>
      <c r="D1158" s="3" t="inlineStr">
        <is>
          <t>Diversity = |sumber unik dalam TopK| / K</t>
        </is>
      </c>
      <c r="E1158" s="3" t="inlineStr">
        <is>
          <t>skor = ['GT_CT09.txt', 'GT_DETAIL_PT07_Notasi_Algoritme.txt', 'GT_SUBTOPIK_05_Pseudocode_Algoritme.txt', 'GT_SUBTOPIK_11_Rekursi.txt', 'GT_SUBTOPIK_14_Kompleksitas_BigO.txt'] → 5 / 6</t>
        </is>
      </c>
      <c r="F1158" t="n">
        <v>0.8333</v>
      </c>
      <c r="G1158" s="3" t="inlineStr">
        <is>
          <t>file unik: GT_CT09.txt, GT_DETAIL_PT07_Notasi_Algoritme.txt, GT_SUBTOPIK_05_Pseudocode_Algoritme.txt, GT_SUBTOPIK_11_Rekursi.txt, GT_SUBTOPIK_14_Kompleksitas_BigO.txt</t>
        </is>
      </c>
    </row>
    <row r="1159">
      <c r="A1159" t="n">
        <v>79</v>
      </c>
      <c r="B1159" t="inlineStr">
        <is>
          <t>A</t>
        </is>
      </c>
      <c r="C1159" t="inlineStr">
        <is>
          <t>Faithfulness (Pers. 15)</t>
        </is>
      </c>
      <c r="D1159" s="3" t="inlineStr">
        <is>
          <t>F = 0,70×Entailment + 0,30×KWoverlap</t>
        </is>
      </c>
      <c r="E1159" s="3" t="inlineStr">
        <is>
          <t>Faithfulness = 0,70×Entailment + 0,30×KWoverlap = 0,70×1.0000 + 0,30×0.2682 = 0.7805  (entailment: 6/6 klaim didukung; KWoverlap = (|∩|/|ctx|)^0,65 = (28/212)^0,65 = 0.1321^0,65 = 0.2682)</t>
        </is>
      </c>
      <c r="F1159" t="n">
        <v>0.7805</v>
      </c>
      <c r="G1159" s="3" t="inlineStr">
        <is>
          <t>metode: llm_entailment + keyword</t>
        </is>
      </c>
    </row>
    <row r="1160">
      <c r="A1160" t="n">
        <v>79</v>
      </c>
      <c r="B1160" t="inlineStr">
        <is>
          <t>A</t>
        </is>
      </c>
      <c r="C1160" t="inlineStr">
        <is>
          <t>— Entailment (Pers. 12-13)</t>
        </is>
      </c>
      <c r="D1160" s="3" t="inlineStr">
        <is>
          <t>Entailment = Σverdict(sᵢ)/m</t>
        </is>
      </c>
      <c r="E1160" s="3" t="inlineStr">
        <is>
          <t>6 klaim YA dari 6 klaim dievaluasi</t>
        </is>
      </c>
      <c r="F1160" t="n">
        <v>1</v>
      </c>
      <c r="G1160" s="3" t="inlineStr">
        <is>
          <t>verdict per klaim: sheet 'Entailment Detail'</t>
        </is>
      </c>
    </row>
    <row r="1161">
      <c r="A1161" t="n">
        <v>79</v>
      </c>
      <c r="B1161" t="inlineStr">
        <is>
          <t>A</t>
        </is>
      </c>
      <c r="C1161" t="inlineStr">
        <is>
          <t>— Keyword Overlap (Pers. 14)</t>
        </is>
      </c>
      <c r="D1161" s="3" t="inlineStr">
        <is>
          <t>KWoverlap = (|Stems(ans)∩Stems(ctx)| / |Stems(ctx)|)^0,65</t>
        </is>
      </c>
      <c r="E1161" s="3" t="inlineStr">
        <is>
          <t>KWoverlap = (|∩|/|ctx|)^0,65 = (28/212)^0,65 = 0.1321^0,65 = 0.2682</t>
        </is>
      </c>
      <c r="F1161" t="n">
        <v>0.2682</v>
      </c>
      <c r="G1161" s="3" t="inlineStr"/>
    </row>
    <row r="1162">
      <c r="A1162" t="n">
        <v>79</v>
      </c>
      <c r="B1162" t="inlineStr">
        <is>
          <t>A</t>
        </is>
      </c>
      <c r="C1162" t="inlineStr">
        <is>
          <t>Hallucination Risk (Pers. 18)</t>
        </is>
      </c>
      <c r="D1162" s="3" t="inlineStr">
        <is>
          <t>Risk = 0,65×(1-F) + 0,20×Contradiction + 0,15×Uncertainty</t>
        </is>
      </c>
      <c r="E1162" s="3" t="inlineStr">
        <is>
          <t>Risk = 0,65×OutOfContext + 0,20×Contradiction + 0,15×Uncertainty = 0,65×0.2195 + 0,20×0.0000 + 0,15×0.00 = 0.1427 [RENDAH]</t>
        </is>
      </c>
      <c r="F1162" t="n">
        <v>0.1427</v>
      </c>
      <c r="G1162" s="3" t="inlineStr">
        <is>
          <t>label: RENDAH; kontradiksi 0/10 kalimat; uncertainty flag: False</t>
        </is>
      </c>
    </row>
    <row r="1163">
      <c r="A1163" t="n">
        <v>79</v>
      </c>
      <c r="B1163" t="inlineStr">
        <is>
          <t>B</t>
        </is>
      </c>
      <c r="C1163" t="inlineStr">
        <is>
          <t>Faithfulness (Pers. 15)</t>
        </is>
      </c>
      <c r="D1163" s="3" t="inlineStr">
        <is>
          <t>F = 0,70×Entailment + 0,30×KWoverlap</t>
        </is>
      </c>
      <c r="E1163" s="3" t="inlineStr">
        <is>
          <t>Faithfulness = 0,70×Entailment + 0,30×KWoverlap = 0,70×1.0000 + 0,30×0.2427 = 0.7728  (entailment: 6/6 klaim didukung; KWoverlap = (|∩|/|ctx|)^0,65 = (24/212)^0,65 = 0.1132^0,65 = 0.2427)</t>
        </is>
      </c>
      <c r="F1163" t="n">
        <v>0.7728</v>
      </c>
      <c r="G1163" s="3" t="inlineStr">
        <is>
          <t>metode: llm_entailment + keyword</t>
        </is>
      </c>
    </row>
    <row r="1164">
      <c r="A1164" t="n">
        <v>79</v>
      </c>
      <c r="B1164" t="inlineStr">
        <is>
          <t>B</t>
        </is>
      </c>
      <c r="C1164" t="inlineStr">
        <is>
          <t>— Entailment (Pers. 12-13)</t>
        </is>
      </c>
      <c r="D1164" s="3" t="inlineStr">
        <is>
          <t>Entailment = Σverdict(sᵢ)/m</t>
        </is>
      </c>
      <c r="E1164" s="3" t="inlineStr">
        <is>
          <t>6 klaim YA dari 6 klaim dievaluasi</t>
        </is>
      </c>
      <c r="F1164" t="n">
        <v>1</v>
      </c>
      <c r="G1164" s="3" t="inlineStr">
        <is>
          <t>verdict per klaim: sheet 'Entailment Detail'</t>
        </is>
      </c>
    </row>
    <row r="1165">
      <c r="A1165" t="n">
        <v>79</v>
      </c>
      <c r="B1165" t="inlineStr">
        <is>
          <t>B</t>
        </is>
      </c>
      <c r="C1165" t="inlineStr">
        <is>
          <t>— Keyword Overlap (Pers. 14)</t>
        </is>
      </c>
      <c r="D1165" s="3" t="inlineStr">
        <is>
          <t>KWoverlap = (|Stems(ans)∩Stems(ctx)| / |Stems(ctx)|)^0,65</t>
        </is>
      </c>
      <c r="E1165" s="3" t="inlineStr">
        <is>
          <t>KWoverlap = (|∩|/|ctx|)^0,65 = (24/212)^0,65 = 0.1132^0,65 = 0.2427</t>
        </is>
      </c>
      <c r="F1165" t="n">
        <v>0.2427</v>
      </c>
      <c r="G1165" s="3" t="inlineStr"/>
    </row>
    <row r="1166">
      <c r="A1166" t="n">
        <v>79</v>
      </c>
      <c r="B1166" t="inlineStr">
        <is>
          <t>B</t>
        </is>
      </c>
      <c r="C1166" t="inlineStr">
        <is>
          <t>Hallucination Risk (Pers. 18)</t>
        </is>
      </c>
      <c r="D1166" s="3" t="inlineStr">
        <is>
          <t>Risk = 0,65×(1-F) + 0,20×Contradiction + 0,15×Uncertainty</t>
        </is>
      </c>
      <c r="E1166" s="3" t="inlineStr">
        <is>
          <t>Risk = 0,65×OutOfContext + 0,20×Contradiction + 0,15×Uncertainty = 0,65×0.2272 + 0,20×0.0000 + 0,15×0.00 = 0.1477 [RENDAH]</t>
        </is>
      </c>
      <c r="F1166" t="n">
        <v>0.1477</v>
      </c>
      <c r="G1166" s="3" t="inlineStr">
        <is>
          <t>label: RENDAH; kontradiksi 0/14 kalimat; uncertainty flag: False</t>
        </is>
      </c>
    </row>
    <row r="1167">
      <c r="A1167" t="n">
        <v>79</v>
      </c>
      <c r="B1167" t="inlineStr">
        <is>
          <t>B</t>
        </is>
      </c>
      <c r="C1167" t="inlineStr">
        <is>
          <t>Answer Accuracy (Pers. 20)</t>
        </is>
      </c>
      <c r="D1167" s="3" t="inlineStr">
        <is>
          <t>Correctᵢ ∈ {0,1} via LLM-as-Judge (HASIL: BENAR/SALAH)</t>
        </is>
      </c>
      <c r="E1167" s="3" t="inlineStr">
        <is>
          <t>JAWABAN: 
Jawaban sistem menjawab pertanyaan dengan benar berdasarkan referensi karena:
1. Kasus pertama, kumpulan data kecil, linear search lebih efektif dan cepat daripada binary search untuk ukuran kumpulan data yang sangat kecil (kurang dari 10 elemen).
2. Kasus kedua, data tidak terorganisasi, linear search lebih mudah digunakan karena tidak memerlukan pengetahuan tentang struktur data.
Ke</t>
        </is>
      </c>
      <c r="F1167" t="inlineStr">
        <is>
          <t>BENAR</t>
        </is>
      </c>
      <c r="G1167" s="3" t="inlineStr">
        <is>
          <t>evaluator: ollama/llama3</t>
        </is>
      </c>
    </row>
    <row r="1168">
      <c r="A1168" t="n">
        <v>80</v>
      </c>
      <c r="B1168" t="inlineStr">
        <is>
          <t>A</t>
        </is>
      </c>
      <c r="C1168" t="inlineStr">
        <is>
          <t>Precision@K (Pers. 2)</t>
        </is>
      </c>
      <c r="D1168" s="3" t="inlineStr">
        <is>
          <t>Precision@K = |{d ∈ TopK : sim(q,d) ≥ θ}| / K</t>
        </is>
      </c>
      <c r="E1168" s="3" t="inlineStr">
        <is>
          <t>skor = [0.8187, 0.7959, 0.7617, 0.7473, 0.7405, 0.7383] → 6 / 6</t>
        </is>
      </c>
      <c r="F1168" t="n">
        <v>1</v>
      </c>
      <c r="G1168" s="3" t="inlineStr">
        <is>
          <t>basis: skor chunk nyata (sesuai contoh Pers. 2 skripsi)</t>
        </is>
      </c>
    </row>
    <row r="1169">
      <c r="A1169" t="n">
        <v>80</v>
      </c>
      <c r="B1169" t="inlineStr">
        <is>
          <t>A</t>
        </is>
      </c>
      <c r="C1169" t="inlineStr">
        <is>
          <t>Recall@K (Pers. 4)</t>
        </is>
      </c>
      <c r="D1169" s="3" t="inlineStr">
        <is>
          <t>Recall@K = |{kata kunci ditemukan : sim ≥ θ}| / |R|</t>
        </is>
      </c>
      <c r="E1169" s="3" t="inlineStr">
        <is>
          <t>skor = [0.6855, 0.5593, 0.5237, 0.4398, 0.4387, 0.4364] → 6 / 6</t>
        </is>
      </c>
      <c r="F1169" t="n">
        <v>1</v>
      </c>
      <c r="G1169" s="3" t="inlineStr"/>
    </row>
    <row r="1170">
      <c r="A1170" t="n">
        <v>80</v>
      </c>
      <c r="B1170" t="inlineStr">
        <is>
          <t>A</t>
        </is>
      </c>
      <c r="C1170" t="inlineStr">
        <is>
          <t>Mean Similarity (Pers. 6)</t>
        </is>
      </c>
      <c r="D1170" s="3" t="inlineStr">
        <is>
          <t>MeanSim = (1/K) × Σ sim(q, dᵢ)</t>
        </is>
      </c>
      <c r="E1170" s="3" t="inlineStr">
        <is>
          <t>skor = [0.8187, 0.7959, 0.7617, 0.7473, 0.7405, 0.7383] → (0.8187 + 0.7959 + 0.7617 + 0.7473 + 0.7405 + 0.7383) / 6</t>
        </is>
      </c>
      <c r="F1170" t="n">
        <v>0.7671</v>
      </c>
      <c r="G1170" s="3" t="inlineStr"/>
    </row>
    <row r="1171">
      <c r="A1171" t="n">
        <v>80</v>
      </c>
      <c r="B1171" t="inlineStr">
        <is>
          <t>A</t>
        </is>
      </c>
      <c r="C1171" t="inlineStr">
        <is>
          <t>Coverage (Pers. 8)</t>
        </is>
      </c>
      <c r="D1171" s="3" t="inlineStr">
        <is>
          <t>Coverage = |{dᵢ ∈ TopK : sim(q,dᵢ) ≥ θc}| / K</t>
        </is>
      </c>
      <c r="E1171" s="3" t="inlineStr">
        <is>
          <t>skor = [0.8187, 0.7959, 0.7617, 0.7473, 0.7405, 0.7383] → 6 / 6</t>
        </is>
      </c>
      <c r="F1171" t="n">
        <v>1</v>
      </c>
      <c r="G1171" s="3" t="inlineStr"/>
    </row>
    <row r="1172">
      <c r="A1172" t="n">
        <v>80</v>
      </c>
      <c r="B1172" t="inlineStr">
        <is>
          <t>A</t>
        </is>
      </c>
      <c r="C1172" t="inlineStr">
        <is>
          <t>Source Diversity (Pers. 10)</t>
        </is>
      </c>
      <c r="D1172" s="3" t="inlineStr">
        <is>
          <t>Diversity = |sumber unik dalam TopK| / K</t>
        </is>
      </c>
      <c r="E1172" s="3" t="inlineStr">
        <is>
          <t>skor = ['GT_CT01.txt', 'GT_CT03.txt', 'GT_CT09.txt', 'GT_CT13.txt', 'GT_DETAIL_PT01_Pendahuluan.txt'] → 5 / 6</t>
        </is>
      </c>
      <c r="F1172" t="n">
        <v>0.8333</v>
      </c>
      <c r="G1172" s="3" t="inlineStr">
        <is>
          <t>file unik: GT_CT01.txt, GT_CT03.txt, GT_CT09.txt, GT_CT13.txt, GT_DETAIL_PT01_Pendahuluan.txt</t>
        </is>
      </c>
    </row>
    <row r="1173">
      <c r="A1173" t="n">
        <v>80</v>
      </c>
      <c r="B1173" t="inlineStr">
        <is>
          <t>A</t>
        </is>
      </c>
      <c r="C1173" t="inlineStr">
        <is>
          <t>Faithfulness (Pers. 15)</t>
        </is>
      </c>
      <c r="D1173" s="3" t="inlineStr">
        <is>
          <t>F = 0,70×Entailment + 0,30×KWoverlap</t>
        </is>
      </c>
      <c r="E1173" s="3" t="inlineStr">
        <is>
          <t>Faithfulness = 0,70×Entailment + 0,30×KWoverlap = 0,70×1.0000 + 0,30×0.2412 = 0.7723  (entailment: 6/6 klaim didukung; KWoverlap = (|∩|/|ctx|)^0,65 = (37/330)^0,65 = 0.1121^0,65 = 0.2412)</t>
        </is>
      </c>
      <c r="F1173" t="n">
        <v>0.7723</v>
      </c>
      <c r="G1173" s="3" t="inlineStr">
        <is>
          <t>metode: llm_entailment + keyword</t>
        </is>
      </c>
    </row>
    <row r="1174">
      <c r="A1174" t="n">
        <v>80</v>
      </c>
      <c r="B1174" t="inlineStr">
        <is>
          <t>A</t>
        </is>
      </c>
      <c r="C1174" t="inlineStr">
        <is>
          <t>— Entailment (Pers. 12-13)</t>
        </is>
      </c>
      <c r="D1174" s="3" t="inlineStr">
        <is>
          <t>Entailment = Σverdict(sᵢ)/m</t>
        </is>
      </c>
      <c r="E1174" s="3" t="inlineStr">
        <is>
          <t>6 klaim YA dari 6 klaim dievaluasi</t>
        </is>
      </c>
      <c r="F1174" t="n">
        <v>1</v>
      </c>
      <c r="G1174" s="3" t="inlineStr">
        <is>
          <t>verdict per klaim: sheet 'Entailment Detail'</t>
        </is>
      </c>
    </row>
    <row r="1175">
      <c r="A1175" t="n">
        <v>80</v>
      </c>
      <c r="B1175" t="inlineStr">
        <is>
          <t>A</t>
        </is>
      </c>
      <c r="C1175" t="inlineStr">
        <is>
          <t>— Keyword Overlap (Pers. 14)</t>
        </is>
      </c>
      <c r="D1175" s="3" t="inlineStr">
        <is>
          <t>KWoverlap = (|Stems(ans)∩Stems(ctx)| / |Stems(ctx)|)^0,65</t>
        </is>
      </c>
      <c r="E1175" s="3" t="inlineStr">
        <is>
          <t>KWoverlap = (|∩|/|ctx|)^0,65 = (37/330)^0,65 = 0.1121^0,65 = 0.2412</t>
        </is>
      </c>
      <c r="F1175" t="n">
        <v>0.2412</v>
      </c>
      <c r="G1175" s="3" t="inlineStr"/>
    </row>
    <row r="1176">
      <c r="A1176" t="n">
        <v>80</v>
      </c>
      <c r="B1176" t="inlineStr">
        <is>
          <t>A</t>
        </is>
      </c>
      <c r="C1176" t="inlineStr">
        <is>
          <t>Hallucination Risk (Pers. 18)</t>
        </is>
      </c>
      <c r="D1176" s="3" t="inlineStr">
        <is>
          <t>Risk = 0,65×(1-F) + 0,20×Contradiction + 0,15×Uncertainty</t>
        </is>
      </c>
      <c r="E1176" s="3" t="inlineStr">
        <is>
          <t>Risk = 0,65×OutOfContext + 0,20×Contradiction + 0,15×Uncertainty = 0,65×0.2277 + 0,20×0.0000 + 0,15×0.00 = 0.1480 [RENDAH]</t>
        </is>
      </c>
      <c r="F1176" t="n">
        <v>0.148</v>
      </c>
      <c r="G1176" s="3" t="inlineStr">
        <is>
          <t>label: RENDAH; kontradiksi 0/12 kalimat; uncertainty flag: False</t>
        </is>
      </c>
    </row>
    <row r="1177">
      <c r="A1177" t="n">
        <v>80</v>
      </c>
      <c r="B1177" t="inlineStr">
        <is>
          <t>A</t>
        </is>
      </c>
      <c r="C1177" t="inlineStr">
        <is>
          <t>Answer Accuracy (Pers. 20)</t>
        </is>
      </c>
      <c r="D1177" s="3" t="inlineStr">
        <is>
          <t>Correctᵢ ∈ {0,1} via LLM-as-Judge (HASIL: BENAR/SALAH)</t>
        </is>
      </c>
      <c r="E1177" s="3" t="inlineStr">
        <is>
          <t xml:space="preserve">BENAR
Rationale:
The system's answer correctly covers the main concept, which is to decompose a big problem into smaller and easier-to-manage problems (breaking big problems into smaller ones). The answer also provides a concrete example of how to apply decomposition to the given problem, dividing it into three sub-problems: preprocessing data, finding suitable contacts, and displaying results. </t>
        </is>
      </c>
      <c r="F1177" t="inlineStr">
        <is>
          <t>BENAR</t>
        </is>
      </c>
      <c r="G1177" s="3" t="inlineStr">
        <is>
          <t>evaluator: ollama/llama3</t>
        </is>
      </c>
    </row>
    <row r="1178">
      <c r="A1178" t="n">
        <v>80</v>
      </c>
      <c r="B1178" t="inlineStr">
        <is>
          <t>B</t>
        </is>
      </c>
      <c r="C1178" t="inlineStr">
        <is>
          <t>Faithfulness (Pers. 15)</t>
        </is>
      </c>
      <c r="D1178" s="3" t="inlineStr">
        <is>
          <t>F = 0,70×Entailment + 0,30×KWoverlap</t>
        </is>
      </c>
      <c r="E1178" s="3" t="inlineStr">
        <is>
          <t>Faithfulness = 0,70×Entailment + 0,30×KWoverlap = 0,70×0.8333 + 0,30×0.3194 = 0.6791  (entailment: 5/6 klaim didukung; KWoverlap = (|∩|/|ctx|)^0,65 = (57/330)^0,65 = 0.1727^0,65 = 0.3194)</t>
        </is>
      </c>
      <c r="F1178" t="n">
        <v>0.6791</v>
      </c>
      <c r="G1178" s="3" t="inlineStr">
        <is>
          <t>metode: llm_entailment + keyword</t>
        </is>
      </c>
    </row>
    <row r="1179">
      <c r="A1179" t="n">
        <v>80</v>
      </c>
      <c r="B1179" t="inlineStr">
        <is>
          <t>B</t>
        </is>
      </c>
      <c r="C1179" t="inlineStr">
        <is>
          <t>— Entailment (Pers. 12-13)</t>
        </is>
      </c>
      <c r="D1179" s="3" t="inlineStr">
        <is>
          <t>Entailment = Σverdict(sᵢ)/m</t>
        </is>
      </c>
      <c r="E1179" s="3" t="inlineStr">
        <is>
          <t>5 klaim YA dari 6 klaim dievaluasi</t>
        </is>
      </c>
      <c r="F1179" t="n">
        <v>0.8333</v>
      </c>
      <c r="G1179" s="3" t="inlineStr">
        <is>
          <t>verdict per klaim: sheet 'Entailment Detail'</t>
        </is>
      </c>
    </row>
    <row r="1180">
      <c r="A1180" t="n">
        <v>80</v>
      </c>
      <c r="B1180" t="inlineStr">
        <is>
          <t>B</t>
        </is>
      </c>
      <c r="C1180" t="inlineStr">
        <is>
          <t>— Keyword Overlap (Pers. 14)</t>
        </is>
      </c>
      <c r="D1180" s="3" t="inlineStr">
        <is>
          <t>KWoverlap = (|Stems(ans)∩Stems(ctx)| / |Stems(ctx)|)^0,65</t>
        </is>
      </c>
      <c r="E1180" s="3" t="inlineStr">
        <is>
          <t>KWoverlap = (|∩|/|ctx|)^0,65 = (57/330)^0,65 = 0.1727^0,65 = 0.3194</t>
        </is>
      </c>
      <c r="F1180" t="n">
        <v>0.3194</v>
      </c>
      <c r="G1180" s="3" t="inlineStr"/>
    </row>
    <row r="1181">
      <c r="A1181" t="n">
        <v>80</v>
      </c>
      <c r="B1181" t="inlineStr">
        <is>
          <t>B</t>
        </is>
      </c>
      <c r="C1181" t="inlineStr">
        <is>
          <t>Hallucination Risk (Pers. 18)</t>
        </is>
      </c>
      <c r="D1181" s="3" t="inlineStr">
        <is>
          <t>Risk = 0,65×(1-F) + 0,20×Contradiction + 0,15×Uncertainty</t>
        </is>
      </c>
      <c r="E1181" s="3" t="inlineStr">
        <is>
          <t>Risk = 0,65×OutOfContext + 0,20×Contradiction + 0,15×Uncertainty = 0,65×0.3209 + 0,20×0.0000 + 0,15×0.00 = 0.2086 [RENDAH]</t>
        </is>
      </c>
      <c r="F1181" t="n">
        <v>0.2086</v>
      </c>
      <c r="G1181" s="3" t="inlineStr">
        <is>
          <t>label: RENDAH; kontradiksi 0/31 kalimat; uncertainty flag: False</t>
        </is>
      </c>
    </row>
    <row r="1182">
      <c r="A1182" t="n">
        <v>80</v>
      </c>
      <c r="B1182" t="inlineStr">
        <is>
          <t>B</t>
        </is>
      </c>
      <c r="C1182" t="inlineStr">
        <is>
          <t>Answer Accuracy (Pers. 20)</t>
        </is>
      </c>
      <c r="D1182" s="3" t="inlineStr">
        <is>
          <t>Correctᵢ ∈ {0,1} via LLM-as-Judge (HASIL: BENAR/SALAH)</t>
        </is>
      </c>
      <c r="E1182" s="3" t="inlineStr"/>
      <c r="F1182" t="inlineStr">
        <is>
          <t>BENAR</t>
        </is>
      </c>
      <c r="G1182" s="3" t="inlineStr">
        <is>
          <t>evaluator: ollama/llama3</t>
        </is>
      </c>
    </row>
    <row r="1183">
      <c r="A1183" t="n">
        <v>81</v>
      </c>
      <c r="B1183" t="inlineStr">
        <is>
          <t>A</t>
        </is>
      </c>
      <c r="C1183" t="inlineStr">
        <is>
          <t>Precision@K (Pers. 2)</t>
        </is>
      </c>
      <c r="D1183" s="3" t="inlineStr">
        <is>
          <t>Precision@K = |{d ∈ TopK : sim(q,d) ≥ θ}| / K</t>
        </is>
      </c>
      <c r="E1183" s="3" t="inlineStr">
        <is>
          <t>skor = [0.7946, 0.786, 0.7724, 0.7393, 0.7375, 0.7351] → 6 / 6</t>
        </is>
      </c>
      <c r="F1183" t="n">
        <v>1</v>
      </c>
      <c r="G1183" s="3" t="inlineStr">
        <is>
          <t>basis: skor chunk nyata (sesuai contoh Pers. 2 skripsi)</t>
        </is>
      </c>
    </row>
    <row r="1184">
      <c r="A1184" t="n">
        <v>81</v>
      </c>
      <c r="B1184" t="inlineStr">
        <is>
          <t>A</t>
        </is>
      </c>
      <c r="C1184" t="inlineStr">
        <is>
          <t>Recall@K (Pers. 4)</t>
        </is>
      </c>
      <c r="D1184" s="3" t="inlineStr">
        <is>
          <t>Recall@K = |{kata kunci ditemukan : sim ≥ θ}| / |R|</t>
        </is>
      </c>
      <c r="E1184" s="3" t="inlineStr">
        <is>
          <t>skor = [0.727, 0.6721, 0.5408, 0.518, 0.4512, 0.4269] → 6 / 6</t>
        </is>
      </c>
      <c r="F1184" t="n">
        <v>1</v>
      </c>
      <c r="G1184" s="3" t="inlineStr"/>
    </row>
    <row r="1185">
      <c r="A1185" t="n">
        <v>81</v>
      </c>
      <c r="B1185" t="inlineStr">
        <is>
          <t>A</t>
        </is>
      </c>
      <c r="C1185" t="inlineStr">
        <is>
          <t>Mean Similarity (Pers. 6)</t>
        </is>
      </c>
      <c r="D1185" s="3" t="inlineStr">
        <is>
          <t>MeanSim = (1/K) × Σ sim(q, dᵢ)</t>
        </is>
      </c>
      <c r="E1185" s="3" t="inlineStr">
        <is>
          <t>skor = [0.7946, 0.786, 0.7724, 0.7393, 0.7375, 0.7351] → (0.7946 + 0.7860 + 0.7724 + 0.7393 + 0.7375 + 0.7351) / 6</t>
        </is>
      </c>
      <c r="F1185" t="n">
        <v>0.7608</v>
      </c>
      <c r="G1185" s="3" t="inlineStr"/>
    </row>
    <row r="1186">
      <c r="A1186" t="n">
        <v>81</v>
      </c>
      <c r="B1186" t="inlineStr">
        <is>
          <t>A</t>
        </is>
      </c>
      <c r="C1186" t="inlineStr">
        <is>
          <t>Coverage (Pers. 8)</t>
        </is>
      </c>
      <c r="D1186" s="3" t="inlineStr">
        <is>
          <t>Coverage = |{dᵢ ∈ TopK : sim(q,dᵢ) ≥ θc}| / K</t>
        </is>
      </c>
      <c r="E1186" s="3" t="inlineStr">
        <is>
          <t>skor = [0.7946, 0.786, 0.7724, 0.7393, 0.7375, 0.7351] → 6 / 6</t>
        </is>
      </c>
      <c r="F1186" t="n">
        <v>1</v>
      </c>
      <c r="G1186" s="3" t="inlineStr"/>
    </row>
    <row r="1187">
      <c r="A1187" t="n">
        <v>81</v>
      </c>
      <c r="B1187" t="inlineStr">
        <is>
          <t>A</t>
        </is>
      </c>
      <c r="C1187" t="inlineStr">
        <is>
          <t>Source Diversity (Pers. 10)</t>
        </is>
      </c>
      <c r="D1187" s="3" t="inlineStr">
        <is>
          <t>Diversity = |sumber unik dalam TopK| / K</t>
        </is>
      </c>
      <c r="E1187" s="3" t="inlineStr">
        <is>
          <t>skor = ['GT_CT13.txt', 'GT_SUBTOPIK_14_Kompleksitas_BigO.txt'] → 2 / 6</t>
        </is>
      </c>
      <c r="F1187" t="n">
        <v>0.3333</v>
      </c>
      <c r="G1187" s="3" t="inlineStr">
        <is>
          <t>file unik: GT_CT13.txt, GT_SUBTOPIK_14_Kompleksitas_BigO.txt</t>
        </is>
      </c>
    </row>
    <row r="1188">
      <c r="A1188" t="n">
        <v>81</v>
      </c>
      <c r="B1188" t="inlineStr">
        <is>
          <t>A</t>
        </is>
      </c>
      <c r="C1188" t="inlineStr">
        <is>
          <t>Faithfulness (Pers. 15)</t>
        </is>
      </c>
      <c r="D1188" s="3" t="inlineStr">
        <is>
          <t>F = 0,70×Entailment + 0,30×KWoverlap</t>
        </is>
      </c>
      <c r="E1188" s="3" t="inlineStr">
        <is>
          <t>Faithfulness = 0,70×Entailment + 0,30×KWoverlap = 0,70×1.0000 + 0,30×0.2542 = 0.7763  (entailment: 6/6 klaim didukung; KWoverlap = (|∩|/|ctx|)^0,65 = (31/255)^0,65 = 0.1216^0,65 = 0.2542)</t>
        </is>
      </c>
      <c r="F1188" t="n">
        <v>0.7763</v>
      </c>
      <c r="G1188" s="3" t="inlineStr">
        <is>
          <t>metode: llm_entailment + keyword</t>
        </is>
      </c>
    </row>
    <row r="1189">
      <c r="A1189" t="n">
        <v>81</v>
      </c>
      <c r="B1189" t="inlineStr">
        <is>
          <t>A</t>
        </is>
      </c>
      <c r="C1189" t="inlineStr">
        <is>
          <t>— Entailment (Pers. 12-13)</t>
        </is>
      </c>
      <c r="D1189" s="3" t="inlineStr">
        <is>
          <t>Entailment = Σverdict(sᵢ)/m</t>
        </is>
      </c>
      <c r="E1189" s="3" t="inlineStr">
        <is>
          <t>6 klaim YA dari 6 klaim dievaluasi</t>
        </is>
      </c>
      <c r="F1189" t="n">
        <v>1</v>
      </c>
      <c r="G1189" s="3" t="inlineStr">
        <is>
          <t>verdict per klaim: sheet 'Entailment Detail'</t>
        </is>
      </c>
    </row>
    <row r="1190">
      <c r="A1190" t="n">
        <v>81</v>
      </c>
      <c r="B1190" t="inlineStr">
        <is>
          <t>A</t>
        </is>
      </c>
      <c r="C1190" t="inlineStr">
        <is>
          <t>— Keyword Overlap (Pers. 14)</t>
        </is>
      </c>
      <c r="D1190" s="3" t="inlineStr">
        <is>
          <t>KWoverlap = (|Stems(ans)∩Stems(ctx)| / |Stems(ctx)|)^0,65</t>
        </is>
      </c>
      <c r="E1190" s="3" t="inlineStr">
        <is>
          <t>KWoverlap = (|∩|/|ctx|)^0,65 = (31/255)^0,65 = 0.1216^0,65 = 0.2542</t>
        </is>
      </c>
      <c r="F1190" t="n">
        <v>0.2542</v>
      </c>
      <c r="G1190" s="3" t="inlineStr"/>
    </row>
    <row r="1191">
      <c r="A1191" t="n">
        <v>81</v>
      </c>
      <c r="B1191" t="inlineStr">
        <is>
          <t>A</t>
        </is>
      </c>
      <c r="C1191" t="inlineStr">
        <is>
          <t>Hallucination Risk (Pers. 18)</t>
        </is>
      </c>
      <c r="D1191" s="3" t="inlineStr">
        <is>
          <t>Risk = 0,65×(1-F) + 0,20×Contradiction + 0,15×Uncertainty</t>
        </is>
      </c>
      <c r="E1191" s="3" t="inlineStr">
        <is>
          <t>Risk = 0,65×OutOfContext + 0,20×Contradiction + 0,15×Uncertainty = 0,65×0.2237 + 0,20×0.0000 + 0,15×0.00 = 0.1454 [RENDAH]</t>
        </is>
      </c>
      <c r="F1191" t="n">
        <v>0.1454</v>
      </c>
      <c r="G1191" s="3" t="inlineStr">
        <is>
          <t>label: RENDAH; kontradiksi 0/12 kalimat; uncertainty flag: False</t>
        </is>
      </c>
    </row>
    <row r="1192">
      <c r="A1192" t="n">
        <v>81</v>
      </c>
      <c r="B1192" t="inlineStr">
        <is>
          <t>A</t>
        </is>
      </c>
      <c r="C1192" t="inlineStr">
        <is>
          <t>Answer Accuracy (Pers. 20)</t>
        </is>
      </c>
      <c r="D1192" s="3" t="inlineStr">
        <is>
          <t>Correctᵢ ∈ {0,1} via LLM-as-Judge (HASIL: BENAR/SALAH)</t>
        </is>
      </c>
      <c r="E1192" s="3" t="inlineStr">
        <is>
          <t>BENAR</t>
        </is>
      </c>
      <c r="F1192" t="inlineStr">
        <is>
          <t>BENAR</t>
        </is>
      </c>
      <c r="G1192" s="3" t="inlineStr">
        <is>
          <t>evaluator: ollama/llama3</t>
        </is>
      </c>
    </row>
    <row r="1193">
      <c r="A1193" t="n">
        <v>81</v>
      </c>
      <c r="B1193" t="inlineStr">
        <is>
          <t>B</t>
        </is>
      </c>
      <c r="C1193" t="inlineStr">
        <is>
          <t>Faithfulness (Pers. 15)</t>
        </is>
      </c>
      <c r="D1193" s="3" t="inlineStr">
        <is>
          <t>F = 0,70×Entailment + 0,30×KWoverlap</t>
        </is>
      </c>
      <c r="E1193" s="3" t="inlineStr">
        <is>
          <t>Faithfulness = 0,70×Entailment + 0,30×KWoverlap = 0,70×1.0000 + 0,30×0.3096 = 0.7929  (entailment: 6/6 klaim didukung; KWoverlap = (|∩|/|ctx|)^0,65 = (42/255)^0,65 = 0.1647^0,65 = 0.3096)</t>
        </is>
      </c>
      <c r="F1193" t="n">
        <v>0.7929</v>
      </c>
      <c r="G1193" s="3" t="inlineStr">
        <is>
          <t>metode: llm_entailment + keyword</t>
        </is>
      </c>
    </row>
    <row r="1194">
      <c r="A1194" t="n">
        <v>81</v>
      </c>
      <c r="B1194" t="inlineStr">
        <is>
          <t>B</t>
        </is>
      </c>
      <c r="C1194" t="inlineStr">
        <is>
          <t>— Entailment (Pers. 12-13)</t>
        </is>
      </c>
      <c r="D1194" s="3" t="inlineStr">
        <is>
          <t>Entailment = Σverdict(sᵢ)/m</t>
        </is>
      </c>
      <c r="E1194" s="3" t="inlineStr">
        <is>
          <t>6 klaim YA dari 6 klaim dievaluasi</t>
        </is>
      </c>
      <c r="F1194" t="n">
        <v>1</v>
      </c>
      <c r="G1194" s="3" t="inlineStr">
        <is>
          <t>verdict per klaim: sheet 'Entailment Detail'</t>
        </is>
      </c>
    </row>
    <row r="1195">
      <c r="A1195" t="n">
        <v>81</v>
      </c>
      <c r="B1195" t="inlineStr">
        <is>
          <t>B</t>
        </is>
      </c>
      <c r="C1195" t="inlineStr">
        <is>
          <t>— Keyword Overlap (Pers. 14)</t>
        </is>
      </c>
      <c r="D1195" s="3" t="inlineStr">
        <is>
          <t>KWoverlap = (|Stems(ans)∩Stems(ctx)| / |Stems(ctx)|)^0,65</t>
        </is>
      </c>
      <c r="E1195" s="3" t="inlineStr">
        <is>
          <t>KWoverlap = (|∩|/|ctx|)^0,65 = (42/255)^0,65 = 0.1647^0,65 = 0.3096</t>
        </is>
      </c>
      <c r="F1195" t="n">
        <v>0.3096</v>
      </c>
      <c r="G1195" s="3" t="inlineStr"/>
    </row>
    <row r="1196">
      <c r="A1196" t="n">
        <v>81</v>
      </c>
      <c r="B1196" t="inlineStr">
        <is>
          <t>B</t>
        </is>
      </c>
      <c r="C1196" t="inlineStr">
        <is>
          <t>Hallucination Risk (Pers. 18)</t>
        </is>
      </c>
      <c r="D1196" s="3" t="inlineStr">
        <is>
          <t>Risk = 0,65×(1-F) + 0,20×Contradiction + 0,15×Uncertainty</t>
        </is>
      </c>
      <c r="E1196" s="3" t="inlineStr">
        <is>
          <t>Risk = 0,65×OutOfContext + 0,20×Contradiction + 0,15×Uncertainty = 0,65×0.2071 + 0,20×0.0000 + 0,15×0.00 = 0.1346 [RENDAH]</t>
        </is>
      </c>
      <c r="F1196" t="n">
        <v>0.1346</v>
      </c>
      <c r="G1196" s="3" t="inlineStr">
        <is>
          <t>label: RENDAH; kontradiksi 0/11 kalimat; uncertainty flag: False</t>
        </is>
      </c>
    </row>
    <row r="1197">
      <c r="A1197" t="n">
        <v>81</v>
      </c>
      <c r="B1197" t="inlineStr">
        <is>
          <t>B</t>
        </is>
      </c>
      <c r="C1197" t="inlineStr">
        <is>
          <t>Answer Accuracy (Pers. 20)</t>
        </is>
      </c>
      <c r="D1197" s="3" t="inlineStr">
        <is>
          <t>Correctᵢ ∈ {0,1} via LLM-as-Judge (HASIL: BENAR/SALAH)</t>
        </is>
      </c>
      <c r="E1197" s="3" t="inlineStr">
        <is>
          <t>BENAR</t>
        </is>
      </c>
      <c r="F1197" t="inlineStr">
        <is>
          <t>BENAR</t>
        </is>
      </c>
      <c r="G1197" s="3" t="inlineStr">
        <is>
          <t>evaluator: ollama/llama3</t>
        </is>
      </c>
    </row>
    <row r="1198">
      <c r="A1198" t="n">
        <v>82</v>
      </c>
      <c r="B1198" t="inlineStr">
        <is>
          <t>A</t>
        </is>
      </c>
      <c r="C1198" t="inlineStr">
        <is>
          <t>Precision@K (Pers. 2)</t>
        </is>
      </c>
      <c r="D1198" s="3" t="inlineStr">
        <is>
          <t>Precision@K = |{d ∈ TopK : sim(q,d) ≥ θ}| / K</t>
        </is>
      </c>
      <c r="E1198" s="3" t="inlineStr">
        <is>
          <t>skor = [0.7481, 0.7467, 0.74, 0.7278, 0.7262, 0.7255] → 6 / 6</t>
        </is>
      </c>
      <c r="F1198" t="n">
        <v>1</v>
      </c>
      <c r="G1198" s="3" t="inlineStr">
        <is>
          <t>basis: skor chunk nyata (sesuai contoh Pers. 2 skripsi)</t>
        </is>
      </c>
    </row>
    <row r="1199">
      <c r="A1199" t="n">
        <v>82</v>
      </c>
      <c r="B1199" t="inlineStr">
        <is>
          <t>A</t>
        </is>
      </c>
      <c r="C1199" t="inlineStr">
        <is>
          <t>Recall@K (Pers. 4)</t>
        </is>
      </c>
      <c r="D1199" s="3" t="inlineStr">
        <is>
          <t>Recall@K = |{kata kunci ditemukan : sim ≥ θ}| / |R|</t>
        </is>
      </c>
      <c r="E1199" s="3" t="inlineStr">
        <is>
          <t>skor = [0.7202, 0.6352, 0.6323, 0.6148, 0.5782, 0.4697] → 6 / 6</t>
        </is>
      </c>
      <c r="F1199" t="n">
        <v>1</v>
      </c>
      <c r="G1199" s="3" t="inlineStr"/>
    </row>
    <row r="1200">
      <c r="A1200" t="n">
        <v>82</v>
      </c>
      <c r="B1200" t="inlineStr">
        <is>
          <t>A</t>
        </is>
      </c>
      <c r="C1200" t="inlineStr">
        <is>
          <t>Mean Similarity (Pers. 6)</t>
        </is>
      </c>
      <c r="D1200" s="3" t="inlineStr">
        <is>
          <t>MeanSim = (1/K) × Σ sim(q, dᵢ)</t>
        </is>
      </c>
      <c r="E1200" s="3" t="inlineStr">
        <is>
          <t>skor = [0.7481, 0.7467, 0.74, 0.7278, 0.7262, 0.7255] → (0.7481 + 0.7467 + 0.7400 + 0.7278 + 0.7262 + 0.7255) / 6</t>
        </is>
      </c>
      <c r="F1200" t="n">
        <v>0.7357</v>
      </c>
      <c r="G1200" s="3" t="inlineStr"/>
    </row>
    <row r="1201">
      <c r="A1201" t="n">
        <v>82</v>
      </c>
      <c r="B1201" t="inlineStr">
        <is>
          <t>A</t>
        </is>
      </c>
      <c r="C1201" t="inlineStr">
        <is>
          <t>Coverage (Pers. 8)</t>
        </is>
      </c>
      <c r="D1201" s="3" t="inlineStr">
        <is>
          <t>Coverage = |{dᵢ ∈ TopK : sim(q,dᵢ) ≥ θc}| / K</t>
        </is>
      </c>
      <c r="E1201" s="3" t="inlineStr">
        <is>
          <t>skor = [0.7481, 0.7467, 0.74, 0.7278, 0.7262, 0.7255] → 6 / 6</t>
        </is>
      </c>
      <c r="F1201" t="n">
        <v>1</v>
      </c>
      <c r="G1201" s="3" t="inlineStr"/>
    </row>
    <row r="1202">
      <c r="A1202" t="n">
        <v>82</v>
      </c>
      <c r="B1202" t="inlineStr">
        <is>
          <t>A</t>
        </is>
      </c>
      <c r="C1202" t="inlineStr">
        <is>
          <t>Source Diversity (Pers. 10)</t>
        </is>
      </c>
      <c r="D1202" s="3" t="inlineStr">
        <is>
          <t>Diversity = |sumber unik dalam TopK| / K</t>
        </is>
      </c>
      <c r="E1202" s="3" t="inlineStr">
        <is>
          <t>skor = ['GT_CT07.txt', 'GT_CT10.txt', 'GT_DETAIL_PT01_Pendahuluan.txt', 'GT_DETAIL_PT07_Notasi_Algoritme.txt', 'GT_DETAIL_PT11_Perulangan.txt', 'GT_SUBTOPIK_14_Kompleksitas_BigO.txt'] → 6 / 6</t>
        </is>
      </c>
      <c r="F1202" t="n">
        <v>1</v>
      </c>
      <c r="G1202" s="3" t="inlineStr">
        <is>
          <t>file unik: GT_CT07.txt, GT_CT10.txt, GT_DETAIL_PT01_Pendahuluan.txt, GT_DETAIL_PT07_Notasi_Algoritme.txt, GT_DETAIL_PT11_Perulangan.txt, GT_SUBTOPIK_14_Kompleksitas_BigO.txt</t>
        </is>
      </c>
    </row>
    <row r="1203">
      <c r="A1203" t="n">
        <v>82</v>
      </c>
      <c r="B1203" t="inlineStr">
        <is>
          <t>A</t>
        </is>
      </c>
      <c r="C1203" t="inlineStr">
        <is>
          <t>Faithfulness (Pers. 15)</t>
        </is>
      </c>
      <c r="D1203" s="3" t="inlineStr">
        <is>
          <t>F = 0,70×Entailment + 0,30×KWoverlap</t>
        </is>
      </c>
      <c r="E1203" s="3" t="inlineStr">
        <is>
          <t>Faithfulness = 0,70×Entailment + 0,30×KWoverlap = 0,70×1.0000 + 0,30×0.2380 = 0.7714  (entailment: 6/6 klaim didukung; KWoverlap = (|∩|/|ctx|)^0,65 = (30/273)^0,65 = 0.1099^0,65 = 0.2380)</t>
        </is>
      </c>
      <c r="F1203" t="n">
        <v>0.7714</v>
      </c>
      <c r="G1203" s="3" t="inlineStr">
        <is>
          <t>metode: llm_entailment + keyword</t>
        </is>
      </c>
    </row>
    <row r="1204">
      <c r="A1204" t="n">
        <v>82</v>
      </c>
      <c r="B1204" t="inlineStr">
        <is>
          <t>A</t>
        </is>
      </c>
      <c r="C1204" t="inlineStr">
        <is>
          <t>— Entailment (Pers. 12-13)</t>
        </is>
      </c>
      <c r="D1204" s="3" t="inlineStr">
        <is>
          <t>Entailment = Σverdict(sᵢ)/m</t>
        </is>
      </c>
      <c r="E1204" s="3" t="inlineStr">
        <is>
          <t>6 klaim YA dari 6 klaim dievaluasi</t>
        </is>
      </c>
      <c r="F1204" t="n">
        <v>1</v>
      </c>
      <c r="G1204" s="3" t="inlineStr">
        <is>
          <t>verdict per klaim: sheet 'Entailment Detail'</t>
        </is>
      </c>
    </row>
    <row r="1205">
      <c r="A1205" t="n">
        <v>82</v>
      </c>
      <c r="B1205" t="inlineStr">
        <is>
          <t>A</t>
        </is>
      </c>
      <c r="C1205" t="inlineStr">
        <is>
          <t>— Keyword Overlap (Pers. 14)</t>
        </is>
      </c>
      <c r="D1205" s="3" t="inlineStr">
        <is>
          <t>KWoverlap = (|Stems(ans)∩Stems(ctx)| / |Stems(ctx)|)^0,65</t>
        </is>
      </c>
      <c r="E1205" s="3" t="inlineStr">
        <is>
          <t>KWoverlap = (|∩|/|ctx|)^0,65 = (30/273)^0,65 = 0.1099^0,65 = 0.2380</t>
        </is>
      </c>
      <c r="F1205" t="n">
        <v>0.238</v>
      </c>
      <c r="G1205" s="3" t="inlineStr"/>
    </row>
    <row r="1206">
      <c r="A1206" t="n">
        <v>82</v>
      </c>
      <c r="B1206" t="inlineStr">
        <is>
          <t>A</t>
        </is>
      </c>
      <c r="C1206" t="inlineStr">
        <is>
          <t>Hallucination Risk (Pers. 18)</t>
        </is>
      </c>
      <c r="D1206" s="3" t="inlineStr">
        <is>
          <t>Risk = 0,65×(1-F) + 0,20×Contradiction + 0,15×Uncertainty</t>
        </is>
      </c>
      <c r="E1206" s="3" t="inlineStr">
        <is>
          <t>Risk = 0,65×OutOfContext + 0,20×Contradiction + 0,15×Uncertainty = 0,65×0.2286 + 0,20×0.0000 + 0,15×0.00 = 0.1486 [RENDAH]</t>
        </is>
      </c>
      <c r="F1206" t="n">
        <v>0.1486</v>
      </c>
      <c r="G1206" s="3" t="inlineStr">
        <is>
          <t>label: RENDAH; kontradiksi 0/11 kalimat; uncertainty flag: False</t>
        </is>
      </c>
    </row>
    <row r="1207">
      <c r="A1207" t="n">
        <v>82</v>
      </c>
      <c r="B1207" t="inlineStr">
        <is>
          <t>A</t>
        </is>
      </c>
      <c r="C1207" t="inlineStr">
        <is>
          <t>Answer Accuracy (Pers. 20)</t>
        </is>
      </c>
      <c r="D1207" s="3" t="inlineStr">
        <is>
          <t>Correctᵢ ∈ {0,1} via LLM-as-Judge (HASIL: BENAR/SALAH)</t>
        </is>
      </c>
      <c r="E1207" s="3" t="inlineStr">
        <is>
          <t>JAWABAN: 
Ragam sistem menjawab pertanyaan dengan benar berdasarkan referensi, yaitu dengan menggunakan konsep pattern recognition untuk mengetahui Big-O dari kode tanpa menghitung detail. Sistem juga menjelaskan contoh-contoh yang sesuai dengan materi referensi, seperti perulangan bersarang (nested loop) dan percabangan.</t>
        </is>
      </c>
      <c r="F1207" t="inlineStr">
        <is>
          <t>BENAR</t>
        </is>
      </c>
      <c r="G1207" s="3" t="inlineStr">
        <is>
          <t>evaluator: ollama/llama3</t>
        </is>
      </c>
    </row>
    <row r="1208">
      <c r="A1208" t="n">
        <v>82</v>
      </c>
      <c r="B1208" t="inlineStr">
        <is>
          <t>B</t>
        </is>
      </c>
      <c r="C1208" t="inlineStr">
        <is>
          <t>Faithfulness (Pers. 15)</t>
        </is>
      </c>
      <c r="D1208" s="3" t="inlineStr">
        <is>
          <t>F = 0,70×Entailment + 0,30×KWoverlap</t>
        </is>
      </c>
      <c r="E1208" s="3" t="inlineStr">
        <is>
          <t>Faithfulness = 0,70×Entailment + 0,30×KWoverlap = 0,70×0.8333 + 0,30×0.2823 = 0.6680  (entailment: 5/6 klaim didukung; KWoverlap = (|∩|/|ctx|)^0,65 = (39/273)^0,65 = 0.1429^0,65 = 0.2823)</t>
        </is>
      </c>
      <c r="F1208" t="n">
        <v>0.668</v>
      </c>
      <c r="G1208" s="3" t="inlineStr">
        <is>
          <t>metode: llm_entailment + keyword</t>
        </is>
      </c>
    </row>
    <row r="1209">
      <c r="A1209" t="n">
        <v>82</v>
      </c>
      <c r="B1209" t="inlineStr">
        <is>
          <t>B</t>
        </is>
      </c>
      <c r="C1209" t="inlineStr">
        <is>
          <t>— Entailment (Pers. 12-13)</t>
        </is>
      </c>
      <c r="D1209" s="3" t="inlineStr">
        <is>
          <t>Entailment = Σverdict(sᵢ)/m</t>
        </is>
      </c>
      <c r="E1209" s="3" t="inlineStr">
        <is>
          <t>5 klaim YA dari 6 klaim dievaluasi</t>
        </is>
      </c>
      <c r="F1209" t="n">
        <v>0.8333</v>
      </c>
      <c r="G1209" s="3" t="inlineStr">
        <is>
          <t>verdict per klaim: sheet 'Entailment Detail'</t>
        </is>
      </c>
    </row>
    <row r="1210">
      <c r="A1210" t="n">
        <v>82</v>
      </c>
      <c r="B1210" t="inlineStr">
        <is>
          <t>B</t>
        </is>
      </c>
      <c r="C1210" t="inlineStr">
        <is>
          <t>— Keyword Overlap (Pers. 14)</t>
        </is>
      </c>
      <c r="D1210" s="3" t="inlineStr">
        <is>
          <t>KWoverlap = (|Stems(ans)∩Stems(ctx)| / |Stems(ctx)|)^0,65</t>
        </is>
      </c>
      <c r="E1210" s="3" t="inlineStr">
        <is>
          <t>KWoverlap = (|∩|/|ctx|)^0,65 = (39/273)^0,65 = 0.1429^0,65 = 0.2823</t>
        </is>
      </c>
      <c r="F1210" t="n">
        <v>0.2823</v>
      </c>
      <c r="G1210" s="3" t="inlineStr"/>
    </row>
    <row r="1211">
      <c r="A1211" t="n">
        <v>82</v>
      </c>
      <c r="B1211" t="inlineStr">
        <is>
          <t>B</t>
        </is>
      </c>
      <c r="C1211" t="inlineStr">
        <is>
          <t>Hallucination Risk (Pers. 18)</t>
        </is>
      </c>
      <c r="D1211" s="3" t="inlineStr">
        <is>
          <t>Risk = 0,65×(1-F) + 0,20×Contradiction + 0,15×Uncertainty</t>
        </is>
      </c>
      <c r="E1211" s="3" t="inlineStr">
        <is>
          <t>Risk = 0,65×OutOfContext + 0,20×Contradiction + 0,15×Uncertainty = 0,65×0.3320 + 0,20×0.0000 + 0,15×0.00 = 0.2158 [RENDAH]</t>
        </is>
      </c>
      <c r="F1211" t="n">
        <v>0.2158</v>
      </c>
      <c r="G1211" s="3" t="inlineStr">
        <is>
          <t>label: RENDAH; kontradiksi 0/21 kalimat; uncertainty flag: False</t>
        </is>
      </c>
    </row>
    <row r="1212">
      <c r="A1212" t="n">
        <v>82</v>
      </c>
      <c r="B1212" t="inlineStr">
        <is>
          <t>B</t>
        </is>
      </c>
      <c r="C1212" t="inlineStr">
        <is>
          <t>Answer Accuracy (Pers. 20)</t>
        </is>
      </c>
      <c r="D1212" s="3" t="inlineStr">
        <is>
          <t>Correctᵢ ∈ {0,1} via LLM-as-Judge (HASIL: BENAR/SALAH)</t>
        </is>
      </c>
      <c r="E1212" s="3" t="inlineStr">
        <is>
          <t>BENAR.
Jawaban sistem tersebut didasarkan pada referensi dari dokumen materi GT, yang menjelaskan tentang pattern recognition dalam teori kompleksitas. Sistem menjawab pertanyaan dengan benar, karena pola-pola kode yang diterangkan (looping dan recursive function) sesuai dengan konsep yang dibahas dalam referensi.</t>
        </is>
      </c>
      <c r="F1212" t="inlineStr">
        <is>
          <t>BENAR</t>
        </is>
      </c>
      <c r="G1212" s="3" t="inlineStr">
        <is>
          <t>evaluator: ollama/llama3</t>
        </is>
      </c>
    </row>
    <row r="1213">
      <c r="A1213" t="n">
        <v>83</v>
      </c>
      <c r="B1213" t="inlineStr">
        <is>
          <t>A</t>
        </is>
      </c>
      <c r="C1213" t="inlineStr">
        <is>
          <t>Precision@K (Pers. 2)</t>
        </is>
      </c>
      <c r="D1213" s="3" t="inlineStr">
        <is>
          <t>Precision@K = |{d ∈ TopK : sim(q,d) ≥ θ}| / K</t>
        </is>
      </c>
      <c r="E1213" s="3" t="inlineStr">
        <is>
          <t>skor = [0.7758, 0.7682, 0.7516, 0.7373, 0.7339, 0.7313] → 6 / 6</t>
        </is>
      </c>
      <c r="F1213" t="n">
        <v>1</v>
      </c>
      <c r="G1213" s="3" t="inlineStr">
        <is>
          <t>basis: skor chunk nyata (sesuai contoh Pers. 2 skripsi)</t>
        </is>
      </c>
    </row>
    <row r="1214">
      <c r="A1214" t="n">
        <v>83</v>
      </c>
      <c r="B1214" t="inlineStr">
        <is>
          <t>A</t>
        </is>
      </c>
      <c r="C1214" t="inlineStr">
        <is>
          <t>Recall@K (Pers. 4)</t>
        </is>
      </c>
      <c r="D1214" s="3" t="inlineStr">
        <is>
          <t>Recall@K = |{kata kunci ditemukan : sim ≥ θ}| / |R|</t>
        </is>
      </c>
      <c r="E1214" s="3" t="inlineStr">
        <is>
          <t>skor = [0.6966, 0.6424, 0.5357, 0.5276, 0.493, 0.4693] → 6 / 6</t>
        </is>
      </c>
      <c r="F1214" t="n">
        <v>1</v>
      </c>
      <c r="G1214" s="3" t="inlineStr"/>
    </row>
    <row r="1215">
      <c r="A1215" t="n">
        <v>83</v>
      </c>
      <c r="B1215" t="inlineStr">
        <is>
          <t>A</t>
        </is>
      </c>
      <c r="C1215" t="inlineStr">
        <is>
          <t>Mean Similarity (Pers. 6)</t>
        </is>
      </c>
      <c r="D1215" s="3" t="inlineStr">
        <is>
          <t>MeanSim = (1/K) × Σ sim(q, dᵢ)</t>
        </is>
      </c>
      <c r="E1215" s="3" t="inlineStr">
        <is>
          <t>skor = [0.7758, 0.7682, 0.7516, 0.7373, 0.7339, 0.7313] → (0.7758 + 0.7682 + 0.7516 + 0.7373 + 0.7339 + 0.7313) / 6</t>
        </is>
      </c>
      <c r="F1215" t="n">
        <v>0.7497</v>
      </c>
      <c r="G1215" s="3" t="inlineStr"/>
    </row>
    <row r="1216">
      <c r="A1216" t="n">
        <v>83</v>
      </c>
      <c r="B1216" t="inlineStr">
        <is>
          <t>A</t>
        </is>
      </c>
      <c r="C1216" t="inlineStr">
        <is>
          <t>Coverage (Pers. 8)</t>
        </is>
      </c>
      <c r="D1216" s="3" t="inlineStr">
        <is>
          <t>Coverage = |{dᵢ ∈ TopK : sim(q,dᵢ) ≥ θc}| / K</t>
        </is>
      </c>
      <c r="E1216" s="3" t="inlineStr">
        <is>
          <t>skor = [0.7758, 0.7682, 0.7516, 0.7373, 0.7339, 0.7313] → 6 / 6</t>
        </is>
      </c>
      <c r="F1216" t="n">
        <v>1</v>
      </c>
      <c r="G1216" s="3" t="inlineStr"/>
    </row>
    <row r="1217">
      <c r="A1217" t="n">
        <v>83</v>
      </c>
      <c r="B1217" t="inlineStr">
        <is>
          <t>A</t>
        </is>
      </c>
      <c r="C1217" t="inlineStr">
        <is>
          <t>Source Diversity (Pers. 10)</t>
        </is>
      </c>
      <c r="D1217" s="3" t="inlineStr">
        <is>
          <t>Diversity = |sumber unik dalam TopK| / K</t>
        </is>
      </c>
      <c r="E1217" s="3" t="inlineStr">
        <is>
          <t>skor = ['GT_CT04.txt', 'GT_DETAIL_PT01_Pendahuluan.txt', 'GT_DETAIL_PT04_Abstraksi.txt'] → 3 / 6</t>
        </is>
      </c>
      <c r="F1217" t="n">
        <v>0.5</v>
      </c>
      <c r="G1217" s="3" t="inlineStr">
        <is>
          <t>file unik: GT_CT04.txt, GT_DETAIL_PT01_Pendahuluan.txt, GT_DETAIL_PT04_Abstraksi.txt</t>
        </is>
      </c>
    </row>
    <row r="1218">
      <c r="A1218" t="n">
        <v>83</v>
      </c>
      <c r="B1218" t="inlineStr">
        <is>
          <t>A</t>
        </is>
      </c>
      <c r="C1218" t="inlineStr">
        <is>
          <t>Faithfulness (Pers. 15)</t>
        </is>
      </c>
      <c r="D1218" s="3" t="inlineStr">
        <is>
          <t>F = 0,70×Entailment + 0,30×KWoverlap</t>
        </is>
      </c>
      <c r="E1218" s="3" t="inlineStr">
        <is>
          <t>Faithfulness = 0,70×Entailment + 0,30×KWoverlap = 0,70×1.0000 + 0,30×0.3506 = 0.8052  (entailment: 6/6 klaim didukung; KWoverlap = (|∩|/|ctx|)^0,65 = (63/316)^0,65 = 0.1994^0,65 = 0.3506)</t>
        </is>
      </c>
      <c r="F1218" t="n">
        <v>0.8052</v>
      </c>
      <c r="G1218" s="3" t="inlineStr">
        <is>
          <t>metode: llm_entailment + keyword</t>
        </is>
      </c>
    </row>
    <row r="1219">
      <c r="A1219" t="n">
        <v>83</v>
      </c>
      <c r="B1219" t="inlineStr">
        <is>
          <t>A</t>
        </is>
      </c>
      <c r="C1219" t="inlineStr">
        <is>
          <t>— Entailment (Pers. 12-13)</t>
        </is>
      </c>
      <c r="D1219" s="3" t="inlineStr">
        <is>
          <t>Entailment = Σverdict(sᵢ)/m</t>
        </is>
      </c>
      <c r="E1219" s="3" t="inlineStr">
        <is>
          <t>6 klaim YA dari 6 klaim dievaluasi</t>
        </is>
      </c>
      <c r="F1219" t="n">
        <v>1</v>
      </c>
      <c r="G1219" s="3" t="inlineStr">
        <is>
          <t>verdict per klaim: sheet 'Entailment Detail'</t>
        </is>
      </c>
    </row>
    <row r="1220">
      <c r="A1220" t="n">
        <v>83</v>
      </c>
      <c r="B1220" t="inlineStr">
        <is>
          <t>A</t>
        </is>
      </c>
      <c r="C1220" t="inlineStr">
        <is>
          <t>— Keyword Overlap (Pers. 14)</t>
        </is>
      </c>
      <c r="D1220" s="3" t="inlineStr">
        <is>
          <t>KWoverlap = (|Stems(ans)∩Stems(ctx)| / |Stems(ctx)|)^0,65</t>
        </is>
      </c>
      <c r="E1220" s="3" t="inlineStr">
        <is>
          <t>KWoverlap = (|∩|/|ctx|)^0,65 = (63/316)^0,65 = 0.1994^0,65 = 0.3506</t>
        </is>
      </c>
      <c r="F1220" t="n">
        <v>0.3506</v>
      </c>
      <c r="G1220" s="3" t="inlineStr"/>
    </row>
    <row r="1221">
      <c r="A1221" t="n">
        <v>83</v>
      </c>
      <c r="B1221" t="inlineStr">
        <is>
          <t>A</t>
        </is>
      </c>
      <c r="C1221" t="inlineStr">
        <is>
          <t>Hallucination Risk (Pers. 18)</t>
        </is>
      </c>
      <c r="D1221" s="3" t="inlineStr">
        <is>
          <t>Risk = 0,65×(1-F) + 0,20×Contradiction + 0,15×Uncertainty</t>
        </is>
      </c>
      <c r="E1221" s="3" t="inlineStr">
        <is>
          <t>Risk = 0,65×OutOfContext + 0,20×Contradiction + 0,15×Uncertainty = 0,65×0.1948 + 0,20×0.0000 + 0,15×0.20 = 0.1566 [RENDAH]</t>
        </is>
      </c>
      <c r="F1221" t="n">
        <v>0.1566</v>
      </c>
      <c r="G1221" s="3" t="inlineStr">
        <is>
          <t>label: RENDAH; kontradiksi 0/10 kalimat; uncertainty flag: True</t>
        </is>
      </c>
    </row>
    <row r="1222">
      <c r="A1222" t="n">
        <v>83</v>
      </c>
      <c r="B1222" t="inlineStr">
        <is>
          <t>B</t>
        </is>
      </c>
      <c r="C1222" t="inlineStr">
        <is>
          <t>Faithfulness (Pers. 15)</t>
        </is>
      </c>
      <c r="D1222" s="3" t="inlineStr">
        <is>
          <t>F = 0,70×Entailment + 0,30×KWoverlap</t>
        </is>
      </c>
      <c r="E1222" s="3" t="inlineStr">
        <is>
          <t>Faithfulness = 0,70×Entailment + 0,30×KWoverlap = 0,70×0.6667 + 0,30×0.1717 = 0.5182  (entailment: 4/6 klaim didukung; KWoverlap = (|∩|/|ctx|)^0,65 = (21/316)^0,65 = 0.0665^0,65 = 0.1717)</t>
        </is>
      </c>
      <c r="F1222" t="n">
        <v>0.5182</v>
      </c>
      <c r="G1222" s="3" t="inlineStr">
        <is>
          <t>metode: llm_entailment + keyword</t>
        </is>
      </c>
    </row>
    <row r="1223">
      <c r="A1223" t="n">
        <v>83</v>
      </c>
      <c r="B1223" t="inlineStr">
        <is>
          <t>B</t>
        </is>
      </c>
      <c r="C1223" t="inlineStr">
        <is>
          <t>— Entailment (Pers. 12-13)</t>
        </is>
      </c>
      <c r="D1223" s="3" t="inlineStr">
        <is>
          <t>Entailment = Σverdict(sᵢ)/m</t>
        </is>
      </c>
      <c r="E1223" s="3" t="inlineStr">
        <is>
          <t>4 klaim YA dari 6 klaim dievaluasi</t>
        </is>
      </c>
      <c r="F1223" t="n">
        <v>0.6667</v>
      </c>
      <c r="G1223" s="3" t="inlineStr">
        <is>
          <t>verdict per klaim: sheet 'Entailment Detail'</t>
        </is>
      </c>
    </row>
    <row r="1224">
      <c r="A1224" t="n">
        <v>83</v>
      </c>
      <c r="B1224" t="inlineStr">
        <is>
          <t>B</t>
        </is>
      </c>
      <c r="C1224" t="inlineStr">
        <is>
          <t>— Keyword Overlap (Pers. 14)</t>
        </is>
      </c>
      <c r="D1224" s="3" t="inlineStr">
        <is>
          <t>KWoverlap = (|Stems(ans)∩Stems(ctx)| / |Stems(ctx)|)^0,65</t>
        </is>
      </c>
      <c r="E1224" s="3" t="inlineStr">
        <is>
          <t>KWoverlap = (|∩|/|ctx|)^0,65 = (21/316)^0,65 = 0.0665^0,65 = 0.1717</t>
        </is>
      </c>
      <c r="F1224" t="n">
        <v>0.1717</v>
      </c>
      <c r="G1224" s="3" t="inlineStr"/>
    </row>
    <row r="1225">
      <c r="A1225" t="n">
        <v>83</v>
      </c>
      <c r="B1225" t="inlineStr">
        <is>
          <t>B</t>
        </is>
      </c>
      <c r="C1225" t="inlineStr">
        <is>
          <t>Hallucination Risk (Pers. 18)</t>
        </is>
      </c>
      <c r="D1225" s="3" t="inlineStr">
        <is>
          <t>Risk = 0,65×(1-F) + 0,20×Contradiction + 0,15×Uncertainty</t>
        </is>
      </c>
      <c r="E1225" s="3" t="inlineStr">
        <is>
          <t>Risk = 0,65×OutOfContext + 0,20×Contradiction + 0,15×Uncertainty = 0,65×0.4818 + 0,20×0.0000 + 0,15×0.20 = 0.3432 [SEDANG]</t>
        </is>
      </c>
      <c r="F1225" t="n">
        <v>0.3432</v>
      </c>
      <c r="G1225" s="3" t="inlineStr">
        <is>
          <t>label: SEDANG; kontradiksi 0/10 kalimat; uncertainty flag: True</t>
        </is>
      </c>
    </row>
    <row r="1226">
      <c r="A1226" t="n">
        <v>83</v>
      </c>
      <c r="B1226" t="inlineStr">
        <is>
          <t>B</t>
        </is>
      </c>
      <c r="C1226" t="inlineStr">
        <is>
          <t>Answer Accuracy (Pers. 20)</t>
        </is>
      </c>
      <c r="D1226" s="3" t="inlineStr">
        <is>
          <t>Correctᵢ ∈ {0,1} via LLM-as-Judge (HASIL: BENAR/SALAH)</t>
        </is>
      </c>
      <c r="E1226" s="3" t="inlineStr"/>
      <c r="F1226" t="inlineStr">
        <is>
          <t>BENAR</t>
        </is>
      </c>
      <c r="G1226" s="3" t="inlineStr">
        <is>
          <t>evaluator: ollama/llama3</t>
        </is>
      </c>
    </row>
    <row r="1227">
      <c r="A1227" t="n">
        <v>84</v>
      </c>
      <c r="B1227" t="inlineStr">
        <is>
          <t>A</t>
        </is>
      </c>
      <c r="C1227" t="inlineStr">
        <is>
          <t>Precision@K (Pers. 2)</t>
        </is>
      </c>
      <c r="D1227" s="3" t="inlineStr">
        <is>
          <t>Precision@K = |{d ∈ TopK : sim(q,d) ≥ θ}| / K</t>
        </is>
      </c>
      <c r="E1227" s="3" t="inlineStr">
        <is>
          <t>skor = [0.7351, 0.7274, 0.7252, 0.7251, 0.7224, 0.7215] → 6 / 6</t>
        </is>
      </c>
      <c r="F1227" t="n">
        <v>1</v>
      </c>
      <c r="G1227" s="3" t="inlineStr">
        <is>
          <t>basis: skor chunk nyata (sesuai contoh Pers. 2 skripsi)</t>
        </is>
      </c>
    </row>
    <row r="1228">
      <c r="A1228" t="n">
        <v>84</v>
      </c>
      <c r="B1228" t="inlineStr">
        <is>
          <t>A</t>
        </is>
      </c>
      <c r="C1228" t="inlineStr">
        <is>
          <t>Recall@K (Pers. 4)</t>
        </is>
      </c>
      <c r="D1228" s="3" t="inlineStr">
        <is>
          <t>Recall@K = |{kata kunci ditemukan : sim ≥ θ}| / |R|</t>
        </is>
      </c>
      <c r="E1228" s="3" t="inlineStr">
        <is>
          <t>skor = [0.5779, 0.5205, 0.5205, 0.4751, 0.4067, 0.3746] → 6 / 6</t>
        </is>
      </c>
      <c r="F1228" t="n">
        <v>1</v>
      </c>
      <c r="G1228" s="3" t="inlineStr"/>
    </row>
    <row r="1229">
      <c r="A1229" t="n">
        <v>84</v>
      </c>
      <c r="B1229" t="inlineStr">
        <is>
          <t>A</t>
        </is>
      </c>
      <c r="C1229" t="inlineStr">
        <is>
          <t>Mean Similarity (Pers. 6)</t>
        </is>
      </c>
      <c r="D1229" s="3" t="inlineStr">
        <is>
          <t>MeanSim = (1/K) × Σ sim(q, dᵢ)</t>
        </is>
      </c>
      <c r="E1229" s="3" t="inlineStr">
        <is>
          <t>skor = [0.7351, 0.7274, 0.7252, 0.7251, 0.7224, 0.7215] → (0.7351 + 0.7274 + 0.7252 + 0.7251 + 0.7224 + 0.7215) / 6</t>
        </is>
      </c>
      <c r="F1229" t="n">
        <v>0.7261</v>
      </c>
      <c r="G1229" s="3" t="inlineStr"/>
    </row>
    <row r="1230">
      <c r="A1230" t="n">
        <v>84</v>
      </c>
      <c r="B1230" t="inlineStr">
        <is>
          <t>A</t>
        </is>
      </c>
      <c r="C1230" t="inlineStr">
        <is>
          <t>Coverage (Pers. 8)</t>
        </is>
      </c>
      <c r="D1230" s="3" t="inlineStr">
        <is>
          <t>Coverage = |{dᵢ ∈ TopK : sim(q,dᵢ) ≥ θc}| / K</t>
        </is>
      </c>
      <c r="E1230" s="3" t="inlineStr">
        <is>
          <t>skor = [0.7351, 0.7274, 0.7252, 0.7251, 0.7224, 0.7215] → 6 / 6</t>
        </is>
      </c>
      <c r="F1230" t="n">
        <v>1</v>
      </c>
      <c r="G1230" s="3" t="inlineStr"/>
    </row>
    <row r="1231">
      <c r="A1231" t="n">
        <v>84</v>
      </c>
      <c r="B1231" t="inlineStr">
        <is>
          <t>A</t>
        </is>
      </c>
      <c r="C1231" t="inlineStr">
        <is>
          <t>Source Diversity (Pers. 10)</t>
        </is>
      </c>
      <c r="D1231" s="3" t="inlineStr">
        <is>
          <t>Diversity = |sumber unik dalam TopK| / K</t>
        </is>
      </c>
      <c r="E1231" s="3" t="inlineStr">
        <is>
          <t>skor = ['GT_CT03.txt', 'GT_CT05.txt', 'GT_CT07.txt', 'GT_CT13.txt', 'GT_DETAIL_PT09_Variabel_TipeData_Operator_List.txt', 'GT_SUBTOPIK_02_Abstraksi_Formulasi.txt'] → 6 / 6</t>
        </is>
      </c>
      <c r="F1231" t="n">
        <v>1</v>
      </c>
      <c r="G1231" s="3" t="inlineStr">
        <is>
          <t>file unik: GT_CT03.txt, GT_CT05.txt, GT_CT07.txt, GT_CT13.txt, GT_DETAIL_PT09_Variabel_TipeData_Operator_List.txt, GT_SUBTOPIK_02_Abstraksi_Formulasi.txt</t>
        </is>
      </c>
    </row>
    <row r="1232">
      <c r="A1232" t="n">
        <v>84</v>
      </c>
      <c r="B1232" t="inlineStr">
        <is>
          <t>A</t>
        </is>
      </c>
      <c r="C1232" t="inlineStr">
        <is>
          <t>Faithfulness (Pers. 15)</t>
        </is>
      </c>
      <c r="D1232" s="3" t="inlineStr">
        <is>
          <t>F = 0,70×Entailment + 0,30×KWoverlap</t>
        </is>
      </c>
      <c r="E1232" s="3" t="inlineStr">
        <is>
          <t>Faithfulness = 0,70×Entailment + 0,30×KWoverlap = 0,70×0.6667 + 0,30×0.2259 = 0.5345  (entailment: 4/6 klaim didukung; KWoverlap = (|∩|/|ctx|)^0,65 = (29/286)^0,65 = 0.1014^0,65 = 0.2259)</t>
        </is>
      </c>
      <c r="F1232" t="n">
        <v>0.5345</v>
      </c>
      <c r="G1232" s="3" t="inlineStr">
        <is>
          <t>metode: llm_entailment + keyword</t>
        </is>
      </c>
    </row>
    <row r="1233">
      <c r="A1233" t="n">
        <v>84</v>
      </c>
      <c r="B1233" t="inlineStr">
        <is>
          <t>A</t>
        </is>
      </c>
      <c r="C1233" t="inlineStr">
        <is>
          <t>— Entailment (Pers. 12-13)</t>
        </is>
      </c>
      <c r="D1233" s="3" t="inlineStr">
        <is>
          <t>Entailment = Σverdict(sᵢ)/m</t>
        </is>
      </c>
      <c r="E1233" s="3" t="inlineStr">
        <is>
          <t>4 klaim YA dari 6 klaim dievaluasi</t>
        </is>
      </c>
      <c r="F1233" t="n">
        <v>0.6667</v>
      </c>
      <c r="G1233" s="3" t="inlineStr">
        <is>
          <t>verdict per klaim: sheet 'Entailment Detail'</t>
        </is>
      </c>
    </row>
    <row r="1234">
      <c r="A1234" t="n">
        <v>84</v>
      </c>
      <c r="B1234" t="inlineStr">
        <is>
          <t>A</t>
        </is>
      </c>
      <c r="C1234" t="inlineStr">
        <is>
          <t>— Keyword Overlap (Pers. 14)</t>
        </is>
      </c>
      <c r="D1234" s="3" t="inlineStr">
        <is>
          <t>KWoverlap = (|Stems(ans)∩Stems(ctx)| / |Stems(ctx)|)^0,65</t>
        </is>
      </c>
      <c r="E1234" s="3" t="inlineStr">
        <is>
          <t>KWoverlap = (|∩|/|ctx|)^0,65 = (29/286)^0,65 = 0.1014^0,65 = 0.2259</t>
        </is>
      </c>
      <c r="F1234" t="n">
        <v>0.2259</v>
      </c>
      <c r="G1234" s="3" t="inlineStr"/>
    </row>
    <row r="1235">
      <c r="A1235" t="n">
        <v>84</v>
      </c>
      <c r="B1235" t="inlineStr">
        <is>
          <t>A</t>
        </is>
      </c>
      <c r="C1235" t="inlineStr">
        <is>
          <t>Hallucination Risk (Pers. 18)</t>
        </is>
      </c>
      <c r="D1235" s="3" t="inlineStr">
        <is>
          <t>Risk = 0,65×(1-F) + 0,20×Contradiction + 0,15×Uncertainty</t>
        </is>
      </c>
      <c r="E1235" s="3" t="inlineStr">
        <is>
          <t>Risk = 0,65×OutOfContext + 0,20×Contradiction + 0,15×Uncertainty = 0,65×0.4655 + 0,20×0.0000 + 0,15×0.00 = 0.3026 [RENDAH]</t>
        </is>
      </c>
      <c r="F1235" t="n">
        <v>0.3026</v>
      </c>
      <c r="G1235" s="3" t="inlineStr">
        <is>
          <t>label: RENDAH; kontradiksi 0/14 kalimat; uncertainty flag: False</t>
        </is>
      </c>
    </row>
    <row r="1236">
      <c r="A1236" t="n">
        <v>84</v>
      </c>
      <c r="B1236" t="inlineStr">
        <is>
          <t>A</t>
        </is>
      </c>
      <c r="C1236" t="inlineStr">
        <is>
          <t>Answer Accuracy (Pers. 20)</t>
        </is>
      </c>
      <c r="D1236" s="3" t="inlineStr">
        <is>
          <t>Correctᵢ ∈ {0,1} via LLM-as-Judge (HASIL: BENAR/SALAH)</t>
        </is>
      </c>
      <c r="E1236" s="3" t="inlineStr">
        <is>
          <t>Jawaban sistem:</t>
        </is>
      </c>
      <c r="F1236" t="inlineStr">
        <is>
          <t>BENAR</t>
        </is>
      </c>
      <c r="G1236" s="3" t="inlineStr">
        <is>
          <t>evaluator: ollama/llama3</t>
        </is>
      </c>
    </row>
    <row r="1237">
      <c r="A1237" t="n">
        <v>84</v>
      </c>
      <c r="B1237" t="inlineStr">
        <is>
          <t>B</t>
        </is>
      </c>
      <c r="C1237" t="inlineStr">
        <is>
          <t>Faithfulness (Pers. 15)</t>
        </is>
      </c>
      <c r="D1237" s="3" t="inlineStr">
        <is>
          <t>F = 0,70×Entailment + 0,30×KWoverlap</t>
        </is>
      </c>
      <c r="E1237" s="3" t="inlineStr">
        <is>
          <t>Faithfulness = 0,70×Entailment + 0,30×KWoverlap = 0,70×0.8333 + 0,30×0.2051 = 0.6448  (entailment: 5/6 klaim didukung; KWoverlap = (|∩|/|ctx|)^0,65 = (25/286)^0,65 = 0.0874^0,65 = 0.2051)</t>
        </is>
      </c>
      <c r="F1237" t="n">
        <v>0.6448</v>
      </c>
      <c r="G1237" s="3" t="inlineStr">
        <is>
          <t>metode: llm_entailment + keyword</t>
        </is>
      </c>
    </row>
    <row r="1238">
      <c r="A1238" t="n">
        <v>84</v>
      </c>
      <c r="B1238" t="inlineStr">
        <is>
          <t>B</t>
        </is>
      </c>
      <c r="C1238" t="inlineStr">
        <is>
          <t>— Entailment (Pers. 12-13)</t>
        </is>
      </c>
      <c r="D1238" s="3" t="inlineStr">
        <is>
          <t>Entailment = Σverdict(sᵢ)/m</t>
        </is>
      </c>
      <c r="E1238" s="3" t="inlineStr">
        <is>
          <t>5 klaim YA dari 6 klaim dievaluasi</t>
        </is>
      </c>
      <c r="F1238" t="n">
        <v>0.8333</v>
      </c>
      <c r="G1238" s="3" t="inlineStr">
        <is>
          <t>verdict per klaim: sheet 'Entailment Detail'</t>
        </is>
      </c>
    </row>
    <row r="1239">
      <c r="A1239" t="n">
        <v>84</v>
      </c>
      <c r="B1239" t="inlineStr">
        <is>
          <t>B</t>
        </is>
      </c>
      <c r="C1239" t="inlineStr">
        <is>
          <t>— Keyword Overlap (Pers. 14)</t>
        </is>
      </c>
      <c r="D1239" s="3" t="inlineStr">
        <is>
          <t>KWoverlap = (|Stems(ans)∩Stems(ctx)| / |Stems(ctx)|)^0,65</t>
        </is>
      </c>
      <c r="E1239" s="3" t="inlineStr">
        <is>
          <t>KWoverlap = (|∩|/|ctx|)^0,65 = (25/286)^0,65 = 0.0874^0,65 = 0.2051</t>
        </is>
      </c>
      <c r="F1239" t="n">
        <v>0.2051</v>
      </c>
      <c r="G1239" s="3" t="inlineStr"/>
    </row>
    <row r="1240">
      <c r="A1240" t="n">
        <v>84</v>
      </c>
      <c r="B1240" t="inlineStr">
        <is>
          <t>B</t>
        </is>
      </c>
      <c r="C1240" t="inlineStr">
        <is>
          <t>Hallucination Risk (Pers. 18)</t>
        </is>
      </c>
      <c r="D1240" s="3" t="inlineStr">
        <is>
          <t>Risk = 0,65×(1-F) + 0,20×Contradiction + 0,15×Uncertainty</t>
        </is>
      </c>
      <c r="E1240" s="3" t="inlineStr">
        <is>
          <t>Risk = 0,65×OutOfContext + 0,20×Contradiction + 0,15×Uncertainty = 0,65×0.3552 + 0,20×0.0000 + 0,15×0.00 = 0.2309 [RENDAH]</t>
        </is>
      </c>
      <c r="F1240" t="n">
        <v>0.2309</v>
      </c>
      <c r="G1240" s="3" t="inlineStr">
        <is>
          <t>label: RENDAH; kontradiksi 0/17 kalimat; uncertainty flag: False</t>
        </is>
      </c>
    </row>
    <row r="1241">
      <c r="A1241" t="n">
        <v>84</v>
      </c>
      <c r="B1241" t="inlineStr">
        <is>
          <t>B</t>
        </is>
      </c>
      <c r="C1241" t="inlineStr">
        <is>
          <t>Answer Accuracy (Pers. 20)</t>
        </is>
      </c>
      <c r="D1241" s="3" t="inlineStr">
        <is>
          <t>Correctᵢ ∈ {0,1} via LLM-as-Judge (HASIL: BENAR/SALAH)</t>
        </is>
      </c>
      <c r="E1241" s="3" t="inlineStr">
        <is>
          <t>BENAR</t>
        </is>
      </c>
      <c r="F1241" t="inlineStr">
        <is>
          <t>BENAR</t>
        </is>
      </c>
      <c r="G1241" s="3" t="inlineStr">
        <is>
          <t>evaluator: ollama/llama3</t>
        </is>
      </c>
    </row>
    <row r="1242">
      <c r="A1242" t="n">
        <v>85</v>
      </c>
      <c r="B1242" t="inlineStr">
        <is>
          <t>A</t>
        </is>
      </c>
      <c r="C1242" t="inlineStr">
        <is>
          <t>Precision@K (Pers. 2)</t>
        </is>
      </c>
      <c r="D1242" s="3" t="inlineStr">
        <is>
          <t>Precision@K = |{d ∈ TopK : sim(q,d) ≥ θ}| / K</t>
        </is>
      </c>
      <c r="E1242" s="3" t="inlineStr">
        <is>
          <t>skor = [0.7291, 0.7245, 0.7231, 0.7189, 0.7149, 0.7135] → 6 / 6</t>
        </is>
      </c>
      <c r="F1242" t="n">
        <v>1</v>
      </c>
      <c r="G1242" s="3" t="inlineStr">
        <is>
          <t>basis: skor chunk nyata (sesuai contoh Pers. 2 skripsi)</t>
        </is>
      </c>
    </row>
    <row r="1243">
      <c r="A1243" t="n">
        <v>85</v>
      </c>
      <c r="B1243" t="inlineStr">
        <is>
          <t>A</t>
        </is>
      </c>
      <c r="C1243" t="inlineStr">
        <is>
          <t>Recall@K (Pers. 4)</t>
        </is>
      </c>
      <c r="D1243" s="3" t="inlineStr">
        <is>
          <t>Recall@K = |{kata kunci ditemukan : sim ≥ θ}| / |R|</t>
        </is>
      </c>
      <c r="E1243" s="3" t="inlineStr">
        <is>
          <t>skor = [0.7364, 0.5827, 0.558, 0.4618, 0.4494, 0.4275] → 6 / 6</t>
        </is>
      </c>
      <c r="F1243" t="n">
        <v>1</v>
      </c>
      <c r="G1243" s="3" t="inlineStr"/>
    </row>
    <row r="1244">
      <c r="A1244" t="n">
        <v>85</v>
      </c>
      <c r="B1244" t="inlineStr">
        <is>
          <t>A</t>
        </is>
      </c>
      <c r="C1244" t="inlineStr">
        <is>
          <t>Mean Similarity (Pers. 6)</t>
        </is>
      </c>
      <c r="D1244" s="3" t="inlineStr">
        <is>
          <t>MeanSim = (1/K) × Σ sim(q, dᵢ)</t>
        </is>
      </c>
      <c r="E1244" s="3" t="inlineStr">
        <is>
          <t>skor = [0.7291, 0.7245, 0.7231, 0.7189, 0.7149, 0.7135] → (0.7291 + 0.7245 + 0.7231 + 0.7189 + 0.7149 + 0.7135) / 6</t>
        </is>
      </c>
      <c r="F1244" t="n">
        <v>0.7207</v>
      </c>
      <c r="G1244" s="3" t="inlineStr"/>
    </row>
    <row r="1245">
      <c r="A1245" t="n">
        <v>85</v>
      </c>
      <c r="B1245" t="inlineStr">
        <is>
          <t>A</t>
        </is>
      </c>
      <c r="C1245" t="inlineStr">
        <is>
          <t>Coverage (Pers. 8)</t>
        </is>
      </c>
      <c r="D1245" s="3" t="inlineStr">
        <is>
          <t>Coverage = |{dᵢ ∈ TopK : sim(q,dᵢ) ≥ θc}| / K</t>
        </is>
      </c>
      <c r="E1245" s="3" t="inlineStr">
        <is>
          <t>skor = [0.7291, 0.7245, 0.7231, 0.7189, 0.7149, 0.7135] → 6 / 6</t>
        </is>
      </c>
      <c r="F1245" t="n">
        <v>1</v>
      </c>
      <c r="G1245" s="3" t="inlineStr"/>
    </row>
    <row r="1246">
      <c r="A1246" t="n">
        <v>85</v>
      </c>
      <c r="B1246" t="inlineStr">
        <is>
          <t>A</t>
        </is>
      </c>
      <c r="C1246" t="inlineStr">
        <is>
          <t>Source Diversity (Pers. 10)</t>
        </is>
      </c>
      <c r="D1246" s="3" t="inlineStr">
        <is>
          <t>Diversity = |sumber unik dalam TopK| / K</t>
        </is>
      </c>
      <c r="E1246" s="3" t="inlineStr">
        <is>
          <t>skor = ['GT_CT11.txt', 'GT_CT12.txt', 'GT_DETAIL_PT07_Notasi_Algoritme.txt', 'GT_DETAIL_PT11_Perulangan.txt'] → 4 / 6</t>
        </is>
      </c>
      <c r="F1246" t="n">
        <v>0.6667</v>
      </c>
      <c r="G1246" s="3" t="inlineStr">
        <is>
          <t>file unik: GT_CT11.txt, GT_CT12.txt, GT_DETAIL_PT07_Notasi_Algoritme.txt, GT_DETAIL_PT11_Perulangan.txt</t>
        </is>
      </c>
    </row>
    <row r="1247">
      <c r="A1247" t="n">
        <v>85</v>
      </c>
      <c r="B1247" t="inlineStr">
        <is>
          <t>A</t>
        </is>
      </c>
      <c r="C1247" t="inlineStr">
        <is>
          <t>Faithfulness (Pers. 15)</t>
        </is>
      </c>
      <c r="D1247" s="3" t="inlineStr">
        <is>
          <t>F = 0,70×Entailment + 0,30×KWoverlap</t>
        </is>
      </c>
      <c r="E1247" s="3" t="inlineStr">
        <is>
          <t>Faithfulness = 0,70×Entailment + 0,30×KWoverlap = 0,70×0.8333 + 0,30×0.2823 = 0.6680  (entailment: 5/6 klaim didukung; KWoverlap = (|∩|/|ctx|)^0,65 = (33/231)^0,65 = 0.1429^0,65 = 0.2823)</t>
        </is>
      </c>
      <c r="F1247" t="n">
        <v>0.668</v>
      </c>
      <c r="G1247" s="3" t="inlineStr">
        <is>
          <t>metode: llm_entailment + keyword</t>
        </is>
      </c>
    </row>
    <row r="1248">
      <c r="A1248" t="n">
        <v>85</v>
      </c>
      <c r="B1248" t="inlineStr">
        <is>
          <t>A</t>
        </is>
      </c>
      <c r="C1248" t="inlineStr">
        <is>
          <t>— Entailment (Pers. 12-13)</t>
        </is>
      </c>
      <c r="D1248" s="3" t="inlineStr">
        <is>
          <t>Entailment = Σverdict(sᵢ)/m</t>
        </is>
      </c>
      <c r="E1248" s="3" t="inlineStr">
        <is>
          <t>5 klaim YA dari 6 klaim dievaluasi</t>
        </is>
      </c>
      <c r="F1248" t="n">
        <v>0.8333</v>
      </c>
      <c r="G1248" s="3" t="inlineStr">
        <is>
          <t>verdict per klaim: sheet 'Entailment Detail'</t>
        </is>
      </c>
    </row>
    <row r="1249">
      <c r="A1249" t="n">
        <v>85</v>
      </c>
      <c r="B1249" t="inlineStr">
        <is>
          <t>A</t>
        </is>
      </c>
      <c r="C1249" t="inlineStr">
        <is>
          <t>— Keyword Overlap (Pers. 14)</t>
        </is>
      </c>
      <c r="D1249" s="3" t="inlineStr">
        <is>
          <t>KWoverlap = (|Stems(ans)∩Stems(ctx)| / |Stems(ctx)|)^0,65</t>
        </is>
      </c>
      <c r="E1249" s="3" t="inlineStr">
        <is>
          <t>KWoverlap = (|∩|/|ctx|)^0,65 = (33/231)^0,65 = 0.1429^0,65 = 0.2823</t>
        </is>
      </c>
      <c r="F1249" t="n">
        <v>0.2823</v>
      </c>
      <c r="G1249" s="3" t="inlineStr"/>
    </row>
    <row r="1250">
      <c r="A1250" t="n">
        <v>85</v>
      </c>
      <c r="B1250" t="inlineStr">
        <is>
          <t>A</t>
        </is>
      </c>
      <c r="C1250" t="inlineStr">
        <is>
          <t>Hallucination Risk (Pers. 18)</t>
        </is>
      </c>
      <c r="D1250" s="3" t="inlineStr">
        <is>
          <t>Risk = 0,65×(1-F) + 0,20×Contradiction + 0,15×Uncertainty</t>
        </is>
      </c>
      <c r="E1250" s="3" t="inlineStr">
        <is>
          <t>Risk = 0,65×OutOfContext + 0,20×Contradiction + 0,15×Uncertainty = 0,65×0.3320 + 0,20×0.0000 + 0,15×0.00 = 0.2158 [RENDAH]</t>
        </is>
      </c>
      <c r="F1250" t="n">
        <v>0.2158</v>
      </c>
      <c r="G1250" s="3" t="inlineStr">
        <is>
          <t>label: RENDAH; kontradiksi 0/18 kalimat; uncertainty flag: False</t>
        </is>
      </c>
    </row>
    <row r="1251">
      <c r="A1251" t="n">
        <v>85</v>
      </c>
      <c r="B1251" t="inlineStr">
        <is>
          <t>A</t>
        </is>
      </c>
      <c r="C1251" t="inlineStr">
        <is>
          <t>Answer Accuracy (Pers. 20)</t>
        </is>
      </c>
      <c r="D1251" s="3" t="inlineStr">
        <is>
          <t>Correctᵢ ∈ {0,1} via LLM-as-Judge (HASIL: BENAR/SALAH)</t>
        </is>
      </c>
      <c r="E1251" s="3" t="inlineStr">
        <is>
          <t>Jawaban sistem: BENAR</t>
        </is>
      </c>
      <c r="F1251" t="inlineStr">
        <is>
          <t>BENAR</t>
        </is>
      </c>
      <c r="G1251" s="3" t="inlineStr">
        <is>
          <t>evaluator: ollama/llama3</t>
        </is>
      </c>
    </row>
    <row r="1252">
      <c r="A1252" t="n">
        <v>85</v>
      </c>
      <c r="B1252" t="inlineStr">
        <is>
          <t>B</t>
        </is>
      </c>
      <c r="C1252" t="inlineStr">
        <is>
          <t>Faithfulness (Pers. 15)</t>
        </is>
      </c>
      <c r="D1252" s="3" t="inlineStr">
        <is>
          <t>F = 0,70×Entailment + 0,30×KWoverlap</t>
        </is>
      </c>
      <c r="E1252" s="3" t="inlineStr">
        <is>
          <t>Faithfulness = 0,70×Entailment + 0,30×KWoverlap = 0,70×0.8333 + 0,30×0.2878 = 0.6697  (entailment: 5/6 klaim didukung; KWoverlap = (|∩|/|ctx|)^0,65 = (34/231)^0,65 = 0.1472^0,65 = 0.2878)</t>
        </is>
      </c>
      <c r="F1252" t="n">
        <v>0.6697</v>
      </c>
      <c r="G1252" s="3" t="inlineStr">
        <is>
          <t>metode: llm_entailment + keyword</t>
        </is>
      </c>
    </row>
    <row r="1253">
      <c r="A1253" t="n">
        <v>85</v>
      </c>
      <c r="B1253" t="inlineStr">
        <is>
          <t>B</t>
        </is>
      </c>
      <c r="C1253" t="inlineStr">
        <is>
          <t>— Entailment (Pers. 12-13)</t>
        </is>
      </c>
      <c r="D1253" s="3" t="inlineStr">
        <is>
          <t>Entailment = Σverdict(sᵢ)/m</t>
        </is>
      </c>
      <c r="E1253" s="3" t="inlineStr">
        <is>
          <t>5 klaim YA dari 6 klaim dievaluasi</t>
        </is>
      </c>
      <c r="F1253" t="n">
        <v>0.8333</v>
      </c>
      <c r="G1253" s="3" t="inlineStr">
        <is>
          <t>verdict per klaim: sheet 'Entailment Detail'</t>
        </is>
      </c>
    </row>
    <row r="1254">
      <c r="A1254" t="n">
        <v>85</v>
      </c>
      <c r="B1254" t="inlineStr">
        <is>
          <t>B</t>
        </is>
      </c>
      <c r="C1254" t="inlineStr">
        <is>
          <t>— Keyword Overlap (Pers. 14)</t>
        </is>
      </c>
      <c r="D1254" s="3" t="inlineStr">
        <is>
          <t>KWoverlap = (|Stems(ans)∩Stems(ctx)| / |Stems(ctx)|)^0,65</t>
        </is>
      </c>
      <c r="E1254" s="3" t="inlineStr">
        <is>
          <t>KWoverlap = (|∩|/|ctx|)^0,65 = (34/231)^0,65 = 0.1472^0,65 = 0.2878</t>
        </is>
      </c>
      <c r="F1254" t="n">
        <v>0.2878</v>
      </c>
      <c r="G1254" s="3" t="inlineStr"/>
    </row>
    <row r="1255">
      <c r="A1255" t="n">
        <v>85</v>
      </c>
      <c r="B1255" t="inlineStr">
        <is>
          <t>B</t>
        </is>
      </c>
      <c r="C1255" t="inlineStr">
        <is>
          <t>Hallucination Risk (Pers. 18)</t>
        </is>
      </c>
      <c r="D1255" s="3" t="inlineStr">
        <is>
          <t>Risk = 0,65×(1-F) + 0,20×Contradiction + 0,15×Uncertainty</t>
        </is>
      </c>
      <c r="E1255" s="3" t="inlineStr">
        <is>
          <t>Risk = 0,65×OutOfContext + 0,20×Contradiction + 0,15×Uncertainty = 0,65×0.3303 + 0,20×0.0000 + 0,15×0.00 = 0.2147 [RENDAH]</t>
        </is>
      </c>
      <c r="F1255" t="n">
        <v>0.2147</v>
      </c>
      <c r="G1255" s="3" t="inlineStr">
        <is>
          <t>label: RENDAH; kontradiksi 0/40 kalimat; uncertainty flag: False</t>
        </is>
      </c>
    </row>
    <row r="1256">
      <c r="A1256" t="n">
        <v>85</v>
      </c>
      <c r="B1256" t="inlineStr">
        <is>
          <t>B</t>
        </is>
      </c>
      <c r="C1256" t="inlineStr">
        <is>
          <t>Answer Accuracy (Pers. 20)</t>
        </is>
      </c>
      <c r="D1256" s="3" t="inlineStr">
        <is>
          <t>Correctᵢ ∈ {0,1} via LLM-as-Judge (HASIL: BENAR/SALAH)</t>
        </is>
      </c>
      <c r="E1256" s="3" t="inlineStr">
        <is>
          <t>BENAR</t>
        </is>
      </c>
      <c r="F1256" t="inlineStr">
        <is>
          <t>BENAR</t>
        </is>
      </c>
      <c r="G1256" s="3" t="inlineStr">
        <is>
          <t>evaluator: ollama/llama3</t>
        </is>
      </c>
    </row>
    <row r="1257">
      <c r="A1257" t="n">
        <v>86</v>
      </c>
      <c r="B1257" t="inlineStr">
        <is>
          <t>A</t>
        </is>
      </c>
      <c r="C1257" t="inlineStr">
        <is>
          <t>Precision@K (Pers. 2)</t>
        </is>
      </c>
      <c r="D1257" s="3" t="inlineStr">
        <is>
          <t>Precision@K = |{d ∈ TopK : sim(q,d) ≥ θ}| / K</t>
        </is>
      </c>
      <c r="E1257" s="3" t="inlineStr">
        <is>
          <t>skor = [0.709, 0.6875, 0.6849, 0.6797, 0.67, 0.668] → 6 / 6</t>
        </is>
      </c>
      <c r="F1257" t="n">
        <v>1</v>
      </c>
      <c r="G1257" s="3" t="inlineStr">
        <is>
          <t>basis: skor chunk nyata (sesuai contoh Pers. 2 skripsi)</t>
        </is>
      </c>
    </row>
    <row r="1258">
      <c r="A1258" t="n">
        <v>86</v>
      </c>
      <c r="B1258" t="inlineStr">
        <is>
          <t>A</t>
        </is>
      </c>
      <c r="C1258" t="inlineStr">
        <is>
          <t>Recall@K (Pers. 4)</t>
        </is>
      </c>
      <c r="D1258" s="3" t="inlineStr">
        <is>
          <t>Recall@K = |{kata kunci ditemukan : sim ≥ θ}| / |R|</t>
        </is>
      </c>
      <c r="E1258" s="3" t="inlineStr">
        <is>
          <t>skor = [0.7634, 0.5339, 0.4956, 0.4696, 0.4292, 0.4274] → 6 / 6</t>
        </is>
      </c>
      <c r="F1258" t="n">
        <v>1</v>
      </c>
      <c r="G1258" s="3" t="inlineStr"/>
    </row>
    <row r="1259">
      <c r="A1259" t="n">
        <v>86</v>
      </c>
      <c r="B1259" t="inlineStr">
        <is>
          <t>A</t>
        </is>
      </c>
      <c r="C1259" t="inlineStr">
        <is>
          <t>Mean Similarity (Pers. 6)</t>
        </is>
      </c>
      <c r="D1259" s="3" t="inlineStr">
        <is>
          <t>MeanSim = (1/K) × Σ sim(q, dᵢ)</t>
        </is>
      </c>
      <c r="E1259" s="3" t="inlineStr">
        <is>
          <t>skor = [0.709, 0.6875, 0.6849, 0.6797, 0.67, 0.668] → (0.7090 + 0.6875 + 0.6849 + 0.6797 + 0.6700 + 0.6680) / 6</t>
        </is>
      </c>
      <c r="F1259" t="n">
        <v>0.6832</v>
      </c>
      <c r="G1259" s="3" t="inlineStr"/>
    </row>
    <row r="1260">
      <c r="A1260" t="n">
        <v>86</v>
      </c>
      <c r="B1260" t="inlineStr">
        <is>
          <t>A</t>
        </is>
      </c>
      <c r="C1260" t="inlineStr">
        <is>
          <t>Coverage (Pers. 8)</t>
        </is>
      </c>
      <c r="D1260" s="3" t="inlineStr">
        <is>
          <t>Coverage = |{dᵢ ∈ TopK : sim(q,dᵢ) ≥ θc}| / K</t>
        </is>
      </c>
      <c r="E1260" s="3" t="inlineStr">
        <is>
          <t>skor = [0.709, 0.6875, 0.6849, 0.6797, 0.67, 0.668] → 6 / 6</t>
        </is>
      </c>
      <c r="F1260" t="n">
        <v>1</v>
      </c>
      <c r="G1260" s="3" t="inlineStr"/>
    </row>
    <row r="1261">
      <c r="A1261" t="n">
        <v>86</v>
      </c>
      <c r="B1261" t="inlineStr">
        <is>
          <t>A</t>
        </is>
      </c>
      <c r="C1261" t="inlineStr">
        <is>
          <t>Source Diversity (Pers. 10)</t>
        </is>
      </c>
      <c r="D1261" s="3" t="inlineStr">
        <is>
          <t>Diversity = |sumber unik dalam TopK| / K</t>
        </is>
      </c>
      <c r="E1261" s="3" t="inlineStr">
        <is>
          <t>skor = ['GT_CT01.txt', 'GT_CT07.txt', 'GT_CT11.txt', 'GT_DETAIL_PT07_Notasi_Algoritme.txt', 'GT_DETAIL_PT12_Fungsi.txt', 'GT_SUBTOPIK_02_Abstraksi_Formulasi.txt'] → 6 / 6</t>
        </is>
      </c>
      <c r="F1261" t="n">
        <v>1</v>
      </c>
      <c r="G1261" s="3" t="inlineStr">
        <is>
          <t>file unik: GT_CT01.txt, GT_CT07.txt, GT_CT11.txt, GT_DETAIL_PT07_Notasi_Algoritme.txt, GT_DETAIL_PT12_Fungsi.txt, GT_SUBTOPIK_02_Abstraksi_Formulasi.txt</t>
        </is>
      </c>
    </row>
    <row r="1262">
      <c r="A1262" t="n">
        <v>86</v>
      </c>
      <c r="B1262" t="inlineStr">
        <is>
          <t>A</t>
        </is>
      </c>
      <c r="C1262" t="inlineStr">
        <is>
          <t>Faithfulness (Pers. 15)</t>
        </is>
      </c>
      <c r="D1262" s="3" t="inlineStr">
        <is>
          <t>F = 0,70×Entailment + 0,30×KWoverlap</t>
        </is>
      </c>
      <c r="E1262" s="3" t="inlineStr">
        <is>
          <t>Faithfulness = 0,70×Entailment + 0,30×KWoverlap = 0,70×1.0000 + 0,30×0.2540 = 0.7762  (entailment: 6/6 klaim didukung; KWoverlap = (|∩|/|ctx|)^0,65 = (34/280)^0,65 = 0.1214^0,65 = 0.2540)</t>
        </is>
      </c>
      <c r="F1262" t="n">
        <v>0.7762</v>
      </c>
      <c r="G1262" s="3" t="inlineStr">
        <is>
          <t>metode: llm_entailment + keyword</t>
        </is>
      </c>
    </row>
    <row r="1263">
      <c r="A1263" t="n">
        <v>86</v>
      </c>
      <c r="B1263" t="inlineStr">
        <is>
          <t>A</t>
        </is>
      </c>
      <c r="C1263" t="inlineStr">
        <is>
          <t>— Entailment (Pers. 12-13)</t>
        </is>
      </c>
      <c r="D1263" s="3" t="inlineStr">
        <is>
          <t>Entailment = Σverdict(sᵢ)/m</t>
        </is>
      </c>
      <c r="E1263" s="3" t="inlineStr">
        <is>
          <t>6 klaim YA dari 6 klaim dievaluasi</t>
        </is>
      </c>
      <c r="F1263" t="n">
        <v>1</v>
      </c>
      <c r="G1263" s="3" t="inlineStr">
        <is>
          <t>verdict per klaim: sheet 'Entailment Detail'</t>
        </is>
      </c>
    </row>
    <row r="1264">
      <c r="A1264" t="n">
        <v>86</v>
      </c>
      <c r="B1264" t="inlineStr">
        <is>
          <t>A</t>
        </is>
      </c>
      <c r="C1264" t="inlineStr">
        <is>
          <t>— Keyword Overlap (Pers. 14)</t>
        </is>
      </c>
      <c r="D1264" s="3" t="inlineStr">
        <is>
          <t>KWoverlap = (|Stems(ans)∩Stems(ctx)| / |Stems(ctx)|)^0,65</t>
        </is>
      </c>
      <c r="E1264" s="3" t="inlineStr">
        <is>
          <t>KWoverlap = (|∩|/|ctx|)^0,65 = (34/280)^0,65 = 0.1214^0,65 = 0.2540</t>
        </is>
      </c>
      <c r="F1264" t="n">
        <v>0.254</v>
      </c>
      <c r="G1264" s="3" t="inlineStr"/>
    </row>
    <row r="1265">
      <c r="A1265" t="n">
        <v>86</v>
      </c>
      <c r="B1265" t="inlineStr">
        <is>
          <t>A</t>
        </is>
      </c>
      <c r="C1265" t="inlineStr">
        <is>
          <t>Hallucination Risk (Pers. 18)</t>
        </is>
      </c>
      <c r="D1265" s="3" t="inlineStr">
        <is>
          <t>Risk = 0,65×(1-F) + 0,20×Contradiction + 0,15×Uncertainty</t>
        </is>
      </c>
      <c r="E1265" s="3" t="inlineStr">
        <is>
          <t>Risk = 0,65×OutOfContext + 0,20×Contradiction + 0,15×Uncertainty = 0,65×0.2238 + 0,20×0.0000 + 0,15×0.00 = 0.1455 [RENDAH]</t>
        </is>
      </c>
      <c r="F1265" t="n">
        <v>0.1455</v>
      </c>
      <c r="G1265" s="3" t="inlineStr">
        <is>
          <t>label: RENDAH; kontradiksi 0/17 kalimat; uncertainty flag: False</t>
        </is>
      </c>
    </row>
    <row r="1266">
      <c r="A1266" t="n">
        <v>86</v>
      </c>
      <c r="B1266" t="inlineStr">
        <is>
          <t>A</t>
        </is>
      </c>
      <c r="C1266" t="inlineStr">
        <is>
          <t>Answer Accuracy (Pers. 20)</t>
        </is>
      </c>
      <c r="D1266" s="3" t="inlineStr">
        <is>
          <t>Correctᵢ ∈ {0,1} via LLM-as-Judge (HASIL: BENAR/SALAH)</t>
        </is>
      </c>
      <c r="E1266" s="3" t="inlineStr">
        <is>
          <t>BENAR</t>
        </is>
      </c>
      <c r="F1266" t="inlineStr">
        <is>
          <t>BENAR</t>
        </is>
      </c>
      <c r="G1266" s="3" t="inlineStr">
        <is>
          <t>evaluator: ollama/llama3</t>
        </is>
      </c>
    </row>
    <row r="1267">
      <c r="A1267" t="n">
        <v>86</v>
      </c>
      <c r="B1267" t="inlineStr">
        <is>
          <t>B</t>
        </is>
      </c>
      <c r="C1267" t="inlineStr">
        <is>
          <t>Faithfulness (Pers. 15)</t>
        </is>
      </c>
      <c r="D1267" s="3" t="inlineStr">
        <is>
          <t>F = 0,70×Entailment + 0,30×KWoverlap</t>
        </is>
      </c>
      <c r="E1267" s="3" t="inlineStr">
        <is>
          <t>Faithfulness = 0,70×Entailment + 0,30×KWoverlap = 0,70×0.8333 + 0,30×0.2290 = 0.6520  (entailment: 5/6 klaim didukung; KWoverlap = (|∩|/|ctx|)^0,65 = (29/280)^0,65 = 0.1036^0,65 = 0.2290)</t>
        </is>
      </c>
      <c r="F1267" t="n">
        <v>0.652</v>
      </c>
      <c r="G1267" s="3" t="inlineStr">
        <is>
          <t>metode: llm_entailment + keyword</t>
        </is>
      </c>
    </row>
    <row r="1268">
      <c r="A1268" t="n">
        <v>86</v>
      </c>
      <c r="B1268" t="inlineStr">
        <is>
          <t>B</t>
        </is>
      </c>
      <c r="C1268" t="inlineStr">
        <is>
          <t>— Entailment (Pers. 12-13)</t>
        </is>
      </c>
      <c r="D1268" s="3" t="inlineStr">
        <is>
          <t>Entailment = Σverdict(sᵢ)/m</t>
        </is>
      </c>
      <c r="E1268" s="3" t="inlineStr">
        <is>
          <t>5 klaim YA dari 6 klaim dievaluasi</t>
        </is>
      </c>
      <c r="F1268" t="n">
        <v>0.8333</v>
      </c>
      <c r="G1268" s="3" t="inlineStr">
        <is>
          <t>verdict per klaim: sheet 'Entailment Detail'</t>
        </is>
      </c>
    </row>
    <row r="1269">
      <c r="A1269" t="n">
        <v>86</v>
      </c>
      <c r="B1269" t="inlineStr">
        <is>
          <t>B</t>
        </is>
      </c>
      <c r="C1269" t="inlineStr">
        <is>
          <t>— Keyword Overlap (Pers. 14)</t>
        </is>
      </c>
      <c r="D1269" s="3" t="inlineStr">
        <is>
          <t>KWoverlap = (|Stems(ans)∩Stems(ctx)| / |Stems(ctx)|)^0,65</t>
        </is>
      </c>
      <c r="E1269" s="3" t="inlineStr">
        <is>
          <t>KWoverlap = (|∩|/|ctx|)^0,65 = (29/280)^0,65 = 0.1036^0,65 = 0.2290</t>
        </is>
      </c>
      <c r="F1269" t="n">
        <v>0.229</v>
      </c>
      <c r="G1269" s="3" t="inlineStr"/>
    </row>
    <row r="1270">
      <c r="A1270" t="n">
        <v>86</v>
      </c>
      <c r="B1270" t="inlineStr">
        <is>
          <t>B</t>
        </is>
      </c>
      <c r="C1270" t="inlineStr">
        <is>
          <t>Hallucination Risk (Pers. 18)</t>
        </is>
      </c>
      <c r="D1270" s="3" t="inlineStr">
        <is>
          <t>Risk = 0,65×(1-F) + 0,20×Contradiction + 0,15×Uncertainty</t>
        </is>
      </c>
      <c r="E1270" s="3" t="inlineStr">
        <is>
          <t>Risk = 0,65×OutOfContext + 0,20×Contradiction + 0,15×Uncertainty = 0,65×0.3480 + 0,20×0.0000 + 0,15×0.00 = 0.2262 [RENDAH]</t>
        </is>
      </c>
      <c r="F1270" t="n">
        <v>0.2262</v>
      </c>
      <c r="G1270" s="3" t="inlineStr">
        <is>
          <t>label: RENDAH; kontradiksi 0/36 kalimat; uncertainty flag: False</t>
        </is>
      </c>
    </row>
    <row r="1271">
      <c r="A1271" t="n">
        <v>86</v>
      </c>
      <c r="B1271" t="inlineStr">
        <is>
          <t>B</t>
        </is>
      </c>
      <c r="C1271" t="inlineStr">
        <is>
          <t>Answer Accuracy (Pers. 20)</t>
        </is>
      </c>
      <c r="D1271" s="3" t="inlineStr">
        <is>
          <t>Correctᵢ ∈ {0,1} via LLM-as-Judge (HASIL: BENAR/SALAH)</t>
        </is>
      </c>
      <c r="E1271" s="3" t="inlineStr">
        <is>
          <t>BENAR
Jawaban sistem menjawab pertanyaan dengan benar berdasarkan referensi (L 8 — Desain Fungsi Lengkap). Sistem memberikan beberapa tips untuk mengoptimasi pengecekan bilangan prima, seperti hanya perlu cek bilangan prima sampai akar(n), yang sesuai dengan konsep utama dalam referensi.</t>
        </is>
      </c>
      <c r="F1271" t="inlineStr">
        <is>
          <t>BENAR</t>
        </is>
      </c>
      <c r="G1271" s="3" t="inlineStr">
        <is>
          <t>evaluator: ollama/llama3</t>
        </is>
      </c>
    </row>
    <row r="1272">
      <c r="A1272" t="n">
        <v>87</v>
      </c>
      <c r="B1272" t="inlineStr">
        <is>
          <t>A</t>
        </is>
      </c>
      <c r="C1272" t="inlineStr">
        <is>
          <t>Precision@K (Pers. 2)</t>
        </is>
      </c>
      <c r="D1272" s="3" t="inlineStr">
        <is>
          <t>Precision@K = |{d ∈ TopK : sim(q,d) ≥ θ}| / K</t>
        </is>
      </c>
      <c r="E1272" s="3" t="inlineStr">
        <is>
          <t>skor = [0.802, 0.7966, 0.7949, 0.7888, 0.7861, 0.7836] → 6 / 6</t>
        </is>
      </c>
      <c r="F1272" t="n">
        <v>1</v>
      </c>
      <c r="G1272" s="3" t="inlineStr">
        <is>
          <t>basis: skor chunk nyata (sesuai contoh Pers. 2 skripsi)</t>
        </is>
      </c>
    </row>
    <row r="1273">
      <c r="A1273" t="n">
        <v>87</v>
      </c>
      <c r="B1273" t="inlineStr">
        <is>
          <t>A</t>
        </is>
      </c>
      <c r="C1273" t="inlineStr">
        <is>
          <t>Recall@K (Pers. 4)</t>
        </is>
      </c>
      <c r="D1273" s="3" t="inlineStr">
        <is>
          <t>Recall@K = |{kata kunci ditemukan : sim ≥ θ}| / |R|</t>
        </is>
      </c>
      <c r="E1273" s="3" t="inlineStr">
        <is>
          <t>skor = [0.701, 0.6629, 0.5776, 0.5007, 0.4849, 0.4701] → 6 / 6</t>
        </is>
      </c>
      <c r="F1273" t="n">
        <v>1</v>
      </c>
      <c r="G1273" s="3" t="inlineStr"/>
    </row>
    <row r="1274">
      <c r="A1274" t="n">
        <v>87</v>
      </c>
      <c r="B1274" t="inlineStr">
        <is>
          <t>A</t>
        </is>
      </c>
      <c r="C1274" t="inlineStr">
        <is>
          <t>Mean Similarity (Pers. 6)</t>
        </is>
      </c>
      <c r="D1274" s="3" t="inlineStr">
        <is>
          <t>MeanSim = (1/K) × Σ sim(q, dᵢ)</t>
        </is>
      </c>
      <c r="E1274" s="3" t="inlineStr">
        <is>
          <t>skor = [0.802, 0.7966, 0.7949, 0.7888, 0.7861, 0.7836] → (0.8020 + 0.7966 + 0.7949 + 0.7888 + 0.7861 + 0.7836) / 6</t>
        </is>
      </c>
      <c r="F1274" t="n">
        <v>0.792</v>
      </c>
      <c r="G1274" s="3" t="inlineStr"/>
    </row>
    <row r="1275">
      <c r="A1275" t="n">
        <v>87</v>
      </c>
      <c r="B1275" t="inlineStr">
        <is>
          <t>A</t>
        </is>
      </c>
      <c r="C1275" t="inlineStr">
        <is>
          <t>Coverage (Pers. 8)</t>
        </is>
      </c>
      <c r="D1275" s="3" t="inlineStr">
        <is>
          <t>Coverage = |{dᵢ ∈ TopK : sim(q,dᵢ) ≥ θc}| / K</t>
        </is>
      </c>
      <c r="E1275" s="3" t="inlineStr">
        <is>
          <t>skor = [0.802, 0.7966, 0.7949, 0.7888, 0.7861, 0.7836] → 6 / 6</t>
        </is>
      </c>
      <c r="F1275" t="n">
        <v>1</v>
      </c>
      <c r="G1275" s="3" t="inlineStr"/>
    </row>
    <row r="1276">
      <c r="A1276" t="n">
        <v>87</v>
      </c>
      <c r="B1276" t="inlineStr">
        <is>
          <t>A</t>
        </is>
      </c>
      <c r="C1276" t="inlineStr">
        <is>
          <t>Source Diversity (Pers. 10)</t>
        </is>
      </c>
      <c r="D1276" s="3" t="inlineStr">
        <is>
          <t>Diversity = |sumber unik dalam TopK| / K</t>
        </is>
      </c>
      <c r="E1276" s="3" t="inlineStr">
        <is>
          <t>skor = ['GT_CT07.txt', 'GT_DETAIL_PT07_Notasi_Algoritme.txt', 'GT_DETAIL_PT10_Percabangan.txt', 'GT_SUBTOPIK_04_Modulo_Siklus.txt', 'GT_SUBTOPIK_05_Pseudocode_Algoritme.txt', 'GT_SUBTOPIK_08_Perulangan_For_While.txt'] → 6 / 6</t>
        </is>
      </c>
      <c r="F1276" t="n">
        <v>1</v>
      </c>
      <c r="G1276" s="3" t="inlineStr">
        <is>
          <t>file unik: GT_CT07.txt, GT_DETAIL_PT07_Notasi_Algoritme.txt, GT_DETAIL_PT10_Percabangan.txt, GT_SUBTOPIK_04_Modulo_Siklus.txt, GT_SUBTOPIK_05_Pseudocode_Algoritme.txt, GT_SUBTOPIK_08_Perulangan_For_While.txt</t>
        </is>
      </c>
    </row>
    <row r="1277">
      <c r="A1277" t="n">
        <v>87</v>
      </c>
      <c r="B1277" t="inlineStr">
        <is>
          <t>A</t>
        </is>
      </c>
      <c r="C1277" t="inlineStr">
        <is>
          <t>Faithfulness (Pers. 15)</t>
        </is>
      </c>
      <c r="D1277" s="3" t="inlineStr">
        <is>
          <t>F = 0,70×Entailment + 0,30×KWoverlap</t>
        </is>
      </c>
      <c r="E1277" s="3" t="inlineStr">
        <is>
          <t>Faithfulness = 0,70×Entailment + 0,30×KWoverlap = 0,70×1.0000 + 0,30×0.2192 = 0.7657  (entailment: 6/6 klaim didukung; KWoverlap = (|∩|/|ctx|)^0,65 = (18/186)^0,65 = 0.0968^0,65 = 0.2192)</t>
        </is>
      </c>
      <c r="F1277" t="n">
        <v>0.7657</v>
      </c>
      <c r="G1277" s="3" t="inlineStr">
        <is>
          <t>metode: llm_entailment + keyword</t>
        </is>
      </c>
    </row>
    <row r="1278">
      <c r="A1278" t="n">
        <v>87</v>
      </c>
      <c r="B1278" t="inlineStr">
        <is>
          <t>A</t>
        </is>
      </c>
      <c r="C1278" t="inlineStr">
        <is>
          <t>— Entailment (Pers. 12-13)</t>
        </is>
      </c>
      <c r="D1278" s="3" t="inlineStr">
        <is>
          <t>Entailment = Σverdict(sᵢ)/m</t>
        </is>
      </c>
      <c r="E1278" s="3" t="inlineStr">
        <is>
          <t>6 klaim YA dari 6 klaim dievaluasi</t>
        </is>
      </c>
      <c r="F1278" t="n">
        <v>1</v>
      </c>
      <c r="G1278" s="3" t="inlineStr">
        <is>
          <t>verdict per klaim: sheet 'Entailment Detail'</t>
        </is>
      </c>
    </row>
    <row r="1279">
      <c r="A1279" t="n">
        <v>87</v>
      </c>
      <c r="B1279" t="inlineStr">
        <is>
          <t>A</t>
        </is>
      </c>
      <c r="C1279" t="inlineStr">
        <is>
          <t>— Keyword Overlap (Pers. 14)</t>
        </is>
      </c>
      <c r="D1279" s="3" t="inlineStr">
        <is>
          <t>KWoverlap = (|Stems(ans)∩Stems(ctx)| / |Stems(ctx)|)^0,65</t>
        </is>
      </c>
      <c r="E1279" s="3" t="inlineStr">
        <is>
          <t>KWoverlap = (|∩|/|ctx|)^0,65 = (18/186)^0,65 = 0.0968^0,65 = 0.2192</t>
        </is>
      </c>
      <c r="F1279" t="n">
        <v>0.2192</v>
      </c>
      <c r="G1279" s="3" t="inlineStr"/>
    </row>
    <row r="1280">
      <c r="A1280" t="n">
        <v>87</v>
      </c>
      <c r="B1280" t="inlineStr">
        <is>
          <t>A</t>
        </is>
      </c>
      <c r="C1280" t="inlineStr">
        <is>
          <t>Hallucination Risk (Pers. 18)</t>
        </is>
      </c>
      <c r="D1280" s="3" t="inlineStr">
        <is>
          <t>Risk = 0,65×(1-F) + 0,20×Contradiction + 0,15×Uncertainty</t>
        </is>
      </c>
      <c r="E1280" s="3" t="inlineStr">
        <is>
          <t>Risk = 0,65×OutOfContext + 0,20×Contradiction + 0,15×Uncertainty = 0,65×0.2343 + 0,20×0.0000 + 0,15×0.00 = 0.1523 [RENDAH]</t>
        </is>
      </c>
      <c r="F1280" t="n">
        <v>0.1523</v>
      </c>
      <c r="G1280" s="3" t="inlineStr">
        <is>
          <t>label: RENDAH; kontradiksi 0/10 kalimat; uncertainty flag: False</t>
        </is>
      </c>
    </row>
    <row r="1281">
      <c r="A1281" t="n">
        <v>87</v>
      </c>
      <c r="B1281" t="inlineStr">
        <is>
          <t>B</t>
        </is>
      </c>
      <c r="C1281" t="inlineStr">
        <is>
          <t>Faithfulness (Pers. 15)</t>
        </is>
      </c>
      <c r="D1281" s="3" t="inlineStr">
        <is>
          <t>F = 0,70×Entailment + 0,30×KWoverlap</t>
        </is>
      </c>
      <c r="E1281" s="3" t="inlineStr">
        <is>
          <t>Faithfulness = 0,70×Entailment + 0,30×KWoverlap = 0,70×1.0000 + 0,30×0.2422 = 0.7727  (entailment: 6/6 klaim didukung; KWoverlap = (|∩|/|ctx|)^0,65 = (21/186)^0,65 = 0.1129^0,65 = 0.2422)</t>
        </is>
      </c>
      <c r="F1281" t="n">
        <v>0.7727000000000001</v>
      </c>
      <c r="G1281" s="3" t="inlineStr">
        <is>
          <t>metode: llm_entailment + keyword</t>
        </is>
      </c>
    </row>
    <row r="1282">
      <c r="A1282" t="n">
        <v>87</v>
      </c>
      <c r="B1282" t="inlineStr">
        <is>
          <t>B</t>
        </is>
      </c>
      <c r="C1282" t="inlineStr">
        <is>
          <t>— Entailment (Pers. 12-13)</t>
        </is>
      </c>
      <c r="D1282" s="3" t="inlineStr">
        <is>
          <t>Entailment = Σverdict(sᵢ)/m</t>
        </is>
      </c>
      <c r="E1282" s="3" t="inlineStr">
        <is>
          <t>6 klaim YA dari 6 klaim dievaluasi</t>
        </is>
      </c>
      <c r="F1282" t="n">
        <v>1</v>
      </c>
      <c r="G1282" s="3" t="inlineStr">
        <is>
          <t>verdict per klaim: sheet 'Entailment Detail'</t>
        </is>
      </c>
    </row>
    <row r="1283">
      <c r="A1283" t="n">
        <v>87</v>
      </c>
      <c r="B1283" t="inlineStr">
        <is>
          <t>B</t>
        </is>
      </c>
      <c r="C1283" t="inlineStr">
        <is>
          <t>— Keyword Overlap (Pers. 14)</t>
        </is>
      </c>
      <c r="D1283" s="3" t="inlineStr">
        <is>
          <t>KWoverlap = (|Stems(ans)∩Stems(ctx)| / |Stems(ctx)|)^0,65</t>
        </is>
      </c>
      <c r="E1283" s="3" t="inlineStr">
        <is>
          <t>KWoverlap = (|∩|/|ctx|)^0,65 = (21/186)^0,65 = 0.1129^0,65 = 0.2422</t>
        </is>
      </c>
      <c r="F1283" t="n">
        <v>0.2422</v>
      </c>
      <c r="G1283" s="3" t="inlineStr"/>
    </row>
    <row r="1284">
      <c r="A1284" t="n">
        <v>87</v>
      </c>
      <c r="B1284" t="inlineStr">
        <is>
          <t>B</t>
        </is>
      </c>
      <c r="C1284" t="inlineStr">
        <is>
          <t>Hallucination Risk (Pers. 18)</t>
        </is>
      </c>
      <c r="D1284" s="3" t="inlineStr">
        <is>
          <t>Risk = 0,65×(1-F) + 0,20×Contradiction + 0,15×Uncertainty</t>
        </is>
      </c>
      <c r="E1284" s="3" t="inlineStr">
        <is>
          <t>Risk = 0,65×OutOfContext + 0,20×Contradiction + 0,15×Uncertainty = 0,65×0.2273 + 0,20×0.0000 + 0,15×0.00 = 0.1477 [RENDAH]</t>
        </is>
      </c>
      <c r="F1284" t="n">
        <v>0.1477</v>
      </c>
      <c r="G1284" s="3" t="inlineStr">
        <is>
          <t>label: RENDAH; kontradiksi 0/20 kalimat; uncertainty flag: False</t>
        </is>
      </c>
    </row>
    <row r="1285">
      <c r="A1285" t="n">
        <v>87</v>
      </c>
      <c r="B1285" t="inlineStr">
        <is>
          <t>B</t>
        </is>
      </c>
      <c r="C1285" t="inlineStr">
        <is>
          <t>Answer Accuracy (Pers. 20)</t>
        </is>
      </c>
      <c r="D1285" s="3" t="inlineStr">
        <is>
          <t>Correctᵢ ∈ {0,1} via LLM-as-Judge (HASIL: BENAR/SALAH)</t>
        </is>
      </c>
      <c r="E1285" s="3" t="inlineStr">
        <is>
          <t>BENAR
Karena jawaban sistem telah menjelaskan pseudocode untuk menghitung jumlah digit bilangan 98765 tanpa mengubahnya menjadi string, yang sesuai dengan referensi dan pertanyaan asli. Pseudocode-nya juga menggunakan operasi aritmatika sebagai diperlukan.</t>
        </is>
      </c>
      <c r="F1285" t="inlineStr">
        <is>
          <t>BENAR</t>
        </is>
      </c>
      <c r="G1285" s="3" t="inlineStr">
        <is>
          <t>evaluator: ollama/llama3</t>
        </is>
      </c>
    </row>
    <row r="1286">
      <c r="A1286" t="n">
        <v>88</v>
      </c>
      <c r="B1286" t="inlineStr">
        <is>
          <t>A</t>
        </is>
      </c>
      <c r="C1286" t="inlineStr">
        <is>
          <t>Precision@K (Pers. 2)</t>
        </is>
      </c>
      <c r="D1286" s="3" t="inlineStr">
        <is>
          <t>Precision@K = |{d ∈ TopK : sim(q,d) ≥ θ}| / K</t>
        </is>
      </c>
      <c r="E1286" s="3" t="inlineStr">
        <is>
          <t>skor = [0.7033, 0.6991, 0.6949, 0.6935, 0.6872, 0.6836] → 6 / 6</t>
        </is>
      </c>
      <c r="F1286" t="n">
        <v>1</v>
      </c>
      <c r="G1286" s="3" t="inlineStr">
        <is>
          <t>basis: skor chunk nyata (sesuai contoh Pers. 2 skripsi)</t>
        </is>
      </c>
    </row>
    <row r="1287">
      <c r="A1287" t="n">
        <v>88</v>
      </c>
      <c r="B1287" t="inlineStr">
        <is>
          <t>A</t>
        </is>
      </c>
      <c r="C1287" t="inlineStr">
        <is>
          <t>Recall@K (Pers. 4)</t>
        </is>
      </c>
      <c r="D1287" s="3" t="inlineStr">
        <is>
          <t>Recall@K = |{kata kunci ditemukan : sim ≥ θ}| / |R|</t>
        </is>
      </c>
      <c r="E1287" s="3" t="inlineStr">
        <is>
          <t>skor = [0.5563, 0.5563, 0.4891, 0.4414, 0.4061, 0.3779] → 6 / 6</t>
        </is>
      </c>
      <c r="F1287" t="n">
        <v>1</v>
      </c>
      <c r="G1287" s="3" t="inlineStr"/>
    </row>
    <row r="1288">
      <c r="A1288" t="n">
        <v>88</v>
      </c>
      <c r="B1288" t="inlineStr">
        <is>
          <t>A</t>
        </is>
      </c>
      <c r="C1288" t="inlineStr">
        <is>
          <t>Mean Similarity (Pers. 6)</t>
        </is>
      </c>
      <c r="D1288" s="3" t="inlineStr">
        <is>
          <t>MeanSim = (1/K) × Σ sim(q, dᵢ)</t>
        </is>
      </c>
      <c r="E1288" s="3" t="inlineStr">
        <is>
          <t>skor = [0.7033, 0.6991, 0.6949, 0.6935, 0.6872, 0.6836] → (0.7033 + 0.6991 + 0.6949 + 0.6935 + 0.6872 + 0.6836) / 6</t>
        </is>
      </c>
      <c r="F1288" t="n">
        <v>0.6936</v>
      </c>
      <c r="G1288" s="3" t="inlineStr"/>
    </row>
    <row r="1289">
      <c r="A1289" t="n">
        <v>88</v>
      </c>
      <c r="B1289" t="inlineStr">
        <is>
          <t>A</t>
        </is>
      </c>
      <c r="C1289" t="inlineStr">
        <is>
          <t>Coverage (Pers. 8)</t>
        </is>
      </c>
      <c r="D1289" s="3" t="inlineStr">
        <is>
          <t>Coverage = |{dᵢ ∈ TopK : sim(q,dᵢ) ≥ θc}| / K</t>
        </is>
      </c>
      <c r="E1289" s="3" t="inlineStr">
        <is>
          <t>skor = [0.7033, 0.6991, 0.6949, 0.6935, 0.6872, 0.6836] → 6 / 6</t>
        </is>
      </c>
      <c r="F1289" t="n">
        <v>1</v>
      </c>
      <c r="G1289" s="3" t="inlineStr"/>
    </row>
    <row r="1290">
      <c r="A1290" t="n">
        <v>88</v>
      </c>
      <c r="B1290" t="inlineStr">
        <is>
          <t>A</t>
        </is>
      </c>
      <c r="C1290" t="inlineStr">
        <is>
          <t>Source Diversity (Pers. 10)</t>
        </is>
      </c>
      <c r="D1290" s="3" t="inlineStr">
        <is>
          <t>Diversity = |sumber unik dalam TopK| / K</t>
        </is>
      </c>
      <c r="E1290" s="3" t="inlineStr">
        <is>
          <t>skor = ['GT_CT07.txt', 'GT_CT09.txt', 'GT_CT11.txt', 'GT_CT13.txt', 'GT_DETAIL_PT04_Abstraksi.txt', 'GT_DETAIL_PT09_Variabel_TipeData_Operator_List.txt'] → 6 / 6</t>
        </is>
      </c>
      <c r="F1290" t="n">
        <v>1</v>
      </c>
      <c r="G1290" s="3" t="inlineStr">
        <is>
          <t>file unik: GT_CT07.txt, GT_CT09.txt, GT_CT11.txt, GT_CT13.txt, GT_DETAIL_PT04_Abstraksi.txt, GT_DETAIL_PT09_Variabel_TipeData_Operator_List.txt</t>
        </is>
      </c>
    </row>
    <row r="1291">
      <c r="A1291" t="n">
        <v>88</v>
      </c>
      <c r="B1291" t="inlineStr">
        <is>
          <t>A</t>
        </is>
      </c>
      <c r="C1291" t="inlineStr">
        <is>
          <t>Faithfulness (Pers. 15)</t>
        </is>
      </c>
      <c r="D1291" s="3" t="inlineStr">
        <is>
          <t>F = 0,70×Entailment + 0,30×KWoverlap</t>
        </is>
      </c>
      <c r="E1291" s="3" t="inlineStr">
        <is>
          <t>Faithfulness = 0,70×Entailment + 0,30×KWoverlap = 0,70×0.5000 + 0,30×0.1984 = 0.4095  (entailment: 3/6 klaim didukung; KWoverlap = (|∩|/|ctx|)^0,65 = (24/289)^0,65 = 0.0830^0,65 = 0.1984)</t>
        </is>
      </c>
      <c r="F1291" t="n">
        <v>0.4095</v>
      </c>
      <c r="G1291" s="3" t="inlineStr">
        <is>
          <t>metode: llm_entailment + keyword</t>
        </is>
      </c>
    </row>
    <row r="1292">
      <c r="A1292" t="n">
        <v>88</v>
      </c>
      <c r="B1292" t="inlineStr">
        <is>
          <t>A</t>
        </is>
      </c>
      <c r="C1292" t="inlineStr">
        <is>
          <t>— Entailment (Pers. 12-13)</t>
        </is>
      </c>
      <c r="D1292" s="3" t="inlineStr">
        <is>
          <t>Entailment = Σverdict(sᵢ)/m</t>
        </is>
      </c>
      <c r="E1292" s="3" t="inlineStr">
        <is>
          <t>3 klaim YA dari 6 klaim dievaluasi</t>
        </is>
      </c>
      <c r="F1292" t="n">
        <v>0.5</v>
      </c>
      <c r="G1292" s="3" t="inlineStr">
        <is>
          <t>verdict per klaim: sheet 'Entailment Detail'</t>
        </is>
      </c>
    </row>
    <row r="1293">
      <c r="A1293" t="n">
        <v>88</v>
      </c>
      <c r="B1293" t="inlineStr">
        <is>
          <t>A</t>
        </is>
      </c>
      <c r="C1293" t="inlineStr">
        <is>
          <t>— Keyword Overlap (Pers. 14)</t>
        </is>
      </c>
      <c r="D1293" s="3" t="inlineStr">
        <is>
          <t>KWoverlap = (|Stems(ans)∩Stems(ctx)| / |Stems(ctx)|)^0,65</t>
        </is>
      </c>
      <c r="E1293" s="3" t="inlineStr">
        <is>
          <t>KWoverlap = (|∩|/|ctx|)^0,65 = (24/289)^0,65 = 0.0830^0,65 = 0.1984</t>
        </is>
      </c>
      <c r="F1293" t="n">
        <v>0.1984</v>
      </c>
      <c r="G1293" s="3" t="inlineStr"/>
    </row>
    <row r="1294">
      <c r="A1294" t="n">
        <v>88</v>
      </c>
      <c r="B1294" t="inlineStr">
        <is>
          <t>A</t>
        </is>
      </c>
      <c r="C1294" t="inlineStr">
        <is>
          <t>Hallucination Risk (Pers. 18)</t>
        </is>
      </c>
      <c r="D1294" s="3" t="inlineStr">
        <is>
          <t>Risk = 0,65×(1-F) + 0,20×Contradiction + 0,15×Uncertainty</t>
        </is>
      </c>
      <c r="E1294" s="3" t="inlineStr">
        <is>
          <t>Risk = 0,65×OutOfContext + 0,20×Contradiction + 0,15×Uncertainty = 0,65×0.5905 + 0,20×0.0000 + 0,15×0.00 = 0.3838 [SEDANG]</t>
        </is>
      </c>
      <c r="F1294" t="n">
        <v>0.3838</v>
      </c>
      <c r="G1294" s="3" t="inlineStr">
        <is>
          <t>label: SEDANG; kontradiksi 0/8 kalimat; uncertainty flag: False</t>
        </is>
      </c>
    </row>
    <row r="1295">
      <c r="A1295" t="n">
        <v>88</v>
      </c>
      <c r="B1295" t="inlineStr">
        <is>
          <t>A</t>
        </is>
      </c>
      <c r="C1295" t="inlineStr">
        <is>
          <t>Answer Accuracy (Pers. 20)</t>
        </is>
      </c>
      <c r="D1295" s="3" t="inlineStr">
        <is>
          <t>Correctᵢ ∈ {0,1} via LLM-as-Judge (HASIL: BENAR/SALAH)</t>
        </is>
      </c>
      <c r="E1295" s="3" t="inlineStr">
        <is>
          <t>BENAR
Rationale:
1. The question asks for a data structure that can prioritize nasabah lansia and ibu hamil, which is inherently queue-based.
2. The reference material mentions queues as one of the basic data types used in algorithms and programming.
By using a queue data structure, the system can efficiently manage the antrian process while prioritizing certain groups (lansia and ibu hamil) wi</t>
        </is>
      </c>
      <c r="F1295" t="inlineStr">
        <is>
          <t>BENAR</t>
        </is>
      </c>
      <c r="G1295" s="3" t="inlineStr">
        <is>
          <t>evaluator: ollama/llama3</t>
        </is>
      </c>
    </row>
    <row r="1296">
      <c r="A1296" t="n">
        <v>88</v>
      </c>
      <c r="B1296" t="inlineStr">
        <is>
          <t>B</t>
        </is>
      </c>
      <c r="C1296" t="inlineStr">
        <is>
          <t>Faithfulness (Pers. 15)</t>
        </is>
      </c>
      <c r="D1296" s="3" t="inlineStr">
        <is>
          <t>F = 0,70×Entailment + 0,30×KWoverlap</t>
        </is>
      </c>
      <c r="E1296" s="3" t="inlineStr">
        <is>
          <t>Faithfulness = 0,70×Entailment + 0,30×KWoverlap = 0,70×1.0000 + 0,30×0.1930 = 0.7579  (entailment: 6/6 klaim didukung; KWoverlap = (|∩|/|ctx|)^0,65 = (23/289)^0,65 = 0.0796^0,65 = 0.1930)</t>
        </is>
      </c>
      <c r="F1296" t="n">
        <v>0.7579</v>
      </c>
      <c r="G1296" s="3" t="inlineStr">
        <is>
          <t>metode: llm_entailment + keyword</t>
        </is>
      </c>
    </row>
    <row r="1297">
      <c r="A1297" t="n">
        <v>88</v>
      </c>
      <c r="B1297" t="inlineStr">
        <is>
          <t>B</t>
        </is>
      </c>
      <c r="C1297" t="inlineStr">
        <is>
          <t>— Entailment (Pers. 12-13)</t>
        </is>
      </c>
      <c r="D1297" s="3" t="inlineStr">
        <is>
          <t>Entailment = Σverdict(sᵢ)/m</t>
        </is>
      </c>
      <c r="E1297" s="3" t="inlineStr">
        <is>
          <t>6 klaim YA dari 6 klaim dievaluasi</t>
        </is>
      </c>
      <c r="F1297" t="n">
        <v>1</v>
      </c>
      <c r="G1297" s="3" t="inlineStr">
        <is>
          <t>verdict per klaim: sheet 'Entailment Detail'</t>
        </is>
      </c>
    </row>
    <row r="1298">
      <c r="A1298" t="n">
        <v>88</v>
      </c>
      <c r="B1298" t="inlineStr">
        <is>
          <t>B</t>
        </is>
      </c>
      <c r="C1298" t="inlineStr">
        <is>
          <t>— Keyword Overlap (Pers. 14)</t>
        </is>
      </c>
      <c r="D1298" s="3" t="inlineStr">
        <is>
          <t>KWoverlap = (|Stems(ans)∩Stems(ctx)| / |Stems(ctx)|)^0,65</t>
        </is>
      </c>
      <c r="E1298" s="3" t="inlineStr">
        <is>
          <t>KWoverlap = (|∩|/|ctx|)^0,65 = (23/289)^0,65 = 0.0796^0,65 = 0.1930</t>
        </is>
      </c>
      <c r="F1298" t="n">
        <v>0.193</v>
      </c>
      <c r="G1298" s="3" t="inlineStr"/>
    </row>
    <row r="1299">
      <c r="A1299" t="n">
        <v>88</v>
      </c>
      <c r="B1299" t="inlineStr">
        <is>
          <t>B</t>
        </is>
      </c>
      <c r="C1299" t="inlineStr">
        <is>
          <t>Hallucination Risk (Pers. 18)</t>
        </is>
      </c>
      <c r="D1299" s="3" t="inlineStr">
        <is>
          <t>Risk = 0,65×(1-F) + 0,20×Contradiction + 0,15×Uncertainty</t>
        </is>
      </c>
      <c r="E1299" s="3" t="inlineStr">
        <is>
          <t>Risk = 0,65×OutOfContext + 0,20×Contradiction + 0,15×Uncertainty = 0,65×0.2421 + 0,20×0.0000 + 0,15×0.20 = 0.1874 [RENDAH]</t>
        </is>
      </c>
      <c r="F1299" t="n">
        <v>0.1874</v>
      </c>
      <c r="G1299" s="3" t="inlineStr">
        <is>
          <t>label: RENDAH; kontradiksi 0/30 kalimat; uncertainty flag: True</t>
        </is>
      </c>
    </row>
    <row r="1300">
      <c r="A1300" t="n">
        <v>88</v>
      </c>
      <c r="B1300" t="inlineStr">
        <is>
          <t>B</t>
        </is>
      </c>
      <c r="C1300" t="inlineStr">
        <is>
          <t>Answer Accuracy (Pers. 20)</t>
        </is>
      </c>
      <c r="D1300" s="3" t="inlineStr">
        <is>
          <t>Correctᵢ ∈ {0,1} via LLM-as-Judge (HASIL: BENAR/SALAH)</t>
        </is>
      </c>
      <c r="E1300" s="3" t="inlineStr">
        <is>
          <t>Jawaban sistem:</t>
        </is>
      </c>
      <c r="F1300" t="inlineStr">
        <is>
          <t>BENAR</t>
        </is>
      </c>
      <c r="G1300" s="3" t="inlineStr">
        <is>
          <t>evaluator: ollama/llama3</t>
        </is>
      </c>
    </row>
    <row r="1301">
      <c r="A1301" t="n">
        <v>89</v>
      </c>
      <c r="B1301" t="inlineStr">
        <is>
          <t>A</t>
        </is>
      </c>
      <c r="C1301" t="inlineStr">
        <is>
          <t>Precision@K (Pers. 2)</t>
        </is>
      </c>
      <c r="D1301" s="3" t="inlineStr">
        <is>
          <t>Precision@K = |{d ∈ TopK : sim(q,d) ≥ θ}| / K</t>
        </is>
      </c>
      <c r="E1301" s="3" t="inlineStr">
        <is>
          <t>skor = [0.7825, 0.7614, 0.758, 0.7575, 0.7523, 0.7517] → 6 / 6</t>
        </is>
      </c>
      <c r="F1301" t="n">
        <v>1</v>
      </c>
      <c r="G1301" s="3" t="inlineStr">
        <is>
          <t>basis: skor chunk nyata (sesuai contoh Pers. 2 skripsi)</t>
        </is>
      </c>
    </row>
    <row r="1302">
      <c r="A1302" t="n">
        <v>89</v>
      </c>
      <c r="B1302" t="inlineStr">
        <is>
          <t>A</t>
        </is>
      </c>
      <c r="C1302" t="inlineStr">
        <is>
          <t>Recall@K (Pers. 4)</t>
        </is>
      </c>
      <c r="D1302" s="3" t="inlineStr">
        <is>
          <t>Recall@K = |{kata kunci ditemukan : sim ≥ θ}| / |R|</t>
        </is>
      </c>
      <c r="E1302" s="3" t="inlineStr">
        <is>
          <t>skor = [0.6846, 0.5562, 0.5507, 0.5445, 0.5127, 0.4125] → 6 / 6</t>
        </is>
      </c>
      <c r="F1302" t="n">
        <v>1</v>
      </c>
      <c r="G1302" s="3" t="inlineStr"/>
    </row>
    <row r="1303">
      <c r="A1303" t="n">
        <v>89</v>
      </c>
      <c r="B1303" t="inlineStr">
        <is>
          <t>A</t>
        </is>
      </c>
      <c r="C1303" t="inlineStr">
        <is>
          <t>Mean Similarity (Pers. 6)</t>
        </is>
      </c>
      <c r="D1303" s="3" t="inlineStr">
        <is>
          <t>MeanSim = (1/K) × Σ sim(q, dᵢ)</t>
        </is>
      </c>
      <c r="E1303" s="3" t="inlineStr">
        <is>
          <t>skor = [0.7825, 0.7614, 0.758, 0.7575, 0.7523, 0.7517] → (0.7825 + 0.7614 + 0.7580 + 0.7575 + 0.7523 + 0.7517) / 6</t>
        </is>
      </c>
      <c r="F1303" t="n">
        <v>0.7606000000000001</v>
      </c>
      <c r="G1303" s="3" t="inlineStr"/>
    </row>
    <row r="1304">
      <c r="A1304" t="n">
        <v>89</v>
      </c>
      <c r="B1304" t="inlineStr">
        <is>
          <t>A</t>
        </is>
      </c>
      <c r="C1304" t="inlineStr">
        <is>
          <t>Coverage (Pers. 8)</t>
        </is>
      </c>
      <c r="D1304" s="3" t="inlineStr">
        <is>
          <t>Coverage = |{dᵢ ∈ TopK : sim(q,dᵢ) ≥ θc}| / K</t>
        </is>
      </c>
      <c r="E1304" s="3" t="inlineStr">
        <is>
          <t>skor = [0.7825, 0.7614, 0.758, 0.7575, 0.7523, 0.7517] → 6 / 6</t>
        </is>
      </c>
      <c r="F1304" t="n">
        <v>1</v>
      </c>
      <c r="G1304" s="3" t="inlineStr"/>
    </row>
    <row r="1305">
      <c r="A1305" t="n">
        <v>89</v>
      </c>
      <c r="B1305" t="inlineStr">
        <is>
          <t>A</t>
        </is>
      </c>
      <c r="C1305" t="inlineStr">
        <is>
          <t>Source Diversity (Pers. 10)</t>
        </is>
      </c>
      <c r="D1305" s="3" t="inlineStr">
        <is>
          <t>Diversity = |sumber unik dalam TopK| / K</t>
        </is>
      </c>
      <c r="E1305" s="3" t="inlineStr">
        <is>
          <t>skor = ['GT_CT07.txt', 'GT_DETAIL_PT05_Pattern_Recognition.txt', 'GT_SUBTOPIK_01_Dekomposisi_Optimasi.txt', 'GT_SUBTOPIK_03_Pola_Bilangan_Deret.txt'] → 4 / 6</t>
        </is>
      </c>
      <c r="F1305" t="n">
        <v>0.6667</v>
      </c>
      <c r="G1305" s="3" t="inlineStr">
        <is>
          <t>file unik: GT_CT07.txt, GT_DETAIL_PT05_Pattern_Recognition.txt, GT_SUBTOPIK_01_Dekomposisi_Optimasi.txt, GT_SUBTOPIK_03_Pola_Bilangan_Deret.txt</t>
        </is>
      </c>
    </row>
    <row r="1306">
      <c r="A1306" t="n">
        <v>89</v>
      </c>
      <c r="B1306" t="inlineStr">
        <is>
          <t>A</t>
        </is>
      </c>
      <c r="C1306" t="inlineStr">
        <is>
          <t>Faithfulness (Pers. 15)</t>
        </is>
      </c>
      <c r="D1306" s="3" t="inlineStr">
        <is>
          <t>F = 0,70×Entailment + 0,30×KWoverlap</t>
        </is>
      </c>
      <c r="E1306" s="3" t="inlineStr">
        <is>
          <t>Faithfulness = 0,70×Entailment + 0,30×KWoverlap = 0,70×0.8333 + 0,30×0.5878 = 0.7596  (entailment: 5/6 klaim didukung; KWoverlap = (|∩|/|ctx|)^0,65 = (83/188)^0,65 = 0.4415^0,65 = 0.5878)</t>
        </is>
      </c>
      <c r="F1306" t="n">
        <v>0.7596000000000001</v>
      </c>
      <c r="G1306" s="3" t="inlineStr">
        <is>
          <t>metode: llm_entailment + keyword</t>
        </is>
      </c>
    </row>
    <row r="1307">
      <c r="A1307" t="n">
        <v>89</v>
      </c>
      <c r="B1307" t="inlineStr">
        <is>
          <t>A</t>
        </is>
      </c>
      <c r="C1307" t="inlineStr">
        <is>
          <t>— Entailment (Pers. 12-13)</t>
        </is>
      </c>
      <c r="D1307" s="3" t="inlineStr">
        <is>
          <t>Entailment = Σverdict(sᵢ)/m</t>
        </is>
      </c>
      <c r="E1307" s="3" t="inlineStr">
        <is>
          <t>5 klaim YA dari 6 klaim dievaluasi</t>
        </is>
      </c>
      <c r="F1307" t="n">
        <v>0.8333</v>
      </c>
      <c r="G1307" s="3" t="inlineStr">
        <is>
          <t>verdict per klaim: sheet 'Entailment Detail'</t>
        </is>
      </c>
    </row>
    <row r="1308">
      <c r="A1308" t="n">
        <v>89</v>
      </c>
      <c r="B1308" t="inlineStr">
        <is>
          <t>A</t>
        </is>
      </c>
      <c r="C1308" t="inlineStr">
        <is>
          <t>— Keyword Overlap (Pers. 14)</t>
        </is>
      </c>
      <c r="D1308" s="3" t="inlineStr">
        <is>
          <t>KWoverlap = (|Stems(ans)∩Stems(ctx)| / |Stems(ctx)|)^0,65</t>
        </is>
      </c>
      <c r="E1308" s="3" t="inlineStr">
        <is>
          <t>KWoverlap = (|∩|/|ctx|)^0,65 = (83/188)^0,65 = 0.4415^0,65 = 0.5878</t>
        </is>
      </c>
      <c r="F1308" t="n">
        <v>0.5878</v>
      </c>
      <c r="G1308" s="3" t="inlineStr"/>
    </row>
    <row r="1309">
      <c r="A1309" t="n">
        <v>89</v>
      </c>
      <c r="B1309" t="inlineStr">
        <is>
          <t>A</t>
        </is>
      </c>
      <c r="C1309" t="inlineStr">
        <is>
          <t>Hallucination Risk (Pers. 18)</t>
        </is>
      </c>
      <c r="D1309" s="3" t="inlineStr">
        <is>
          <t>Risk = 0,65×(1-F) + 0,20×Contradiction + 0,15×Uncertainty</t>
        </is>
      </c>
      <c r="E1309" s="3" t="inlineStr">
        <is>
          <t>Risk = 0,65×OutOfContext + 0,20×Contradiction + 0,15×Uncertainty = 0,65×0.2404 + 0,20×0.0000 + 0,15×0.20 = 0.1863 [RENDAH]</t>
        </is>
      </c>
      <c r="F1309" t="n">
        <v>0.1863</v>
      </c>
      <c r="G1309" s="3" t="inlineStr">
        <is>
          <t>label: RENDAH; kontradiksi 0/70 kalimat; uncertainty flag: True</t>
        </is>
      </c>
    </row>
    <row r="1310">
      <c r="A1310" t="n">
        <v>89</v>
      </c>
      <c r="B1310" t="inlineStr">
        <is>
          <t>B</t>
        </is>
      </c>
      <c r="C1310" t="inlineStr">
        <is>
          <t>Faithfulness (Pers. 15)</t>
        </is>
      </c>
      <c r="D1310" s="3" t="inlineStr">
        <is>
          <t>F = 0,70×Entailment + 0,30×KWoverlap</t>
        </is>
      </c>
      <c r="E1310" s="3" t="inlineStr">
        <is>
          <t>Faithfulness = 0,70×Entailment + 0,30×KWoverlap = 0,70×0.6667 + 0,30×0.1580 = 0.5141  (entailment: 4/6 klaim didukung; KWoverlap = (|∩|/|ctx|)^0,65 = (11/188)^0,65 = 0.0585^0,65 = 0.1580)</t>
        </is>
      </c>
      <c r="F1310" t="n">
        <v>0.5141</v>
      </c>
      <c r="G1310" s="3" t="inlineStr">
        <is>
          <t>metode: llm_entailment + keyword</t>
        </is>
      </c>
    </row>
    <row r="1311">
      <c r="A1311" t="n">
        <v>89</v>
      </c>
      <c r="B1311" t="inlineStr">
        <is>
          <t>B</t>
        </is>
      </c>
      <c r="C1311" t="inlineStr">
        <is>
          <t>— Entailment (Pers. 12-13)</t>
        </is>
      </c>
      <c r="D1311" s="3" t="inlineStr">
        <is>
          <t>Entailment = Σverdict(sᵢ)/m</t>
        </is>
      </c>
      <c r="E1311" s="3" t="inlineStr">
        <is>
          <t>4 klaim YA dari 6 klaim dievaluasi</t>
        </is>
      </c>
      <c r="F1311" t="n">
        <v>0.6667</v>
      </c>
      <c r="G1311" s="3" t="inlineStr">
        <is>
          <t>verdict per klaim: sheet 'Entailment Detail'</t>
        </is>
      </c>
    </row>
    <row r="1312">
      <c r="A1312" t="n">
        <v>89</v>
      </c>
      <c r="B1312" t="inlineStr">
        <is>
          <t>B</t>
        </is>
      </c>
      <c r="C1312" t="inlineStr">
        <is>
          <t>— Keyword Overlap (Pers. 14)</t>
        </is>
      </c>
      <c r="D1312" s="3" t="inlineStr">
        <is>
          <t>KWoverlap = (|Stems(ans)∩Stems(ctx)| / |Stems(ctx)|)^0,65</t>
        </is>
      </c>
      <c r="E1312" s="3" t="inlineStr">
        <is>
          <t>KWoverlap = (|∩|/|ctx|)^0,65 = (11/188)^0,65 = 0.0585^0,65 = 0.1580</t>
        </is>
      </c>
      <c r="F1312" t="n">
        <v>0.158</v>
      </c>
      <c r="G1312" s="3" t="inlineStr"/>
    </row>
    <row r="1313">
      <c r="A1313" t="n">
        <v>89</v>
      </c>
      <c r="B1313" t="inlineStr">
        <is>
          <t>B</t>
        </is>
      </c>
      <c r="C1313" t="inlineStr">
        <is>
          <t>Hallucination Risk (Pers. 18)</t>
        </is>
      </c>
      <c r="D1313" s="3" t="inlineStr">
        <is>
          <t>Risk = 0,65×(1-F) + 0,20×Contradiction + 0,15×Uncertainty</t>
        </is>
      </c>
      <c r="E1313" s="3" t="inlineStr">
        <is>
          <t>Risk = 0,65×OutOfContext + 0,20×Contradiction + 0,15×Uncertainty = 0,65×0.4859 + 0,20×0.0000 + 0,15×0.00 = 0.3158 [RENDAH]</t>
        </is>
      </c>
      <c r="F1313" t="n">
        <v>0.3158</v>
      </c>
      <c r="G1313" s="3" t="inlineStr">
        <is>
          <t>label: RENDAH; kontradiksi 0/21 kalimat; uncertainty flag: False</t>
        </is>
      </c>
    </row>
    <row r="1314">
      <c r="A1314" t="n">
        <v>89</v>
      </c>
      <c r="B1314" t="inlineStr">
        <is>
          <t>B</t>
        </is>
      </c>
      <c r="C1314" t="inlineStr">
        <is>
          <t>Answer Accuracy (Pers. 20)</t>
        </is>
      </c>
      <c r="D1314" s="3" t="inlineStr">
        <is>
          <t>Correctᵢ ∈ {0,1} via LLM-as-Judge (HASIL: BENAR/SALAH)</t>
        </is>
      </c>
      <c r="E1314" s="3" t="inlineStr">
        <is>
          <t>Jawaban sistem:</t>
        </is>
      </c>
      <c r="F1314" t="inlineStr">
        <is>
          <t>BENAR</t>
        </is>
      </c>
      <c r="G1314" s="3" t="inlineStr">
        <is>
          <t>evaluator: ollama/llama3</t>
        </is>
      </c>
    </row>
    <row r="1315">
      <c r="A1315" t="n">
        <v>90</v>
      </c>
      <c r="B1315" t="inlineStr">
        <is>
          <t>A</t>
        </is>
      </c>
      <c r="C1315" t="inlineStr">
        <is>
          <t>Precision@K (Pers. 2)</t>
        </is>
      </c>
      <c r="D1315" s="3" t="inlineStr">
        <is>
          <t>Precision@K = |{d ∈ TopK : sim(q,d) ≥ θ}| / K</t>
        </is>
      </c>
      <c r="E1315" s="3" t="inlineStr">
        <is>
          <t>skor = [0.7466, 0.7344, 0.7338, 0.7298, 0.7199, 0.719] → 6 / 6</t>
        </is>
      </c>
      <c r="F1315" t="n">
        <v>1</v>
      </c>
      <c r="G1315" s="3" t="inlineStr">
        <is>
          <t>basis: skor chunk nyata (sesuai contoh Pers. 2 skripsi)</t>
        </is>
      </c>
    </row>
    <row r="1316">
      <c r="A1316" t="n">
        <v>90</v>
      </c>
      <c r="B1316" t="inlineStr">
        <is>
          <t>A</t>
        </is>
      </c>
      <c r="C1316" t="inlineStr">
        <is>
          <t>Recall@K (Pers. 4)</t>
        </is>
      </c>
      <c r="D1316" s="3" t="inlineStr">
        <is>
          <t>Recall@K = |{kata kunci ditemukan : sim ≥ θ}| / |R|</t>
        </is>
      </c>
      <c r="E1316" s="3" t="inlineStr">
        <is>
          <t>skor = [0.6699, 0.6491, 0.6191, 0.5618, 0.5309, 0.4532] → 6 / 6</t>
        </is>
      </c>
      <c r="F1316" t="n">
        <v>1</v>
      </c>
      <c r="G1316" s="3" t="inlineStr"/>
    </row>
    <row r="1317">
      <c r="A1317" t="n">
        <v>90</v>
      </c>
      <c r="B1317" t="inlineStr">
        <is>
          <t>A</t>
        </is>
      </c>
      <c r="C1317" t="inlineStr">
        <is>
          <t>Mean Similarity (Pers. 6)</t>
        </is>
      </c>
      <c r="D1317" s="3" t="inlineStr">
        <is>
          <t>MeanSim = (1/K) × Σ sim(q, dᵢ)</t>
        </is>
      </c>
      <c r="E1317" s="3" t="inlineStr">
        <is>
          <t>skor = [0.7466, 0.7344, 0.7338, 0.7298, 0.7199, 0.719] → (0.7466 + 0.7344 + 0.7338 + 0.7298 + 0.7199 + 0.7190) / 6</t>
        </is>
      </c>
      <c r="F1317" t="n">
        <v>0.7306</v>
      </c>
      <c r="G1317" s="3" t="inlineStr"/>
    </row>
    <row r="1318">
      <c r="A1318" t="n">
        <v>90</v>
      </c>
      <c r="B1318" t="inlineStr">
        <is>
          <t>A</t>
        </is>
      </c>
      <c r="C1318" t="inlineStr">
        <is>
          <t>Coverage (Pers. 8)</t>
        </is>
      </c>
      <c r="D1318" s="3" t="inlineStr">
        <is>
          <t>Coverage = |{dᵢ ∈ TopK : sim(q,dᵢ) ≥ θc}| / K</t>
        </is>
      </c>
      <c r="E1318" s="3" t="inlineStr">
        <is>
          <t>skor = [0.7466, 0.7344, 0.7338, 0.7298, 0.7199, 0.719] → 6 / 6</t>
        </is>
      </c>
      <c r="F1318" t="n">
        <v>1</v>
      </c>
      <c r="G1318" s="3" t="inlineStr"/>
    </row>
    <row r="1319">
      <c r="A1319" t="n">
        <v>90</v>
      </c>
      <c r="B1319" t="inlineStr">
        <is>
          <t>A</t>
        </is>
      </c>
      <c r="C1319" t="inlineStr">
        <is>
          <t>Source Diversity (Pers. 10)</t>
        </is>
      </c>
      <c r="D1319" s="3" t="inlineStr">
        <is>
          <t>Diversity = |sumber unik dalam TopK| / K</t>
        </is>
      </c>
      <c r="E1319" s="3" t="inlineStr">
        <is>
          <t>skor = ['GT_CT13.txt', 'GT_DETAIL_PT07_Notasi_Algoritme.txt', 'GT_SUBTOPIK_02_Abstraksi_Formulasi.txt', 'GT_SUBTOPIK_14_Kompleksitas_BigO.txt'] → 4 / 6</t>
        </is>
      </c>
      <c r="F1319" t="n">
        <v>0.6667</v>
      </c>
      <c r="G1319" s="3" t="inlineStr">
        <is>
          <t>file unik: GT_CT13.txt, GT_DETAIL_PT07_Notasi_Algoritme.txt, GT_SUBTOPIK_02_Abstraksi_Formulasi.txt, GT_SUBTOPIK_14_Kompleksitas_BigO.txt</t>
        </is>
      </c>
    </row>
    <row r="1320">
      <c r="A1320" t="n">
        <v>90</v>
      </c>
      <c r="B1320" t="inlineStr">
        <is>
          <t>A</t>
        </is>
      </c>
      <c r="C1320" t="inlineStr">
        <is>
          <t>Faithfulness (Pers. 15)</t>
        </is>
      </c>
      <c r="D1320" s="3" t="inlineStr">
        <is>
          <t>F = 0,70×Entailment + 0,30×KWoverlap</t>
        </is>
      </c>
      <c r="E1320" s="3" t="inlineStr">
        <is>
          <t>Faithfulness = 0,70×Entailment + 0,30×KWoverlap = 0,70×1.0000 + 0,30×0.3229 = 0.7969  (entailment: 6/6 klaim didukung; KWoverlap = (|∩|/|ctx|)^0,65 = (52/296)^0,65 = 0.1757^0,65 = 0.3229)</t>
        </is>
      </c>
      <c r="F1320" t="n">
        <v>0.7969000000000001</v>
      </c>
      <c r="G1320" s="3" t="inlineStr">
        <is>
          <t>metode: llm_entailment + keyword</t>
        </is>
      </c>
    </row>
    <row r="1321">
      <c r="A1321" t="n">
        <v>90</v>
      </c>
      <c r="B1321" t="inlineStr">
        <is>
          <t>A</t>
        </is>
      </c>
      <c r="C1321" t="inlineStr">
        <is>
          <t>— Entailment (Pers. 12-13)</t>
        </is>
      </c>
      <c r="D1321" s="3" t="inlineStr">
        <is>
          <t>Entailment = Σverdict(sᵢ)/m</t>
        </is>
      </c>
      <c r="E1321" s="3" t="inlineStr">
        <is>
          <t>6 klaim YA dari 6 klaim dievaluasi</t>
        </is>
      </c>
      <c r="F1321" t="n">
        <v>1</v>
      </c>
      <c r="G1321" s="3" t="inlineStr">
        <is>
          <t>verdict per klaim: sheet 'Entailment Detail'</t>
        </is>
      </c>
    </row>
    <row r="1322">
      <c r="A1322" t="n">
        <v>90</v>
      </c>
      <c r="B1322" t="inlineStr">
        <is>
          <t>A</t>
        </is>
      </c>
      <c r="C1322" t="inlineStr">
        <is>
          <t>— Keyword Overlap (Pers. 14)</t>
        </is>
      </c>
      <c r="D1322" s="3" t="inlineStr">
        <is>
          <t>KWoverlap = (|Stems(ans)∩Stems(ctx)| / |Stems(ctx)|)^0,65</t>
        </is>
      </c>
      <c r="E1322" s="3" t="inlineStr">
        <is>
          <t>KWoverlap = (|∩|/|ctx|)^0,65 = (52/296)^0,65 = 0.1757^0,65 = 0.3229</t>
        </is>
      </c>
      <c r="F1322" t="n">
        <v>0.3229</v>
      </c>
      <c r="G1322" s="3" t="inlineStr"/>
    </row>
    <row r="1323">
      <c r="A1323" t="n">
        <v>90</v>
      </c>
      <c r="B1323" t="inlineStr">
        <is>
          <t>A</t>
        </is>
      </c>
      <c r="C1323" t="inlineStr">
        <is>
          <t>Hallucination Risk (Pers. 18)</t>
        </is>
      </c>
      <c r="D1323" s="3" t="inlineStr">
        <is>
          <t>Risk = 0,65×(1-F) + 0,20×Contradiction + 0,15×Uncertainty</t>
        </is>
      </c>
      <c r="E1323" s="3" t="inlineStr">
        <is>
          <t>Risk = 0,65×OutOfContext + 0,20×Contradiction + 0,15×Uncertainty = 0,65×0.2031 + 0,20×0.0000 + 0,15×0.00 = 0.1320 [RENDAH]</t>
        </is>
      </c>
      <c r="F1323" t="n">
        <v>0.132</v>
      </c>
      <c r="G1323" s="3" t="inlineStr">
        <is>
          <t>label: RENDAH; kontradiksi 0/19 kalimat; uncertainty flag: False</t>
        </is>
      </c>
    </row>
    <row r="1324">
      <c r="A1324" t="n">
        <v>90</v>
      </c>
      <c r="B1324" t="inlineStr">
        <is>
          <t>A</t>
        </is>
      </c>
      <c r="C1324" t="inlineStr">
        <is>
          <t>Answer Accuracy (Pers. 20)</t>
        </is>
      </c>
      <c r="D1324" s="3" t="inlineStr">
        <is>
          <t>Correctᵢ ∈ {0,1} via LLM-as-Judge (HASIL: BENAR/SALAH)</t>
        </is>
      </c>
      <c r="E1324" s="3" t="inlineStr"/>
      <c r="F1324" t="inlineStr">
        <is>
          <t>BENAR</t>
        </is>
      </c>
      <c r="G1324" s="3" t="inlineStr">
        <is>
          <t>evaluator: ollama/llama3</t>
        </is>
      </c>
    </row>
    <row r="1325">
      <c r="A1325" t="n">
        <v>90</v>
      </c>
      <c r="B1325" t="inlineStr">
        <is>
          <t>B</t>
        </is>
      </c>
      <c r="C1325" t="inlineStr">
        <is>
          <t>Faithfulness (Pers. 15)</t>
        </is>
      </c>
      <c r="D1325" s="3" t="inlineStr">
        <is>
          <t>F = 0,70×Entailment + 0,30×KWoverlap</t>
        </is>
      </c>
      <c r="E1325" s="3" t="inlineStr">
        <is>
          <t>Faithfulness = 0,70×Entailment + 0,30×KWoverlap = 0,70×0.8000 + 0,30×0.1953 = 0.6186  (entailment: 4/5 klaim didukung; KWoverlap = (|∩|/|ctx|)^0,65 = (24/296)^0,65 = 0.0811^0,65 = 0.1953)</t>
        </is>
      </c>
      <c r="F1325" t="n">
        <v>0.6186</v>
      </c>
      <c r="G1325" s="3" t="inlineStr">
        <is>
          <t>metode: llm_entailment + keyword</t>
        </is>
      </c>
    </row>
    <row r="1326">
      <c r="A1326" t="n">
        <v>90</v>
      </c>
      <c r="B1326" t="inlineStr">
        <is>
          <t>B</t>
        </is>
      </c>
      <c r="C1326" t="inlineStr">
        <is>
          <t>— Entailment (Pers. 12-13)</t>
        </is>
      </c>
      <c r="D1326" s="3" t="inlineStr">
        <is>
          <t>Entailment = Σverdict(sᵢ)/m</t>
        </is>
      </c>
      <c r="E1326" s="3" t="inlineStr">
        <is>
          <t>4 klaim YA dari 5 klaim dievaluasi</t>
        </is>
      </c>
      <c r="F1326" t="n">
        <v>0.8</v>
      </c>
      <c r="G1326" s="3" t="inlineStr">
        <is>
          <t>verdict per klaim: sheet 'Entailment Detail'</t>
        </is>
      </c>
    </row>
    <row r="1327">
      <c r="A1327" t="n">
        <v>90</v>
      </c>
      <c r="B1327" t="inlineStr">
        <is>
          <t>B</t>
        </is>
      </c>
      <c r="C1327" t="inlineStr">
        <is>
          <t>— Keyword Overlap (Pers. 14)</t>
        </is>
      </c>
      <c r="D1327" s="3" t="inlineStr">
        <is>
          <t>KWoverlap = (|Stems(ans)∩Stems(ctx)| / |Stems(ctx)|)^0,65</t>
        </is>
      </c>
      <c r="E1327" s="3" t="inlineStr">
        <is>
          <t>KWoverlap = (|∩|/|ctx|)^0,65 = (24/296)^0,65 = 0.0811^0,65 = 0.1953</t>
        </is>
      </c>
      <c r="F1327" t="n">
        <v>0.1953</v>
      </c>
      <c r="G1327" s="3" t="inlineStr"/>
    </row>
    <row r="1328">
      <c r="A1328" t="n">
        <v>90</v>
      </c>
      <c r="B1328" t="inlineStr">
        <is>
          <t>B</t>
        </is>
      </c>
      <c r="C1328" t="inlineStr">
        <is>
          <t>Hallucination Risk (Pers. 18)</t>
        </is>
      </c>
      <c r="D1328" s="3" t="inlineStr">
        <is>
          <t>Risk = 0,65×(1-F) + 0,20×Contradiction + 0,15×Uncertainty</t>
        </is>
      </c>
      <c r="E1328" s="3" t="inlineStr">
        <is>
          <t>Risk = 0,65×OutOfContext + 0,20×Contradiction + 0,15×Uncertainty = 0,65×0.3814 + 0,20×0.0000 + 0,15×0.00 = 0.2479 [RENDAH]</t>
        </is>
      </c>
      <c r="F1328" t="n">
        <v>0.2479</v>
      </c>
      <c r="G1328" s="3" t="inlineStr">
        <is>
          <t>label: RENDAH; kontradiksi 0/5 kalimat; uncertainty flag: False</t>
        </is>
      </c>
    </row>
    <row r="1329">
      <c r="A1329" t="n">
        <v>90</v>
      </c>
      <c r="B1329" t="inlineStr">
        <is>
          <t>B</t>
        </is>
      </c>
      <c r="C1329" t="inlineStr">
        <is>
          <t>Answer Accuracy (Pers. 20)</t>
        </is>
      </c>
      <c r="D1329" s="3" t="inlineStr">
        <is>
          <t>Correctᵢ ∈ {0,1} via LLM-as-Judge (HASIL: BENAR/SALAH)</t>
        </is>
      </c>
      <c r="E1329" s="3" t="inlineStr">
        <is>
          <t>Jawaban sistem:</t>
        </is>
      </c>
      <c r="F1329" t="inlineStr">
        <is>
          <t>BENAR</t>
        </is>
      </c>
      <c r="G1329" s="3" t="inlineStr">
        <is>
          <t>evaluator: ollama/llama3</t>
        </is>
      </c>
    </row>
    <row r="1330">
      <c r="A1330" t="n">
        <v>91</v>
      </c>
      <c r="B1330" t="inlineStr">
        <is>
          <t>A</t>
        </is>
      </c>
      <c r="C1330" t="inlineStr">
        <is>
          <t>Precision@K (Pers. 2)</t>
        </is>
      </c>
      <c r="D1330" s="3" t="inlineStr">
        <is>
          <t>Precision@K = |{d ∈ TopK : sim(q,d) ≥ θ}| / K</t>
        </is>
      </c>
      <c r="E1330" s="3" t="inlineStr">
        <is>
          <t>skor = [0.7154, 0.7153, 0.7143, 0.7055, 0.7031, 0.7018] → 6 / 6</t>
        </is>
      </c>
      <c r="F1330" t="n">
        <v>1</v>
      </c>
      <c r="G1330" s="3" t="inlineStr">
        <is>
          <t>basis: skor chunk nyata (sesuai contoh Pers. 2 skripsi)</t>
        </is>
      </c>
    </row>
    <row r="1331">
      <c r="A1331" t="n">
        <v>91</v>
      </c>
      <c r="B1331" t="inlineStr">
        <is>
          <t>A</t>
        </is>
      </c>
      <c r="C1331" t="inlineStr">
        <is>
          <t>Recall@K (Pers. 4)</t>
        </is>
      </c>
      <c r="D1331" s="3" t="inlineStr">
        <is>
          <t>Recall@K = |{kata kunci ditemukan : sim ≥ θ}| / |R|</t>
        </is>
      </c>
      <c r="E1331" s="3" t="inlineStr">
        <is>
          <t>skor = [0.6056, 0.5593, 0.4649, 0.4164, 0.4075, 0.4032] → 6 / 6</t>
        </is>
      </c>
      <c r="F1331" t="n">
        <v>1</v>
      </c>
      <c r="G1331" s="3" t="inlineStr"/>
    </row>
    <row r="1332">
      <c r="A1332" t="n">
        <v>91</v>
      </c>
      <c r="B1332" t="inlineStr">
        <is>
          <t>A</t>
        </is>
      </c>
      <c r="C1332" t="inlineStr">
        <is>
          <t>Mean Similarity (Pers. 6)</t>
        </is>
      </c>
      <c r="D1332" s="3" t="inlineStr">
        <is>
          <t>MeanSim = (1/K) × Σ sim(q, dᵢ)</t>
        </is>
      </c>
      <c r="E1332" s="3" t="inlineStr">
        <is>
          <t>skor = [0.7154, 0.7153, 0.7143, 0.7055, 0.7031, 0.7018] → (0.7154 + 0.7153 + 0.7143 + 0.7055 + 0.7031 + 0.7018) / 6</t>
        </is>
      </c>
      <c r="F1332" t="n">
        <v>0.7092000000000001</v>
      </c>
      <c r="G1332" s="3" t="inlineStr"/>
    </row>
    <row r="1333">
      <c r="A1333" t="n">
        <v>91</v>
      </c>
      <c r="B1333" t="inlineStr">
        <is>
          <t>A</t>
        </is>
      </c>
      <c r="C1333" t="inlineStr">
        <is>
          <t>Coverage (Pers. 8)</t>
        </is>
      </c>
      <c r="D1333" s="3" t="inlineStr">
        <is>
          <t>Coverage = |{dᵢ ∈ TopK : sim(q,dᵢ) ≥ θc}| / K</t>
        </is>
      </c>
      <c r="E1333" s="3" t="inlineStr">
        <is>
          <t>skor = [0.7154, 0.7153, 0.7143, 0.7055, 0.7031, 0.7018] → 6 / 6</t>
        </is>
      </c>
      <c r="F1333" t="n">
        <v>1</v>
      </c>
      <c r="G1333" s="3" t="inlineStr"/>
    </row>
    <row r="1334">
      <c r="A1334" t="n">
        <v>91</v>
      </c>
      <c r="B1334" t="inlineStr">
        <is>
          <t>A</t>
        </is>
      </c>
      <c r="C1334" t="inlineStr">
        <is>
          <t>Source Diversity (Pers. 10)</t>
        </is>
      </c>
      <c r="D1334" s="3" t="inlineStr">
        <is>
          <t>Diversity = |sumber unik dalam TopK| / K</t>
        </is>
      </c>
      <c r="E1334" s="3" t="inlineStr">
        <is>
          <t>skor = ['GT_CT10.txt', 'GT_CT12.txt', 'GT_DETAIL_PT12_Fungsi.txt'] → 3 / 6</t>
        </is>
      </c>
      <c r="F1334" t="n">
        <v>0.5</v>
      </c>
      <c r="G1334" s="3" t="inlineStr">
        <is>
          <t>file unik: GT_CT10.txt, GT_CT12.txt, GT_DETAIL_PT12_Fungsi.txt</t>
        </is>
      </c>
    </row>
    <row r="1335">
      <c r="A1335" t="n">
        <v>91</v>
      </c>
      <c r="B1335" t="inlineStr">
        <is>
          <t>A</t>
        </is>
      </c>
      <c r="C1335" t="inlineStr">
        <is>
          <t>Faithfulness (Pers. 15)</t>
        </is>
      </c>
      <c r="D1335" s="3" t="inlineStr">
        <is>
          <t>F = 0,70×Entailment + 0,30×KWoverlap</t>
        </is>
      </c>
      <c r="E1335" s="3" t="inlineStr">
        <is>
          <t>Faithfulness = 0,70×Entailment + 0,30×KWoverlap = 0,70×1.0000 + 0,30×0.2239 = 0.7672  (entailment: 6/6 klaim didukung; KWoverlap = (|∩|/|ctx|)^0,65 = (21/210)^0,65 = 0.1000^0,65 = 0.2239)</t>
        </is>
      </c>
      <c r="F1335" t="n">
        <v>0.7672</v>
      </c>
      <c r="G1335" s="3" t="inlineStr">
        <is>
          <t>metode: llm_entailment + keyword</t>
        </is>
      </c>
    </row>
    <row r="1336">
      <c r="A1336" t="n">
        <v>91</v>
      </c>
      <c r="B1336" t="inlineStr">
        <is>
          <t>A</t>
        </is>
      </c>
      <c r="C1336" t="inlineStr">
        <is>
          <t>— Entailment (Pers. 12-13)</t>
        </is>
      </c>
      <c r="D1336" s="3" t="inlineStr">
        <is>
          <t>Entailment = Σverdict(sᵢ)/m</t>
        </is>
      </c>
      <c r="E1336" s="3" t="inlineStr">
        <is>
          <t>6 klaim YA dari 6 klaim dievaluasi</t>
        </is>
      </c>
      <c r="F1336" t="n">
        <v>1</v>
      </c>
      <c r="G1336" s="3" t="inlineStr">
        <is>
          <t>verdict per klaim: sheet 'Entailment Detail'</t>
        </is>
      </c>
    </row>
    <row r="1337">
      <c r="A1337" t="n">
        <v>91</v>
      </c>
      <c r="B1337" t="inlineStr">
        <is>
          <t>A</t>
        </is>
      </c>
      <c r="C1337" t="inlineStr">
        <is>
          <t>— Keyword Overlap (Pers. 14)</t>
        </is>
      </c>
      <c r="D1337" s="3" t="inlineStr">
        <is>
          <t>KWoverlap = (|Stems(ans)∩Stems(ctx)| / |Stems(ctx)|)^0,65</t>
        </is>
      </c>
      <c r="E1337" s="3" t="inlineStr">
        <is>
          <t>KWoverlap = (|∩|/|ctx|)^0,65 = (21/210)^0,65 = 0.1000^0,65 = 0.2239</t>
        </is>
      </c>
      <c r="F1337" t="n">
        <v>0.2239</v>
      </c>
      <c r="G1337" s="3" t="inlineStr"/>
    </row>
    <row r="1338">
      <c r="A1338" t="n">
        <v>91</v>
      </c>
      <c r="B1338" t="inlineStr">
        <is>
          <t>A</t>
        </is>
      </c>
      <c r="C1338" t="inlineStr">
        <is>
          <t>Hallucination Risk (Pers. 18)</t>
        </is>
      </c>
      <c r="D1338" s="3" t="inlineStr">
        <is>
          <t>Risk = 0,65×(1-F) + 0,20×Contradiction + 0,15×Uncertainty</t>
        </is>
      </c>
      <c r="E1338" s="3" t="inlineStr">
        <is>
          <t>Risk = 0,65×OutOfContext + 0,20×Contradiction + 0,15×Uncertainty = 0,65×0.2328 + 0,20×0.0000 + 0,15×0.00 = 0.1513 [RENDAH]</t>
        </is>
      </c>
      <c r="F1338" t="n">
        <v>0.1513</v>
      </c>
      <c r="G1338" s="3" t="inlineStr">
        <is>
          <t>label: RENDAH; kontradiksi 0/9 kalimat; uncertainty flag: False</t>
        </is>
      </c>
    </row>
    <row r="1339">
      <c r="A1339" t="n">
        <v>91</v>
      </c>
      <c r="B1339" t="inlineStr">
        <is>
          <t>A</t>
        </is>
      </c>
      <c r="C1339" t="inlineStr">
        <is>
          <t>Answer Accuracy (Pers. 20)</t>
        </is>
      </c>
      <c r="D1339" s="3" t="inlineStr">
        <is>
          <t>Correctᵢ ∈ {0,1} via LLM-as-Judge (HASIL: BENAR/SALAH)</t>
        </is>
      </c>
      <c r="E1339" s="3" t="inlineStr">
        <is>
          <t xml:space="preserve">Alasan: Jawaban sistem memang menjawab pertanyaan dengan benar berdasarkan referensi. Dalam referensi, dijelaskan bahwa fungsi memiliki tujuan utama yaitu mengembalikan nilai yang sesuai dengan kondisi-kondisi tertentu. Jika fungsi memiliki dua return, maka return pertama akan dieksekusi ketika kondisi if benar, dan program tidak akan berhenti di situ karena fungsi masih perlu mengeksekusi return </t>
        </is>
      </c>
      <c r="F1339" t="inlineStr">
        <is>
          <t>BENAR</t>
        </is>
      </c>
      <c r="G1339" s="3" t="inlineStr">
        <is>
          <t>evaluator: ollama/llama3</t>
        </is>
      </c>
    </row>
    <row r="1340">
      <c r="A1340" t="n">
        <v>91</v>
      </c>
      <c r="B1340" t="inlineStr">
        <is>
          <t>B</t>
        </is>
      </c>
      <c r="C1340" t="inlineStr">
        <is>
          <t>Faithfulness (Pers. 15)</t>
        </is>
      </c>
      <c r="D1340" s="3" t="inlineStr">
        <is>
          <t>F = 0,70×Entailment + 0,30×KWoverlap</t>
        </is>
      </c>
      <c r="E1340" s="3" t="inlineStr">
        <is>
          <t>Faithfulness = 0,70×Entailment + 0,30×KWoverlap = 0,70×1.0000 + 0,30×0.1291 = 0.7387  (entailment: 3/3 klaim didukung; KWoverlap = (|∩|/|ctx|)^0,65 = (9/210)^0,65 = 0.0429^0,65 = 0.1291)</t>
        </is>
      </c>
      <c r="F1340" t="n">
        <v>0.7387</v>
      </c>
      <c r="G1340" s="3" t="inlineStr">
        <is>
          <t>metode: llm_entailment + keyword</t>
        </is>
      </c>
    </row>
    <row r="1341">
      <c r="A1341" t="n">
        <v>91</v>
      </c>
      <c r="B1341" t="inlineStr">
        <is>
          <t>B</t>
        </is>
      </c>
      <c r="C1341" t="inlineStr">
        <is>
          <t>— Entailment (Pers. 12-13)</t>
        </is>
      </c>
      <c r="D1341" s="3" t="inlineStr">
        <is>
          <t>Entailment = Σverdict(sᵢ)/m</t>
        </is>
      </c>
      <c r="E1341" s="3" t="inlineStr">
        <is>
          <t>3 klaim YA dari 3 klaim dievaluasi</t>
        </is>
      </c>
      <c r="F1341" t="n">
        <v>1</v>
      </c>
      <c r="G1341" s="3" t="inlineStr">
        <is>
          <t>verdict per klaim: sheet 'Entailment Detail'</t>
        </is>
      </c>
    </row>
    <row r="1342">
      <c r="A1342" t="n">
        <v>91</v>
      </c>
      <c r="B1342" t="inlineStr">
        <is>
          <t>B</t>
        </is>
      </c>
      <c r="C1342" t="inlineStr">
        <is>
          <t>— Keyword Overlap (Pers. 14)</t>
        </is>
      </c>
      <c r="D1342" s="3" t="inlineStr">
        <is>
          <t>KWoverlap = (|Stems(ans)∩Stems(ctx)| / |Stems(ctx)|)^0,65</t>
        </is>
      </c>
      <c r="E1342" s="3" t="inlineStr">
        <is>
          <t>KWoverlap = (|∩|/|ctx|)^0,65 = (9/210)^0,65 = 0.0429^0,65 = 0.1291</t>
        </is>
      </c>
      <c r="F1342" t="n">
        <v>0.1291</v>
      </c>
      <c r="G1342" s="3" t="inlineStr"/>
    </row>
    <row r="1343">
      <c r="A1343" t="n">
        <v>91</v>
      </c>
      <c r="B1343" t="inlineStr">
        <is>
          <t>B</t>
        </is>
      </c>
      <c r="C1343" t="inlineStr">
        <is>
          <t>Hallucination Risk (Pers. 18)</t>
        </is>
      </c>
      <c r="D1343" s="3" t="inlineStr">
        <is>
          <t>Risk = 0,65×(1-F) + 0,20×Contradiction + 0,15×Uncertainty</t>
        </is>
      </c>
      <c r="E1343" s="3" t="inlineStr">
        <is>
          <t>Risk = 0,65×OutOfContext + 0,20×Contradiction + 0,15×Uncertainty = 0,65×0.2613 + 0,20×0.0000 + 0,15×0.00 = 0.1698 [RENDAH]</t>
        </is>
      </c>
      <c r="F1343" t="n">
        <v>0.1698</v>
      </c>
      <c r="G1343" s="3" t="inlineStr">
        <is>
          <t>label: RENDAH; kontradiksi 0/3 kalimat; uncertainty flag: False</t>
        </is>
      </c>
    </row>
    <row r="1344">
      <c r="A1344" t="n">
        <v>91</v>
      </c>
      <c r="B1344" t="inlineStr">
        <is>
          <t>B</t>
        </is>
      </c>
      <c r="C1344" t="inlineStr">
        <is>
          <t>Answer Accuracy (Pers. 20)</t>
        </is>
      </c>
      <c r="D1344" s="3" t="inlineStr">
        <is>
          <t>Correctᵢ ∈ {0,1} via LLM-as-Judge (HASIL: BENAR/SALAH)</t>
        </is>
      </c>
      <c r="E1344" s="3" t="inlineStr">
        <is>
          <t>BENAR</t>
        </is>
      </c>
      <c r="F1344" t="inlineStr">
        <is>
          <t>BENAR</t>
        </is>
      </c>
      <c r="G1344" s="3" t="inlineStr">
        <is>
          <t>evaluator: ollama/llama3</t>
        </is>
      </c>
    </row>
    <row r="1345">
      <c r="A1345" t="n">
        <v>92</v>
      </c>
      <c r="B1345" t="inlineStr">
        <is>
          <t>A</t>
        </is>
      </c>
      <c r="C1345" t="inlineStr">
        <is>
          <t>Precision@K (Pers. 2)</t>
        </is>
      </c>
      <c r="D1345" s="3" t="inlineStr">
        <is>
          <t>Precision@K = |{d ∈ TopK : sim(q,d) ≥ θ}| / K</t>
        </is>
      </c>
      <c r="E1345" s="3" t="inlineStr">
        <is>
          <t>skor = [0.7717, 0.7623, 0.7613, 0.76, 0.7598, 0.758] → 6 / 6</t>
        </is>
      </c>
      <c r="F1345" t="n">
        <v>1</v>
      </c>
      <c r="G1345" s="3" t="inlineStr">
        <is>
          <t>basis: skor chunk nyata (sesuai contoh Pers. 2 skripsi)</t>
        </is>
      </c>
    </row>
    <row r="1346">
      <c r="A1346" t="n">
        <v>92</v>
      </c>
      <c r="B1346" t="inlineStr">
        <is>
          <t>A</t>
        </is>
      </c>
      <c r="C1346" t="inlineStr">
        <is>
          <t>Recall@K (Pers. 4)</t>
        </is>
      </c>
      <c r="D1346" s="3" t="inlineStr">
        <is>
          <t>Recall@K = |{kata kunci ditemukan : sim ≥ θ}| / |R|</t>
        </is>
      </c>
      <c r="E1346" s="3" t="inlineStr">
        <is>
          <t>skor = [0.6544, 0.6112, 0.5472, 0.5203, 0.4568, 0.4411] → 6 / 6</t>
        </is>
      </c>
      <c r="F1346" t="n">
        <v>1</v>
      </c>
      <c r="G1346" s="3" t="inlineStr"/>
    </row>
    <row r="1347">
      <c r="A1347" t="n">
        <v>92</v>
      </c>
      <c r="B1347" t="inlineStr">
        <is>
          <t>A</t>
        </is>
      </c>
      <c r="C1347" t="inlineStr">
        <is>
          <t>Mean Similarity (Pers. 6)</t>
        </is>
      </c>
      <c r="D1347" s="3" t="inlineStr">
        <is>
          <t>MeanSim = (1/K) × Σ sim(q, dᵢ)</t>
        </is>
      </c>
      <c r="E1347" s="3" t="inlineStr">
        <is>
          <t>skor = [0.7717, 0.7623, 0.7613, 0.76, 0.7598, 0.758] → (0.7717 + 0.7623 + 0.7613 + 0.7600 + 0.7598 + 0.7580) / 6</t>
        </is>
      </c>
      <c r="F1347" t="n">
        <v>0.7622</v>
      </c>
      <c r="G1347" s="3" t="inlineStr"/>
    </row>
    <row r="1348">
      <c r="A1348" t="n">
        <v>92</v>
      </c>
      <c r="B1348" t="inlineStr">
        <is>
          <t>A</t>
        </is>
      </c>
      <c r="C1348" t="inlineStr">
        <is>
          <t>Coverage (Pers. 8)</t>
        </is>
      </c>
      <c r="D1348" s="3" t="inlineStr">
        <is>
          <t>Coverage = |{dᵢ ∈ TopK : sim(q,dᵢ) ≥ θc}| / K</t>
        </is>
      </c>
      <c r="E1348" s="3" t="inlineStr">
        <is>
          <t>skor = [0.7717, 0.7623, 0.7613, 0.76, 0.7598, 0.758] → 6 / 6</t>
        </is>
      </c>
      <c r="F1348" t="n">
        <v>1</v>
      </c>
      <c r="G1348" s="3" t="inlineStr"/>
    </row>
    <row r="1349">
      <c r="A1349" t="n">
        <v>92</v>
      </c>
      <c r="B1349" t="inlineStr">
        <is>
          <t>A</t>
        </is>
      </c>
      <c r="C1349" t="inlineStr">
        <is>
          <t>Source Diversity (Pers. 10)</t>
        </is>
      </c>
      <c r="D1349" s="3" t="inlineStr">
        <is>
          <t>Diversity = |sumber unik dalam TopK| / K</t>
        </is>
      </c>
      <c r="E1349" s="3" t="inlineStr">
        <is>
          <t>skor = ['GT_DETAIL_PT07_Notasi_Algoritme.txt', 'GT_DETAIL_PT12_Fungsi.txt', 'GT_SUBTOPIK_02_Abstraksi_Formulasi.txt', 'GT_SUBTOPIK_05_Pseudocode_Algoritme.txt', 'GT_SUBTOPIK_11_Rekursi.txt', 'GT_SUBTOPIK_14_Kompleksitas_BigO.txt'] → 6 / 6</t>
        </is>
      </c>
      <c r="F1349" t="n">
        <v>1</v>
      </c>
      <c r="G1349" s="3" t="inlineStr">
        <is>
          <t>file unik: GT_DETAIL_PT07_Notasi_Algoritme.txt, GT_DETAIL_PT12_Fungsi.txt, GT_SUBTOPIK_02_Abstraksi_Formulasi.txt, GT_SUBTOPIK_05_Pseudocode_Algoritme.txt, GT_SUBTOPIK_11_Rekursi.txt, GT_SUBTOPIK_14_Kompleksitas_BigO.txt</t>
        </is>
      </c>
    </row>
    <row r="1350">
      <c r="A1350" t="n">
        <v>92</v>
      </c>
      <c r="B1350" t="inlineStr">
        <is>
          <t>A</t>
        </is>
      </c>
      <c r="C1350" t="inlineStr">
        <is>
          <t>Faithfulness (Pers. 15)</t>
        </is>
      </c>
      <c r="D1350" s="3" t="inlineStr">
        <is>
          <t>F = 0,70×Entailment + 0,30×KWoverlap</t>
        </is>
      </c>
      <c r="E1350" s="3" t="inlineStr">
        <is>
          <t>Faithfulness = 0,70×Entailment + 0,30×KWoverlap = 0,70×1.0000 + 0,30×0.1984 = 0.7595  (entailment: 6/6 klaim didukung; KWoverlap = (|∩|/|ctx|)^0,65 = (23/277)^0,65 = 0.0830^0,65 = 0.1984)</t>
        </is>
      </c>
      <c r="F1350" t="n">
        <v>0.7595</v>
      </c>
      <c r="G1350" s="3" t="inlineStr">
        <is>
          <t>metode: llm_entailment + keyword</t>
        </is>
      </c>
    </row>
    <row r="1351">
      <c r="A1351" t="n">
        <v>92</v>
      </c>
      <c r="B1351" t="inlineStr">
        <is>
          <t>A</t>
        </is>
      </c>
      <c r="C1351" t="inlineStr">
        <is>
          <t>— Entailment (Pers. 12-13)</t>
        </is>
      </c>
      <c r="D1351" s="3" t="inlineStr">
        <is>
          <t>Entailment = Σverdict(sᵢ)/m</t>
        </is>
      </c>
      <c r="E1351" s="3" t="inlineStr">
        <is>
          <t>6 klaim YA dari 6 klaim dievaluasi</t>
        </is>
      </c>
      <c r="F1351" t="n">
        <v>1</v>
      </c>
      <c r="G1351" s="3" t="inlineStr">
        <is>
          <t>verdict per klaim: sheet 'Entailment Detail'</t>
        </is>
      </c>
    </row>
    <row r="1352">
      <c r="A1352" t="n">
        <v>92</v>
      </c>
      <c r="B1352" t="inlineStr">
        <is>
          <t>A</t>
        </is>
      </c>
      <c r="C1352" t="inlineStr">
        <is>
          <t>— Keyword Overlap (Pers. 14)</t>
        </is>
      </c>
      <c r="D1352" s="3" t="inlineStr">
        <is>
          <t>KWoverlap = (|Stems(ans)∩Stems(ctx)| / |Stems(ctx)|)^0,65</t>
        </is>
      </c>
      <c r="E1352" s="3" t="inlineStr">
        <is>
          <t>KWoverlap = (|∩|/|ctx|)^0,65 = (23/277)^0,65 = 0.0830^0,65 = 0.1984</t>
        </is>
      </c>
      <c r="F1352" t="n">
        <v>0.1984</v>
      </c>
      <c r="G1352" s="3" t="inlineStr"/>
    </row>
    <row r="1353">
      <c r="A1353" t="n">
        <v>92</v>
      </c>
      <c r="B1353" t="inlineStr">
        <is>
          <t>A</t>
        </is>
      </c>
      <c r="C1353" t="inlineStr">
        <is>
          <t>Hallucination Risk (Pers. 18)</t>
        </is>
      </c>
      <c r="D1353" s="3" t="inlineStr">
        <is>
          <t>Risk = 0,65×(1-F) + 0,20×Contradiction + 0,15×Uncertainty</t>
        </is>
      </c>
      <c r="E1353" s="3" t="inlineStr">
        <is>
          <t>Risk = 0,65×OutOfContext + 0,20×Contradiction + 0,15×Uncertainty = 0,65×0.2405 + 0,20×0.0000 + 0,15×0.20 = 0.1863 [RENDAH]</t>
        </is>
      </c>
      <c r="F1353" t="n">
        <v>0.1863</v>
      </c>
      <c r="G1353" s="3" t="inlineStr">
        <is>
          <t>label: RENDAH; kontradiksi 0/7 kalimat; uncertainty flag: True</t>
        </is>
      </c>
    </row>
    <row r="1354">
      <c r="A1354" t="n">
        <v>92</v>
      </c>
      <c r="B1354" t="inlineStr">
        <is>
          <t>A</t>
        </is>
      </c>
      <c r="C1354" t="inlineStr">
        <is>
          <t>Answer Accuracy (Pers. 20)</t>
        </is>
      </c>
      <c r="D1354" s="3" t="inlineStr">
        <is>
          <t>Correctᵢ ∈ {0,1} via LLM-as-Judge (HASIL: BENAR/SALAH)</t>
        </is>
      </c>
      <c r="E1354" s="3" t="inlineStr"/>
      <c r="F1354" t="inlineStr">
        <is>
          <t>BENAR</t>
        </is>
      </c>
      <c r="G1354" s="3" t="inlineStr">
        <is>
          <t>evaluator: ollama/llama3</t>
        </is>
      </c>
    </row>
    <row r="1355">
      <c r="A1355" t="n">
        <v>92</v>
      </c>
      <c r="B1355" t="inlineStr">
        <is>
          <t>B</t>
        </is>
      </c>
      <c r="C1355" t="inlineStr">
        <is>
          <t>Faithfulness (Pers. 15)</t>
        </is>
      </c>
      <c r="D1355" s="3" t="inlineStr">
        <is>
          <t>F = 0,70×Entailment + 0,30×KWoverlap</t>
        </is>
      </c>
      <c r="E1355" s="3" t="inlineStr">
        <is>
          <t>Faithfulness = 0,70×Entailment + 0,30×KWoverlap = 0,70×1.0000 + 0,30×0.1752 = 0.7526  (entailment: 6/6 klaim didukung; KWoverlap = (|∩|/|ctx|)^0,65 = (19/277)^0,65 = 0.0686^0,65 = 0.1752)</t>
        </is>
      </c>
      <c r="F1355" t="n">
        <v>0.7526</v>
      </c>
      <c r="G1355" s="3" t="inlineStr">
        <is>
          <t>metode: llm_entailment + keyword</t>
        </is>
      </c>
    </row>
    <row r="1356">
      <c r="A1356" t="n">
        <v>92</v>
      </c>
      <c r="B1356" t="inlineStr">
        <is>
          <t>B</t>
        </is>
      </c>
      <c r="C1356" t="inlineStr">
        <is>
          <t>— Entailment (Pers. 12-13)</t>
        </is>
      </c>
      <c r="D1356" s="3" t="inlineStr">
        <is>
          <t>Entailment = Σverdict(sᵢ)/m</t>
        </is>
      </c>
      <c r="E1356" s="3" t="inlineStr">
        <is>
          <t>6 klaim YA dari 6 klaim dievaluasi</t>
        </is>
      </c>
      <c r="F1356" t="n">
        <v>1</v>
      </c>
      <c r="G1356" s="3" t="inlineStr">
        <is>
          <t>verdict per klaim: sheet 'Entailment Detail'</t>
        </is>
      </c>
    </row>
    <row r="1357">
      <c r="A1357" t="n">
        <v>92</v>
      </c>
      <c r="B1357" t="inlineStr">
        <is>
          <t>B</t>
        </is>
      </c>
      <c r="C1357" t="inlineStr">
        <is>
          <t>— Keyword Overlap (Pers. 14)</t>
        </is>
      </c>
      <c r="D1357" s="3" t="inlineStr">
        <is>
          <t>KWoverlap = (|Stems(ans)∩Stems(ctx)| / |Stems(ctx)|)^0,65</t>
        </is>
      </c>
      <c r="E1357" s="3" t="inlineStr">
        <is>
          <t>KWoverlap = (|∩|/|ctx|)^0,65 = (19/277)^0,65 = 0.0686^0,65 = 0.1752</t>
        </is>
      </c>
      <c r="F1357" t="n">
        <v>0.1752</v>
      </c>
      <c r="G1357" s="3" t="inlineStr"/>
    </row>
    <row r="1358">
      <c r="A1358" t="n">
        <v>92</v>
      </c>
      <c r="B1358" t="inlineStr">
        <is>
          <t>B</t>
        </is>
      </c>
      <c r="C1358" t="inlineStr">
        <is>
          <t>Hallucination Risk (Pers. 18)</t>
        </is>
      </c>
      <c r="D1358" s="3" t="inlineStr">
        <is>
          <t>Risk = 0,65×(1-F) + 0,20×Contradiction + 0,15×Uncertainty</t>
        </is>
      </c>
      <c r="E1358" s="3" t="inlineStr">
        <is>
          <t>Risk = 0,65×OutOfContext + 0,20×Contradiction + 0,15×Uncertainty = 0,65×0.2474 + 0,20×0.0000 + 0,15×0.00 = 0.1608 [RENDAH]</t>
        </is>
      </c>
      <c r="F1358" t="n">
        <v>0.1608</v>
      </c>
      <c r="G1358" s="3" t="inlineStr">
        <is>
          <t>label: RENDAH; kontradiksi 0/11 kalimat; uncertainty flag: False</t>
        </is>
      </c>
    </row>
    <row r="1359">
      <c r="A1359" t="n">
        <v>92</v>
      </c>
      <c r="B1359" t="inlineStr">
        <is>
          <t>B</t>
        </is>
      </c>
      <c r="C1359" t="inlineStr">
        <is>
          <t>Answer Accuracy (Pers. 20)</t>
        </is>
      </c>
      <c r="D1359" s="3" t="inlineStr">
        <is>
          <t>Correctᵢ ∈ {0,1} via LLM-as-Judge (HASIL: BENAR/SALAH)</t>
        </is>
      </c>
      <c r="E1359" s="3" t="inlineStr">
        <is>
          <t>BENAR</t>
        </is>
      </c>
      <c r="F1359" t="inlineStr">
        <is>
          <t>BENAR</t>
        </is>
      </c>
      <c r="G1359" s="3" t="inlineStr">
        <is>
          <t>evaluator: ollama/llama3</t>
        </is>
      </c>
    </row>
    <row r="1360">
      <c r="A1360" t="n">
        <v>93</v>
      </c>
      <c r="B1360" t="inlineStr">
        <is>
          <t>A</t>
        </is>
      </c>
      <c r="C1360" t="inlineStr">
        <is>
          <t>Precision@K (Pers. 2)</t>
        </is>
      </c>
      <c r="D1360" s="3" t="inlineStr">
        <is>
          <t>Precision@K = |{d ∈ TopK : sim(q,d) ≥ θ}| / K</t>
        </is>
      </c>
      <c r="E1360" s="3" t="inlineStr">
        <is>
          <t>skor = [0.7621, 0.7291, 0.7241, 0.7115, 0.6951, 0.6939] → 6 / 6</t>
        </is>
      </c>
      <c r="F1360" t="n">
        <v>1</v>
      </c>
      <c r="G1360" s="3" t="inlineStr">
        <is>
          <t>basis: skor chunk nyata (sesuai contoh Pers. 2 skripsi)</t>
        </is>
      </c>
    </row>
    <row r="1361">
      <c r="A1361" t="n">
        <v>93</v>
      </c>
      <c r="B1361" t="inlineStr">
        <is>
          <t>A</t>
        </is>
      </c>
      <c r="C1361" t="inlineStr">
        <is>
          <t>Recall@K (Pers. 4)</t>
        </is>
      </c>
      <c r="D1361" s="3" t="inlineStr">
        <is>
          <t>Recall@K = |{kata kunci ditemukan : sim ≥ θ}| / |R|</t>
        </is>
      </c>
      <c r="E1361" s="3" t="inlineStr">
        <is>
          <t>skor = [0.7124, 0.544, 0.4884, 0.4822, 0.4441, 0.3775] → 6 / 6</t>
        </is>
      </c>
      <c r="F1361" t="n">
        <v>1</v>
      </c>
      <c r="G1361" s="3" t="inlineStr"/>
    </row>
    <row r="1362">
      <c r="A1362" t="n">
        <v>93</v>
      </c>
      <c r="B1362" t="inlineStr">
        <is>
          <t>A</t>
        </is>
      </c>
      <c r="C1362" t="inlineStr">
        <is>
          <t>Mean Similarity (Pers. 6)</t>
        </is>
      </c>
      <c r="D1362" s="3" t="inlineStr">
        <is>
          <t>MeanSim = (1/K) × Σ sim(q, dᵢ)</t>
        </is>
      </c>
      <c r="E1362" s="3" t="inlineStr">
        <is>
          <t>skor = [0.7621, 0.7291, 0.7241, 0.7115, 0.6951, 0.6939] → (0.7621 + 0.7291 + 0.7241 + 0.7115 + 0.6951 + 0.6939) / 6</t>
        </is>
      </c>
      <c r="F1362" t="n">
        <v>0.7193000000000001</v>
      </c>
      <c r="G1362" s="3" t="inlineStr"/>
    </row>
    <row r="1363">
      <c r="A1363" t="n">
        <v>93</v>
      </c>
      <c r="B1363" t="inlineStr">
        <is>
          <t>A</t>
        </is>
      </c>
      <c r="C1363" t="inlineStr">
        <is>
          <t>Coverage (Pers. 8)</t>
        </is>
      </c>
      <c r="D1363" s="3" t="inlineStr">
        <is>
          <t>Coverage = |{dᵢ ∈ TopK : sim(q,dᵢ) ≥ θc}| / K</t>
        </is>
      </c>
      <c r="E1363" s="3" t="inlineStr">
        <is>
          <t>skor = [0.7621, 0.7291, 0.7241, 0.7115, 0.6951, 0.6939] → 6 / 6</t>
        </is>
      </c>
      <c r="F1363" t="n">
        <v>1</v>
      </c>
      <c r="G1363" s="3" t="inlineStr"/>
    </row>
    <row r="1364">
      <c r="A1364" t="n">
        <v>93</v>
      </c>
      <c r="B1364" t="inlineStr">
        <is>
          <t>A</t>
        </is>
      </c>
      <c r="C1364" t="inlineStr">
        <is>
          <t>Source Diversity (Pers. 10)</t>
        </is>
      </c>
      <c r="D1364" s="3" t="inlineStr">
        <is>
          <t>Diversity = |sumber unik dalam TopK| / K</t>
        </is>
      </c>
      <c r="E1364" s="3" t="inlineStr">
        <is>
          <t>skor = ['GT_CT10.txt', 'GT_CT11.txt', 'GT_DETAIL_PT11_Perulangan.txt', 'GT_SUBTOPIK_14_Kompleksitas_BigO.txt'] → 4 / 6</t>
        </is>
      </c>
      <c r="F1364" t="n">
        <v>0.6667</v>
      </c>
      <c r="G1364" s="3" t="inlineStr">
        <is>
          <t>file unik: GT_CT10.txt, GT_CT11.txt, GT_DETAIL_PT11_Perulangan.txt, GT_SUBTOPIK_14_Kompleksitas_BigO.txt</t>
        </is>
      </c>
    </row>
    <row r="1365">
      <c r="A1365" t="n">
        <v>93</v>
      </c>
      <c r="B1365" t="inlineStr">
        <is>
          <t>A</t>
        </is>
      </c>
      <c r="C1365" t="inlineStr">
        <is>
          <t>Faithfulness (Pers. 15)</t>
        </is>
      </c>
      <c r="D1365" s="3" t="inlineStr">
        <is>
          <t>F = 0,70×Entailment + 0,30×KWoverlap</t>
        </is>
      </c>
      <c r="E1365" s="3" t="inlineStr">
        <is>
          <t>Faithfulness = 0,70×Entailment + 0,30×KWoverlap = 0,70×0.8333 + 0,30×0.3420 = 0.6859  (entailment: 5/6 klaim didukung; KWoverlap = (|∩|/|ctx|)^0,65 = (38/198)^0,65 = 0.1919^0,65 = 0.3420)</t>
        </is>
      </c>
      <c r="F1365" t="n">
        <v>0.6859</v>
      </c>
      <c r="G1365" s="3" t="inlineStr">
        <is>
          <t>metode: llm_entailment + keyword</t>
        </is>
      </c>
    </row>
    <row r="1366">
      <c r="A1366" t="n">
        <v>93</v>
      </c>
      <c r="B1366" t="inlineStr">
        <is>
          <t>A</t>
        </is>
      </c>
      <c r="C1366" t="inlineStr">
        <is>
          <t>— Entailment (Pers. 12-13)</t>
        </is>
      </c>
      <c r="D1366" s="3" t="inlineStr">
        <is>
          <t>Entailment = Σverdict(sᵢ)/m</t>
        </is>
      </c>
      <c r="E1366" s="3" t="inlineStr">
        <is>
          <t>5 klaim YA dari 6 klaim dievaluasi</t>
        </is>
      </c>
      <c r="F1366" t="n">
        <v>0.8333</v>
      </c>
      <c r="G1366" s="3" t="inlineStr">
        <is>
          <t>verdict per klaim: sheet 'Entailment Detail'</t>
        </is>
      </c>
    </row>
    <row r="1367">
      <c r="A1367" t="n">
        <v>93</v>
      </c>
      <c r="B1367" t="inlineStr">
        <is>
          <t>A</t>
        </is>
      </c>
      <c r="C1367" t="inlineStr">
        <is>
          <t>— Keyword Overlap (Pers. 14)</t>
        </is>
      </c>
      <c r="D1367" s="3" t="inlineStr">
        <is>
          <t>KWoverlap = (|Stems(ans)∩Stems(ctx)| / |Stems(ctx)|)^0,65</t>
        </is>
      </c>
      <c r="E1367" s="3" t="inlineStr">
        <is>
          <t>KWoverlap = (|∩|/|ctx|)^0,65 = (38/198)^0,65 = 0.1919^0,65 = 0.3420</t>
        </is>
      </c>
      <c r="F1367" t="n">
        <v>0.342</v>
      </c>
      <c r="G1367" s="3" t="inlineStr"/>
    </row>
    <row r="1368">
      <c r="A1368" t="n">
        <v>93</v>
      </c>
      <c r="B1368" t="inlineStr">
        <is>
          <t>A</t>
        </is>
      </c>
      <c r="C1368" t="inlineStr">
        <is>
          <t>Hallucination Risk (Pers. 18)</t>
        </is>
      </c>
      <c r="D1368" s="3" t="inlineStr">
        <is>
          <t>Risk = 0,65×(1-F) + 0,20×Contradiction + 0,15×Uncertainty</t>
        </is>
      </c>
      <c r="E1368" s="3" t="inlineStr">
        <is>
          <t>Risk = 0,65×OutOfContext + 0,20×Contradiction + 0,15×Uncertainty = 0,65×0.3141 + 0,20×0.0000 + 0,15×0.00 = 0.2042 [RENDAH]</t>
        </is>
      </c>
      <c r="F1368" t="n">
        <v>0.2042</v>
      </c>
      <c r="G1368" s="3" t="inlineStr">
        <is>
          <t>label: RENDAH; kontradiksi 0/10 kalimat; uncertainty flag: False</t>
        </is>
      </c>
    </row>
    <row r="1369">
      <c r="A1369" t="n">
        <v>93</v>
      </c>
      <c r="B1369" t="inlineStr">
        <is>
          <t>A</t>
        </is>
      </c>
      <c r="C1369" t="inlineStr">
        <is>
          <t>Answer Accuracy (Pers. 20)</t>
        </is>
      </c>
      <c r="D1369" s="3" t="inlineStr">
        <is>
          <t>Correctᵢ ∈ {0,1} via LLM-as-Judge (HASIL: BENAR/SALAH)</t>
        </is>
      </c>
      <c r="E1369" s="3" t="inlineStr">
        <is>
          <t>Jawaban sistem: 
Rincian: Jawaban sistem menjelaskan konsep perulangan bersarang (nested loop) dan cara membedakan antara algoritme yang sangat lambat dengan yang benar-benar infinite loop, sehingga jawaban sistem sesuai dengan referensi.</t>
        </is>
      </c>
      <c r="F1369" t="inlineStr">
        <is>
          <t>BENAR</t>
        </is>
      </c>
      <c r="G1369" s="3" t="inlineStr">
        <is>
          <t>evaluator: ollama/llama3</t>
        </is>
      </c>
    </row>
    <row r="1370">
      <c r="A1370" t="n">
        <v>93</v>
      </c>
      <c r="B1370" t="inlineStr">
        <is>
          <t>B</t>
        </is>
      </c>
      <c r="C1370" t="inlineStr">
        <is>
          <t>Faithfulness (Pers. 15)</t>
        </is>
      </c>
      <c r="D1370" s="3" t="inlineStr">
        <is>
          <t>F = 0,70×Entailment + 0,30×KWoverlap</t>
        </is>
      </c>
      <c r="E1370" s="3" t="inlineStr">
        <is>
          <t>Faithfulness = 0,70×Entailment + 0,30×KWoverlap = 0,70×1.0000 + 0,30×0.2869 = 0.7861  (entailment: 6/6 klaim didukung; KWoverlap = (|∩|/|ctx|)^0,65 = (29/198)^0,65 = 0.1465^0,65 = 0.2869)</t>
        </is>
      </c>
      <c r="F1370" t="n">
        <v>0.7861</v>
      </c>
      <c r="G1370" s="3" t="inlineStr">
        <is>
          <t>metode: llm_entailment + keyword</t>
        </is>
      </c>
    </row>
    <row r="1371">
      <c r="A1371" t="n">
        <v>93</v>
      </c>
      <c r="B1371" t="inlineStr">
        <is>
          <t>B</t>
        </is>
      </c>
      <c r="C1371" t="inlineStr">
        <is>
          <t>— Entailment (Pers. 12-13)</t>
        </is>
      </c>
      <c r="D1371" s="3" t="inlineStr">
        <is>
          <t>Entailment = Σverdict(sᵢ)/m</t>
        </is>
      </c>
      <c r="E1371" s="3" t="inlineStr">
        <is>
          <t>6 klaim YA dari 6 klaim dievaluasi</t>
        </is>
      </c>
      <c r="F1371" t="n">
        <v>1</v>
      </c>
      <c r="G1371" s="3" t="inlineStr">
        <is>
          <t>verdict per klaim: sheet 'Entailment Detail'</t>
        </is>
      </c>
    </row>
    <row r="1372">
      <c r="A1372" t="n">
        <v>93</v>
      </c>
      <c r="B1372" t="inlineStr">
        <is>
          <t>B</t>
        </is>
      </c>
      <c r="C1372" t="inlineStr">
        <is>
          <t>— Keyword Overlap (Pers. 14)</t>
        </is>
      </c>
      <c r="D1372" s="3" t="inlineStr">
        <is>
          <t>KWoverlap = (|Stems(ans)∩Stems(ctx)| / |Stems(ctx)|)^0,65</t>
        </is>
      </c>
      <c r="E1372" s="3" t="inlineStr">
        <is>
          <t>KWoverlap = (|∩|/|ctx|)^0,65 = (29/198)^0,65 = 0.1465^0,65 = 0.2869</t>
        </is>
      </c>
      <c r="F1372" t="n">
        <v>0.2869</v>
      </c>
      <c r="G1372" s="3" t="inlineStr"/>
    </row>
    <row r="1373">
      <c r="A1373" t="n">
        <v>93</v>
      </c>
      <c r="B1373" t="inlineStr">
        <is>
          <t>B</t>
        </is>
      </c>
      <c r="C1373" t="inlineStr">
        <is>
          <t>Hallucination Risk (Pers. 18)</t>
        </is>
      </c>
      <c r="D1373" s="3" t="inlineStr">
        <is>
          <t>Risk = 0,65×(1-F) + 0,20×Contradiction + 0,15×Uncertainty</t>
        </is>
      </c>
      <c r="E1373" s="3" t="inlineStr">
        <is>
          <t>Risk = 0,65×OutOfContext + 0,20×Contradiction + 0,15×Uncertainty = 0,65×0.2139 + 0,20×0.0000 + 0,15×0.20 = 0.1690 [RENDAH]</t>
        </is>
      </c>
      <c r="F1373" t="n">
        <v>0.169</v>
      </c>
      <c r="G1373" s="3" t="inlineStr">
        <is>
          <t>label: RENDAH; kontradiksi 0/21 kalimat; uncertainty flag: True</t>
        </is>
      </c>
    </row>
    <row r="1374">
      <c r="A1374" t="n">
        <v>93</v>
      </c>
      <c r="B1374" t="inlineStr">
        <is>
          <t>B</t>
        </is>
      </c>
      <c r="C1374" t="inlineStr">
        <is>
          <t>Answer Accuracy (Pers. 20)</t>
        </is>
      </c>
      <c r="D1374" s="3" t="inlineStr">
        <is>
          <t>Correctᵢ ∈ {0,1} via LLM-as-Judge (HASIL: BENAR/SALAH)</t>
        </is>
      </c>
      <c r="E1374" s="3" t="inlineStr">
        <is>
          <t>Jawaban sistem: 
Alasan: Jawaban sistem tidak sesuai dengan referensi yang diberikan. Menurut referensi, infinite loop terjadi jika kondisi tidak pernah False, sehingga body program tidak pernah dihentikan. Namun, dalam kasus yang diperlihatkan, program berlangsung lama namun belum selesai, maka tidak dapat dikatakan sebagai infinite loop. Dengan demikian, jawaban sistem salah.</t>
        </is>
      </c>
      <c r="F1374" t="inlineStr">
        <is>
          <t>SALAH</t>
        </is>
      </c>
      <c r="G1374" s="3" t="inlineStr">
        <is>
          <t>evaluator: ollama/llama3</t>
        </is>
      </c>
    </row>
    <row r="1375">
      <c r="A1375" t="n">
        <v>94</v>
      </c>
      <c r="B1375" t="inlineStr">
        <is>
          <t>A</t>
        </is>
      </c>
      <c r="C1375" t="inlineStr">
        <is>
          <t>Precision@K (Pers. 2)</t>
        </is>
      </c>
      <c r="D1375" s="3" t="inlineStr">
        <is>
          <t>Precision@K = |{d ∈ TopK : sim(q,d) ≥ θ}| / K</t>
        </is>
      </c>
      <c r="E1375" s="3" t="inlineStr">
        <is>
          <t>skor = [0.8496, 0.8156, 0.8025, 0.7797, 0.7632, 0.7626] → 6 / 6</t>
        </is>
      </c>
      <c r="F1375" t="n">
        <v>1</v>
      </c>
      <c r="G1375" s="3" t="inlineStr">
        <is>
          <t>basis: skor chunk nyata (sesuai contoh Pers. 2 skripsi)</t>
        </is>
      </c>
    </row>
    <row r="1376">
      <c r="A1376" t="n">
        <v>94</v>
      </c>
      <c r="B1376" t="inlineStr">
        <is>
          <t>A</t>
        </is>
      </c>
      <c r="C1376" t="inlineStr">
        <is>
          <t>Recall@K (Pers. 4)</t>
        </is>
      </c>
      <c r="D1376" s="3" t="inlineStr">
        <is>
          <t>Recall@K = |{kata kunci ditemukan : sim ≥ θ}| / |R|</t>
        </is>
      </c>
      <c r="E1376" s="3" t="inlineStr">
        <is>
          <t>skor = [0.6114, 0.5603, 0.4943, 0.4917, 0.461, 0.4255] → 6 / 6</t>
        </is>
      </c>
      <c r="F1376" t="n">
        <v>1</v>
      </c>
      <c r="G1376" s="3" t="inlineStr"/>
    </row>
    <row r="1377">
      <c r="A1377" t="n">
        <v>94</v>
      </c>
      <c r="B1377" t="inlineStr">
        <is>
          <t>A</t>
        </is>
      </c>
      <c r="C1377" t="inlineStr">
        <is>
          <t>Mean Similarity (Pers. 6)</t>
        </is>
      </c>
      <c r="D1377" s="3" t="inlineStr">
        <is>
          <t>MeanSim = (1/K) × Σ sim(q, dᵢ)</t>
        </is>
      </c>
      <c r="E1377" s="3" t="inlineStr">
        <is>
          <t>skor = [0.8496, 0.8156, 0.8025, 0.7797, 0.7632, 0.7626] → (0.8496 + 0.8156 + 0.8025 + 0.7797 + 0.7632 + 0.7626) / 6</t>
        </is>
      </c>
      <c r="F1377" t="n">
        <v>0.7955</v>
      </c>
      <c r="G1377" s="3" t="inlineStr"/>
    </row>
    <row r="1378">
      <c r="A1378" t="n">
        <v>94</v>
      </c>
      <c r="B1378" t="inlineStr">
        <is>
          <t>A</t>
        </is>
      </c>
      <c r="C1378" t="inlineStr">
        <is>
          <t>Coverage (Pers. 8)</t>
        </is>
      </c>
      <c r="D1378" s="3" t="inlineStr">
        <is>
          <t>Coverage = |{dᵢ ∈ TopK : sim(q,dᵢ) ≥ θc}| / K</t>
        </is>
      </c>
      <c r="E1378" s="3" t="inlineStr">
        <is>
          <t>skor = [0.8496, 0.8156, 0.8025, 0.7797, 0.7632, 0.7626] → 6 / 6</t>
        </is>
      </c>
      <c r="F1378" t="n">
        <v>1</v>
      </c>
      <c r="G1378" s="3" t="inlineStr"/>
    </row>
    <row r="1379">
      <c r="A1379" t="n">
        <v>94</v>
      </c>
      <c r="B1379" t="inlineStr">
        <is>
          <t>A</t>
        </is>
      </c>
      <c r="C1379" t="inlineStr">
        <is>
          <t>Source Diversity (Pers. 10)</t>
        </is>
      </c>
      <c r="D1379" s="3" t="inlineStr">
        <is>
          <t>Diversity = |sumber unik dalam TopK| / K</t>
        </is>
      </c>
      <c r="E1379" s="3" t="inlineStr">
        <is>
          <t>skor = ['GT_DETAIL_PT12_Fungsi.txt', 'GT_SUBTOPIK_11_Rekursi.txt', 'GT_SUBTOPIK_14_Kompleksitas_BigO.txt'] → 3 / 6</t>
        </is>
      </c>
      <c r="F1379" t="n">
        <v>0.5</v>
      </c>
      <c r="G1379" s="3" t="inlineStr">
        <is>
          <t>file unik: GT_DETAIL_PT12_Fungsi.txt, GT_SUBTOPIK_11_Rekursi.txt, GT_SUBTOPIK_14_Kompleksitas_BigO.txt</t>
        </is>
      </c>
    </row>
    <row r="1380">
      <c r="A1380" t="n">
        <v>94</v>
      </c>
      <c r="B1380" t="inlineStr">
        <is>
          <t>A</t>
        </is>
      </c>
      <c r="C1380" t="inlineStr">
        <is>
          <t>Faithfulness (Pers. 15)</t>
        </is>
      </c>
      <c r="D1380" s="3" t="inlineStr">
        <is>
          <t>F = 0,70×Entailment + 0,30×KWoverlap</t>
        </is>
      </c>
      <c r="E1380" s="3" t="inlineStr">
        <is>
          <t>Faithfulness = 0,70×Entailment + 0,30×KWoverlap = 0,70×1.0000 + 0,30×0.1598 = 0.7479  (entailment: 6/6 klaim didukung; KWoverlap = (|∩|/|ctx|)^0,65 = (10/168)^0,65 = 0.0595^0,65 = 0.1598)</t>
        </is>
      </c>
      <c r="F1380" t="n">
        <v>0.7479</v>
      </c>
      <c r="G1380" s="3" t="inlineStr">
        <is>
          <t>metode: llm_entailment + keyword</t>
        </is>
      </c>
    </row>
    <row r="1381">
      <c r="A1381" t="n">
        <v>94</v>
      </c>
      <c r="B1381" t="inlineStr">
        <is>
          <t>A</t>
        </is>
      </c>
      <c r="C1381" t="inlineStr">
        <is>
          <t>— Entailment (Pers. 12-13)</t>
        </is>
      </c>
      <c r="D1381" s="3" t="inlineStr">
        <is>
          <t>Entailment = Σverdict(sᵢ)/m</t>
        </is>
      </c>
      <c r="E1381" s="3" t="inlineStr">
        <is>
          <t>6 klaim YA dari 6 klaim dievaluasi</t>
        </is>
      </c>
      <c r="F1381" t="n">
        <v>1</v>
      </c>
      <c r="G1381" s="3" t="inlineStr">
        <is>
          <t>verdict per klaim: sheet 'Entailment Detail'</t>
        </is>
      </c>
    </row>
    <row r="1382">
      <c r="A1382" t="n">
        <v>94</v>
      </c>
      <c r="B1382" t="inlineStr">
        <is>
          <t>A</t>
        </is>
      </c>
      <c r="C1382" t="inlineStr">
        <is>
          <t>— Keyword Overlap (Pers. 14)</t>
        </is>
      </c>
      <c r="D1382" s="3" t="inlineStr">
        <is>
          <t>KWoverlap = (|Stems(ans)∩Stems(ctx)| / |Stems(ctx)|)^0,65</t>
        </is>
      </c>
      <c r="E1382" s="3" t="inlineStr">
        <is>
          <t>KWoverlap = (|∩|/|ctx|)^0,65 = (10/168)^0,65 = 0.0595^0,65 = 0.1598</t>
        </is>
      </c>
      <c r="F1382" t="n">
        <v>0.1598</v>
      </c>
      <c r="G1382" s="3" t="inlineStr"/>
    </row>
    <row r="1383">
      <c r="A1383" t="n">
        <v>94</v>
      </c>
      <c r="B1383" t="inlineStr">
        <is>
          <t>A</t>
        </is>
      </c>
      <c r="C1383" t="inlineStr">
        <is>
          <t>Hallucination Risk (Pers. 18)</t>
        </is>
      </c>
      <c r="D1383" s="3" t="inlineStr">
        <is>
          <t>Risk = 0,65×(1-F) + 0,20×Contradiction + 0,15×Uncertainty</t>
        </is>
      </c>
      <c r="E1383" s="3" t="inlineStr">
        <is>
          <t>Risk = 0,65×OutOfContext + 0,20×Contradiction + 0,15×Uncertainty = 0,65×0.2521 + 0,20×0.0000 + 0,15×0.20 = 0.1939 [RENDAH]</t>
        </is>
      </c>
      <c r="F1383" t="n">
        <v>0.1939</v>
      </c>
      <c r="G1383" s="3" t="inlineStr">
        <is>
          <t>label: RENDAH; kontradiksi 0/18 kalimat; uncertainty flag: True</t>
        </is>
      </c>
    </row>
    <row r="1384">
      <c r="A1384" t="n">
        <v>94</v>
      </c>
      <c r="B1384" t="inlineStr">
        <is>
          <t>A</t>
        </is>
      </c>
      <c r="C1384" t="inlineStr">
        <is>
          <t>Answer Accuracy (Pers. 20)</t>
        </is>
      </c>
      <c r="D1384" s="3" t="inlineStr">
        <is>
          <t>Correctᵢ ∈ {0,1} via LLM-as-Judge (HASIL: BENAR/SALAH)</t>
        </is>
      </c>
      <c r="E1384" s="3" t="inlineStr">
        <is>
          <t>BENAR</t>
        </is>
      </c>
      <c r="F1384" t="inlineStr">
        <is>
          <t>BENAR</t>
        </is>
      </c>
      <c r="G1384" s="3" t="inlineStr">
        <is>
          <t>evaluator: ollama/llama3</t>
        </is>
      </c>
    </row>
    <row r="1385">
      <c r="A1385" t="n">
        <v>94</v>
      </c>
      <c r="B1385" t="inlineStr">
        <is>
          <t>B</t>
        </is>
      </c>
      <c r="C1385" t="inlineStr">
        <is>
          <t>Faithfulness (Pers. 15)</t>
        </is>
      </c>
      <c r="D1385" s="3" t="inlineStr">
        <is>
          <t>F = 0,70×Entailment + 0,30×KWoverlap</t>
        </is>
      </c>
      <c r="E1385" s="3" t="inlineStr">
        <is>
          <t>Faithfulness = 0,70×Entailment + 0,30×KWoverlap = 0,70×1.0000 + 0,30×0.1799 = 0.7540  (entailment: 6/6 klaim didukung; KWoverlap = (|∩|/|ctx|)^0,65 = (12/168)^0,65 = 0.0714^0,65 = 0.1799)</t>
        </is>
      </c>
      <c r="F1385" t="n">
        <v>0.754</v>
      </c>
      <c r="G1385" s="3" t="inlineStr">
        <is>
          <t>metode: llm_entailment + keyword</t>
        </is>
      </c>
    </row>
    <row r="1386">
      <c r="A1386" t="n">
        <v>94</v>
      </c>
      <c r="B1386" t="inlineStr">
        <is>
          <t>B</t>
        </is>
      </c>
      <c r="C1386" t="inlineStr">
        <is>
          <t>— Entailment (Pers. 12-13)</t>
        </is>
      </c>
      <c r="D1386" s="3" t="inlineStr">
        <is>
          <t>Entailment = Σverdict(sᵢ)/m</t>
        </is>
      </c>
      <c r="E1386" s="3" t="inlineStr">
        <is>
          <t>6 klaim YA dari 6 klaim dievaluasi</t>
        </is>
      </c>
      <c r="F1386" t="n">
        <v>1</v>
      </c>
      <c r="G1386" s="3" t="inlineStr">
        <is>
          <t>verdict per klaim: sheet 'Entailment Detail'</t>
        </is>
      </c>
    </row>
    <row r="1387">
      <c r="A1387" t="n">
        <v>94</v>
      </c>
      <c r="B1387" t="inlineStr">
        <is>
          <t>B</t>
        </is>
      </c>
      <c r="C1387" t="inlineStr">
        <is>
          <t>— Keyword Overlap (Pers. 14)</t>
        </is>
      </c>
      <c r="D1387" s="3" t="inlineStr">
        <is>
          <t>KWoverlap = (|Stems(ans)∩Stems(ctx)| / |Stems(ctx)|)^0,65</t>
        </is>
      </c>
      <c r="E1387" s="3" t="inlineStr">
        <is>
          <t>KWoverlap = (|∩|/|ctx|)^0,65 = (12/168)^0,65 = 0.0714^0,65 = 0.1799</t>
        </is>
      </c>
      <c r="F1387" t="n">
        <v>0.1799</v>
      </c>
      <c r="G1387" s="3" t="inlineStr"/>
    </row>
    <row r="1388">
      <c r="A1388" t="n">
        <v>94</v>
      </c>
      <c r="B1388" t="inlineStr">
        <is>
          <t>B</t>
        </is>
      </c>
      <c r="C1388" t="inlineStr">
        <is>
          <t>Hallucination Risk (Pers. 18)</t>
        </is>
      </c>
      <c r="D1388" s="3" t="inlineStr">
        <is>
          <t>Risk = 0,65×(1-F) + 0,20×Contradiction + 0,15×Uncertainty</t>
        </is>
      </c>
      <c r="E1388" s="3" t="inlineStr">
        <is>
          <t>Risk = 0,65×OutOfContext + 0,20×Contradiction + 0,15×Uncertainty = 0,65×0.2460 + 0,20×0.0000 + 0,15×0.00 = 0.1599 [RENDAH]</t>
        </is>
      </c>
      <c r="F1388" t="n">
        <v>0.1599</v>
      </c>
      <c r="G1388" s="3" t="inlineStr">
        <is>
          <t>label: RENDAH; kontradiksi 0/35 kalimat; uncertainty flag: False</t>
        </is>
      </c>
    </row>
    <row r="1389">
      <c r="A1389" t="n">
        <v>94</v>
      </c>
      <c r="B1389" t="inlineStr">
        <is>
          <t>B</t>
        </is>
      </c>
      <c r="C1389" t="inlineStr">
        <is>
          <t>Answer Accuracy (Pers. 20)</t>
        </is>
      </c>
      <c r="D1389" s="3" t="inlineStr">
        <is>
          <t>Correctᵢ ∈ {0,1} via LLM-as-Judge (HASIL: BENAR/SALAH)</t>
        </is>
      </c>
      <c r="E1389" s="3" t="inlineStr">
        <is>
          <t>BENAR</t>
        </is>
      </c>
      <c r="F1389" t="inlineStr">
        <is>
          <t>BENAR</t>
        </is>
      </c>
      <c r="G1389" s="3" t="inlineStr">
        <is>
          <t>evaluator: ollama/llama3</t>
        </is>
      </c>
    </row>
    <row r="1390">
      <c r="A1390" t="n">
        <v>95</v>
      </c>
      <c r="B1390" t="inlineStr">
        <is>
          <t>A</t>
        </is>
      </c>
      <c r="C1390" t="inlineStr">
        <is>
          <t>Precision@K (Pers. 2)</t>
        </is>
      </c>
      <c r="D1390" s="3" t="inlineStr">
        <is>
          <t>Precision@K = |{d ∈ TopK : sim(q,d) ≥ θ}| / K</t>
        </is>
      </c>
      <c r="E1390" s="3" t="inlineStr">
        <is>
          <t>skor = [0.8245, 0.8022, 0.7965, 0.782, 0.7759, 0.7733] → 6 / 6</t>
        </is>
      </c>
      <c r="F1390" t="n">
        <v>1</v>
      </c>
      <c r="G1390" s="3" t="inlineStr">
        <is>
          <t>basis: skor chunk nyata (sesuai contoh Pers. 2 skripsi)</t>
        </is>
      </c>
    </row>
    <row r="1391">
      <c r="A1391" t="n">
        <v>95</v>
      </c>
      <c r="B1391" t="inlineStr">
        <is>
          <t>A</t>
        </is>
      </c>
      <c r="C1391" t="inlineStr">
        <is>
          <t>Recall@K (Pers. 4)</t>
        </is>
      </c>
      <c r="D1391" s="3" t="inlineStr">
        <is>
          <t>Recall@K = |{kata kunci ditemukan : sim ≥ θ}| / |R|</t>
        </is>
      </c>
      <c r="E1391" s="3" t="inlineStr">
        <is>
          <t>skor = [0.7415, 0.6385, 0.5504, 0.4839, 0.4384, 0.3924] → 6 / 6</t>
        </is>
      </c>
      <c r="F1391" t="n">
        <v>1</v>
      </c>
      <c r="G1391" s="3" t="inlineStr"/>
    </row>
    <row r="1392">
      <c r="A1392" t="n">
        <v>95</v>
      </c>
      <c r="B1392" t="inlineStr">
        <is>
          <t>A</t>
        </is>
      </c>
      <c r="C1392" t="inlineStr">
        <is>
          <t>Mean Similarity (Pers. 6)</t>
        </is>
      </c>
      <c r="D1392" s="3" t="inlineStr">
        <is>
          <t>MeanSim = (1/K) × Σ sim(q, dᵢ)</t>
        </is>
      </c>
      <c r="E1392" s="3" t="inlineStr">
        <is>
          <t>skor = [0.8245, 0.8022, 0.7965, 0.782, 0.7759, 0.7733] → (0.8245 + 0.8022 + 0.7965 + 0.7820 + 0.7759 + 0.7733) / 6</t>
        </is>
      </c>
      <c r="F1392" t="n">
        <v>0.7924</v>
      </c>
      <c r="G1392" s="3" t="inlineStr"/>
    </row>
    <row r="1393">
      <c r="A1393" t="n">
        <v>95</v>
      </c>
      <c r="B1393" t="inlineStr">
        <is>
          <t>A</t>
        </is>
      </c>
      <c r="C1393" t="inlineStr">
        <is>
          <t>Coverage (Pers. 8)</t>
        </is>
      </c>
      <c r="D1393" s="3" t="inlineStr">
        <is>
          <t>Coverage = |{dᵢ ∈ TopK : sim(q,dᵢ) ≥ θc}| / K</t>
        </is>
      </c>
      <c r="E1393" s="3" t="inlineStr">
        <is>
          <t>skor = [0.8245, 0.8022, 0.7965, 0.782, 0.7759, 0.7733] → 6 / 6</t>
        </is>
      </c>
      <c r="F1393" t="n">
        <v>1</v>
      </c>
      <c r="G1393" s="3" t="inlineStr"/>
    </row>
    <row r="1394">
      <c r="A1394" t="n">
        <v>95</v>
      </c>
      <c r="B1394" t="inlineStr">
        <is>
          <t>A</t>
        </is>
      </c>
      <c r="C1394" t="inlineStr">
        <is>
          <t>Source Diversity (Pers. 10)</t>
        </is>
      </c>
      <c r="D1394" s="3" t="inlineStr">
        <is>
          <t>Diversity = |sumber unik dalam TopK| / K</t>
        </is>
      </c>
      <c r="E1394" s="3" t="inlineStr">
        <is>
          <t>skor = ['GT_CT07.txt', 'GT_CT09.txt', 'GT_CT11.txt', 'GT_DETAIL_PT07_Notasi_Algoritme.txt', 'GT_DETAIL_PT10_Percabangan.txt', 'GT_SUBTOPIK_05_Pseudocode_Algoritme.txt'] → 6 / 6</t>
        </is>
      </c>
      <c r="F1394" t="n">
        <v>1</v>
      </c>
      <c r="G1394" s="3" t="inlineStr">
        <is>
          <t>file unik: GT_CT07.txt, GT_CT09.txt, GT_CT11.txt, GT_DETAIL_PT07_Notasi_Algoritme.txt, GT_DETAIL_PT10_Percabangan.txt, GT_SUBTOPIK_05_Pseudocode_Algoritme.txt</t>
        </is>
      </c>
    </row>
    <row r="1395">
      <c r="A1395" t="n">
        <v>95</v>
      </c>
      <c r="B1395" t="inlineStr">
        <is>
          <t>A</t>
        </is>
      </c>
      <c r="C1395" t="inlineStr">
        <is>
          <t>Faithfulness (Pers. 15)</t>
        </is>
      </c>
      <c r="D1395" s="3" t="inlineStr">
        <is>
          <t>F = 0,70×Entailment + 0,30×KWoverlap</t>
        </is>
      </c>
      <c r="E1395" s="3" t="inlineStr">
        <is>
          <t>Faithfulness = 0,70×Entailment + 0,30×KWoverlap = 0,70×0.8333 + 0,30×0.3055 = 0.6749  (entailment: 5/6 klaim didukung; KWoverlap = (|∩|/|ctx|)^0,65 = (35/217)^0,65 = 0.1613^0,65 = 0.3055)</t>
        </is>
      </c>
      <c r="F1395" t="n">
        <v>0.6749000000000001</v>
      </c>
      <c r="G1395" s="3" t="inlineStr">
        <is>
          <t>metode: llm_entailment + keyword</t>
        </is>
      </c>
    </row>
    <row r="1396">
      <c r="A1396" t="n">
        <v>95</v>
      </c>
      <c r="B1396" t="inlineStr">
        <is>
          <t>A</t>
        </is>
      </c>
      <c r="C1396" t="inlineStr">
        <is>
          <t>— Entailment (Pers. 12-13)</t>
        </is>
      </c>
      <c r="D1396" s="3" t="inlineStr">
        <is>
          <t>Entailment = Σverdict(sᵢ)/m</t>
        </is>
      </c>
      <c r="E1396" s="3" t="inlineStr">
        <is>
          <t>5 klaim YA dari 6 klaim dievaluasi</t>
        </is>
      </c>
      <c r="F1396" t="n">
        <v>0.8333</v>
      </c>
      <c r="G1396" s="3" t="inlineStr">
        <is>
          <t>verdict per klaim: sheet 'Entailment Detail'</t>
        </is>
      </c>
    </row>
    <row r="1397">
      <c r="A1397" t="n">
        <v>95</v>
      </c>
      <c r="B1397" t="inlineStr">
        <is>
          <t>A</t>
        </is>
      </c>
      <c r="C1397" t="inlineStr">
        <is>
          <t>— Keyword Overlap (Pers. 14)</t>
        </is>
      </c>
      <c r="D1397" s="3" t="inlineStr">
        <is>
          <t>KWoverlap = (|Stems(ans)∩Stems(ctx)| / |Stems(ctx)|)^0,65</t>
        </is>
      </c>
      <c r="E1397" s="3" t="inlineStr">
        <is>
          <t>KWoverlap = (|∩|/|ctx|)^0,65 = (35/217)^0,65 = 0.1613^0,65 = 0.3055</t>
        </is>
      </c>
      <c r="F1397" t="n">
        <v>0.3055</v>
      </c>
      <c r="G1397" s="3" t="inlineStr"/>
    </row>
    <row r="1398">
      <c r="A1398" t="n">
        <v>95</v>
      </c>
      <c r="B1398" t="inlineStr">
        <is>
          <t>A</t>
        </is>
      </c>
      <c r="C1398" t="inlineStr">
        <is>
          <t>Hallucination Risk (Pers. 18)</t>
        </is>
      </c>
      <c r="D1398" s="3" t="inlineStr">
        <is>
          <t>Risk = 0,65×(1-F) + 0,20×Contradiction + 0,15×Uncertainty</t>
        </is>
      </c>
      <c r="E1398" s="3" t="inlineStr">
        <is>
          <t>Risk = 0,65×OutOfContext + 0,20×Contradiction + 0,15×Uncertainty = 0,65×0.3251 + 0,20×0.0000 + 0,15×0.00 = 0.2113 [RENDAH]</t>
        </is>
      </c>
      <c r="F1398" t="n">
        <v>0.2113</v>
      </c>
      <c r="G1398" s="3" t="inlineStr">
        <is>
          <t>label: RENDAH; kontradiksi 0/24 kalimat; uncertainty flag: False</t>
        </is>
      </c>
    </row>
    <row r="1399">
      <c r="A1399" t="n">
        <v>95</v>
      </c>
      <c r="B1399" t="inlineStr">
        <is>
          <t>B</t>
        </is>
      </c>
      <c r="C1399" t="inlineStr">
        <is>
          <t>Faithfulness (Pers. 15)</t>
        </is>
      </c>
      <c r="D1399" s="3" t="inlineStr">
        <is>
          <t>F = 0,70×Entailment + 0,30×KWoverlap</t>
        </is>
      </c>
      <c r="E1399" s="3" t="inlineStr">
        <is>
          <t>Faithfulness = 0,70×Entailment + 0,30×KWoverlap = 0,70×1.0000 + 0,30×0.2580 = 0.7774  (entailment: 6/6 klaim didukung; KWoverlap = (|∩|/|ctx|)^0,65 = (27/217)^0,65 = 0.1244^0,65 = 0.2580)</t>
        </is>
      </c>
      <c r="F1399" t="n">
        <v>0.7774</v>
      </c>
      <c r="G1399" s="3" t="inlineStr">
        <is>
          <t>metode: llm_entailment + keyword</t>
        </is>
      </c>
    </row>
    <row r="1400">
      <c r="A1400" t="n">
        <v>95</v>
      </c>
      <c r="B1400" t="inlineStr">
        <is>
          <t>B</t>
        </is>
      </c>
      <c r="C1400" t="inlineStr">
        <is>
          <t>— Entailment (Pers. 12-13)</t>
        </is>
      </c>
      <c r="D1400" s="3" t="inlineStr">
        <is>
          <t>Entailment = Σverdict(sᵢ)/m</t>
        </is>
      </c>
      <c r="E1400" s="3" t="inlineStr">
        <is>
          <t>6 klaim YA dari 6 klaim dievaluasi</t>
        </is>
      </c>
      <c r="F1400" t="n">
        <v>1</v>
      </c>
      <c r="G1400" s="3" t="inlineStr">
        <is>
          <t>verdict per klaim: sheet 'Entailment Detail'</t>
        </is>
      </c>
    </row>
    <row r="1401">
      <c r="A1401" t="n">
        <v>95</v>
      </c>
      <c r="B1401" t="inlineStr">
        <is>
          <t>B</t>
        </is>
      </c>
      <c r="C1401" t="inlineStr">
        <is>
          <t>— Keyword Overlap (Pers. 14)</t>
        </is>
      </c>
      <c r="D1401" s="3" t="inlineStr">
        <is>
          <t>KWoverlap = (|Stems(ans)∩Stems(ctx)| / |Stems(ctx)|)^0,65</t>
        </is>
      </c>
      <c r="E1401" s="3" t="inlineStr">
        <is>
          <t>KWoverlap = (|∩|/|ctx|)^0,65 = (27/217)^0,65 = 0.1244^0,65 = 0.2580</t>
        </is>
      </c>
      <c r="F1401" t="n">
        <v>0.258</v>
      </c>
      <c r="G1401" s="3" t="inlineStr"/>
    </row>
    <row r="1402">
      <c r="A1402" t="n">
        <v>95</v>
      </c>
      <c r="B1402" t="inlineStr">
        <is>
          <t>B</t>
        </is>
      </c>
      <c r="C1402" t="inlineStr">
        <is>
          <t>Hallucination Risk (Pers. 18)</t>
        </is>
      </c>
      <c r="D1402" s="3" t="inlineStr">
        <is>
          <t>Risk = 0,65×(1-F) + 0,20×Contradiction + 0,15×Uncertainty</t>
        </is>
      </c>
      <c r="E1402" s="3" t="inlineStr">
        <is>
          <t>Risk = 0,65×OutOfContext + 0,20×Contradiction + 0,15×Uncertainty = 0,65×0.2226 + 0,20×0.0000 + 0,15×0.00 = 0.1447 [RENDAH]</t>
        </is>
      </c>
      <c r="F1402" t="n">
        <v>0.1447</v>
      </c>
      <c r="G1402" s="3" t="inlineStr">
        <is>
          <t>label: RENDAH; kontradiksi 0/32 kalimat; uncertainty flag: False</t>
        </is>
      </c>
    </row>
    <row r="1403">
      <c r="A1403" t="n">
        <v>95</v>
      </c>
      <c r="B1403" t="inlineStr">
        <is>
          <t>B</t>
        </is>
      </c>
      <c r="C1403" t="inlineStr">
        <is>
          <t>Answer Accuracy (Pers. 20)</t>
        </is>
      </c>
      <c r="D1403" s="3" t="inlineStr">
        <is>
          <t>Correctᵢ ∈ {0,1} via LLM-as-Judge (HASIL: BENAR/SALAH)</t>
        </is>
      </c>
      <c r="E1403" s="3" t="inlineStr">
        <is>
          <t>BENAR
Karena jawaban sistem memenuhi syarat-syarat yang diperlukan untuk menentukan nilai terbesar dari 5 bilangan, yaitu:
* Membaca 5 bilangan dari input
* Bandingkan nilai-nilai secara langsung tanpa menyimpan ke array
Jawaban tersebut juga memperhatikan referensi dokumen materi GT tentang pseudocode dan algoritme.</t>
        </is>
      </c>
      <c r="F1403" t="inlineStr">
        <is>
          <t>BENAR</t>
        </is>
      </c>
      <c r="G1403" s="3" t="inlineStr">
        <is>
          <t>evaluator: ollama/llama3</t>
        </is>
      </c>
    </row>
    <row r="1404">
      <c r="A1404" t="n">
        <v>96</v>
      </c>
      <c r="B1404" t="inlineStr">
        <is>
          <t>A</t>
        </is>
      </c>
      <c r="C1404" t="inlineStr">
        <is>
          <t>Precision@K (Pers. 2)</t>
        </is>
      </c>
      <c r="D1404" s="3" t="inlineStr">
        <is>
          <t>Precision@K = |{d ∈ TopK : sim(q,d) ≥ θ}| / K</t>
        </is>
      </c>
      <c r="E1404" s="3" t="inlineStr">
        <is>
          <t>skor = [0.751, 0.7472, 0.7453, 0.7322, 0.7271, 0.7258] → 6 / 6</t>
        </is>
      </c>
      <c r="F1404" t="n">
        <v>1</v>
      </c>
      <c r="G1404" s="3" t="inlineStr">
        <is>
          <t>basis: skor chunk nyata (sesuai contoh Pers. 2 skripsi)</t>
        </is>
      </c>
    </row>
    <row r="1405">
      <c r="A1405" t="n">
        <v>96</v>
      </c>
      <c r="B1405" t="inlineStr">
        <is>
          <t>A</t>
        </is>
      </c>
      <c r="C1405" t="inlineStr">
        <is>
          <t>Recall@K (Pers. 4)</t>
        </is>
      </c>
      <c r="D1405" s="3" t="inlineStr">
        <is>
          <t>Recall@K = |{kata kunci ditemukan : sim ≥ θ}| / |R|</t>
        </is>
      </c>
      <c r="E1405" s="3" t="inlineStr">
        <is>
          <t>skor = [0.6425, 0.5986, 0.5241, 0.4624, 0.4014, 0.3861] → 6 / 6</t>
        </is>
      </c>
      <c r="F1405" t="n">
        <v>1</v>
      </c>
      <c r="G1405" s="3" t="inlineStr"/>
    </row>
    <row r="1406">
      <c r="A1406" t="n">
        <v>96</v>
      </c>
      <c r="B1406" t="inlineStr">
        <is>
          <t>A</t>
        </is>
      </c>
      <c r="C1406" t="inlineStr">
        <is>
          <t>Mean Similarity (Pers. 6)</t>
        </is>
      </c>
      <c r="D1406" s="3" t="inlineStr">
        <is>
          <t>MeanSim = (1/K) × Σ sim(q, dᵢ)</t>
        </is>
      </c>
      <c r="E1406" s="3" t="inlineStr">
        <is>
          <t>skor = [0.751, 0.7472, 0.7453, 0.7322, 0.7271, 0.7258] → (0.7510 + 0.7472 + 0.7453 + 0.7322 + 0.7271 + 0.7258) / 6</t>
        </is>
      </c>
      <c r="F1406" t="n">
        <v>0.7381</v>
      </c>
      <c r="G1406" s="3" t="inlineStr"/>
    </row>
    <row r="1407">
      <c r="A1407" t="n">
        <v>96</v>
      </c>
      <c r="B1407" t="inlineStr">
        <is>
          <t>A</t>
        </is>
      </c>
      <c r="C1407" t="inlineStr">
        <is>
          <t>Coverage (Pers. 8)</t>
        </is>
      </c>
      <c r="D1407" s="3" t="inlineStr">
        <is>
          <t>Coverage = |{dᵢ ∈ TopK : sim(q,dᵢ) ≥ θc}| / K</t>
        </is>
      </c>
      <c r="E1407" s="3" t="inlineStr">
        <is>
          <t>skor = [0.751, 0.7472, 0.7453, 0.7322, 0.7271, 0.7258] → 6 / 6</t>
        </is>
      </c>
      <c r="F1407" t="n">
        <v>1</v>
      </c>
      <c r="G1407" s="3" t="inlineStr"/>
    </row>
    <row r="1408">
      <c r="A1408" t="n">
        <v>96</v>
      </c>
      <c r="B1408" t="inlineStr">
        <is>
          <t>A</t>
        </is>
      </c>
      <c r="C1408" t="inlineStr">
        <is>
          <t>Source Diversity (Pers. 10)</t>
        </is>
      </c>
      <c r="D1408" s="3" t="inlineStr">
        <is>
          <t>Diversity = |sumber unik dalam TopK| / K</t>
        </is>
      </c>
      <c r="E1408" s="3" t="inlineStr">
        <is>
          <t>skor = ['GT_CT12.txt', 'GT_DETAIL_PT09_Variabel_TipeData_Operator_List.txt', 'GT_DETAIL_PT12_Fungsi.txt'] → 3 / 6</t>
        </is>
      </c>
      <c r="F1408" t="n">
        <v>0.5</v>
      </c>
      <c r="G1408" s="3" t="inlineStr">
        <is>
          <t>file unik: GT_CT12.txt, GT_DETAIL_PT09_Variabel_TipeData_Operator_List.txt, GT_DETAIL_PT12_Fungsi.txt</t>
        </is>
      </c>
    </row>
    <row r="1409">
      <c r="A1409" t="n">
        <v>96</v>
      </c>
      <c r="B1409" t="inlineStr">
        <is>
          <t>A</t>
        </is>
      </c>
      <c r="C1409" t="inlineStr">
        <is>
          <t>Faithfulness (Pers. 15)</t>
        </is>
      </c>
      <c r="D1409" s="3" t="inlineStr">
        <is>
          <t>F = 0,70×Entailment + 0,30×KWoverlap</t>
        </is>
      </c>
      <c r="E1409" s="3" t="inlineStr">
        <is>
          <t>Faithfulness = 0,70×Entailment + 0,30×KWoverlap = 0,70×0.8333 + 0,30×0.2729 = 0.6652  (entailment: 5/6 klaim didukung; KWoverlap = (|∩|/|ctx|)^0,65 = (32/236)^0,65 = 0.1356^0,65 = 0.2729)</t>
        </is>
      </c>
      <c r="F1409" t="n">
        <v>0.6652</v>
      </c>
      <c r="G1409" s="3" t="inlineStr">
        <is>
          <t>metode: llm_entailment + keyword</t>
        </is>
      </c>
    </row>
    <row r="1410">
      <c r="A1410" t="n">
        <v>96</v>
      </c>
      <c r="B1410" t="inlineStr">
        <is>
          <t>A</t>
        </is>
      </c>
      <c r="C1410" t="inlineStr">
        <is>
          <t>— Entailment (Pers. 12-13)</t>
        </is>
      </c>
      <c r="D1410" s="3" t="inlineStr">
        <is>
          <t>Entailment = Σverdict(sᵢ)/m</t>
        </is>
      </c>
      <c r="E1410" s="3" t="inlineStr">
        <is>
          <t>5 klaim YA dari 6 klaim dievaluasi</t>
        </is>
      </c>
      <c r="F1410" t="n">
        <v>0.8333</v>
      </c>
      <c r="G1410" s="3" t="inlineStr">
        <is>
          <t>verdict per klaim: sheet 'Entailment Detail'</t>
        </is>
      </c>
    </row>
    <row r="1411">
      <c r="A1411" t="n">
        <v>96</v>
      </c>
      <c r="B1411" t="inlineStr">
        <is>
          <t>A</t>
        </is>
      </c>
      <c r="C1411" t="inlineStr">
        <is>
          <t>— Keyword Overlap (Pers. 14)</t>
        </is>
      </c>
      <c r="D1411" s="3" t="inlineStr">
        <is>
          <t>KWoverlap = (|Stems(ans)∩Stems(ctx)| / |Stems(ctx)|)^0,65</t>
        </is>
      </c>
      <c r="E1411" s="3" t="inlineStr">
        <is>
          <t>KWoverlap = (|∩|/|ctx|)^0,65 = (32/236)^0,65 = 0.1356^0,65 = 0.2729</t>
        </is>
      </c>
      <c r="F1411" t="n">
        <v>0.2729</v>
      </c>
      <c r="G1411" s="3" t="inlineStr"/>
    </row>
    <row r="1412">
      <c r="A1412" t="n">
        <v>96</v>
      </c>
      <c r="B1412" t="inlineStr">
        <is>
          <t>A</t>
        </is>
      </c>
      <c r="C1412" t="inlineStr">
        <is>
          <t>Hallucination Risk (Pers. 18)</t>
        </is>
      </c>
      <c r="D1412" s="3" t="inlineStr">
        <is>
          <t>Risk = 0,65×(1-F) + 0,20×Contradiction + 0,15×Uncertainty</t>
        </is>
      </c>
      <c r="E1412" s="3" t="inlineStr">
        <is>
          <t>Risk = 0,65×OutOfContext + 0,20×Contradiction + 0,15×Uncertainty = 0,65×0.3348 + 0,20×0.0000 + 0,15×0.00 = 0.2176 [RENDAH]</t>
        </is>
      </c>
      <c r="F1412" t="n">
        <v>0.2176</v>
      </c>
      <c r="G1412" s="3" t="inlineStr">
        <is>
          <t>label: RENDAH; kontradiksi 0/11 kalimat; uncertainty flag: False</t>
        </is>
      </c>
    </row>
    <row r="1413">
      <c r="A1413" t="n">
        <v>96</v>
      </c>
      <c r="B1413" t="inlineStr">
        <is>
          <t>A</t>
        </is>
      </c>
      <c r="C1413" t="inlineStr">
        <is>
          <t>Answer Accuracy (Pers. 20)</t>
        </is>
      </c>
      <c r="D1413" s="3" t="inlineStr">
        <is>
          <t>Correctᵢ ∈ {0,1} via LLM-as-Judge (HASIL: BENAR/SALAH)</t>
        </is>
      </c>
      <c r="E1413" s="3" t="inlineStr">
        <is>
          <t>BENAR</t>
        </is>
      </c>
      <c r="F1413" t="inlineStr">
        <is>
          <t>BENAR</t>
        </is>
      </c>
      <c r="G1413" s="3" t="inlineStr">
        <is>
          <t>evaluator: ollama/llama3</t>
        </is>
      </c>
    </row>
    <row r="1414">
      <c r="A1414" t="n">
        <v>96</v>
      </c>
      <c r="B1414" t="inlineStr">
        <is>
          <t>B</t>
        </is>
      </c>
      <c r="C1414" t="inlineStr">
        <is>
          <t>Faithfulness (Pers. 15)</t>
        </is>
      </c>
      <c r="D1414" s="3" t="inlineStr">
        <is>
          <t>F = 0,70×Entailment + 0,30×KWoverlap</t>
        </is>
      </c>
      <c r="E1414" s="3" t="inlineStr">
        <is>
          <t>Faithfulness = 0,70×Entailment + 0,30×KWoverlap = 0,70×1.0000 + 0,30×0.2263 = 0.7679  (entailment: 6/6 klaim didukung; KWoverlap = (|∩|/|ctx|)^0,65 = (24/236)^0,65 = 0.1017^0,65 = 0.2263)</t>
        </is>
      </c>
      <c r="F1414" t="n">
        <v>0.7679</v>
      </c>
      <c r="G1414" s="3" t="inlineStr">
        <is>
          <t>metode: llm_entailment + keyword</t>
        </is>
      </c>
    </row>
    <row r="1415">
      <c r="A1415" t="n">
        <v>96</v>
      </c>
      <c r="B1415" t="inlineStr">
        <is>
          <t>B</t>
        </is>
      </c>
      <c r="C1415" t="inlineStr">
        <is>
          <t>— Entailment (Pers. 12-13)</t>
        </is>
      </c>
      <c r="D1415" s="3" t="inlineStr">
        <is>
          <t>Entailment = Σverdict(sᵢ)/m</t>
        </is>
      </c>
      <c r="E1415" s="3" t="inlineStr">
        <is>
          <t>6 klaim YA dari 6 klaim dievaluasi</t>
        </is>
      </c>
      <c r="F1415" t="n">
        <v>1</v>
      </c>
      <c r="G1415" s="3" t="inlineStr">
        <is>
          <t>verdict per klaim: sheet 'Entailment Detail'</t>
        </is>
      </c>
    </row>
    <row r="1416">
      <c r="A1416" t="n">
        <v>96</v>
      </c>
      <c r="B1416" t="inlineStr">
        <is>
          <t>B</t>
        </is>
      </c>
      <c r="C1416" t="inlineStr">
        <is>
          <t>— Keyword Overlap (Pers. 14)</t>
        </is>
      </c>
      <c r="D1416" s="3" t="inlineStr">
        <is>
          <t>KWoverlap = (|Stems(ans)∩Stems(ctx)| / |Stems(ctx)|)^0,65</t>
        </is>
      </c>
      <c r="E1416" s="3" t="inlineStr">
        <is>
          <t>KWoverlap = (|∩|/|ctx|)^0,65 = (24/236)^0,65 = 0.1017^0,65 = 0.2263</t>
        </is>
      </c>
      <c r="F1416" t="n">
        <v>0.2263</v>
      </c>
      <c r="G1416" s="3" t="inlineStr"/>
    </row>
    <row r="1417">
      <c r="A1417" t="n">
        <v>96</v>
      </c>
      <c r="B1417" t="inlineStr">
        <is>
          <t>B</t>
        </is>
      </c>
      <c r="C1417" t="inlineStr">
        <is>
          <t>Hallucination Risk (Pers. 18)</t>
        </is>
      </c>
      <c r="D1417" s="3" t="inlineStr">
        <is>
          <t>Risk = 0,65×(1-F) + 0,20×Contradiction + 0,15×Uncertainty</t>
        </is>
      </c>
      <c r="E1417" s="3" t="inlineStr">
        <is>
          <t>Risk = 0,65×OutOfContext + 0,20×Contradiction + 0,15×Uncertainty = 0,65×0.2321 + 0,20×0.0000 + 0,15×0.00 = 0.1509 [RENDAH]</t>
        </is>
      </c>
      <c r="F1417" t="n">
        <v>0.1509</v>
      </c>
      <c r="G1417" s="3" t="inlineStr">
        <is>
          <t>label: RENDAH; kontradiksi 0/19 kalimat; uncertainty flag: False</t>
        </is>
      </c>
    </row>
    <row r="1418">
      <c r="A1418" t="n">
        <v>96</v>
      </c>
      <c r="B1418" t="inlineStr">
        <is>
          <t>B</t>
        </is>
      </c>
      <c r="C1418" t="inlineStr">
        <is>
          <t>Answer Accuracy (Pers. 20)</t>
        </is>
      </c>
      <c r="D1418" s="3" t="inlineStr">
        <is>
          <t>Correctᵢ ∈ {0,1} via LLM-as-Judge (HASIL: BENAR/SALAH)</t>
        </is>
      </c>
      <c r="E1418" s="3" t="inlineStr"/>
      <c r="F1418" t="inlineStr">
        <is>
          <t>BENAR</t>
        </is>
      </c>
      <c r="G1418" s="3" t="inlineStr">
        <is>
          <t>evaluator: ollama/llama3</t>
        </is>
      </c>
    </row>
    <row r="1419">
      <c r="A1419" t="n">
        <v>97</v>
      </c>
      <c r="B1419" t="inlineStr">
        <is>
          <t>A</t>
        </is>
      </c>
      <c r="C1419" t="inlineStr">
        <is>
          <t>Precision@K (Pers. 2)</t>
        </is>
      </c>
      <c r="D1419" s="3" t="inlineStr">
        <is>
          <t>Precision@K = |{d ∈ TopK : sim(q,d) ≥ θ}| / K</t>
        </is>
      </c>
      <c r="E1419" s="3" t="inlineStr">
        <is>
          <t>skor = [0.7532, 0.749, 0.723, 0.714, 0.7122, 0.7098] → 6 / 6</t>
        </is>
      </c>
      <c r="F1419" t="n">
        <v>1</v>
      </c>
      <c r="G1419" s="3" t="inlineStr">
        <is>
          <t>basis: skor chunk nyata (sesuai contoh Pers. 2 skripsi)</t>
        </is>
      </c>
    </row>
    <row r="1420">
      <c r="A1420" t="n">
        <v>97</v>
      </c>
      <c r="B1420" t="inlineStr">
        <is>
          <t>A</t>
        </is>
      </c>
      <c r="C1420" t="inlineStr">
        <is>
          <t>Recall@K (Pers. 4)</t>
        </is>
      </c>
      <c r="D1420" s="3" t="inlineStr">
        <is>
          <t>Recall@K = |{kata kunci ditemukan : sim ≥ θ}| / |R|</t>
        </is>
      </c>
      <c r="E1420" s="3" t="inlineStr">
        <is>
          <t>skor = [0.6908, 0.6207, 0.4834, 0.478, 0.4661, 0.4325] → 6 / 6</t>
        </is>
      </c>
      <c r="F1420" t="n">
        <v>1</v>
      </c>
      <c r="G1420" s="3" t="inlineStr"/>
    </row>
    <row r="1421">
      <c r="A1421" t="n">
        <v>97</v>
      </c>
      <c r="B1421" t="inlineStr">
        <is>
          <t>A</t>
        </is>
      </c>
      <c r="C1421" t="inlineStr">
        <is>
          <t>Mean Similarity (Pers. 6)</t>
        </is>
      </c>
      <c r="D1421" s="3" t="inlineStr">
        <is>
          <t>MeanSim = (1/K) × Σ sim(q, dᵢ)</t>
        </is>
      </c>
      <c r="E1421" s="3" t="inlineStr">
        <is>
          <t>skor = [0.7532, 0.749, 0.723, 0.714, 0.7122, 0.7098] → (0.7532 + 0.7490 + 0.7230 + 0.7140 + 0.7122 + 0.7098) / 6</t>
        </is>
      </c>
      <c r="F1421" t="n">
        <v>0.7269</v>
      </c>
      <c r="G1421" s="3" t="inlineStr"/>
    </row>
    <row r="1422">
      <c r="A1422" t="n">
        <v>97</v>
      </c>
      <c r="B1422" t="inlineStr">
        <is>
          <t>A</t>
        </is>
      </c>
      <c r="C1422" t="inlineStr">
        <is>
          <t>Coverage (Pers. 8)</t>
        </is>
      </c>
      <c r="D1422" s="3" t="inlineStr">
        <is>
          <t>Coverage = |{dᵢ ∈ TopK : sim(q,dᵢ) ≥ θc}| / K</t>
        </is>
      </c>
      <c r="E1422" s="3" t="inlineStr">
        <is>
          <t>skor = [0.7532, 0.749, 0.723, 0.714, 0.7122, 0.7098] → 6 / 6</t>
        </is>
      </c>
      <c r="F1422" t="n">
        <v>1</v>
      </c>
      <c r="G1422" s="3" t="inlineStr"/>
    </row>
    <row r="1423">
      <c r="A1423" t="n">
        <v>97</v>
      </c>
      <c r="B1423" t="inlineStr">
        <is>
          <t>A</t>
        </is>
      </c>
      <c r="C1423" t="inlineStr">
        <is>
          <t>Source Diversity (Pers. 10)</t>
        </is>
      </c>
      <c r="D1423" s="3" t="inlineStr">
        <is>
          <t>Diversity = |sumber unik dalam TopK| / K</t>
        </is>
      </c>
      <c r="E1423" s="3" t="inlineStr">
        <is>
          <t>skor = ['GT_CT06.txt', 'GT_CT07.txt', 'GT_CT09.txt', 'GT_DETAIL_PT04_Abstraksi.txt', 'GT_DETAIL_PT10_Percabangan.txt', 'GT_SUBTOPIK_05_Pseudocode_Algoritme.txt'] → 6 / 6</t>
        </is>
      </c>
      <c r="F1423" t="n">
        <v>1</v>
      </c>
      <c r="G1423" s="3" t="inlineStr">
        <is>
          <t>file unik: GT_CT06.txt, GT_CT07.txt, GT_CT09.txt, GT_DETAIL_PT04_Abstraksi.txt, GT_DETAIL_PT10_Percabangan.txt, GT_SUBTOPIK_05_Pseudocode_Algoritme.txt</t>
        </is>
      </c>
    </row>
    <row r="1424">
      <c r="A1424" t="n">
        <v>97</v>
      </c>
      <c r="B1424" t="inlineStr">
        <is>
          <t>A</t>
        </is>
      </c>
      <c r="C1424" t="inlineStr">
        <is>
          <t>Faithfulness (Pers. 15)</t>
        </is>
      </c>
      <c r="D1424" s="3" t="inlineStr">
        <is>
          <t>F = 0,70×Entailment + 0,30×KWoverlap</t>
        </is>
      </c>
      <c r="E1424" s="3" t="inlineStr">
        <is>
          <t>Faithfulness = 0,70×Entailment + 0,30×KWoverlap = 0,70×1.0000 + 0,30×0.2447 = 0.7734  (entailment: 6/6 klaim didukung; KWoverlap = (|∩|/|ctx|)^0,65 = (32/279)^0,65 = 0.1147^0,65 = 0.2447)</t>
        </is>
      </c>
      <c r="F1424" t="n">
        <v>0.7734</v>
      </c>
      <c r="G1424" s="3" t="inlineStr">
        <is>
          <t>metode: llm_entailment + keyword</t>
        </is>
      </c>
    </row>
    <row r="1425">
      <c r="A1425" t="n">
        <v>97</v>
      </c>
      <c r="B1425" t="inlineStr">
        <is>
          <t>A</t>
        </is>
      </c>
      <c r="C1425" t="inlineStr">
        <is>
          <t>— Entailment (Pers. 12-13)</t>
        </is>
      </c>
      <c r="D1425" s="3" t="inlineStr">
        <is>
          <t>Entailment = Σverdict(sᵢ)/m</t>
        </is>
      </c>
      <c r="E1425" s="3" t="inlineStr">
        <is>
          <t>6 klaim YA dari 6 klaim dievaluasi</t>
        </is>
      </c>
      <c r="F1425" t="n">
        <v>1</v>
      </c>
      <c r="G1425" s="3" t="inlineStr">
        <is>
          <t>verdict per klaim: sheet 'Entailment Detail'</t>
        </is>
      </c>
    </row>
    <row r="1426">
      <c r="A1426" t="n">
        <v>97</v>
      </c>
      <c r="B1426" t="inlineStr">
        <is>
          <t>A</t>
        </is>
      </c>
      <c r="C1426" t="inlineStr">
        <is>
          <t>— Keyword Overlap (Pers. 14)</t>
        </is>
      </c>
      <c r="D1426" s="3" t="inlineStr">
        <is>
          <t>KWoverlap = (|Stems(ans)∩Stems(ctx)| / |Stems(ctx)|)^0,65</t>
        </is>
      </c>
      <c r="E1426" s="3" t="inlineStr">
        <is>
          <t>KWoverlap = (|∩|/|ctx|)^0,65 = (32/279)^0,65 = 0.1147^0,65 = 0.2447</t>
        </is>
      </c>
      <c r="F1426" t="n">
        <v>0.2447</v>
      </c>
      <c r="G1426" s="3" t="inlineStr"/>
    </row>
    <row r="1427">
      <c r="A1427" t="n">
        <v>97</v>
      </c>
      <c r="B1427" t="inlineStr">
        <is>
          <t>A</t>
        </is>
      </c>
      <c r="C1427" t="inlineStr">
        <is>
          <t>Hallucination Risk (Pers. 18)</t>
        </is>
      </c>
      <c r="D1427" s="3" t="inlineStr">
        <is>
          <t>Risk = 0,65×(1-F) + 0,20×Contradiction + 0,15×Uncertainty</t>
        </is>
      </c>
      <c r="E1427" s="3" t="inlineStr">
        <is>
          <t>Risk = 0,65×OutOfContext + 0,20×Contradiction + 0,15×Uncertainty = 0,65×0.2266 + 0,20×0.0000 + 0,15×0.00 = 0.1473 [RENDAH]</t>
        </is>
      </c>
      <c r="F1427" t="n">
        <v>0.1473</v>
      </c>
      <c r="G1427" s="3" t="inlineStr">
        <is>
          <t>label: RENDAH; kontradiksi 0/18 kalimat; uncertainty flag: False</t>
        </is>
      </c>
    </row>
    <row r="1428">
      <c r="A1428" t="n">
        <v>97</v>
      </c>
      <c r="B1428" t="inlineStr">
        <is>
          <t>A</t>
        </is>
      </c>
      <c r="C1428" t="inlineStr">
        <is>
          <t>Answer Accuracy (Pers. 20)</t>
        </is>
      </c>
      <c r="D1428" s="3" t="inlineStr">
        <is>
          <t>Correctᵢ ∈ {0,1} via LLM-as-Judge (HASIL: BENAR/SALAH)</t>
        </is>
      </c>
      <c r="E1428" s="3" t="inlineStr">
        <is>
          <t>Jawaban sistem: BENAR
Alasan: Jawaban sistem menjelaskan konsep error handling dan exception handling yang sesuai dengan referensi materi GT, serta memberikan contoh cara menangani kesalahan dalam pseudocode.</t>
        </is>
      </c>
      <c r="F1428" t="inlineStr">
        <is>
          <t>BENAR</t>
        </is>
      </c>
      <c r="G1428" s="3" t="inlineStr">
        <is>
          <t>evaluator: ollama/llama3</t>
        </is>
      </c>
    </row>
    <row r="1429">
      <c r="A1429" t="n">
        <v>97</v>
      </c>
      <c r="B1429" t="inlineStr">
        <is>
          <t>B</t>
        </is>
      </c>
      <c r="C1429" t="inlineStr">
        <is>
          <t>Faithfulness (Pers. 15)</t>
        </is>
      </c>
      <c r="D1429" s="3" t="inlineStr">
        <is>
          <t>F = 0,70×Entailment + 0,30×KWoverlap</t>
        </is>
      </c>
      <c r="E1429" s="3" t="inlineStr">
        <is>
          <t>Faithfulness = 0,70×Entailment + 0,30×KWoverlap = 0,70×1.0000 + 0,30×0.2447 = 0.7734  (entailment: 6/6 klaim didukung; KWoverlap = (|∩|/|ctx|)^0,65 = (32/279)^0,65 = 0.1147^0,65 = 0.2447)</t>
        </is>
      </c>
      <c r="F1429" t="n">
        <v>0.7734</v>
      </c>
      <c r="G1429" s="3" t="inlineStr">
        <is>
          <t>metode: llm_entailment + keyword</t>
        </is>
      </c>
    </row>
    <row r="1430">
      <c r="A1430" t="n">
        <v>97</v>
      </c>
      <c r="B1430" t="inlineStr">
        <is>
          <t>B</t>
        </is>
      </c>
      <c r="C1430" t="inlineStr">
        <is>
          <t>— Entailment (Pers. 12-13)</t>
        </is>
      </c>
      <c r="D1430" s="3" t="inlineStr">
        <is>
          <t>Entailment = Σverdict(sᵢ)/m</t>
        </is>
      </c>
      <c r="E1430" s="3" t="inlineStr">
        <is>
          <t>6 klaim YA dari 6 klaim dievaluasi</t>
        </is>
      </c>
      <c r="F1430" t="n">
        <v>1</v>
      </c>
      <c r="G1430" s="3" t="inlineStr">
        <is>
          <t>verdict per klaim: sheet 'Entailment Detail'</t>
        </is>
      </c>
    </row>
    <row r="1431">
      <c r="A1431" t="n">
        <v>97</v>
      </c>
      <c r="B1431" t="inlineStr">
        <is>
          <t>B</t>
        </is>
      </c>
      <c r="C1431" t="inlineStr">
        <is>
          <t>— Keyword Overlap (Pers. 14)</t>
        </is>
      </c>
      <c r="D1431" s="3" t="inlineStr">
        <is>
          <t>KWoverlap = (|Stems(ans)∩Stems(ctx)| / |Stems(ctx)|)^0,65</t>
        </is>
      </c>
      <c r="E1431" s="3" t="inlineStr">
        <is>
          <t>KWoverlap = (|∩|/|ctx|)^0,65 = (32/279)^0,65 = 0.1147^0,65 = 0.2447</t>
        </is>
      </c>
      <c r="F1431" t="n">
        <v>0.2447</v>
      </c>
      <c r="G1431" s="3" t="inlineStr"/>
    </row>
    <row r="1432">
      <c r="A1432" t="n">
        <v>97</v>
      </c>
      <c r="B1432" t="inlineStr">
        <is>
          <t>B</t>
        </is>
      </c>
      <c r="C1432" t="inlineStr">
        <is>
          <t>Hallucination Risk (Pers. 18)</t>
        </is>
      </c>
      <c r="D1432" s="3" t="inlineStr">
        <is>
          <t>Risk = 0,65×(1-F) + 0,20×Contradiction + 0,15×Uncertainty</t>
        </is>
      </c>
      <c r="E1432" s="3" t="inlineStr">
        <is>
          <t>Risk = 0,65×OutOfContext + 0,20×Contradiction + 0,15×Uncertainty = 0,65×0.2266 + 0,20×0.0000 + 0,15×0.00 = 0.1473 [RENDAH]</t>
        </is>
      </c>
      <c r="F1432" t="n">
        <v>0.1473</v>
      </c>
      <c r="G1432" s="3" t="inlineStr">
        <is>
          <t>label: RENDAH; kontradiksi 0/19 kalimat; uncertainty flag: False</t>
        </is>
      </c>
    </row>
    <row r="1433">
      <c r="A1433" t="n">
        <v>98</v>
      </c>
      <c r="B1433" t="inlineStr">
        <is>
          <t>A</t>
        </is>
      </c>
      <c r="C1433" t="inlineStr">
        <is>
          <t>Precision@K (Pers. 2)</t>
        </is>
      </c>
      <c r="D1433" s="3" t="inlineStr">
        <is>
          <t>Precision@K = |{d ∈ TopK : sim(q,d) ≥ θ}| / K</t>
        </is>
      </c>
      <c r="E1433" s="3" t="inlineStr">
        <is>
          <t>skor = [0.7448, 0.7244, 0.7221, 0.7211, 0.7203, 0.7194] → 6 / 6</t>
        </is>
      </c>
      <c r="F1433" t="n">
        <v>1</v>
      </c>
      <c r="G1433" s="3" t="inlineStr">
        <is>
          <t>basis: skor chunk nyata (sesuai contoh Pers. 2 skripsi)</t>
        </is>
      </c>
    </row>
    <row r="1434">
      <c r="A1434" t="n">
        <v>98</v>
      </c>
      <c r="B1434" t="inlineStr">
        <is>
          <t>A</t>
        </is>
      </c>
      <c r="C1434" t="inlineStr">
        <is>
          <t>Recall@K (Pers. 4)</t>
        </is>
      </c>
      <c r="D1434" s="3" t="inlineStr">
        <is>
          <t>Recall@K = |{kata kunci ditemukan : sim ≥ θ}| / |R|</t>
        </is>
      </c>
      <c r="E1434" s="3" t="inlineStr">
        <is>
          <t>skor = [0.6787, 0.674, 0.5872, 0.4902, 0.4855, 0.4438] → 6 / 6</t>
        </is>
      </c>
      <c r="F1434" t="n">
        <v>1</v>
      </c>
      <c r="G1434" s="3" t="inlineStr"/>
    </row>
    <row r="1435">
      <c r="A1435" t="n">
        <v>98</v>
      </c>
      <c r="B1435" t="inlineStr">
        <is>
          <t>A</t>
        </is>
      </c>
      <c r="C1435" t="inlineStr">
        <is>
          <t>Mean Similarity (Pers. 6)</t>
        </is>
      </c>
      <c r="D1435" s="3" t="inlineStr">
        <is>
          <t>MeanSim = (1/K) × Σ sim(q, dᵢ)</t>
        </is>
      </c>
      <c r="E1435" s="3" t="inlineStr">
        <is>
          <t>skor = [0.7448, 0.7244, 0.7221, 0.7211, 0.7203, 0.7194] → (0.7448 + 0.7244 + 0.7221 + 0.7211 + 0.7203 + 0.7194) / 6</t>
        </is>
      </c>
      <c r="F1435" t="n">
        <v>0.7254</v>
      </c>
      <c r="G1435" s="3" t="inlineStr"/>
    </row>
    <row r="1436">
      <c r="A1436" t="n">
        <v>98</v>
      </c>
      <c r="B1436" t="inlineStr">
        <is>
          <t>A</t>
        </is>
      </c>
      <c r="C1436" t="inlineStr">
        <is>
          <t>Coverage (Pers. 8)</t>
        </is>
      </c>
      <c r="D1436" s="3" t="inlineStr">
        <is>
          <t>Coverage = |{dᵢ ∈ TopK : sim(q,dᵢ) ≥ θc}| / K</t>
        </is>
      </c>
      <c r="E1436" s="3" t="inlineStr">
        <is>
          <t>skor = [0.7448, 0.7244, 0.7221, 0.7211, 0.7203, 0.7194] → 6 / 6</t>
        </is>
      </c>
      <c r="F1436" t="n">
        <v>1</v>
      </c>
      <c r="G1436" s="3" t="inlineStr"/>
    </row>
    <row r="1437">
      <c r="A1437" t="n">
        <v>98</v>
      </c>
      <c r="B1437" t="inlineStr">
        <is>
          <t>A</t>
        </is>
      </c>
      <c r="C1437" t="inlineStr">
        <is>
          <t>Source Diversity (Pers. 10)</t>
        </is>
      </c>
      <c r="D1437" s="3" t="inlineStr">
        <is>
          <t>Diversity = |sumber unik dalam TopK| / K</t>
        </is>
      </c>
      <c r="E1437" s="3" t="inlineStr">
        <is>
          <t>skor = ['GT_CT01.txt', 'GT_CT05.txt', 'GT_CT06.txt', 'GT_DETAIL_PT05_Pattern_Recognition.txt', 'GT_SUBTOPIK_02_Abstraksi_Formulasi.txt'] → 5 / 6</t>
        </is>
      </c>
      <c r="F1437" t="n">
        <v>0.8333</v>
      </c>
      <c r="G1437" s="3" t="inlineStr">
        <is>
          <t>file unik: GT_CT01.txt, GT_CT05.txt, GT_CT06.txt, GT_DETAIL_PT05_Pattern_Recognition.txt, GT_SUBTOPIK_02_Abstraksi_Formulasi.txt</t>
        </is>
      </c>
    </row>
    <row r="1438">
      <c r="A1438" t="n">
        <v>98</v>
      </c>
      <c r="B1438" t="inlineStr">
        <is>
          <t>A</t>
        </is>
      </c>
      <c r="C1438" t="inlineStr">
        <is>
          <t>Faithfulness (Pers. 15)</t>
        </is>
      </c>
      <c r="D1438" s="3" t="inlineStr">
        <is>
          <t>F = 0,70×Entailment + 0,30×KWoverlap</t>
        </is>
      </c>
      <c r="E1438" s="3" t="inlineStr">
        <is>
          <t>Faithfulness = 0,70×Entailment + 0,30×KWoverlap = 0,70×1.0000 + 0,30×0.2303 = 0.7691  (entailment: 6/6 klaim didukung; KWoverlap = (|∩|/|ctx|)^0,65 = (33/316)^0,65 = 0.1044^0,65 = 0.2303)</t>
        </is>
      </c>
      <c r="F1438" t="n">
        <v>0.7691</v>
      </c>
      <c r="G1438" s="3" t="inlineStr">
        <is>
          <t>metode: llm_entailment + keyword</t>
        </is>
      </c>
    </row>
    <row r="1439">
      <c r="A1439" t="n">
        <v>98</v>
      </c>
      <c r="B1439" t="inlineStr">
        <is>
          <t>A</t>
        </is>
      </c>
      <c r="C1439" t="inlineStr">
        <is>
          <t>— Entailment (Pers. 12-13)</t>
        </is>
      </c>
      <c r="D1439" s="3" t="inlineStr">
        <is>
          <t>Entailment = Σverdict(sᵢ)/m</t>
        </is>
      </c>
      <c r="E1439" s="3" t="inlineStr">
        <is>
          <t>6 klaim YA dari 6 klaim dievaluasi</t>
        </is>
      </c>
      <c r="F1439" t="n">
        <v>1</v>
      </c>
      <c r="G1439" s="3" t="inlineStr">
        <is>
          <t>verdict per klaim: sheet 'Entailment Detail'</t>
        </is>
      </c>
    </row>
    <row r="1440">
      <c r="A1440" t="n">
        <v>98</v>
      </c>
      <c r="B1440" t="inlineStr">
        <is>
          <t>A</t>
        </is>
      </c>
      <c r="C1440" t="inlineStr">
        <is>
          <t>— Keyword Overlap (Pers. 14)</t>
        </is>
      </c>
      <c r="D1440" s="3" t="inlineStr">
        <is>
          <t>KWoverlap = (|Stems(ans)∩Stems(ctx)| / |Stems(ctx)|)^0,65</t>
        </is>
      </c>
      <c r="E1440" s="3" t="inlineStr">
        <is>
          <t>KWoverlap = (|∩|/|ctx|)^0,65 = (33/316)^0,65 = 0.1044^0,65 = 0.2303</t>
        </is>
      </c>
      <c r="F1440" t="n">
        <v>0.2303</v>
      </c>
      <c r="G1440" s="3" t="inlineStr"/>
    </row>
    <row r="1441">
      <c r="A1441" t="n">
        <v>98</v>
      </c>
      <c r="B1441" t="inlineStr">
        <is>
          <t>A</t>
        </is>
      </c>
      <c r="C1441" t="inlineStr">
        <is>
          <t>Hallucination Risk (Pers. 18)</t>
        </is>
      </c>
      <c r="D1441" s="3" t="inlineStr">
        <is>
          <t>Risk = 0,65×(1-F) + 0,20×Contradiction + 0,15×Uncertainty</t>
        </is>
      </c>
      <c r="E1441" s="3" t="inlineStr">
        <is>
          <t>Risk = 0,65×OutOfContext + 0,20×Contradiction + 0,15×Uncertainty = 0,65×0.2309 + 0,20×0.0000 + 0,15×0.00 = 0.1501 [RENDAH]</t>
        </is>
      </c>
      <c r="F1441" t="n">
        <v>0.1501</v>
      </c>
      <c r="G1441" s="3" t="inlineStr">
        <is>
          <t>label: RENDAH; kontradiksi 0/13 kalimat; uncertainty flag: False</t>
        </is>
      </c>
    </row>
    <row r="1442">
      <c r="A1442" t="n">
        <v>98</v>
      </c>
      <c r="B1442" t="inlineStr">
        <is>
          <t>A</t>
        </is>
      </c>
      <c r="C1442" t="inlineStr">
        <is>
          <t>Answer Accuracy (Pers. 20)</t>
        </is>
      </c>
      <c r="D1442" s="3" t="inlineStr">
        <is>
          <t>Correctᵢ ∈ {0,1} via LLM-as-Judge (HASIL: BENAR/SALAH)</t>
        </is>
      </c>
      <c r="E1442" s="3" t="inlineStr">
        <is>
          <t xml:space="preserve">BENAR
Penjelasan sistem menjelaskan konsep pattern recognition dan modulo dengan menggunakan istilah teknis dan contoh konkret, serta membandingkan pola yang berulang dalam kasus soal ini. Jawaban sistem juga memberikan penjelasan yang cukup tepat dan logis mengenai penggunaan modulo 2 untuk menemukan pola yang berulang dalam data. Referensi materi GT juga mendukung konsep modulo 2 sebagai dasar </t>
        </is>
      </c>
      <c r="F1442" t="inlineStr">
        <is>
          <t>BENAR</t>
        </is>
      </c>
      <c r="G1442" s="3" t="inlineStr">
        <is>
          <t>evaluator: ollama/llama3</t>
        </is>
      </c>
    </row>
    <row r="1443">
      <c r="A1443" t="n">
        <v>98</v>
      </c>
      <c r="B1443" t="inlineStr">
        <is>
          <t>B</t>
        </is>
      </c>
      <c r="C1443" t="inlineStr">
        <is>
          <t>Faithfulness (Pers. 15)</t>
        </is>
      </c>
      <c r="D1443" s="3" t="inlineStr">
        <is>
          <t>F = 0,70×Entailment + 0,30×KWoverlap</t>
        </is>
      </c>
      <c r="E1443" s="3" t="inlineStr">
        <is>
          <t>Faithfulness = 0,70×Entailment + 0,30×KWoverlap = 0,70×0.6667 + 0,30×0.1608 = 0.5149  (entailment: 4/6 klaim didukung; KWoverlap = (|∩|/|ctx|)^0,65 = (19/316)^0,65 = 0.0601^0,65 = 0.1608)</t>
        </is>
      </c>
      <c r="F1443" t="n">
        <v>0.5149</v>
      </c>
      <c r="G1443" s="3" t="inlineStr">
        <is>
          <t>metode: llm_entailment + keyword</t>
        </is>
      </c>
    </row>
    <row r="1444">
      <c r="A1444" t="n">
        <v>98</v>
      </c>
      <c r="B1444" t="inlineStr">
        <is>
          <t>B</t>
        </is>
      </c>
      <c r="C1444" t="inlineStr">
        <is>
          <t>— Entailment (Pers. 12-13)</t>
        </is>
      </c>
      <c r="D1444" s="3" t="inlineStr">
        <is>
          <t>Entailment = Σverdict(sᵢ)/m</t>
        </is>
      </c>
      <c r="E1444" s="3" t="inlineStr">
        <is>
          <t>4 klaim YA dari 6 klaim dievaluasi</t>
        </is>
      </c>
      <c r="F1444" t="n">
        <v>0.6667</v>
      </c>
      <c r="G1444" s="3" t="inlineStr">
        <is>
          <t>verdict per klaim: sheet 'Entailment Detail'</t>
        </is>
      </c>
    </row>
    <row r="1445">
      <c r="A1445" t="n">
        <v>98</v>
      </c>
      <c r="B1445" t="inlineStr">
        <is>
          <t>B</t>
        </is>
      </c>
      <c r="C1445" t="inlineStr">
        <is>
          <t>— Keyword Overlap (Pers. 14)</t>
        </is>
      </c>
      <c r="D1445" s="3" t="inlineStr">
        <is>
          <t>KWoverlap = (|Stems(ans)∩Stems(ctx)| / |Stems(ctx)|)^0,65</t>
        </is>
      </c>
      <c r="E1445" s="3" t="inlineStr">
        <is>
          <t>KWoverlap = (|∩|/|ctx|)^0,65 = (19/316)^0,65 = 0.0601^0,65 = 0.1608</t>
        </is>
      </c>
      <c r="F1445" t="n">
        <v>0.1608</v>
      </c>
      <c r="G1445" s="3" t="inlineStr"/>
    </row>
    <row r="1446">
      <c r="A1446" t="n">
        <v>98</v>
      </c>
      <c r="B1446" t="inlineStr">
        <is>
          <t>B</t>
        </is>
      </c>
      <c r="C1446" t="inlineStr">
        <is>
          <t>Hallucination Risk (Pers. 18)</t>
        </is>
      </c>
      <c r="D1446" s="3" t="inlineStr">
        <is>
          <t>Risk = 0,65×(1-F) + 0,20×Contradiction + 0,15×Uncertainty</t>
        </is>
      </c>
      <c r="E1446" s="3" t="inlineStr">
        <is>
          <t>Risk = 0,65×OutOfContext + 0,20×Contradiction + 0,15×Uncertainty = 0,65×0.4851 + 0,20×0.0000 + 0,15×0.00 = 0.3153 [RENDAH]</t>
        </is>
      </c>
      <c r="F1446" t="n">
        <v>0.3153</v>
      </c>
      <c r="G1446" s="3" t="inlineStr">
        <is>
          <t>label: RENDAH; kontradiksi 0/11 kalimat; uncertainty flag: False</t>
        </is>
      </c>
    </row>
    <row r="1447">
      <c r="A1447" t="n">
        <v>98</v>
      </c>
      <c r="B1447" t="inlineStr">
        <is>
          <t>B</t>
        </is>
      </c>
      <c r="C1447" t="inlineStr">
        <is>
          <t>Answer Accuracy (Pers. 20)</t>
        </is>
      </c>
      <c r="D1447" s="3" t="inlineStr">
        <is>
          <t>Correctᵢ ∈ {0,1} via LLM-as-Judge (HASIL: BENAR/SALAH)</t>
        </is>
      </c>
      <c r="E1447" s="3" t="inlineStr"/>
      <c r="F1447" t="inlineStr">
        <is>
          <t>SALAH</t>
        </is>
      </c>
      <c r="G1447" s="3" t="inlineStr">
        <is>
          <t>evaluator: ollama/llama3</t>
        </is>
      </c>
    </row>
    <row r="1448">
      <c r="A1448" t="n">
        <v>99</v>
      </c>
      <c r="B1448" t="inlineStr">
        <is>
          <t>A</t>
        </is>
      </c>
      <c r="C1448" t="inlineStr">
        <is>
          <t>Precision@K (Pers. 2)</t>
        </is>
      </c>
      <c r="D1448" s="3" t="inlineStr">
        <is>
          <t>Precision@K = |{d ∈ TopK : sim(q,d) ≥ θ}| / K</t>
        </is>
      </c>
      <c r="E1448" s="3" t="inlineStr">
        <is>
          <t>skor = [0.765, 0.7592, 0.7531, 0.7345, 0.7274, 0.7272] → 6 / 6</t>
        </is>
      </c>
      <c r="F1448" t="n">
        <v>1</v>
      </c>
      <c r="G1448" s="3" t="inlineStr">
        <is>
          <t>basis: skor chunk nyata (sesuai contoh Pers. 2 skripsi)</t>
        </is>
      </c>
    </row>
    <row r="1449">
      <c r="A1449" t="n">
        <v>99</v>
      </c>
      <c r="B1449" t="inlineStr">
        <is>
          <t>A</t>
        </is>
      </c>
      <c r="C1449" t="inlineStr">
        <is>
          <t>Recall@K (Pers. 4)</t>
        </is>
      </c>
      <c r="D1449" s="3" t="inlineStr">
        <is>
          <t>Recall@K = |{kata kunci ditemukan : sim ≥ θ}| / |R|</t>
        </is>
      </c>
      <c r="E1449" s="3" t="inlineStr">
        <is>
          <t>skor = [0.541, 0.5182, 0.4802, 0.478, 0.457, 0.4372] → 6 / 6</t>
        </is>
      </c>
      <c r="F1449" t="n">
        <v>1</v>
      </c>
      <c r="G1449" s="3" t="inlineStr"/>
    </row>
    <row r="1450">
      <c r="A1450" t="n">
        <v>99</v>
      </c>
      <c r="B1450" t="inlineStr">
        <is>
          <t>A</t>
        </is>
      </c>
      <c r="C1450" t="inlineStr">
        <is>
          <t>Mean Similarity (Pers. 6)</t>
        </is>
      </c>
      <c r="D1450" s="3" t="inlineStr">
        <is>
          <t>MeanSim = (1/K) × Σ sim(q, dᵢ)</t>
        </is>
      </c>
      <c r="E1450" s="3" t="inlineStr">
        <is>
          <t>skor = [0.765, 0.7592, 0.7531, 0.7345, 0.7274, 0.7272] → (0.7650 + 0.7592 + 0.7531 + 0.7345 + 0.7274 + 0.7272) / 6</t>
        </is>
      </c>
      <c r="F1450" t="n">
        <v>0.7444</v>
      </c>
      <c r="G1450" s="3" t="inlineStr"/>
    </row>
    <row r="1451">
      <c r="A1451" t="n">
        <v>99</v>
      </c>
      <c r="B1451" t="inlineStr">
        <is>
          <t>A</t>
        </is>
      </c>
      <c r="C1451" t="inlineStr">
        <is>
          <t>Coverage (Pers. 8)</t>
        </is>
      </c>
      <c r="D1451" s="3" t="inlineStr">
        <is>
          <t>Coverage = |{dᵢ ∈ TopK : sim(q,dᵢ) ≥ θc}| / K</t>
        </is>
      </c>
      <c r="E1451" s="3" t="inlineStr">
        <is>
          <t>skor = [0.765, 0.7592, 0.7531, 0.7345, 0.7274, 0.7272] → 6 / 6</t>
        </is>
      </c>
      <c r="F1451" t="n">
        <v>1</v>
      </c>
      <c r="G1451" s="3" t="inlineStr"/>
    </row>
    <row r="1452">
      <c r="A1452" t="n">
        <v>99</v>
      </c>
      <c r="B1452" t="inlineStr">
        <is>
          <t>A</t>
        </is>
      </c>
      <c r="C1452" t="inlineStr">
        <is>
          <t>Source Diversity (Pers. 10)</t>
        </is>
      </c>
      <c r="D1452" s="3" t="inlineStr">
        <is>
          <t>Diversity = |sumber unik dalam TopK| / K</t>
        </is>
      </c>
      <c r="E1452" s="3" t="inlineStr">
        <is>
          <t>skor = ['GT_CT07.txt', 'GT_CT09.txt', 'GT_CT10.txt', 'GT_DETAIL_PT07_Notasi_Algoritme.txt', 'GT_DETAIL_PT10_Percabangan.txt', 'GT_SUBTOPIK_05_Pseudocode_Algoritme.txt'] → 6 / 6</t>
        </is>
      </c>
      <c r="F1452" t="n">
        <v>1</v>
      </c>
      <c r="G1452" s="3" t="inlineStr">
        <is>
          <t>file unik: GT_CT07.txt, GT_CT09.txt, GT_CT10.txt, GT_DETAIL_PT07_Notasi_Algoritme.txt, GT_DETAIL_PT10_Percabangan.txt, GT_SUBTOPIK_05_Pseudocode_Algoritme.txt</t>
        </is>
      </c>
    </row>
    <row r="1453">
      <c r="A1453" t="n">
        <v>99</v>
      </c>
      <c r="B1453" t="inlineStr">
        <is>
          <t>A</t>
        </is>
      </c>
      <c r="C1453" t="inlineStr">
        <is>
          <t>Faithfulness (Pers. 15)</t>
        </is>
      </c>
      <c r="D1453" s="3" t="inlineStr">
        <is>
          <t>F = 0,70×Entailment + 0,30×KWoverlap</t>
        </is>
      </c>
      <c r="E1453" s="3" t="inlineStr">
        <is>
          <t>Faithfulness = 0,70×Entailment + 0,30×KWoverlap = 0,70×1.0000 + 0,30×0.2688 = 0.7806  (entailment: 6/6 klaim didukung; KWoverlap = (|∩|/|ctx|)^0,65 = (31/234)^0,65 = 0.1325^0,65 = 0.2688)</t>
        </is>
      </c>
      <c r="F1453" t="n">
        <v>0.7806</v>
      </c>
      <c r="G1453" s="3" t="inlineStr">
        <is>
          <t>metode: llm_entailment + keyword</t>
        </is>
      </c>
    </row>
    <row r="1454">
      <c r="A1454" t="n">
        <v>99</v>
      </c>
      <c r="B1454" t="inlineStr">
        <is>
          <t>A</t>
        </is>
      </c>
      <c r="C1454" t="inlineStr">
        <is>
          <t>— Entailment (Pers. 12-13)</t>
        </is>
      </c>
      <c r="D1454" s="3" t="inlineStr">
        <is>
          <t>Entailment = Σverdict(sᵢ)/m</t>
        </is>
      </c>
      <c r="E1454" s="3" t="inlineStr">
        <is>
          <t>6 klaim YA dari 6 klaim dievaluasi</t>
        </is>
      </c>
      <c r="F1454" t="n">
        <v>1</v>
      </c>
      <c r="G1454" s="3" t="inlineStr">
        <is>
          <t>verdict per klaim: sheet 'Entailment Detail'</t>
        </is>
      </c>
    </row>
    <row r="1455">
      <c r="A1455" t="n">
        <v>99</v>
      </c>
      <c r="B1455" t="inlineStr">
        <is>
          <t>A</t>
        </is>
      </c>
      <c r="C1455" t="inlineStr">
        <is>
          <t>— Keyword Overlap (Pers. 14)</t>
        </is>
      </c>
      <c r="D1455" s="3" t="inlineStr">
        <is>
          <t>KWoverlap = (|Stems(ans)∩Stems(ctx)| / |Stems(ctx)|)^0,65</t>
        </is>
      </c>
      <c r="E1455" s="3" t="inlineStr">
        <is>
          <t>KWoverlap = (|∩|/|ctx|)^0,65 = (31/234)^0,65 = 0.1325^0,65 = 0.2688</t>
        </is>
      </c>
      <c r="F1455" t="n">
        <v>0.2688</v>
      </c>
      <c r="G1455" s="3" t="inlineStr"/>
    </row>
    <row r="1456">
      <c r="A1456" t="n">
        <v>99</v>
      </c>
      <c r="B1456" t="inlineStr">
        <is>
          <t>A</t>
        </is>
      </c>
      <c r="C1456" t="inlineStr">
        <is>
          <t>Hallucination Risk (Pers. 18)</t>
        </is>
      </c>
      <c r="D1456" s="3" t="inlineStr">
        <is>
          <t>Risk = 0,65×(1-F) + 0,20×Contradiction + 0,15×Uncertainty</t>
        </is>
      </c>
      <c r="E1456" s="3" t="inlineStr">
        <is>
          <t>Risk = 0,65×OutOfContext + 0,20×Contradiction + 0,15×Uncertainty = 0,65×0.2194 + 0,20×0.0000 + 0,15×0.00 = 0.1426 [RENDAH]</t>
        </is>
      </c>
      <c r="F1456" t="n">
        <v>0.1426</v>
      </c>
      <c r="G1456" s="3" t="inlineStr">
        <is>
          <t>label: RENDAH; kontradiksi 0/29 kalimat; uncertainty flag: False</t>
        </is>
      </c>
    </row>
    <row r="1457">
      <c r="A1457" t="n">
        <v>99</v>
      </c>
      <c r="B1457" t="inlineStr">
        <is>
          <t>A</t>
        </is>
      </c>
      <c r="C1457" t="inlineStr">
        <is>
          <t>Answer Accuracy (Pers. 20)</t>
        </is>
      </c>
      <c r="D1457" s="3" t="inlineStr">
        <is>
          <t>Correctᵢ ∈ {0,1} via LLM-as-Judge (HASIL: BENAR/SALAH)</t>
        </is>
      </c>
      <c r="E1457" s="3" t="inlineStr">
        <is>
          <t>Jawaban sistem:</t>
        </is>
      </c>
      <c r="F1457" t="inlineStr">
        <is>
          <t>BENAR</t>
        </is>
      </c>
      <c r="G1457" s="3" t="inlineStr">
        <is>
          <t>evaluator: ollama/llama3</t>
        </is>
      </c>
    </row>
    <row r="1458">
      <c r="A1458" t="n">
        <v>99</v>
      </c>
      <c r="B1458" t="inlineStr">
        <is>
          <t>B</t>
        </is>
      </c>
      <c r="C1458" t="inlineStr">
        <is>
          <t>Faithfulness (Pers. 15)</t>
        </is>
      </c>
      <c r="D1458" s="3" t="inlineStr">
        <is>
          <t>F = 0,70×Entailment + 0,30×KWoverlap</t>
        </is>
      </c>
      <c r="E1458" s="3" t="inlineStr">
        <is>
          <t>Faithfulness = 0,70×Entailment + 0,30×KWoverlap = 0,70×1.0000 + 0,30×0.1677 = 0.7503  (entailment: 6/6 klaim didukung; KWoverlap = (|∩|/|ctx|)^0,65 = (15/234)^0,65 = 0.0641^0,65 = 0.1677)</t>
        </is>
      </c>
      <c r="F1458" t="n">
        <v>0.7503</v>
      </c>
      <c r="G1458" s="3" t="inlineStr">
        <is>
          <t>metode: llm_entailment + keyword</t>
        </is>
      </c>
    </row>
    <row r="1459">
      <c r="A1459" t="n">
        <v>99</v>
      </c>
      <c r="B1459" t="inlineStr">
        <is>
          <t>B</t>
        </is>
      </c>
      <c r="C1459" t="inlineStr">
        <is>
          <t>— Entailment (Pers. 12-13)</t>
        </is>
      </c>
      <c r="D1459" s="3" t="inlineStr">
        <is>
          <t>Entailment = Σverdict(sᵢ)/m</t>
        </is>
      </c>
      <c r="E1459" s="3" t="inlineStr">
        <is>
          <t>6 klaim YA dari 6 klaim dievaluasi</t>
        </is>
      </c>
      <c r="F1459" t="n">
        <v>1</v>
      </c>
      <c r="G1459" s="3" t="inlineStr">
        <is>
          <t>verdict per klaim: sheet 'Entailment Detail'</t>
        </is>
      </c>
    </row>
    <row r="1460">
      <c r="A1460" t="n">
        <v>99</v>
      </c>
      <c r="B1460" t="inlineStr">
        <is>
          <t>B</t>
        </is>
      </c>
      <c r="C1460" t="inlineStr">
        <is>
          <t>— Keyword Overlap (Pers. 14)</t>
        </is>
      </c>
      <c r="D1460" s="3" t="inlineStr">
        <is>
          <t>KWoverlap = (|Stems(ans)∩Stems(ctx)| / |Stems(ctx)|)^0,65</t>
        </is>
      </c>
      <c r="E1460" s="3" t="inlineStr">
        <is>
          <t>KWoverlap = (|∩|/|ctx|)^0,65 = (15/234)^0,65 = 0.0641^0,65 = 0.1677</t>
        </is>
      </c>
      <c r="F1460" t="n">
        <v>0.1677</v>
      </c>
      <c r="G1460" s="3" t="inlineStr"/>
    </row>
    <row r="1461">
      <c r="A1461" t="n">
        <v>99</v>
      </c>
      <c r="B1461" t="inlineStr">
        <is>
          <t>B</t>
        </is>
      </c>
      <c r="C1461" t="inlineStr">
        <is>
          <t>Hallucination Risk (Pers. 18)</t>
        </is>
      </c>
      <c r="D1461" s="3" t="inlineStr">
        <is>
          <t>Risk = 0,65×(1-F) + 0,20×Contradiction + 0,15×Uncertainty</t>
        </is>
      </c>
      <c r="E1461" s="3" t="inlineStr">
        <is>
          <t>Risk = 0,65×OutOfContext + 0,20×Contradiction + 0,15×Uncertainty = 0,65×0.2497 + 0,20×0.0000 + 0,15×0.00 = 0.1623 [RENDAH]</t>
        </is>
      </c>
      <c r="F1461" t="n">
        <v>0.1623</v>
      </c>
      <c r="G1461" s="3" t="inlineStr">
        <is>
          <t>label: RENDAH; kontradiksi 0/25 kalimat; uncertainty flag: False</t>
        </is>
      </c>
    </row>
    <row r="1462">
      <c r="A1462" t="n">
        <v>99</v>
      </c>
      <c r="B1462" t="inlineStr">
        <is>
          <t>B</t>
        </is>
      </c>
      <c r="C1462" t="inlineStr">
        <is>
          <t>Answer Accuracy (Pers. 20)</t>
        </is>
      </c>
      <c r="D1462" s="3" t="inlineStr">
        <is>
          <t>Correctᵢ ∈ {0,1} via LLM-as-Judge (HASIL: BENAR/SALAH)</t>
        </is>
      </c>
      <c r="E1462" s="3" t="inlineStr">
        <is>
          <t>BENAR.
The system's answer provides a correct concept of the login system with a maximum of 3 attempts before the account is locked. The pseudocode covers the main logic, including:
1. Initialization: setting the attempt counter to 0
2. User input and verification: checking the username and password
3. Incrementing the attempt counter if the credentials are incorrect
4. Locking the account if mo</t>
        </is>
      </c>
      <c r="F1462" t="inlineStr">
        <is>
          <t>BENAR</t>
        </is>
      </c>
      <c r="G1462" s="3" t="inlineStr">
        <is>
          <t>evaluator: ollama/llama3</t>
        </is>
      </c>
    </row>
    <row r="1463">
      <c r="A1463" t="n">
        <v>100</v>
      </c>
      <c r="B1463" t="inlineStr">
        <is>
          <t>A</t>
        </is>
      </c>
      <c r="C1463" t="inlineStr">
        <is>
          <t>Precision@K (Pers. 2)</t>
        </is>
      </c>
      <c r="D1463" s="3" t="inlineStr">
        <is>
          <t>Precision@K = |{d ∈ TopK : sim(q,d) ≥ θ}| / K</t>
        </is>
      </c>
      <c r="E1463" s="3" t="inlineStr">
        <is>
          <t>skor = [0.6898, 0.6784, 0.6728, 0.6698, 0.6693, 0.6682] → 6 / 6</t>
        </is>
      </c>
      <c r="F1463" t="n">
        <v>1</v>
      </c>
      <c r="G1463" s="3" t="inlineStr">
        <is>
          <t>basis: skor chunk nyata (sesuai contoh Pers. 2 skripsi)</t>
        </is>
      </c>
    </row>
    <row r="1464">
      <c r="A1464" t="n">
        <v>100</v>
      </c>
      <c r="B1464" t="inlineStr">
        <is>
          <t>A</t>
        </is>
      </c>
      <c r="C1464" t="inlineStr">
        <is>
          <t>Recall@K (Pers. 4)</t>
        </is>
      </c>
      <c r="D1464" s="3" t="inlineStr">
        <is>
          <t>Recall@K = |{kata kunci ditemukan : sim ≥ θ}| / |R|</t>
        </is>
      </c>
      <c r="E1464" s="3" t="inlineStr">
        <is>
          <t>skor = [0.7099, 0.7042, 0.5001, 0.4371, 0.4369, 0.4355] → 6 / 6</t>
        </is>
      </c>
      <c r="F1464" t="n">
        <v>1</v>
      </c>
      <c r="G1464" s="3" t="inlineStr"/>
    </row>
    <row r="1465">
      <c r="A1465" t="n">
        <v>100</v>
      </c>
      <c r="B1465" t="inlineStr">
        <is>
          <t>A</t>
        </is>
      </c>
      <c r="C1465" t="inlineStr">
        <is>
          <t>Mean Similarity (Pers. 6)</t>
        </is>
      </c>
      <c r="D1465" s="3" t="inlineStr">
        <is>
          <t>MeanSim = (1/K) × Σ sim(q, dᵢ)</t>
        </is>
      </c>
      <c r="E1465" s="3" t="inlineStr">
        <is>
          <t>skor = [0.6898, 0.6784, 0.6728, 0.6698, 0.6693, 0.6682] → (0.6898 + 0.6784 + 0.6728 + 0.6698 + 0.6693 + 0.6682) / 6</t>
        </is>
      </c>
      <c r="F1465" t="n">
        <v>0.6747</v>
      </c>
      <c r="G1465" s="3" t="inlineStr"/>
    </row>
    <row r="1466">
      <c r="A1466" t="n">
        <v>100</v>
      </c>
      <c r="B1466" t="inlineStr">
        <is>
          <t>A</t>
        </is>
      </c>
      <c r="C1466" t="inlineStr">
        <is>
          <t>Coverage (Pers. 8)</t>
        </is>
      </c>
      <c r="D1466" s="3" t="inlineStr">
        <is>
          <t>Coverage = |{dᵢ ∈ TopK : sim(q,dᵢ) ≥ θc}| / K</t>
        </is>
      </c>
      <c r="E1466" s="3" t="inlineStr">
        <is>
          <t>skor = [0.6898, 0.6784, 0.6728, 0.6698, 0.6693, 0.6682] → 6 / 6</t>
        </is>
      </c>
      <c r="F1466" t="n">
        <v>1</v>
      </c>
      <c r="G1466" s="3" t="inlineStr"/>
    </row>
    <row r="1467">
      <c r="A1467" t="n">
        <v>100</v>
      </c>
      <c r="B1467" t="inlineStr">
        <is>
          <t>A</t>
        </is>
      </c>
      <c r="C1467" t="inlineStr">
        <is>
          <t>Source Diversity (Pers. 10)</t>
        </is>
      </c>
      <c r="D1467" s="3" t="inlineStr">
        <is>
          <t>Diversity = |sumber unik dalam TopK| / K</t>
        </is>
      </c>
      <c r="E1467" s="3" t="inlineStr">
        <is>
          <t>skor = ['GT_CT04.txt', 'GT_CT07.txt', 'GT_CT13.txt', 'GT_SUBTOPIK_13_Graph_Tree.txt', 'GT_SUBTOPIK_14_Kompleksitas_BigO.txt'] → 5 / 6</t>
        </is>
      </c>
      <c r="F1467" t="n">
        <v>0.8333</v>
      </c>
      <c r="G1467" s="3" t="inlineStr">
        <is>
          <t>file unik: GT_CT04.txt, GT_CT07.txt, GT_CT13.txt, GT_SUBTOPIK_13_Graph_Tree.txt, GT_SUBTOPIK_14_Kompleksitas_BigO.txt</t>
        </is>
      </c>
    </row>
    <row r="1468">
      <c r="A1468" t="n">
        <v>100</v>
      </c>
      <c r="B1468" t="inlineStr">
        <is>
          <t>A</t>
        </is>
      </c>
      <c r="C1468" t="inlineStr">
        <is>
          <t>Faithfulness (Pers. 15)</t>
        </is>
      </c>
      <c r="D1468" s="3" t="inlineStr">
        <is>
          <t>F = 0,70×Entailment + 0,30×KWoverlap</t>
        </is>
      </c>
      <c r="E1468" s="3" t="inlineStr">
        <is>
          <t>Faithfulness = 0,70×Entailment + 0,30×KWoverlap = 0,70×1.0000 + 0,30×0.2577 = 0.7773  (entailment: 6/6 klaim didukung; KWoverlap = (|∩|/|ctx|)^0,65 = (39/314)^0,65 = 0.1242^0,65 = 0.2577)</t>
        </is>
      </c>
      <c r="F1468" t="n">
        <v>0.7773</v>
      </c>
      <c r="G1468" s="3" t="inlineStr">
        <is>
          <t>metode: llm_entailment + keyword</t>
        </is>
      </c>
    </row>
    <row r="1469">
      <c r="A1469" t="n">
        <v>100</v>
      </c>
      <c r="B1469" t="inlineStr">
        <is>
          <t>A</t>
        </is>
      </c>
      <c r="C1469" t="inlineStr">
        <is>
          <t>— Entailment (Pers. 12-13)</t>
        </is>
      </c>
      <c r="D1469" s="3" t="inlineStr">
        <is>
          <t>Entailment = Σverdict(sᵢ)/m</t>
        </is>
      </c>
      <c r="E1469" s="3" t="inlineStr">
        <is>
          <t>6 klaim YA dari 6 klaim dievaluasi</t>
        </is>
      </c>
      <c r="F1469" t="n">
        <v>1</v>
      </c>
      <c r="G1469" s="3" t="inlineStr">
        <is>
          <t>verdict per klaim: sheet 'Entailment Detail'</t>
        </is>
      </c>
    </row>
    <row r="1470">
      <c r="A1470" t="n">
        <v>100</v>
      </c>
      <c r="B1470" t="inlineStr">
        <is>
          <t>A</t>
        </is>
      </c>
      <c r="C1470" t="inlineStr">
        <is>
          <t>— Keyword Overlap (Pers. 14)</t>
        </is>
      </c>
      <c r="D1470" s="3" t="inlineStr">
        <is>
          <t>KWoverlap = (|Stems(ans)∩Stems(ctx)| / |Stems(ctx)|)^0,65</t>
        </is>
      </c>
      <c r="E1470" s="3" t="inlineStr">
        <is>
          <t>KWoverlap = (|∩|/|ctx|)^0,65 = (39/314)^0,65 = 0.1242^0,65 = 0.2577</t>
        </is>
      </c>
      <c r="F1470" t="n">
        <v>0.2577</v>
      </c>
      <c r="G1470" s="3" t="inlineStr"/>
    </row>
    <row r="1471">
      <c r="A1471" t="n">
        <v>100</v>
      </c>
      <c r="B1471" t="inlineStr">
        <is>
          <t>A</t>
        </is>
      </c>
      <c r="C1471" t="inlineStr">
        <is>
          <t>Hallucination Risk (Pers. 18)</t>
        </is>
      </c>
      <c r="D1471" s="3" t="inlineStr">
        <is>
          <t>Risk = 0,65×(1-F) + 0,20×Contradiction + 0,15×Uncertainty</t>
        </is>
      </c>
      <c r="E1471" s="3" t="inlineStr">
        <is>
          <t>Risk = 0,65×OutOfContext + 0,20×Contradiction + 0,15×Uncertainty = 0,65×0.2227 + 0,20×0.0000 + 0,15×0.00 = 0.1448 [RENDAH]</t>
        </is>
      </c>
      <c r="F1471" t="n">
        <v>0.1448</v>
      </c>
      <c r="G1471" s="3" t="inlineStr">
        <is>
          <t>label: RENDAH; kontradiksi 0/18 kalimat; uncertainty flag: False</t>
        </is>
      </c>
    </row>
    <row r="1472">
      <c r="A1472" t="n">
        <v>100</v>
      </c>
      <c r="B1472" t="inlineStr">
        <is>
          <t>A</t>
        </is>
      </c>
      <c r="C1472" t="inlineStr">
        <is>
          <t>Answer Accuracy (Pers. 20)</t>
        </is>
      </c>
      <c r="D1472" s="3" t="inlineStr">
        <is>
          <t>Correctᵢ ∈ {0,1} via LLM-as-Judge (HASIL: BENAR/SALAH)</t>
        </is>
      </c>
      <c r="E1472" s="3" t="inlineStr">
        <is>
          <t>JAWABAN:</t>
        </is>
      </c>
      <c r="F1472" t="inlineStr">
        <is>
          <t>BENAR</t>
        </is>
      </c>
      <c r="G1472" s="3" t="inlineStr">
        <is>
          <t>evaluator: ollama/llama3</t>
        </is>
      </c>
    </row>
    <row r="1473">
      <c r="A1473" t="n">
        <v>100</v>
      </c>
      <c r="B1473" t="inlineStr">
        <is>
          <t>B</t>
        </is>
      </c>
      <c r="C1473" t="inlineStr">
        <is>
          <t>Faithfulness (Pers. 15)</t>
        </is>
      </c>
      <c r="D1473" s="3" t="inlineStr">
        <is>
          <t>F = 0,70×Entailment + 0,30×KWoverlap</t>
        </is>
      </c>
      <c r="E1473" s="3" t="inlineStr">
        <is>
          <t>Faithfulness = 0,70×Entailment + 0,30×KWoverlap = 0,70×0.8333 + 0,30×0.2402 = 0.6554  (entailment: 5/6 klaim didukung; KWoverlap = (|∩|/|ctx|)^0,65 = (35/314)^0,65 = 0.1115^0,65 = 0.2402)</t>
        </is>
      </c>
      <c r="F1473" t="n">
        <v>0.6554</v>
      </c>
      <c r="G1473" s="3" t="inlineStr">
        <is>
          <t>metode: llm_entailment + keyword</t>
        </is>
      </c>
    </row>
    <row r="1474">
      <c r="A1474" t="n">
        <v>100</v>
      </c>
      <c r="B1474" t="inlineStr">
        <is>
          <t>B</t>
        </is>
      </c>
      <c r="C1474" t="inlineStr">
        <is>
          <t>— Entailment (Pers. 12-13)</t>
        </is>
      </c>
      <c r="D1474" s="3" t="inlineStr">
        <is>
          <t>Entailment = Σverdict(sᵢ)/m</t>
        </is>
      </c>
      <c r="E1474" s="3" t="inlineStr">
        <is>
          <t>5 klaim YA dari 6 klaim dievaluasi</t>
        </is>
      </c>
      <c r="F1474" t="n">
        <v>0.8333</v>
      </c>
      <c r="G1474" s="3" t="inlineStr">
        <is>
          <t>verdict per klaim: sheet 'Entailment Detail'</t>
        </is>
      </c>
    </row>
    <row r="1475">
      <c r="A1475" t="n">
        <v>100</v>
      </c>
      <c r="B1475" t="inlineStr">
        <is>
          <t>B</t>
        </is>
      </c>
      <c r="C1475" t="inlineStr">
        <is>
          <t>— Keyword Overlap (Pers. 14)</t>
        </is>
      </c>
      <c r="D1475" s="3" t="inlineStr">
        <is>
          <t>KWoverlap = (|Stems(ans)∩Stems(ctx)| / |Stems(ctx)|)^0,65</t>
        </is>
      </c>
      <c r="E1475" s="3" t="inlineStr">
        <is>
          <t>KWoverlap = (|∩|/|ctx|)^0,65 = (35/314)^0,65 = 0.1115^0,65 = 0.2402</t>
        </is>
      </c>
      <c r="F1475" t="n">
        <v>0.2402</v>
      </c>
      <c r="G1475" s="3" t="inlineStr"/>
    </row>
    <row r="1476">
      <c r="A1476" t="n">
        <v>100</v>
      </c>
      <c r="B1476" t="inlineStr">
        <is>
          <t>B</t>
        </is>
      </c>
      <c r="C1476" t="inlineStr">
        <is>
          <t>Hallucination Risk (Pers. 18)</t>
        </is>
      </c>
      <c r="D1476" s="3" t="inlineStr">
        <is>
          <t>Risk = 0,65×(1-F) + 0,20×Contradiction + 0,15×Uncertainty</t>
        </is>
      </c>
      <c r="E1476" s="3" t="inlineStr">
        <is>
          <t>Risk = 0,65×OutOfContext + 0,20×Contradiction + 0,15×Uncertainty = 0,65×0.3446 + 0,20×0.0000 + 0,15×0.00 = 0.2240 [RENDAH]</t>
        </is>
      </c>
      <c r="F1476" t="n">
        <v>0.224</v>
      </c>
      <c r="G1476" s="3" t="inlineStr">
        <is>
          <t>label: RENDAH; kontradiksi 0/20 kalimat; uncertainty flag: False</t>
        </is>
      </c>
    </row>
    <row r="1477">
      <c r="A1477" t="n">
        <v>100</v>
      </c>
      <c r="B1477" t="inlineStr">
        <is>
          <t>B</t>
        </is>
      </c>
      <c r="C1477" t="inlineStr">
        <is>
          <t>Answer Accuracy (Pers. 20)</t>
        </is>
      </c>
      <c r="D1477" s="3" t="inlineStr">
        <is>
          <t>Correctᵢ ∈ {0,1} via LLM-as-Judge (HASIL: BENAR/SALAH)</t>
        </is>
      </c>
      <c r="E1477" s="3" t="inlineStr">
        <is>
          <t>Penjelasan: Jawaban sistem tidak sesuai dengan referensi yang diberikan. Dalam referensi, tidak ada penjelasan tentang adjacency list dan memory efficiency, sehingga jawaban sistem tidak didukung oleh referensi. Oleh karena itu, jawaban sistem dianggap salah.</t>
        </is>
      </c>
      <c r="F1477" t="inlineStr">
        <is>
          <t>SALAH</t>
        </is>
      </c>
      <c r="G1477" s="3" t="inlineStr">
        <is>
          <t>evaluator: ollama/llama3</t>
        </is>
      </c>
    </row>
    <row r="1478">
      <c r="A1478" t="n">
        <v>101</v>
      </c>
      <c r="B1478" t="inlineStr">
        <is>
          <t>A</t>
        </is>
      </c>
      <c r="C1478" t="inlineStr">
        <is>
          <t>Precision@K (Pers. 2)</t>
        </is>
      </c>
      <c r="D1478" s="3" t="inlineStr">
        <is>
          <t>Precision@K = |{d ∈ TopK : sim(q,d) ≥ θ}| / K</t>
        </is>
      </c>
      <c r="E1478" s="3" t="inlineStr">
        <is>
          <t>skor = [0.8297, 0.8091, 0.8087, 0.7936, 0.7933, 0.779] → 6 / 6</t>
        </is>
      </c>
      <c r="F1478" t="n">
        <v>1</v>
      </c>
      <c r="G1478" s="3" t="inlineStr">
        <is>
          <t>basis: skor chunk nyata (sesuai contoh Pers. 2 skripsi)</t>
        </is>
      </c>
    </row>
    <row r="1479">
      <c r="A1479" t="n">
        <v>101</v>
      </c>
      <c r="B1479" t="inlineStr">
        <is>
          <t>A</t>
        </is>
      </c>
      <c r="C1479" t="inlineStr">
        <is>
          <t>Recall@K (Pers. 4)</t>
        </is>
      </c>
      <c r="D1479" s="3" t="inlineStr">
        <is>
          <t>Recall@K = |{kata kunci ditemukan : sim ≥ θ}| / |R|</t>
        </is>
      </c>
      <c r="E1479" s="3" t="inlineStr">
        <is>
          <t>skor = [0.6917, 0.5599, 0.5001, 0.4991, 0.4896, 0.4482] → 6 / 6</t>
        </is>
      </c>
      <c r="F1479" t="n">
        <v>1</v>
      </c>
      <c r="G1479" s="3" t="inlineStr"/>
    </row>
    <row r="1480">
      <c r="A1480" t="n">
        <v>101</v>
      </c>
      <c r="B1480" t="inlineStr">
        <is>
          <t>A</t>
        </is>
      </c>
      <c r="C1480" t="inlineStr">
        <is>
          <t>Mean Similarity (Pers. 6)</t>
        </is>
      </c>
      <c r="D1480" s="3" t="inlineStr">
        <is>
          <t>MeanSim = (1/K) × Σ sim(q, dᵢ)</t>
        </is>
      </c>
      <c r="E1480" s="3" t="inlineStr">
        <is>
          <t>skor = [0.8297, 0.8091, 0.8087, 0.7936, 0.7933, 0.779] → (0.8297 + 0.8091 + 0.8087 + 0.7936 + 0.7933 + 0.7790) / 6</t>
        </is>
      </c>
      <c r="F1480" t="n">
        <v>0.8022</v>
      </c>
      <c r="G1480" s="3" t="inlineStr"/>
    </row>
    <row r="1481">
      <c r="A1481" t="n">
        <v>101</v>
      </c>
      <c r="B1481" t="inlineStr">
        <is>
          <t>A</t>
        </is>
      </c>
      <c r="C1481" t="inlineStr">
        <is>
          <t>Coverage (Pers. 8)</t>
        </is>
      </c>
      <c r="D1481" s="3" t="inlineStr">
        <is>
          <t>Coverage = |{dᵢ ∈ TopK : sim(q,dᵢ) ≥ θc}| / K</t>
        </is>
      </c>
      <c r="E1481" s="3" t="inlineStr">
        <is>
          <t>skor = [0.8297, 0.8091, 0.8087, 0.7936, 0.7933, 0.779] → 6 / 6</t>
        </is>
      </c>
      <c r="F1481" t="n">
        <v>1</v>
      </c>
      <c r="G1481" s="3" t="inlineStr"/>
    </row>
    <row r="1482">
      <c r="A1482" t="n">
        <v>101</v>
      </c>
      <c r="B1482" t="inlineStr">
        <is>
          <t>A</t>
        </is>
      </c>
      <c r="C1482" t="inlineStr">
        <is>
          <t>Source Diversity (Pers. 10)</t>
        </is>
      </c>
      <c r="D1482" s="3" t="inlineStr">
        <is>
          <t>Diversity = |sumber unik dalam TopK| / K</t>
        </is>
      </c>
      <c r="E1482" s="3" t="inlineStr">
        <is>
          <t>skor = ['GT_CT05.txt', 'GT_DETAIL_PT05_Pattern_Recognition.txt', 'GT_SUBTOPIK_04_Modulo_Siklus.txt'] → 3 / 6</t>
        </is>
      </c>
      <c r="F1482" t="n">
        <v>0.5</v>
      </c>
      <c r="G1482" s="3" t="inlineStr">
        <is>
          <t>file unik: GT_CT05.txt, GT_DETAIL_PT05_Pattern_Recognition.txt, GT_SUBTOPIK_04_Modulo_Siklus.txt</t>
        </is>
      </c>
    </row>
    <row r="1483">
      <c r="A1483" t="n">
        <v>101</v>
      </c>
      <c r="B1483" t="inlineStr">
        <is>
          <t>A</t>
        </is>
      </c>
      <c r="C1483" t="inlineStr">
        <is>
          <t>Faithfulness (Pers. 15)</t>
        </is>
      </c>
      <c r="D1483" s="3" t="inlineStr">
        <is>
          <t>F = 0,70×Entailment + 0,30×KWoverlap</t>
        </is>
      </c>
      <c r="E1483" s="3" t="inlineStr">
        <is>
          <t>Faithfulness = 0,70×Entailment + 0,30×KWoverlap = 0,70×0.8333 + 0,30×0.4639 = 0.7225  (entailment: 5/6 klaim didukung; KWoverlap = (|∩|/|ctx|)^0,65 = (50/163)^0,65 = 0.3067^0,65 = 0.4639)</t>
        </is>
      </c>
      <c r="F1483" t="n">
        <v>0.7225</v>
      </c>
      <c r="G1483" s="3" t="inlineStr">
        <is>
          <t>metode: llm_entailment + keyword</t>
        </is>
      </c>
    </row>
    <row r="1484">
      <c r="A1484" t="n">
        <v>101</v>
      </c>
      <c r="B1484" t="inlineStr">
        <is>
          <t>A</t>
        </is>
      </c>
      <c r="C1484" t="inlineStr">
        <is>
          <t>— Entailment (Pers. 12-13)</t>
        </is>
      </c>
      <c r="D1484" s="3" t="inlineStr">
        <is>
          <t>Entailment = Σverdict(sᵢ)/m</t>
        </is>
      </c>
      <c r="E1484" s="3" t="inlineStr">
        <is>
          <t>5 klaim YA dari 6 klaim dievaluasi</t>
        </is>
      </c>
      <c r="F1484" t="n">
        <v>0.8333</v>
      </c>
      <c r="G1484" s="3" t="inlineStr">
        <is>
          <t>verdict per klaim: sheet 'Entailment Detail'</t>
        </is>
      </c>
    </row>
    <row r="1485">
      <c r="A1485" t="n">
        <v>101</v>
      </c>
      <c r="B1485" t="inlineStr">
        <is>
          <t>A</t>
        </is>
      </c>
      <c r="C1485" t="inlineStr">
        <is>
          <t>— Keyword Overlap (Pers. 14)</t>
        </is>
      </c>
      <c r="D1485" s="3" t="inlineStr">
        <is>
          <t>KWoverlap = (|Stems(ans)∩Stems(ctx)| / |Stems(ctx)|)^0,65</t>
        </is>
      </c>
      <c r="E1485" s="3" t="inlineStr">
        <is>
          <t>KWoverlap = (|∩|/|ctx|)^0,65 = (50/163)^0,65 = 0.3067^0,65 = 0.4639</t>
        </is>
      </c>
      <c r="F1485" t="n">
        <v>0.4639</v>
      </c>
      <c r="G1485" s="3" t="inlineStr"/>
    </row>
    <row r="1486">
      <c r="A1486" t="n">
        <v>101</v>
      </c>
      <c r="B1486" t="inlineStr">
        <is>
          <t>A</t>
        </is>
      </c>
      <c r="C1486" t="inlineStr">
        <is>
          <t>Hallucination Risk (Pers. 18)</t>
        </is>
      </c>
      <c r="D1486" s="3" t="inlineStr">
        <is>
          <t>Risk = 0,65×(1-F) + 0,20×Contradiction + 0,15×Uncertainty</t>
        </is>
      </c>
      <c r="E1486" s="3" t="inlineStr">
        <is>
          <t>Risk = 0,65×OutOfContext + 0,20×Contradiction + 0,15×Uncertainty = 0,65×0.2775 + 0,20×0.0000 + 0,15×0.00 = 0.1804 [RENDAH]</t>
        </is>
      </c>
      <c r="F1486" t="n">
        <v>0.1804</v>
      </c>
      <c r="G1486" s="3" t="inlineStr">
        <is>
          <t>label: RENDAH; kontradiksi 0/33 kalimat; uncertainty flag: False</t>
        </is>
      </c>
    </row>
    <row r="1487">
      <c r="A1487" t="n">
        <v>101</v>
      </c>
      <c r="B1487" t="inlineStr">
        <is>
          <t>A</t>
        </is>
      </c>
      <c r="C1487" t="inlineStr">
        <is>
          <t>Answer Accuracy (Pers. 20)</t>
        </is>
      </c>
      <c r="D1487" s="3" t="inlineStr">
        <is>
          <t>Correctᵢ ∈ {0,1} via LLM-as-Judge (HASIL: BENAR/SALAH)</t>
        </is>
      </c>
      <c r="E1487" s="3" t="inlineStr">
        <is>
          <t>Jawaban sistem untuk soal 3 adalah "BENAR". Alasan jawaban yang benar berdasarkan referensi (dokumen materi GT) adalah bahwa pola barisan tersebut memiliki siklus 4, yaitu 3, 9, 7, 1. Maka, jika kita lihat modulus 4 dari 100, maka kita mendapatkan sisa 0, sehingga digit terakhir dari 3^100 adalah 1.</t>
        </is>
      </c>
      <c r="F1487" t="inlineStr">
        <is>
          <t>BENAR</t>
        </is>
      </c>
      <c r="G1487" s="3" t="inlineStr">
        <is>
          <t>evaluator: ollama/llama3</t>
        </is>
      </c>
    </row>
    <row r="1488">
      <c r="A1488" t="n">
        <v>101</v>
      </c>
      <c r="B1488" t="inlineStr">
        <is>
          <t>B</t>
        </is>
      </c>
      <c r="C1488" t="inlineStr">
        <is>
          <t>Faithfulness (Pers. 15)</t>
        </is>
      </c>
      <c r="D1488" s="3" t="inlineStr">
        <is>
          <t>F = 0,70×Entailment + 0,30×KWoverlap</t>
        </is>
      </c>
      <c r="E1488" s="3" t="inlineStr">
        <is>
          <t>Faithfulness = 0,70×Entailment + 0,30×KWoverlap = 0,70×0.8333 + 0,30×0.2212 = 0.6497  (entailment: 5/6 klaim didukung; KWoverlap = (|∩|/|ctx|)^0,65 = (16/163)^0,65 = 0.0982^0,65 = 0.2212)</t>
        </is>
      </c>
      <c r="F1488" t="n">
        <v>0.6497000000000001</v>
      </c>
      <c r="G1488" s="3" t="inlineStr">
        <is>
          <t>metode: llm_entailment + keyword</t>
        </is>
      </c>
    </row>
    <row r="1489">
      <c r="A1489" t="n">
        <v>101</v>
      </c>
      <c r="B1489" t="inlineStr">
        <is>
          <t>B</t>
        </is>
      </c>
      <c r="C1489" t="inlineStr">
        <is>
          <t>— Entailment (Pers. 12-13)</t>
        </is>
      </c>
      <c r="D1489" s="3" t="inlineStr">
        <is>
          <t>Entailment = Σverdict(sᵢ)/m</t>
        </is>
      </c>
      <c r="E1489" s="3" t="inlineStr">
        <is>
          <t>5 klaim YA dari 6 klaim dievaluasi</t>
        </is>
      </c>
      <c r="F1489" t="n">
        <v>0.8333</v>
      </c>
      <c r="G1489" s="3" t="inlineStr">
        <is>
          <t>verdict per klaim: sheet 'Entailment Detail'</t>
        </is>
      </c>
    </row>
    <row r="1490">
      <c r="A1490" t="n">
        <v>101</v>
      </c>
      <c r="B1490" t="inlineStr">
        <is>
          <t>B</t>
        </is>
      </c>
      <c r="C1490" t="inlineStr">
        <is>
          <t>— Keyword Overlap (Pers. 14)</t>
        </is>
      </c>
      <c r="D1490" s="3" t="inlineStr">
        <is>
          <t>KWoverlap = (|Stems(ans)∩Stems(ctx)| / |Stems(ctx)|)^0,65</t>
        </is>
      </c>
      <c r="E1490" s="3" t="inlineStr">
        <is>
          <t>KWoverlap = (|∩|/|ctx|)^0,65 = (16/163)^0,65 = 0.0982^0,65 = 0.2212</t>
        </is>
      </c>
      <c r="F1490" t="n">
        <v>0.2212</v>
      </c>
      <c r="G1490" s="3" t="inlineStr"/>
    </row>
    <row r="1491">
      <c r="A1491" t="n">
        <v>101</v>
      </c>
      <c r="B1491" t="inlineStr">
        <is>
          <t>B</t>
        </is>
      </c>
      <c r="C1491" t="inlineStr">
        <is>
          <t>Hallucination Risk (Pers. 18)</t>
        </is>
      </c>
      <c r="D1491" s="3" t="inlineStr">
        <is>
          <t>Risk = 0,65×(1-F) + 0,20×Contradiction + 0,15×Uncertainty</t>
        </is>
      </c>
      <c r="E1491" s="3" t="inlineStr">
        <is>
          <t>Risk = 0,65×OutOfContext + 0,20×Contradiction + 0,15×Uncertainty = 0,65×0.3503 + 0,20×0.0000 + 0,15×0.00 = 0.2277 [RENDAH]</t>
        </is>
      </c>
      <c r="F1491" t="n">
        <v>0.2277</v>
      </c>
      <c r="G1491" s="3" t="inlineStr">
        <is>
          <t>label: RENDAH; kontradiksi 0/22 kalimat; uncertainty flag: False</t>
        </is>
      </c>
    </row>
    <row r="1492">
      <c r="A1492" t="n">
        <v>101</v>
      </c>
      <c r="B1492" t="inlineStr">
        <is>
          <t>B</t>
        </is>
      </c>
      <c r="C1492" t="inlineStr">
        <is>
          <t>Answer Accuracy (Pers. 20)</t>
        </is>
      </c>
      <c r="D1492" s="3" t="inlineStr">
        <is>
          <t>Correctᵢ ∈ {0,1} via LLM-as-Judge (HASIL: BENAR/SALAH)</t>
        </is>
      </c>
      <c r="E1492" s="3" t="inlineStr">
        <is>
          <t>Menurut referensi, jawaban sistem adalah:
BENAR
Jawaban tersebut memang benar, karena pola digit terakhir dari hasil perkalian 3 dengan suatu eksponen berulang-ulang sebenarnya adalah 7, 9, 3, 1. Dengan menggunakan konsep sisa (modulo) dan sifat eksponen, maka dapat ditentukan bahwa digit terakhir dari 3^100 adalah 1.</t>
        </is>
      </c>
      <c r="F1492" t="inlineStr">
        <is>
          <t>BENAR</t>
        </is>
      </c>
      <c r="G1492" s="3" t="inlineStr">
        <is>
          <t>evaluator: ollama/llama3</t>
        </is>
      </c>
    </row>
    <row r="1493">
      <c r="A1493" t="n">
        <v>102</v>
      </c>
      <c r="B1493" t="inlineStr">
        <is>
          <t>A</t>
        </is>
      </c>
      <c r="C1493" t="inlineStr">
        <is>
          <t>Precision@K (Pers. 2)</t>
        </is>
      </c>
      <c r="D1493" s="3" t="inlineStr">
        <is>
          <t>Precision@K = |{d ∈ TopK : sim(q,d) ≥ θ}| / K</t>
        </is>
      </c>
      <c r="E1493" s="3" t="inlineStr">
        <is>
          <t>skor = [0.7731, 0.7378, 0.737, 0.7343, 0.732, 0.7292] → 6 / 6</t>
        </is>
      </c>
      <c r="F1493" t="n">
        <v>1</v>
      </c>
      <c r="G1493" s="3" t="inlineStr">
        <is>
          <t>basis: skor chunk nyata (sesuai contoh Pers. 2 skripsi)</t>
        </is>
      </c>
    </row>
    <row r="1494">
      <c r="A1494" t="n">
        <v>102</v>
      </c>
      <c r="B1494" t="inlineStr">
        <is>
          <t>A</t>
        </is>
      </c>
      <c r="C1494" t="inlineStr">
        <is>
          <t>Recall@K (Pers. 4)</t>
        </is>
      </c>
      <c r="D1494" s="3" t="inlineStr">
        <is>
          <t>Recall@K = |{kata kunci ditemukan : sim ≥ θ}| / |R|</t>
        </is>
      </c>
      <c r="E1494" s="3" t="inlineStr">
        <is>
          <t>skor = [0.7511, 0.6636, 0.6421, 0.5857, 0.4623, 0.455] → 6 / 6</t>
        </is>
      </c>
      <c r="F1494" t="n">
        <v>1</v>
      </c>
      <c r="G1494" s="3" t="inlineStr"/>
    </row>
    <row r="1495">
      <c r="A1495" t="n">
        <v>102</v>
      </c>
      <c r="B1495" t="inlineStr">
        <is>
          <t>A</t>
        </is>
      </c>
      <c r="C1495" t="inlineStr">
        <is>
          <t>Mean Similarity (Pers. 6)</t>
        </is>
      </c>
      <c r="D1495" s="3" t="inlineStr">
        <is>
          <t>MeanSim = (1/K) × Σ sim(q, dᵢ)</t>
        </is>
      </c>
      <c r="E1495" s="3" t="inlineStr">
        <is>
          <t>skor = [0.7731, 0.7378, 0.737, 0.7343, 0.732, 0.7292] → (0.7731 + 0.7378 + 0.7370 + 0.7343 + 0.7320 + 0.7292) / 6</t>
        </is>
      </c>
      <c r="F1495" t="n">
        <v>0.7406</v>
      </c>
      <c r="G1495" s="3" t="inlineStr"/>
    </row>
    <row r="1496">
      <c r="A1496" t="n">
        <v>102</v>
      </c>
      <c r="B1496" t="inlineStr">
        <is>
          <t>A</t>
        </is>
      </c>
      <c r="C1496" t="inlineStr">
        <is>
          <t>Coverage (Pers. 8)</t>
        </is>
      </c>
      <c r="D1496" s="3" t="inlineStr">
        <is>
          <t>Coverage = |{dᵢ ∈ TopK : sim(q,dᵢ) ≥ θc}| / K</t>
        </is>
      </c>
      <c r="E1496" s="3" t="inlineStr">
        <is>
          <t>skor = [0.7731, 0.7378, 0.737, 0.7343, 0.732, 0.7292] → 6 / 6</t>
        </is>
      </c>
      <c r="F1496" t="n">
        <v>1</v>
      </c>
      <c r="G1496" s="3" t="inlineStr"/>
    </row>
    <row r="1497">
      <c r="A1497" t="n">
        <v>102</v>
      </c>
      <c r="B1497" t="inlineStr">
        <is>
          <t>A</t>
        </is>
      </c>
      <c r="C1497" t="inlineStr">
        <is>
          <t>Source Diversity (Pers. 10)</t>
        </is>
      </c>
      <c r="D1497" s="3" t="inlineStr">
        <is>
          <t>Diversity = |sumber unik dalam TopK| / K</t>
        </is>
      </c>
      <c r="E1497" s="3" t="inlineStr">
        <is>
          <t>skor = ['GT_DETAIL_PT07_Notasi_Algoritme.txt', 'GT_SUBTOPIK_05_Pseudocode_Algoritme.txt', 'GT_SUBTOPIK_11_Rekursi.txt', 'GT_SUBTOPIK_14_Kompleksitas_BigO.txt'] → 4 / 6</t>
        </is>
      </c>
      <c r="F1497" t="n">
        <v>0.6667</v>
      </c>
      <c r="G1497" s="3" t="inlineStr">
        <is>
          <t>file unik: GT_DETAIL_PT07_Notasi_Algoritme.txt, GT_SUBTOPIK_05_Pseudocode_Algoritme.txt, GT_SUBTOPIK_11_Rekursi.txt, GT_SUBTOPIK_14_Kompleksitas_BigO.txt</t>
        </is>
      </c>
    </row>
    <row r="1498">
      <c r="A1498" t="n">
        <v>102</v>
      </c>
      <c r="B1498" t="inlineStr">
        <is>
          <t>A</t>
        </is>
      </c>
      <c r="C1498" t="inlineStr">
        <is>
          <t>Faithfulness (Pers. 15)</t>
        </is>
      </c>
      <c r="D1498" s="3" t="inlineStr">
        <is>
          <t>F = 0,70×Entailment + 0,30×KWoverlap</t>
        </is>
      </c>
      <c r="E1498" s="3" t="inlineStr">
        <is>
          <t>Faithfulness = 0,70×Entailment + 0,30×KWoverlap = 0,70×1.0000 + 0,30×0.2405 = 0.7721  (entailment: 6/6 klaim didukung; KWoverlap = (|∩|/|ctx|)^0,65 = (24/215)^0,65 = 0.1116^0,65 = 0.2405)</t>
        </is>
      </c>
      <c r="F1498" t="n">
        <v>0.7721</v>
      </c>
      <c r="G1498" s="3" t="inlineStr">
        <is>
          <t>metode: llm_entailment + keyword</t>
        </is>
      </c>
    </row>
    <row r="1499">
      <c r="A1499" t="n">
        <v>102</v>
      </c>
      <c r="B1499" t="inlineStr">
        <is>
          <t>A</t>
        </is>
      </c>
      <c r="C1499" t="inlineStr">
        <is>
          <t>— Entailment (Pers. 12-13)</t>
        </is>
      </c>
      <c r="D1499" s="3" t="inlineStr">
        <is>
          <t>Entailment = Σverdict(sᵢ)/m</t>
        </is>
      </c>
      <c r="E1499" s="3" t="inlineStr">
        <is>
          <t>6 klaim YA dari 6 klaim dievaluasi</t>
        </is>
      </c>
      <c r="F1499" t="n">
        <v>1</v>
      </c>
      <c r="G1499" s="3" t="inlineStr">
        <is>
          <t>verdict per klaim: sheet 'Entailment Detail'</t>
        </is>
      </c>
    </row>
    <row r="1500">
      <c r="A1500" t="n">
        <v>102</v>
      </c>
      <c r="B1500" t="inlineStr">
        <is>
          <t>A</t>
        </is>
      </c>
      <c r="C1500" t="inlineStr">
        <is>
          <t>— Keyword Overlap (Pers. 14)</t>
        </is>
      </c>
      <c r="D1500" s="3" t="inlineStr">
        <is>
          <t>KWoverlap = (|Stems(ans)∩Stems(ctx)| / |Stems(ctx)|)^0,65</t>
        </is>
      </c>
      <c r="E1500" s="3" t="inlineStr">
        <is>
          <t>KWoverlap = (|∩|/|ctx|)^0,65 = (24/215)^0,65 = 0.1116^0,65 = 0.2405</t>
        </is>
      </c>
      <c r="F1500" t="n">
        <v>0.2405</v>
      </c>
      <c r="G1500" s="3" t="inlineStr"/>
    </row>
    <row r="1501">
      <c r="A1501" t="n">
        <v>102</v>
      </c>
      <c r="B1501" t="inlineStr">
        <is>
          <t>A</t>
        </is>
      </c>
      <c r="C1501" t="inlineStr">
        <is>
          <t>Hallucination Risk (Pers. 18)</t>
        </is>
      </c>
      <c r="D1501" s="3" t="inlineStr">
        <is>
          <t>Risk = 0,65×(1-F) + 0,20×Contradiction + 0,15×Uncertainty</t>
        </is>
      </c>
      <c r="E1501" s="3" t="inlineStr">
        <is>
          <t>Risk = 0,65×OutOfContext + 0,20×Contradiction + 0,15×Uncertainty = 0,65×0.2279 + 0,20×0.0000 + 0,15×0.00 = 0.1481 [RENDAH]</t>
        </is>
      </c>
      <c r="F1501" t="n">
        <v>0.1481</v>
      </c>
      <c r="G1501" s="3" t="inlineStr">
        <is>
          <t>label: RENDAH; kontradiksi 0/6 kalimat; uncertainty flag: False</t>
        </is>
      </c>
    </row>
    <row r="1502">
      <c r="A1502" t="n">
        <v>102</v>
      </c>
      <c r="B1502" t="inlineStr">
        <is>
          <t>A</t>
        </is>
      </c>
      <c r="C1502" t="inlineStr">
        <is>
          <t>Answer Accuracy (Pers. 20)</t>
        </is>
      </c>
      <c r="D1502" s="3" t="inlineStr">
        <is>
          <t>Correctᵢ ∈ {0,1} via LLM-as-Judge (HASIL: BENAR/SALAH)</t>
        </is>
      </c>
      <c r="E1502" s="3" t="inlineStr">
        <is>
          <t xml:space="preserve">BENAR
The system answer is correct because it acknowledges that while binary search has a complexity of O(log n) which is considered efficient for large inputs, the difference between binary search and linear search may not be significant for small input sizes like 8 elements. This answer is supported by the reference material provided, which highlights the importance of considering the scale of </t>
        </is>
      </c>
      <c r="F1502" t="inlineStr">
        <is>
          <t>BENAR</t>
        </is>
      </c>
      <c r="G1502" s="3" t="inlineStr">
        <is>
          <t>evaluator: ollama/llama3</t>
        </is>
      </c>
    </row>
    <row r="1503">
      <c r="A1503" t="n">
        <v>102</v>
      </c>
      <c r="B1503" t="inlineStr">
        <is>
          <t>B</t>
        </is>
      </c>
      <c r="C1503" t="inlineStr">
        <is>
          <t>Faithfulness (Pers. 15)</t>
        </is>
      </c>
      <c r="D1503" s="3" t="inlineStr">
        <is>
          <t>F = 0,70×Entailment + 0,30×KWoverlap</t>
        </is>
      </c>
      <c r="E1503" s="3" t="inlineStr">
        <is>
          <t>Faithfulness = 0,70×Entailment + 0,30×KWoverlap = 0,70×1.0000 + 0,30×0.2469 = 0.7741  (entailment: 6/6 klaim didukung; KWoverlap = (|∩|/|ctx|)^0,65 = (25/215)^0,65 = 0.1163^0,65 = 0.2469)</t>
        </is>
      </c>
      <c r="F1503" t="n">
        <v>0.7741</v>
      </c>
      <c r="G1503" s="3" t="inlineStr">
        <is>
          <t>metode: llm_entailment + keyword</t>
        </is>
      </c>
    </row>
    <row r="1504">
      <c r="A1504" t="n">
        <v>102</v>
      </c>
      <c r="B1504" t="inlineStr">
        <is>
          <t>B</t>
        </is>
      </c>
      <c r="C1504" t="inlineStr">
        <is>
          <t>— Entailment (Pers. 12-13)</t>
        </is>
      </c>
      <c r="D1504" s="3" t="inlineStr">
        <is>
          <t>Entailment = Σverdict(sᵢ)/m</t>
        </is>
      </c>
      <c r="E1504" s="3" t="inlineStr">
        <is>
          <t>6 klaim YA dari 6 klaim dievaluasi</t>
        </is>
      </c>
      <c r="F1504" t="n">
        <v>1</v>
      </c>
      <c r="G1504" s="3" t="inlineStr">
        <is>
          <t>verdict per klaim: sheet 'Entailment Detail'</t>
        </is>
      </c>
    </row>
    <row r="1505">
      <c r="A1505" t="n">
        <v>102</v>
      </c>
      <c r="B1505" t="inlineStr">
        <is>
          <t>B</t>
        </is>
      </c>
      <c r="C1505" t="inlineStr">
        <is>
          <t>— Keyword Overlap (Pers. 14)</t>
        </is>
      </c>
      <c r="D1505" s="3" t="inlineStr">
        <is>
          <t>KWoverlap = (|Stems(ans)∩Stems(ctx)| / |Stems(ctx)|)^0,65</t>
        </is>
      </c>
      <c r="E1505" s="3" t="inlineStr">
        <is>
          <t>KWoverlap = (|∩|/|ctx|)^0,65 = (25/215)^0,65 = 0.1163^0,65 = 0.2469</t>
        </is>
      </c>
      <c r="F1505" t="n">
        <v>0.2469</v>
      </c>
      <c r="G1505" s="3" t="inlineStr"/>
    </row>
    <row r="1506">
      <c r="A1506" t="n">
        <v>102</v>
      </c>
      <c r="B1506" t="inlineStr">
        <is>
          <t>B</t>
        </is>
      </c>
      <c r="C1506" t="inlineStr">
        <is>
          <t>Hallucination Risk (Pers. 18)</t>
        </is>
      </c>
      <c r="D1506" s="3" t="inlineStr">
        <is>
          <t>Risk = 0,65×(1-F) + 0,20×Contradiction + 0,15×Uncertainty</t>
        </is>
      </c>
      <c r="E1506" s="3" t="inlineStr">
        <is>
          <t>Risk = 0,65×OutOfContext + 0,20×Contradiction + 0,15×Uncertainty = 0,65×0.2259 + 0,20×0.0000 + 0,15×0.00 = 0.1468 [RENDAH]</t>
        </is>
      </c>
      <c r="F1506" t="n">
        <v>0.1468</v>
      </c>
      <c r="G1506" s="3" t="inlineStr">
        <is>
          <t>label: RENDAH; kontradiksi 0/6 kalimat; uncertainty flag: False</t>
        </is>
      </c>
    </row>
    <row r="1507">
      <c r="A1507" t="n">
        <v>102</v>
      </c>
      <c r="B1507" t="inlineStr">
        <is>
          <t>B</t>
        </is>
      </c>
      <c r="C1507" t="inlineStr">
        <is>
          <t>Answer Accuracy (Pers. 20)</t>
        </is>
      </c>
      <c r="D1507" s="3" t="inlineStr">
        <is>
          <t>Correctᵢ ∈ {0,1} via LLM-as-Judge (HASIL: BENAR/SALAH)</t>
        </is>
      </c>
      <c r="E1507" s="3" t="inlineStr">
        <is>
          <t>BENAR
The system's answer is correct because it acknowledges that while binary search has a time complexity of O(log n) which makes it efficient for large datasets, the difference between its performance and linear search's may not be significant when dealing with small arrays like the one with 8 elements. The reference text also supports this idea by showing examples where even complex algorithm</t>
        </is>
      </c>
      <c r="F1507" t="inlineStr">
        <is>
          <t>BENAR</t>
        </is>
      </c>
      <c r="G1507" s="3" t="inlineStr">
        <is>
          <t>evaluator: ollama/llama3</t>
        </is>
      </c>
    </row>
    <row r="1508">
      <c r="A1508" t="n">
        <v>103</v>
      </c>
      <c r="B1508" t="inlineStr">
        <is>
          <t>A</t>
        </is>
      </c>
      <c r="C1508" t="inlineStr">
        <is>
          <t>Precision@K (Pers. 2)</t>
        </is>
      </c>
      <c r="D1508" s="3" t="inlineStr">
        <is>
          <t>Precision@K = |{d ∈ TopK : sim(q,d) ≥ θ}| / K</t>
        </is>
      </c>
      <c r="E1508" s="3" t="inlineStr">
        <is>
          <t>skor = [0.7283, 0.7242, 0.7026, 0.701, 0.6933, 0.6927] → 6 / 6</t>
        </is>
      </c>
      <c r="F1508" t="n">
        <v>1</v>
      </c>
      <c r="G1508" s="3" t="inlineStr">
        <is>
          <t>basis: skor chunk nyata (sesuai contoh Pers. 2 skripsi)</t>
        </is>
      </c>
    </row>
    <row r="1509">
      <c r="A1509" t="n">
        <v>103</v>
      </c>
      <c r="B1509" t="inlineStr">
        <is>
          <t>A</t>
        </is>
      </c>
      <c r="C1509" t="inlineStr">
        <is>
          <t>Recall@K (Pers. 4)</t>
        </is>
      </c>
      <c r="D1509" s="3" t="inlineStr">
        <is>
          <t>Recall@K = |{kata kunci ditemukan : sim ≥ θ}| / |R|</t>
        </is>
      </c>
      <c r="E1509" s="3" t="inlineStr">
        <is>
          <t>skor = [0.8208, 0.6437, 0.6216, 0.5567, 0.5565] → 5 / 5</t>
        </is>
      </c>
      <c r="F1509" t="n">
        <v>1</v>
      </c>
      <c r="G1509" s="3" t="inlineStr"/>
    </row>
    <row r="1510">
      <c r="A1510" t="n">
        <v>103</v>
      </c>
      <c r="B1510" t="inlineStr">
        <is>
          <t>A</t>
        </is>
      </c>
      <c r="C1510" t="inlineStr">
        <is>
          <t>Mean Similarity (Pers. 6)</t>
        </is>
      </c>
      <c r="D1510" s="3" t="inlineStr">
        <is>
          <t>MeanSim = (1/K) × Σ sim(q, dᵢ)</t>
        </is>
      </c>
      <c r="E1510" s="3" t="inlineStr">
        <is>
          <t>skor = [0.7283, 0.7242, 0.7026, 0.701, 0.6933, 0.6927] → (0.7283 + 0.7242 + 0.7026 + 0.7010 + 0.6933 + 0.6927) / 6</t>
        </is>
      </c>
      <c r="F1510" t="n">
        <v>0.707</v>
      </c>
      <c r="G1510" s="3" t="inlineStr"/>
    </row>
    <row r="1511">
      <c r="A1511" t="n">
        <v>103</v>
      </c>
      <c r="B1511" t="inlineStr">
        <is>
          <t>A</t>
        </is>
      </c>
      <c r="C1511" t="inlineStr">
        <is>
          <t>Coverage (Pers. 8)</t>
        </is>
      </c>
      <c r="D1511" s="3" t="inlineStr">
        <is>
          <t>Coverage = |{dᵢ ∈ TopK : sim(q,dᵢ) ≥ θc}| / K</t>
        </is>
      </c>
      <c r="E1511" s="3" t="inlineStr">
        <is>
          <t>skor = [0.7283, 0.7242, 0.7026, 0.701, 0.6933, 0.6927] → 6 / 6</t>
        </is>
      </c>
      <c r="F1511" t="n">
        <v>1</v>
      </c>
      <c r="G1511" s="3" t="inlineStr"/>
    </row>
    <row r="1512">
      <c r="A1512" t="n">
        <v>103</v>
      </c>
      <c r="B1512" t="inlineStr">
        <is>
          <t>A</t>
        </is>
      </c>
      <c r="C1512" t="inlineStr">
        <is>
          <t>Source Diversity (Pers. 10)</t>
        </is>
      </c>
      <c r="D1512" s="3" t="inlineStr">
        <is>
          <t>Diversity = |sumber unik dalam TopK| / K</t>
        </is>
      </c>
      <c r="E1512" s="3" t="inlineStr">
        <is>
          <t>skor = ['GT_CT05.txt', 'GT_CT07.txt', 'GT_CT12.txt', 'GT_DETAIL_PT12_Fungsi.txt', 'GT_SUBTOPIK_11_Rekursi.txt'] → 5 / 6</t>
        </is>
      </c>
      <c r="F1512" t="n">
        <v>0.8333</v>
      </c>
      <c r="G1512" s="3" t="inlineStr">
        <is>
          <t>file unik: GT_CT05.txt, GT_CT07.txt, GT_CT12.txt, GT_DETAIL_PT12_Fungsi.txt, GT_SUBTOPIK_11_Rekursi.txt</t>
        </is>
      </c>
    </row>
    <row r="1513">
      <c r="A1513" t="n">
        <v>103</v>
      </c>
      <c r="B1513" t="inlineStr">
        <is>
          <t>A</t>
        </is>
      </c>
      <c r="C1513" t="inlineStr">
        <is>
          <t>Faithfulness (Pers. 15)</t>
        </is>
      </c>
      <c r="D1513" s="3" t="inlineStr">
        <is>
          <t>F = 0,70×Entailment + 0,30×KWoverlap</t>
        </is>
      </c>
      <c r="E1513" s="3" t="inlineStr">
        <is>
          <t>Faithfulness = 0,70×Entailment + 0,30×KWoverlap = 0,70×0.1667 + 0,30×0.2616 = 0.1952  (entailment: 1/6 klaim didukung; KWoverlap = (|∩|/|ctx|)^0,65 = (38/299)^0,65 = 0.1271^0,65 = 0.2616)</t>
        </is>
      </c>
      <c r="F1513" t="n">
        <v>0.1952</v>
      </c>
      <c r="G1513" s="3" t="inlineStr">
        <is>
          <t>metode: llm_entailment + keyword</t>
        </is>
      </c>
    </row>
    <row r="1514">
      <c r="A1514" t="n">
        <v>103</v>
      </c>
      <c r="B1514" t="inlineStr">
        <is>
          <t>A</t>
        </is>
      </c>
      <c r="C1514" t="inlineStr">
        <is>
          <t>— Entailment (Pers. 12-13)</t>
        </is>
      </c>
      <c r="D1514" s="3" t="inlineStr">
        <is>
          <t>Entailment = Σverdict(sᵢ)/m</t>
        </is>
      </c>
      <c r="E1514" s="3" t="inlineStr">
        <is>
          <t>1 klaim YA dari 6 klaim dievaluasi</t>
        </is>
      </c>
      <c r="F1514" t="n">
        <v>0.1667</v>
      </c>
      <c r="G1514" s="3" t="inlineStr">
        <is>
          <t>verdict per klaim: sheet 'Entailment Detail'</t>
        </is>
      </c>
    </row>
    <row r="1515">
      <c r="A1515" t="n">
        <v>103</v>
      </c>
      <c r="B1515" t="inlineStr">
        <is>
          <t>A</t>
        </is>
      </c>
      <c r="C1515" t="inlineStr">
        <is>
          <t>— Keyword Overlap (Pers. 14)</t>
        </is>
      </c>
      <c r="D1515" s="3" t="inlineStr">
        <is>
          <t>KWoverlap = (|Stems(ans)∩Stems(ctx)| / |Stems(ctx)|)^0,65</t>
        </is>
      </c>
      <c r="E1515" s="3" t="inlineStr">
        <is>
          <t>KWoverlap = (|∩|/|ctx|)^0,65 = (38/299)^0,65 = 0.1271^0,65 = 0.2616</t>
        </is>
      </c>
      <c r="F1515" t="n">
        <v>0.2616</v>
      </c>
      <c r="G1515" s="3" t="inlineStr"/>
    </row>
    <row r="1516">
      <c r="A1516" t="n">
        <v>103</v>
      </c>
      <c r="B1516" t="inlineStr">
        <is>
          <t>A</t>
        </is>
      </c>
      <c r="C1516" t="inlineStr">
        <is>
          <t>Hallucination Risk (Pers. 18)</t>
        </is>
      </c>
      <c r="D1516" s="3" t="inlineStr">
        <is>
          <t>Risk = 0,65×(1-F) + 0,20×Contradiction + 0,15×Uncertainty</t>
        </is>
      </c>
      <c r="E1516" s="3" t="inlineStr">
        <is>
          <t>Risk = 0,65×OutOfContext + 0,20×Contradiction + 0,15×Uncertainty = 0,65×0.8048 + 0,20×0.0000 + 0,15×0.00 = 0.5231 [SEDANG]</t>
        </is>
      </c>
      <c r="F1516" t="n">
        <v>0.5231</v>
      </c>
      <c r="G1516" s="3" t="inlineStr">
        <is>
          <t>label: SEDANG; kontradiksi 0/11 kalimat; uncertainty flag: False</t>
        </is>
      </c>
    </row>
    <row r="1517">
      <c r="A1517" t="n">
        <v>103</v>
      </c>
      <c r="B1517" t="inlineStr">
        <is>
          <t>A</t>
        </is>
      </c>
      <c r="C1517" t="inlineStr">
        <is>
          <t>Answer Accuracy (Pers. 20)</t>
        </is>
      </c>
      <c r="D1517" s="3" t="inlineStr">
        <is>
          <t>Correctᵢ ∈ {0,1} via LLM-as-Judge (HASIL: BENAR/SALAH)</t>
        </is>
      </c>
      <c r="E1517" s="3" t="inlineStr">
        <is>
          <t>JAWABAN: 
Alasan: Sistem jawaban hanya menjawab pertanyaan dengan mencatat bahwa rekursi tidak langsung adalah suatu situasi di mana fungsi A memanggil fungsi B, dan fungsi B memanggil fungsi A kembali. Namun, sistem jawaban tidak menunjukkan bahwa konsep rekursi tidak langsung sesuai dengan referensi GT yang diberikan. Referensi GT hanya membahas tentang konsep umum fungsi dan tidak ada penjelas</t>
        </is>
      </c>
      <c r="F1517" t="inlineStr">
        <is>
          <t>SALAH</t>
        </is>
      </c>
      <c r="G1517" s="3" t="inlineStr">
        <is>
          <t>evaluator: ollama/llama3</t>
        </is>
      </c>
    </row>
    <row r="1518">
      <c r="A1518" t="n">
        <v>103</v>
      </c>
      <c r="B1518" t="inlineStr">
        <is>
          <t>B</t>
        </is>
      </c>
      <c r="C1518" t="inlineStr">
        <is>
          <t>Faithfulness (Pers. 15)</t>
        </is>
      </c>
      <c r="D1518" s="3" t="inlineStr">
        <is>
          <t>F = 0,70×Entailment + 0,30×KWoverlap</t>
        </is>
      </c>
      <c r="E1518" s="3" t="inlineStr">
        <is>
          <t>Faithfulness = 0,70×Entailment + 0,30×KWoverlap = 0,70×0.3333 + 0,30×0.2292 = 0.3021  (entailment: 2/6 klaim didukung; KWoverlap = (|∩|/|ctx|)^0,65 = (31/299)^0,65 = 0.1037^0,65 = 0.2292)</t>
        </is>
      </c>
      <c r="F1518" t="n">
        <v>0.3021</v>
      </c>
      <c r="G1518" s="3" t="inlineStr">
        <is>
          <t>metode: llm_entailment + keyword</t>
        </is>
      </c>
    </row>
    <row r="1519">
      <c r="A1519" t="n">
        <v>103</v>
      </c>
      <c r="B1519" t="inlineStr">
        <is>
          <t>B</t>
        </is>
      </c>
      <c r="C1519" t="inlineStr">
        <is>
          <t>— Entailment (Pers. 12-13)</t>
        </is>
      </c>
      <c r="D1519" s="3" t="inlineStr">
        <is>
          <t>Entailment = Σverdict(sᵢ)/m</t>
        </is>
      </c>
      <c r="E1519" s="3" t="inlineStr">
        <is>
          <t>2 klaim YA dari 6 klaim dievaluasi</t>
        </is>
      </c>
      <c r="F1519" t="n">
        <v>0.3333</v>
      </c>
      <c r="G1519" s="3" t="inlineStr">
        <is>
          <t>verdict per klaim: sheet 'Entailment Detail'</t>
        </is>
      </c>
    </row>
    <row r="1520">
      <c r="A1520" t="n">
        <v>103</v>
      </c>
      <c r="B1520" t="inlineStr">
        <is>
          <t>B</t>
        </is>
      </c>
      <c r="C1520" t="inlineStr">
        <is>
          <t>— Keyword Overlap (Pers. 14)</t>
        </is>
      </c>
      <c r="D1520" s="3" t="inlineStr">
        <is>
          <t>KWoverlap = (|Stems(ans)∩Stems(ctx)| / |Stems(ctx)|)^0,65</t>
        </is>
      </c>
      <c r="E1520" s="3" t="inlineStr">
        <is>
          <t>KWoverlap = (|∩|/|ctx|)^0,65 = (31/299)^0,65 = 0.1037^0,65 = 0.2292</t>
        </is>
      </c>
      <c r="F1520" t="n">
        <v>0.2292</v>
      </c>
      <c r="G1520" s="3" t="inlineStr"/>
    </row>
    <row r="1521">
      <c r="A1521" t="n">
        <v>103</v>
      </c>
      <c r="B1521" t="inlineStr">
        <is>
          <t>B</t>
        </is>
      </c>
      <c r="C1521" t="inlineStr">
        <is>
          <t>Hallucination Risk (Pers. 18)</t>
        </is>
      </c>
      <c r="D1521" s="3" t="inlineStr">
        <is>
          <t>Risk = 0,65×(1-F) + 0,20×Contradiction + 0,15×Uncertainty</t>
        </is>
      </c>
      <c r="E1521" s="3" t="inlineStr">
        <is>
          <t>Risk = 0,65×OutOfContext + 0,20×Contradiction + 0,15×Uncertainty = 0,65×0.6979 + 0,20×0.0000 + 0,15×0.00 = 0.4536 [SEDANG]</t>
        </is>
      </c>
      <c r="F1521" t="n">
        <v>0.4536</v>
      </c>
      <c r="G1521" s="3" t="inlineStr">
        <is>
          <t>label: SEDANG; kontradiksi 0/11 kalimat; uncertainty flag: False</t>
        </is>
      </c>
    </row>
    <row r="1522">
      <c r="A1522" t="n">
        <v>103</v>
      </c>
      <c r="B1522" t="inlineStr">
        <is>
          <t>B</t>
        </is>
      </c>
      <c r="C1522" t="inlineStr">
        <is>
          <t>Answer Accuracy (Pers. 20)</t>
        </is>
      </c>
      <c r="D1522" s="3" t="inlineStr">
        <is>
          <t>Correctᵢ ∈ {0,1} via LLM-as-Judge (HASIL: BENAR/SALAH)</t>
        </is>
      </c>
      <c r="E1522" s="3" t="inlineStr">
        <is>
          <t>BENAR</t>
        </is>
      </c>
      <c r="F1522" t="inlineStr">
        <is>
          <t>BENAR</t>
        </is>
      </c>
      <c r="G1522" s="3" t="inlineStr">
        <is>
          <t>evaluator: ollama/llama3</t>
        </is>
      </c>
    </row>
    <row r="1523">
      <c r="A1523" t="n">
        <v>104</v>
      </c>
      <c r="B1523" t="inlineStr">
        <is>
          <t>A</t>
        </is>
      </c>
      <c r="C1523" t="inlineStr">
        <is>
          <t>Precision@K (Pers. 2)</t>
        </is>
      </c>
      <c r="D1523" s="3" t="inlineStr">
        <is>
          <t>Precision@K = |{d ∈ TopK : sim(q,d) ≥ θ}| / K</t>
        </is>
      </c>
      <c r="E1523" s="3" t="inlineStr">
        <is>
          <t>skor = [0.771, 0.7655, 0.7588, 0.7476, 0.7313, 0.7295] → 6 / 6</t>
        </is>
      </c>
      <c r="F1523" t="n">
        <v>1</v>
      </c>
      <c r="G1523" s="3" t="inlineStr">
        <is>
          <t>basis: skor chunk nyata (sesuai contoh Pers. 2 skripsi)</t>
        </is>
      </c>
    </row>
    <row r="1524">
      <c r="A1524" t="n">
        <v>104</v>
      </c>
      <c r="B1524" t="inlineStr">
        <is>
          <t>A</t>
        </is>
      </c>
      <c r="C1524" t="inlineStr">
        <is>
          <t>Recall@K (Pers. 4)</t>
        </is>
      </c>
      <c r="D1524" s="3" t="inlineStr">
        <is>
          <t>Recall@K = |{kata kunci ditemukan : sim ≥ θ}| / |R|</t>
        </is>
      </c>
      <c r="E1524" s="3" t="inlineStr">
        <is>
          <t>skor = [0.6864, 0.5762, 0.4535, 0.4312, 0.4148, 0.4135] → 6 / 6</t>
        </is>
      </c>
      <c r="F1524" t="n">
        <v>1</v>
      </c>
      <c r="G1524" s="3" t="inlineStr"/>
    </row>
    <row r="1525">
      <c r="A1525" t="n">
        <v>104</v>
      </c>
      <c r="B1525" t="inlineStr">
        <is>
          <t>A</t>
        </is>
      </c>
      <c r="C1525" t="inlineStr">
        <is>
          <t>Mean Similarity (Pers. 6)</t>
        </is>
      </c>
      <c r="D1525" s="3" t="inlineStr">
        <is>
          <t>MeanSim = (1/K) × Σ sim(q, dᵢ)</t>
        </is>
      </c>
      <c r="E1525" s="3" t="inlineStr">
        <is>
          <t>skor = [0.771, 0.7655, 0.7588, 0.7476, 0.7313, 0.7295] → (0.7710 + 0.7655 + 0.7588 + 0.7476 + 0.7313 + 0.7295) / 6</t>
        </is>
      </c>
      <c r="F1525" t="n">
        <v>0.7506</v>
      </c>
      <c r="G1525" s="3" t="inlineStr"/>
    </row>
    <row r="1526">
      <c r="A1526" t="n">
        <v>104</v>
      </c>
      <c r="B1526" t="inlineStr">
        <is>
          <t>A</t>
        </is>
      </c>
      <c r="C1526" t="inlineStr">
        <is>
          <t>Coverage (Pers. 8)</t>
        </is>
      </c>
      <c r="D1526" s="3" t="inlineStr">
        <is>
          <t>Coverage = |{dᵢ ∈ TopK : sim(q,dᵢ) ≥ θc}| / K</t>
        </is>
      </c>
      <c r="E1526" s="3" t="inlineStr">
        <is>
          <t>skor = [0.771, 0.7655, 0.7588, 0.7476, 0.7313, 0.7295] → 6 / 6</t>
        </is>
      </c>
      <c r="F1526" t="n">
        <v>1</v>
      </c>
      <c r="G1526" s="3" t="inlineStr"/>
    </row>
    <row r="1527">
      <c r="A1527" t="n">
        <v>104</v>
      </c>
      <c r="B1527" t="inlineStr">
        <is>
          <t>A</t>
        </is>
      </c>
      <c r="C1527" t="inlineStr">
        <is>
          <t>Source Diversity (Pers. 10)</t>
        </is>
      </c>
      <c r="D1527" s="3" t="inlineStr">
        <is>
          <t>Diversity = |sumber unik dalam TopK| / K</t>
        </is>
      </c>
      <c r="E1527" s="3" t="inlineStr">
        <is>
          <t>skor = ['GT_CT07.txt', 'GT_DETAIL_PT04_Abstraksi.txt', 'GT_DETAIL_PT05_Pattern_Recognition.txt', 'GT_SUBTOPIK_03_Pola_Bilangan_Deret.txt'] → 4 / 6</t>
        </is>
      </c>
      <c r="F1527" t="n">
        <v>0.6667</v>
      </c>
      <c r="G1527" s="3" t="inlineStr">
        <is>
          <t>file unik: GT_CT07.txt, GT_DETAIL_PT04_Abstraksi.txt, GT_DETAIL_PT05_Pattern_Recognition.txt, GT_SUBTOPIK_03_Pola_Bilangan_Deret.txt</t>
        </is>
      </c>
    </row>
    <row r="1528">
      <c r="A1528" t="n">
        <v>104</v>
      </c>
      <c r="B1528" t="inlineStr">
        <is>
          <t>A</t>
        </is>
      </c>
      <c r="C1528" t="inlineStr">
        <is>
          <t>Faithfulness (Pers. 15)</t>
        </is>
      </c>
      <c r="D1528" s="3" t="inlineStr">
        <is>
          <t>F = 0,70×Entailment + 0,30×KWoverlap</t>
        </is>
      </c>
      <c r="E1528" s="3" t="inlineStr">
        <is>
          <t>Faithfulness = 0,70×Entailment + 0,30×KWoverlap = 0,70×0.8333 + 0,30×0.1942 = 0.6416  (entailment: 5/6 klaim didukung; KWoverlap = (|∩|/|ctx|)^0,65 = (18/224)^0,65 = 0.0804^0,65 = 0.1942)</t>
        </is>
      </c>
      <c r="F1528" t="n">
        <v>0.6415999999999999</v>
      </c>
      <c r="G1528" s="3" t="inlineStr">
        <is>
          <t>metode: llm_entailment + keyword</t>
        </is>
      </c>
    </row>
    <row r="1529">
      <c r="A1529" t="n">
        <v>104</v>
      </c>
      <c r="B1529" t="inlineStr">
        <is>
          <t>A</t>
        </is>
      </c>
      <c r="C1529" t="inlineStr">
        <is>
          <t>— Entailment (Pers. 12-13)</t>
        </is>
      </c>
      <c r="D1529" s="3" t="inlineStr">
        <is>
          <t>Entailment = Σverdict(sᵢ)/m</t>
        </is>
      </c>
      <c r="E1529" s="3" t="inlineStr">
        <is>
          <t>5 klaim YA dari 6 klaim dievaluasi</t>
        </is>
      </c>
      <c r="F1529" t="n">
        <v>0.8333</v>
      </c>
      <c r="G1529" s="3" t="inlineStr">
        <is>
          <t>verdict per klaim: sheet 'Entailment Detail'</t>
        </is>
      </c>
    </row>
    <row r="1530">
      <c r="A1530" t="n">
        <v>104</v>
      </c>
      <c r="B1530" t="inlineStr">
        <is>
          <t>A</t>
        </is>
      </c>
      <c r="C1530" t="inlineStr">
        <is>
          <t>— Keyword Overlap (Pers. 14)</t>
        </is>
      </c>
      <c r="D1530" s="3" t="inlineStr">
        <is>
          <t>KWoverlap = (|Stems(ans)∩Stems(ctx)| / |Stems(ctx)|)^0,65</t>
        </is>
      </c>
      <c r="E1530" s="3" t="inlineStr">
        <is>
          <t>KWoverlap = (|∩|/|ctx|)^0,65 = (18/224)^0,65 = 0.0804^0,65 = 0.1942</t>
        </is>
      </c>
      <c r="F1530" t="n">
        <v>0.1942</v>
      </c>
      <c r="G1530" s="3" t="inlineStr"/>
    </row>
    <row r="1531">
      <c r="A1531" t="n">
        <v>104</v>
      </c>
      <c r="B1531" t="inlineStr">
        <is>
          <t>A</t>
        </is>
      </c>
      <c r="C1531" t="inlineStr">
        <is>
          <t>Hallucination Risk (Pers. 18)</t>
        </is>
      </c>
      <c r="D1531" s="3" t="inlineStr">
        <is>
          <t>Risk = 0,65×(1-F) + 0,20×Contradiction + 0,15×Uncertainty</t>
        </is>
      </c>
      <c r="E1531" s="3" t="inlineStr">
        <is>
          <t>Risk = 0,65×OutOfContext + 0,20×Contradiction + 0,15×Uncertainty = 0,65×0.3584 + 0,20×0.0000 + 0,15×0.00 = 0.2330 [RENDAH]</t>
        </is>
      </c>
      <c r="F1531" t="n">
        <v>0.233</v>
      </c>
      <c r="G1531" s="3" t="inlineStr">
        <is>
          <t>label: RENDAH; kontradiksi 0/10 kalimat; uncertainty flag: False</t>
        </is>
      </c>
    </row>
    <row r="1532">
      <c r="A1532" t="n">
        <v>104</v>
      </c>
      <c r="B1532" t="inlineStr">
        <is>
          <t>A</t>
        </is>
      </c>
      <c r="C1532" t="inlineStr">
        <is>
          <t>Answer Accuracy (Pers. 20)</t>
        </is>
      </c>
      <c r="D1532" s="3" t="inlineStr">
        <is>
          <t>Correctᵢ ∈ {0,1} via LLM-as-Judge (HASIL: BENAR/SALAH)</t>
        </is>
      </c>
      <c r="E1532" s="3" t="inlineStr">
        <is>
          <t>Jawaban sistem: BENAR
Alasan: Jawaban sistem menjawab pertanyaan dengan benar berdasarkan referensi, yaitu iliki selisih tepat 2! Sistem menemukan rumus suku ke-n dari barisan aslinya dengan cara menggunakan pola bilangan ganjil.</t>
        </is>
      </c>
      <c r="F1532" t="inlineStr">
        <is>
          <t>BENAR</t>
        </is>
      </c>
      <c r="G1532" s="3" t="inlineStr">
        <is>
          <t>evaluator: ollama/llama3</t>
        </is>
      </c>
    </row>
    <row r="1533">
      <c r="A1533" t="n">
        <v>104</v>
      </c>
      <c r="B1533" t="inlineStr">
        <is>
          <t>B</t>
        </is>
      </c>
      <c r="C1533" t="inlineStr">
        <is>
          <t>Faithfulness (Pers. 15)</t>
        </is>
      </c>
      <c r="D1533" s="3" t="inlineStr">
        <is>
          <t>F = 0,70×Entailment + 0,30×KWoverlap</t>
        </is>
      </c>
      <c r="E1533" s="3" t="inlineStr">
        <is>
          <t>Faithfulness = 0,70×Entailment + 0,30×KWoverlap = 0,70×1.0000 + 0,30×0.1725 = 0.7518  (entailment: 6/6 klaim didukung; KWoverlap = (|∩|/|ctx|)^0,65 = (15/224)^0,65 = 0.0670^0,65 = 0.1725)</t>
        </is>
      </c>
      <c r="F1533" t="n">
        <v>0.7518</v>
      </c>
      <c r="G1533" s="3" t="inlineStr">
        <is>
          <t>metode: llm_entailment + keyword</t>
        </is>
      </c>
    </row>
    <row r="1534">
      <c r="A1534" t="n">
        <v>104</v>
      </c>
      <c r="B1534" t="inlineStr">
        <is>
          <t>B</t>
        </is>
      </c>
      <c r="C1534" t="inlineStr">
        <is>
          <t>— Entailment (Pers. 12-13)</t>
        </is>
      </c>
      <c r="D1534" s="3" t="inlineStr">
        <is>
          <t>Entailment = Σverdict(sᵢ)/m</t>
        </is>
      </c>
      <c r="E1534" s="3" t="inlineStr">
        <is>
          <t>6 klaim YA dari 6 klaim dievaluasi</t>
        </is>
      </c>
      <c r="F1534" t="n">
        <v>1</v>
      </c>
      <c r="G1534" s="3" t="inlineStr">
        <is>
          <t>verdict per klaim: sheet 'Entailment Detail'</t>
        </is>
      </c>
    </row>
    <row r="1535">
      <c r="A1535" t="n">
        <v>104</v>
      </c>
      <c r="B1535" t="inlineStr">
        <is>
          <t>B</t>
        </is>
      </c>
      <c r="C1535" t="inlineStr">
        <is>
          <t>— Keyword Overlap (Pers. 14)</t>
        </is>
      </c>
      <c r="D1535" s="3" t="inlineStr">
        <is>
          <t>KWoverlap = (|Stems(ans)∩Stems(ctx)| / |Stems(ctx)|)^0,65</t>
        </is>
      </c>
      <c r="E1535" s="3" t="inlineStr">
        <is>
          <t>KWoverlap = (|∩|/|ctx|)^0,65 = (15/224)^0,65 = 0.0670^0,65 = 0.1725</t>
        </is>
      </c>
      <c r="F1535" t="n">
        <v>0.1725</v>
      </c>
      <c r="G1535" s="3" t="inlineStr"/>
    </row>
    <row r="1536">
      <c r="A1536" t="n">
        <v>104</v>
      </c>
      <c r="B1536" t="inlineStr">
        <is>
          <t>B</t>
        </is>
      </c>
      <c r="C1536" t="inlineStr">
        <is>
          <t>Hallucination Risk (Pers. 18)</t>
        </is>
      </c>
      <c r="D1536" s="3" t="inlineStr">
        <is>
          <t>Risk = 0,65×(1-F) + 0,20×Contradiction + 0,15×Uncertainty</t>
        </is>
      </c>
      <c r="E1536" s="3" t="inlineStr">
        <is>
          <t>Risk = 0,65×OutOfContext + 0,20×Contradiction + 0,15×Uncertainty = 0,65×0.2482 + 0,20×0.0000 + 0,15×0.00 = 0.1613 [RENDAH]</t>
        </is>
      </c>
      <c r="F1536" t="n">
        <v>0.1613</v>
      </c>
      <c r="G1536" s="3" t="inlineStr">
        <is>
          <t>label: RENDAH; kontradiksi 0/19 kalimat; uncertainty flag: False</t>
        </is>
      </c>
    </row>
    <row r="1537">
      <c r="A1537" t="n">
        <v>104</v>
      </c>
      <c r="B1537" t="inlineStr">
        <is>
          <t>B</t>
        </is>
      </c>
      <c r="C1537" t="inlineStr">
        <is>
          <t>Answer Accuracy (Pers. 20)</t>
        </is>
      </c>
      <c r="D1537" s="3" t="inlineStr">
        <is>
          <t>Correctᵢ ∈ {0,1} via LLM-as-Judge (HASIL: BENAR/SALAH)</t>
        </is>
      </c>
      <c r="E1537" s="3" t="inlineStr"/>
      <c r="F1537" t="inlineStr">
        <is>
          <t>BENAR</t>
        </is>
      </c>
      <c r="G1537" s="3" t="inlineStr">
        <is>
          <t>evaluator: ollama/llama3</t>
        </is>
      </c>
    </row>
    <row r="1538">
      <c r="A1538" t="n">
        <v>105</v>
      </c>
      <c r="B1538" t="inlineStr">
        <is>
          <t>A</t>
        </is>
      </c>
      <c r="C1538" t="inlineStr">
        <is>
          <t>Precision@K (Pers. 2)</t>
        </is>
      </c>
      <c r="D1538" s="3" t="inlineStr">
        <is>
          <t>Precision@K = |{d ∈ TopK : sim(q,d) ≥ θ}| / K</t>
        </is>
      </c>
      <c r="E1538" s="3" t="inlineStr">
        <is>
          <t>skor = [0.7526, 0.7107, 0.6964, 0.681, 0.6795, 0.6722] → 6 / 6</t>
        </is>
      </c>
      <c r="F1538" t="n">
        <v>1</v>
      </c>
      <c r="G1538" s="3" t="inlineStr">
        <is>
          <t>basis: skor chunk nyata (sesuai contoh Pers. 2 skripsi)</t>
        </is>
      </c>
    </row>
    <row r="1539">
      <c r="A1539" t="n">
        <v>105</v>
      </c>
      <c r="B1539" t="inlineStr">
        <is>
          <t>A</t>
        </is>
      </c>
      <c r="C1539" t="inlineStr">
        <is>
          <t>Recall@K (Pers. 4)</t>
        </is>
      </c>
      <c r="D1539" s="3" t="inlineStr">
        <is>
          <t>Recall@K = |{kata kunci ditemukan : sim ≥ θ}| / |R|</t>
        </is>
      </c>
      <c r="E1539" s="3" t="inlineStr">
        <is>
          <t>skor = [0.6242, 0.6016, 0.5607, 0.5527, 0.4653, 0.4325] → 6 / 6</t>
        </is>
      </c>
      <c r="F1539" t="n">
        <v>1</v>
      </c>
      <c r="G1539" s="3" t="inlineStr"/>
    </row>
    <row r="1540">
      <c r="A1540" t="n">
        <v>105</v>
      </c>
      <c r="B1540" t="inlineStr">
        <is>
          <t>A</t>
        </is>
      </c>
      <c r="C1540" t="inlineStr">
        <is>
          <t>Mean Similarity (Pers. 6)</t>
        </is>
      </c>
      <c r="D1540" s="3" t="inlineStr">
        <is>
          <t>MeanSim = (1/K) × Σ sim(q, dᵢ)</t>
        </is>
      </c>
      <c r="E1540" s="3" t="inlineStr">
        <is>
          <t>skor = [0.7526, 0.7107, 0.6964, 0.681, 0.6795, 0.6722] → (0.7526 + 0.7107 + 0.6964 + 0.6810 + 0.6795 + 0.6722) / 6</t>
        </is>
      </c>
      <c r="F1540" t="n">
        <v>0.6987</v>
      </c>
      <c r="G1540" s="3" t="inlineStr"/>
    </row>
    <row r="1541">
      <c r="A1541" t="n">
        <v>105</v>
      </c>
      <c r="B1541" t="inlineStr">
        <is>
          <t>A</t>
        </is>
      </c>
      <c r="C1541" t="inlineStr">
        <is>
          <t>Coverage (Pers. 8)</t>
        </is>
      </c>
      <c r="D1541" s="3" t="inlineStr">
        <is>
          <t>Coverage = |{dᵢ ∈ TopK : sim(q,dᵢ) ≥ θc}| / K</t>
        </is>
      </c>
      <c r="E1541" s="3" t="inlineStr">
        <is>
          <t>skor = [0.7526, 0.7107, 0.6964, 0.681, 0.6795, 0.6722] → 6 / 6</t>
        </is>
      </c>
      <c r="F1541" t="n">
        <v>1</v>
      </c>
      <c r="G1541" s="3" t="inlineStr"/>
    </row>
    <row r="1542">
      <c r="A1542" t="n">
        <v>105</v>
      </c>
      <c r="B1542" t="inlineStr">
        <is>
          <t>A</t>
        </is>
      </c>
      <c r="C1542" t="inlineStr">
        <is>
          <t>Source Diversity (Pers. 10)</t>
        </is>
      </c>
      <c r="D1542" s="3" t="inlineStr">
        <is>
          <t>Diversity = |sumber unik dalam TopK| / K</t>
        </is>
      </c>
      <c r="E1542" s="3" t="inlineStr">
        <is>
          <t>skor = ['GT_CT11.txt', 'GT_DETAIL_PT04_Abstraksi.txt', 'GT_DETAIL_PT11_Perulangan.txt', 'GT_SUBTOPIK_02_Abstraksi_Formulasi.txt', 'GT_SUBTOPIK_04_Modulo_Siklus.txt', 'GT_SUBTOPIK_14_Kompleksitas_BigO.txt'] → 6 / 6</t>
        </is>
      </c>
      <c r="F1542" t="n">
        <v>1</v>
      </c>
      <c r="G1542" s="3" t="inlineStr">
        <is>
          <t>file unik: GT_CT11.txt, GT_DETAIL_PT04_Abstraksi.txt, GT_DETAIL_PT11_Perulangan.txt, GT_SUBTOPIK_02_Abstraksi_Formulasi.txt, GT_SUBTOPIK_04_Modulo_Siklus.txt, GT_SUBTOPIK_14_Kompleksitas_BigO.txt</t>
        </is>
      </c>
    </row>
    <row r="1543">
      <c r="A1543" t="n">
        <v>105</v>
      </c>
      <c r="B1543" t="inlineStr">
        <is>
          <t>A</t>
        </is>
      </c>
      <c r="C1543" t="inlineStr">
        <is>
          <t>Faithfulness (Pers. 15)</t>
        </is>
      </c>
      <c r="D1543" s="3" t="inlineStr">
        <is>
          <t>F = 0,70×Entailment + 0,30×KWoverlap</t>
        </is>
      </c>
      <c r="E1543" s="3" t="inlineStr">
        <is>
          <t>Faithfulness = 0,70×Entailment + 0,30×KWoverlap = 0,70×1.0000 + 0,30×0.2890 = 0.7867  (entailment: 6/6 klaim didukung; KWoverlap = (|∩|/|ctx|)^0,65 = (36/243)^0,65 = 0.1481^0,65 = 0.2890)</t>
        </is>
      </c>
      <c r="F1543" t="n">
        <v>0.7867</v>
      </c>
      <c r="G1543" s="3" t="inlineStr">
        <is>
          <t>metode: llm_entailment + keyword</t>
        </is>
      </c>
    </row>
    <row r="1544">
      <c r="A1544" t="n">
        <v>105</v>
      </c>
      <c r="B1544" t="inlineStr">
        <is>
          <t>A</t>
        </is>
      </c>
      <c r="C1544" t="inlineStr">
        <is>
          <t>— Entailment (Pers. 12-13)</t>
        </is>
      </c>
      <c r="D1544" s="3" t="inlineStr">
        <is>
          <t>Entailment = Σverdict(sᵢ)/m</t>
        </is>
      </c>
      <c r="E1544" s="3" t="inlineStr">
        <is>
          <t>6 klaim YA dari 6 klaim dievaluasi</t>
        </is>
      </c>
      <c r="F1544" t="n">
        <v>1</v>
      </c>
      <c r="G1544" s="3" t="inlineStr">
        <is>
          <t>verdict per klaim: sheet 'Entailment Detail'</t>
        </is>
      </c>
    </row>
    <row r="1545">
      <c r="A1545" t="n">
        <v>105</v>
      </c>
      <c r="B1545" t="inlineStr">
        <is>
          <t>A</t>
        </is>
      </c>
      <c r="C1545" t="inlineStr">
        <is>
          <t>— Keyword Overlap (Pers. 14)</t>
        </is>
      </c>
      <c r="D1545" s="3" t="inlineStr">
        <is>
          <t>KWoverlap = (|Stems(ans)∩Stems(ctx)| / |Stems(ctx)|)^0,65</t>
        </is>
      </c>
      <c r="E1545" s="3" t="inlineStr">
        <is>
          <t>KWoverlap = (|∩|/|ctx|)^0,65 = (36/243)^0,65 = 0.1481^0,65 = 0.2890</t>
        </is>
      </c>
      <c r="F1545" t="n">
        <v>0.289</v>
      </c>
      <c r="G1545" s="3" t="inlineStr"/>
    </row>
    <row r="1546">
      <c r="A1546" t="n">
        <v>105</v>
      </c>
      <c r="B1546" t="inlineStr">
        <is>
          <t>A</t>
        </is>
      </c>
      <c r="C1546" t="inlineStr">
        <is>
          <t>Hallucination Risk (Pers. 18)</t>
        </is>
      </c>
      <c r="D1546" s="3" t="inlineStr">
        <is>
          <t>Risk = 0,65×(1-F) + 0,20×Contradiction + 0,15×Uncertainty</t>
        </is>
      </c>
      <c r="E1546" s="3" t="inlineStr">
        <is>
          <t>Risk = 0,65×OutOfContext + 0,20×Contradiction + 0,15×Uncertainty = 0,65×0.2133 + 0,20×0.0000 + 0,15×0.20 = 0.1686 [RENDAH]</t>
        </is>
      </c>
      <c r="F1546" t="n">
        <v>0.1686</v>
      </c>
      <c r="G1546" s="3" t="inlineStr">
        <is>
          <t>label: RENDAH; kontradiksi 0/10 kalimat; uncertainty flag: True</t>
        </is>
      </c>
    </row>
    <row r="1547">
      <c r="A1547" t="n">
        <v>105</v>
      </c>
      <c r="B1547" t="inlineStr">
        <is>
          <t>B</t>
        </is>
      </c>
      <c r="C1547" t="inlineStr">
        <is>
          <t>Faithfulness (Pers. 15)</t>
        </is>
      </c>
      <c r="D1547" s="3" t="inlineStr">
        <is>
          <t>F = 0,70×Entailment + 0,30×KWoverlap</t>
        </is>
      </c>
      <c r="E1547" s="3" t="inlineStr">
        <is>
          <t>Faithfulness = 0,70×Entailment + 0,30×KWoverlap = 0,70×1.0000 + 0,30×0.1775 = 0.7532  (entailment: 6/6 klaim didukung; KWoverlap = (|∩|/|ctx|)^0,65 = (17/243)^0,65 = 0.0700^0,65 = 0.1775)</t>
        </is>
      </c>
      <c r="F1547" t="n">
        <v>0.7532</v>
      </c>
      <c r="G1547" s="3" t="inlineStr">
        <is>
          <t>metode: llm_entailment + keyword</t>
        </is>
      </c>
    </row>
    <row r="1548">
      <c r="A1548" t="n">
        <v>105</v>
      </c>
      <c r="B1548" t="inlineStr">
        <is>
          <t>B</t>
        </is>
      </c>
      <c r="C1548" t="inlineStr">
        <is>
          <t>— Entailment (Pers. 12-13)</t>
        </is>
      </c>
      <c r="D1548" s="3" t="inlineStr">
        <is>
          <t>Entailment = Σverdict(sᵢ)/m</t>
        </is>
      </c>
      <c r="E1548" s="3" t="inlineStr">
        <is>
          <t>6 klaim YA dari 6 klaim dievaluasi</t>
        </is>
      </c>
      <c r="F1548" t="n">
        <v>1</v>
      </c>
      <c r="G1548" s="3" t="inlineStr">
        <is>
          <t>verdict per klaim: sheet 'Entailment Detail'</t>
        </is>
      </c>
    </row>
    <row r="1549">
      <c r="A1549" t="n">
        <v>105</v>
      </c>
      <c r="B1549" t="inlineStr">
        <is>
          <t>B</t>
        </is>
      </c>
      <c r="C1549" t="inlineStr">
        <is>
          <t>— Keyword Overlap (Pers. 14)</t>
        </is>
      </c>
      <c r="D1549" s="3" t="inlineStr">
        <is>
          <t>KWoverlap = (|Stems(ans)∩Stems(ctx)| / |Stems(ctx)|)^0,65</t>
        </is>
      </c>
      <c r="E1549" s="3" t="inlineStr">
        <is>
          <t>KWoverlap = (|∩|/|ctx|)^0,65 = (17/243)^0,65 = 0.0700^0,65 = 0.1775</t>
        </is>
      </c>
      <c r="F1549" t="n">
        <v>0.1775</v>
      </c>
      <c r="G1549" s="3" t="inlineStr"/>
    </row>
    <row r="1550">
      <c r="A1550" t="n">
        <v>105</v>
      </c>
      <c r="B1550" t="inlineStr">
        <is>
          <t>B</t>
        </is>
      </c>
      <c r="C1550" t="inlineStr">
        <is>
          <t>Hallucination Risk (Pers. 18)</t>
        </is>
      </c>
      <c r="D1550" s="3" t="inlineStr">
        <is>
          <t>Risk = 0,65×(1-F) + 0,20×Contradiction + 0,15×Uncertainty</t>
        </is>
      </c>
      <c r="E1550" s="3" t="inlineStr">
        <is>
          <t>Risk = 0,65×OutOfContext + 0,20×Contradiction + 0,15×Uncertainty = 0,65×0.2468 + 0,20×0.0000 + 0,15×0.00 = 0.1604 [RENDAH]</t>
        </is>
      </c>
      <c r="F1550" t="n">
        <v>0.1604</v>
      </c>
      <c r="G1550" s="3" t="inlineStr">
        <is>
          <t>label: RENDAH; kontradiksi 0/7 kalimat; uncertainty flag: False</t>
        </is>
      </c>
    </row>
    <row r="1551">
      <c r="A1551" t="n">
        <v>105</v>
      </c>
      <c r="B1551" t="inlineStr">
        <is>
          <t>B</t>
        </is>
      </c>
      <c r="C1551" t="inlineStr">
        <is>
          <t>Answer Accuracy (Pers. 20)</t>
        </is>
      </c>
      <c r="D1551" s="3" t="inlineStr">
        <is>
          <t>Correctᵢ ∈ {0,1} via LLM-as-Judge (HASIL: BENAR/SALAH)</t>
        </is>
      </c>
      <c r="E1551" s="3" t="inlineStr">
        <is>
          <t>Jawaban sistem: BENAR</t>
        </is>
      </c>
      <c r="F1551" t="inlineStr">
        <is>
          <t>BENAR</t>
        </is>
      </c>
      <c r="G1551" s="3" t="inlineStr">
        <is>
          <t>evaluator: ollama/llama3</t>
        </is>
      </c>
    </row>
    <row r="1552">
      <c r="A1552" t="n">
        <v>106</v>
      </c>
      <c r="B1552" t="inlineStr">
        <is>
          <t>A</t>
        </is>
      </c>
      <c r="C1552" t="inlineStr">
        <is>
          <t>Precision@K (Pers. 2)</t>
        </is>
      </c>
      <c r="D1552" s="3" t="inlineStr">
        <is>
          <t>Precision@K = |{d ∈ TopK : sim(q,d) ≥ θ}| / K</t>
        </is>
      </c>
      <c r="E1552" s="3" t="inlineStr">
        <is>
          <t>skor = [0.7363, 0.7213, 0.717, 0.7029, 0.6959, 0.6934] → 6 / 6</t>
        </is>
      </c>
      <c r="F1552" t="n">
        <v>1</v>
      </c>
      <c r="G1552" s="3" t="inlineStr">
        <is>
          <t>basis: skor chunk nyata (sesuai contoh Pers. 2 skripsi)</t>
        </is>
      </c>
    </row>
    <row r="1553">
      <c r="A1553" t="n">
        <v>106</v>
      </c>
      <c r="B1553" t="inlineStr">
        <is>
          <t>A</t>
        </is>
      </c>
      <c r="C1553" t="inlineStr">
        <is>
          <t>Recall@K (Pers. 4)</t>
        </is>
      </c>
      <c r="D1553" s="3" t="inlineStr">
        <is>
          <t>Recall@K = |{kata kunci ditemukan : sim ≥ θ}| / |R|</t>
        </is>
      </c>
      <c r="E1553" s="3" t="inlineStr">
        <is>
          <t>skor = [0.6284, 0.5182, 0.4972, 0.4588, 0.4121, 0.4025] → 6 / 6</t>
        </is>
      </c>
      <c r="F1553" t="n">
        <v>1</v>
      </c>
      <c r="G1553" s="3" t="inlineStr"/>
    </row>
    <row r="1554">
      <c r="A1554" t="n">
        <v>106</v>
      </c>
      <c r="B1554" t="inlineStr">
        <is>
          <t>A</t>
        </is>
      </c>
      <c r="C1554" t="inlineStr">
        <is>
          <t>Mean Similarity (Pers. 6)</t>
        </is>
      </c>
      <c r="D1554" s="3" t="inlineStr">
        <is>
          <t>MeanSim = (1/K) × Σ sim(q, dᵢ)</t>
        </is>
      </c>
      <c r="E1554" s="3" t="inlineStr">
        <is>
          <t>skor = [0.7363, 0.7213, 0.717, 0.7029, 0.6959, 0.6934] → (0.7363 + 0.7213 + 0.7170 + 0.7029 + 0.6959 + 0.6934) / 6</t>
        </is>
      </c>
      <c r="F1554" t="n">
        <v>0.7111</v>
      </c>
      <c r="G1554" s="3" t="inlineStr"/>
    </row>
    <row r="1555">
      <c r="A1555" t="n">
        <v>106</v>
      </c>
      <c r="B1555" t="inlineStr">
        <is>
          <t>A</t>
        </is>
      </c>
      <c r="C1555" t="inlineStr">
        <is>
          <t>Coverage (Pers. 8)</t>
        </is>
      </c>
      <c r="D1555" s="3" t="inlineStr">
        <is>
          <t>Coverage = |{dᵢ ∈ TopK : sim(q,dᵢ) ≥ θc}| / K</t>
        </is>
      </c>
      <c r="E1555" s="3" t="inlineStr">
        <is>
          <t>skor = [0.7363, 0.7213, 0.717, 0.7029, 0.6959, 0.6934] → 6 / 6</t>
        </is>
      </c>
      <c r="F1555" t="n">
        <v>1</v>
      </c>
      <c r="G1555" s="3" t="inlineStr"/>
    </row>
    <row r="1556">
      <c r="A1556" t="n">
        <v>106</v>
      </c>
      <c r="B1556" t="inlineStr">
        <is>
          <t>A</t>
        </is>
      </c>
      <c r="C1556" t="inlineStr">
        <is>
          <t>Source Diversity (Pers. 10)</t>
        </is>
      </c>
      <c r="D1556" s="3" t="inlineStr">
        <is>
          <t>Diversity = |sumber unik dalam TopK| / K</t>
        </is>
      </c>
      <c r="E1556" s="3" t="inlineStr">
        <is>
          <t>skor = ['GT_CT05.txt', 'GT_CT07.txt', 'GT_CT09.txt', 'GT_DETAIL_PT05_Pattern_Recognition.txt', 'GT_DETAIL_PT09_Variabel_TipeData_Operator_List.txt'] → 5 / 6</t>
        </is>
      </c>
      <c r="F1556" t="n">
        <v>0.8333</v>
      </c>
      <c r="G1556" s="3" t="inlineStr">
        <is>
          <t>file unik: GT_CT05.txt, GT_CT07.txt, GT_CT09.txt, GT_DETAIL_PT05_Pattern_Recognition.txt, GT_DETAIL_PT09_Variabel_TipeData_Operator_List.txt</t>
        </is>
      </c>
    </row>
    <row r="1557">
      <c r="A1557" t="n">
        <v>106</v>
      </c>
      <c r="B1557" t="inlineStr">
        <is>
          <t>A</t>
        </is>
      </c>
      <c r="C1557" t="inlineStr">
        <is>
          <t>Faithfulness (Pers. 15)</t>
        </is>
      </c>
      <c r="D1557" s="3" t="inlineStr">
        <is>
          <t>F = 0,70×Entailment + 0,30×KWoverlap</t>
        </is>
      </c>
      <c r="E1557" s="3" t="inlineStr">
        <is>
          <t>Faithfulness = 0,70×Entailment + 0,30×KWoverlap = 0,70×0.8333 + 0,30×0.1867 = 0.6393  (entailment: 5/6 klaim didukung; KWoverlap = (|∩|/|ctx|)^0,65 = (23/304)^0,65 = 0.0757^0,65 = 0.1867)</t>
        </is>
      </c>
      <c r="F1557" t="n">
        <v>0.6393</v>
      </c>
      <c r="G1557" s="3" t="inlineStr">
        <is>
          <t>metode: llm_entailment + keyword</t>
        </is>
      </c>
    </row>
    <row r="1558">
      <c r="A1558" t="n">
        <v>106</v>
      </c>
      <c r="B1558" t="inlineStr">
        <is>
          <t>A</t>
        </is>
      </c>
      <c r="C1558" t="inlineStr">
        <is>
          <t>— Entailment (Pers. 12-13)</t>
        </is>
      </c>
      <c r="D1558" s="3" t="inlineStr">
        <is>
          <t>Entailment = Σverdict(sᵢ)/m</t>
        </is>
      </c>
      <c r="E1558" s="3" t="inlineStr">
        <is>
          <t>5 klaim YA dari 6 klaim dievaluasi</t>
        </is>
      </c>
      <c r="F1558" t="n">
        <v>0.8333</v>
      </c>
      <c r="G1558" s="3" t="inlineStr">
        <is>
          <t>verdict per klaim: sheet 'Entailment Detail'</t>
        </is>
      </c>
    </row>
    <row r="1559">
      <c r="A1559" t="n">
        <v>106</v>
      </c>
      <c r="B1559" t="inlineStr">
        <is>
          <t>A</t>
        </is>
      </c>
      <c r="C1559" t="inlineStr">
        <is>
          <t>— Keyword Overlap (Pers. 14)</t>
        </is>
      </c>
      <c r="D1559" s="3" t="inlineStr">
        <is>
          <t>KWoverlap = (|Stems(ans)∩Stems(ctx)| / |Stems(ctx)|)^0,65</t>
        </is>
      </c>
      <c r="E1559" s="3" t="inlineStr">
        <is>
          <t>KWoverlap = (|∩|/|ctx|)^0,65 = (23/304)^0,65 = 0.0757^0,65 = 0.1867</t>
        </is>
      </c>
      <c r="F1559" t="n">
        <v>0.1867</v>
      </c>
      <c r="G1559" s="3" t="inlineStr"/>
    </row>
    <row r="1560">
      <c r="A1560" t="n">
        <v>106</v>
      </c>
      <c r="B1560" t="inlineStr">
        <is>
          <t>A</t>
        </is>
      </c>
      <c r="C1560" t="inlineStr">
        <is>
          <t>Hallucination Risk (Pers. 18)</t>
        </is>
      </c>
      <c r="D1560" s="3" t="inlineStr">
        <is>
          <t>Risk = 0,65×(1-F) + 0,20×Contradiction + 0,15×Uncertainty</t>
        </is>
      </c>
      <c r="E1560" s="3" t="inlineStr">
        <is>
          <t>Risk = 0,65×OutOfContext + 0,20×Contradiction + 0,15×Uncertainty = 0,65×0.3607 + 0,20×0.0000 + 0,15×0.00 = 0.2345 [RENDAH]</t>
        </is>
      </c>
      <c r="F1560" t="n">
        <v>0.2345</v>
      </c>
      <c r="G1560" s="3" t="inlineStr">
        <is>
          <t>label: RENDAH; kontradiksi 0/8 kalimat; uncertainty flag: False</t>
        </is>
      </c>
    </row>
    <row r="1561">
      <c r="A1561" t="n">
        <v>106</v>
      </c>
      <c r="B1561" t="inlineStr">
        <is>
          <t>A</t>
        </is>
      </c>
      <c r="C1561" t="inlineStr">
        <is>
          <t>Answer Accuracy (Pers. 20)</t>
        </is>
      </c>
      <c r="D1561" s="3" t="inlineStr">
        <is>
          <t>Correctᵢ ∈ {0,1} via LLM-as-Judge (HASIL: BENAR/SALAH)</t>
        </is>
      </c>
      <c r="E1561" s="3" t="inlineStr"/>
      <c r="F1561" t="inlineStr">
        <is>
          <t>BENAR</t>
        </is>
      </c>
      <c r="G1561" s="3" t="inlineStr">
        <is>
          <t>evaluator: ollama/llama3</t>
        </is>
      </c>
    </row>
    <row r="1562">
      <c r="A1562" t="n">
        <v>106</v>
      </c>
      <c r="B1562" t="inlineStr">
        <is>
          <t>B</t>
        </is>
      </c>
      <c r="C1562" t="inlineStr">
        <is>
          <t>Faithfulness (Pers. 15)</t>
        </is>
      </c>
      <c r="D1562" s="3" t="inlineStr">
        <is>
          <t>F = 0,70×Entailment + 0,30×KWoverlap</t>
        </is>
      </c>
      <c r="E1562" s="3" t="inlineStr">
        <is>
          <t>Faithfulness = 0,70×Entailment + 0,30×KWoverlap = 0,70×0.5000 + 0,30×0.2315 = 0.4194  (entailment: 3/6 klaim didukung; KWoverlap = (|∩|/|ctx|)^0,65 = (32/304)^0,65 = 0.1053^0,65 = 0.2315)</t>
        </is>
      </c>
      <c r="F1562" t="n">
        <v>0.4194</v>
      </c>
      <c r="G1562" s="3" t="inlineStr">
        <is>
          <t>metode: llm_entailment + keyword</t>
        </is>
      </c>
    </row>
    <row r="1563">
      <c r="A1563" t="n">
        <v>106</v>
      </c>
      <c r="B1563" t="inlineStr">
        <is>
          <t>B</t>
        </is>
      </c>
      <c r="C1563" t="inlineStr">
        <is>
          <t>— Entailment (Pers. 12-13)</t>
        </is>
      </c>
      <c r="D1563" s="3" t="inlineStr">
        <is>
          <t>Entailment = Σverdict(sᵢ)/m</t>
        </is>
      </c>
      <c r="E1563" s="3" t="inlineStr">
        <is>
          <t>3 klaim YA dari 6 klaim dievaluasi</t>
        </is>
      </c>
      <c r="F1563" t="n">
        <v>0.5</v>
      </c>
      <c r="G1563" s="3" t="inlineStr">
        <is>
          <t>verdict per klaim: sheet 'Entailment Detail'</t>
        </is>
      </c>
    </row>
    <row r="1564">
      <c r="A1564" t="n">
        <v>106</v>
      </c>
      <c r="B1564" t="inlineStr">
        <is>
          <t>B</t>
        </is>
      </c>
      <c r="C1564" t="inlineStr">
        <is>
          <t>— Keyword Overlap (Pers. 14)</t>
        </is>
      </c>
      <c r="D1564" s="3" t="inlineStr">
        <is>
          <t>KWoverlap = (|Stems(ans)∩Stems(ctx)| / |Stems(ctx)|)^0,65</t>
        </is>
      </c>
      <c r="E1564" s="3" t="inlineStr">
        <is>
          <t>KWoverlap = (|∩|/|ctx|)^0,65 = (32/304)^0,65 = 0.1053^0,65 = 0.2315</t>
        </is>
      </c>
      <c r="F1564" t="n">
        <v>0.2315</v>
      </c>
      <c r="G1564" s="3" t="inlineStr"/>
    </row>
    <row r="1565">
      <c r="A1565" t="n">
        <v>106</v>
      </c>
      <c r="B1565" t="inlineStr">
        <is>
          <t>B</t>
        </is>
      </c>
      <c r="C1565" t="inlineStr">
        <is>
          <t>Hallucination Risk (Pers. 18)</t>
        </is>
      </c>
      <c r="D1565" s="3" t="inlineStr">
        <is>
          <t>Risk = 0,65×(1-F) + 0,20×Contradiction + 0,15×Uncertainty</t>
        </is>
      </c>
      <c r="E1565" s="3" t="inlineStr">
        <is>
          <t>Risk = 0,65×OutOfContext + 0,20×Contradiction + 0,15×Uncertainty = 0,65×0.5806 + 0,20×0.0000 + 0,15×0.00 = 0.3774 [SEDANG]</t>
        </is>
      </c>
      <c r="F1565" t="n">
        <v>0.3774</v>
      </c>
      <c r="G1565" s="3" t="inlineStr">
        <is>
          <t>label: SEDANG; kontradiksi 0/22 kalimat; uncertainty flag: False</t>
        </is>
      </c>
    </row>
    <row r="1566">
      <c r="A1566" t="n">
        <v>106</v>
      </c>
      <c r="B1566" t="inlineStr">
        <is>
          <t>B</t>
        </is>
      </c>
      <c r="C1566" t="inlineStr">
        <is>
          <t>Answer Accuracy (Pers. 20)</t>
        </is>
      </c>
      <c r="D1566" s="3" t="inlineStr">
        <is>
          <t>Correctᵢ ∈ {0,1} via LLM-as-Judge (HASIL: BENAR/SALAH)</t>
        </is>
      </c>
      <c r="E1566" s="3" t="inlineStr">
        <is>
          <t>According to the reference, the system's answer is partially correct.
The key point is that PROBLEM refers to a situation or condition that does not meet expectations, needs, or goals, whereas GOAL specifies what is intended to be achieved or obtained as a result of abstraction.
In the example provided by the system, the problem is indeed described as "Keterlambatan pelajar di SMP X meningkat dr</t>
        </is>
      </c>
      <c r="F1566" t="inlineStr">
        <is>
          <t>SALAH</t>
        </is>
      </c>
      <c r="G1566" s="3" t="inlineStr">
        <is>
          <t>evaluator: ollama/llama3</t>
        </is>
      </c>
    </row>
    <row r="1567">
      <c r="A1567" t="n">
        <v>107</v>
      </c>
      <c r="B1567" t="inlineStr">
        <is>
          <t>A</t>
        </is>
      </c>
      <c r="C1567" t="inlineStr">
        <is>
          <t>Precision@K (Pers. 2)</t>
        </is>
      </c>
      <c r="D1567" s="3" t="inlineStr">
        <is>
          <t>Precision@K = |{d ∈ TopK : sim(q,d) ≥ θ}| / K</t>
        </is>
      </c>
      <c r="E1567" s="3" t="inlineStr">
        <is>
          <t>skor = [0.8407, 0.84, 0.8297, 0.8248, 0.8145, 0.8078] → 6 / 6</t>
        </is>
      </c>
      <c r="F1567" t="n">
        <v>1</v>
      </c>
      <c r="G1567" s="3" t="inlineStr">
        <is>
          <t>basis: skor chunk nyata (sesuai contoh Pers. 2 skripsi)</t>
        </is>
      </c>
    </row>
    <row r="1568">
      <c r="A1568" t="n">
        <v>107</v>
      </c>
      <c r="B1568" t="inlineStr">
        <is>
          <t>A</t>
        </is>
      </c>
      <c r="C1568" t="inlineStr">
        <is>
          <t>Recall@K (Pers. 4)</t>
        </is>
      </c>
      <c r="D1568" s="3" t="inlineStr">
        <is>
          <t>Recall@K = |{kata kunci ditemukan : sim ≥ θ}| / |R|</t>
        </is>
      </c>
      <c r="E1568" s="3" t="inlineStr">
        <is>
          <t>skor = [0.7561, 0.6066, 0.5509, 0.518, 0.5053, 0.4771] → 6 / 6</t>
        </is>
      </c>
      <c r="F1568" t="n">
        <v>1</v>
      </c>
      <c r="G1568" s="3" t="inlineStr"/>
    </row>
    <row r="1569">
      <c r="A1569" t="n">
        <v>107</v>
      </c>
      <c r="B1569" t="inlineStr">
        <is>
          <t>A</t>
        </is>
      </c>
      <c r="C1569" t="inlineStr">
        <is>
          <t>Mean Similarity (Pers. 6)</t>
        </is>
      </c>
      <c r="D1569" s="3" t="inlineStr">
        <is>
          <t>MeanSim = (1/K) × Σ sim(q, dᵢ)</t>
        </is>
      </c>
      <c r="E1569" s="3" t="inlineStr">
        <is>
          <t>skor = [0.8407, 0.84, 0.8297, 0.8248, 0.8145, 0.8078] → (0.8407 + 0.8400 + 0.8297 + 0.8248 + 0.8145 + 0.8078) / 6</t>
        </is>
      </c>
      <c r="F1569" t="n">
        <v>0.8262</v>
      </c>
      <c r="G1569" s="3" t="inlineStr"/>
    </row>
    <row r="1570">
      <c r="A1570" t="n">
        <v>107</v>
      </c>
      <c r="B1570" t="inlineStr">
        <is>
          <t>A</t>
        </is>
      </c>
      <c r="C1570" t="inlineStr">
        <is>
          <t>Coverage (Pers. 8)</t>
        </is>
      </c>
      <c r="D1570" s="3" t="inlineStr">
        <is>
          <t>Coverage = |{dᵢ ∈ TopK : sim(q,dᵢ) ≥ θc}| / K</t>
        </is>
      </c>
      <c r="E1570" s="3" t="inlineStr">
        <is>
          <t>skor = [0.8407, 0.84, 0.8297, 0.8248, 0.8145, 0.8078] → 6 / 6</t>
        </is>
      </c>
      <c r="F1570" t="n">
        <v>1</v>
      </c>
      <c r="G1570" s="3" t="inlineStr"/>
    </row>
    <row r="1571">
      <c r="A1571" t="n">
        <v>107</v>
      </c>
      <c r="B1571" t="inlineStr">
        <is>
          <t>A</t>
        </is>
      </c>
      <c r="C1571" t="inlineStr">
        <is>
          <t>Source Diversity (Pers. 10)</t>
        </is>
      </c>
      <c r="D1571" s="3" t="inlineStr">
        <is>
          <t>Diversity = |sumber unik dalam TopK| / K</t>
        </is>
      </c>
      <c r="E1571" s="3" t="inlineStr">
        <is>
          <t>skor = ['GT_CT07.txt', 'GT_CT10.txt', 'GT_DETAIL_PT07_Notasi_Algoritme.txt', 'GT_DETAIL_PT10_Percabangan.txt', 'GT_SUBTOPIK_05_Pseudocode_Algoritme.txt'] → 5 / 6</t>
        </is>
      </c>
      <c r="F1571" t="n">
        <v>0.8333</v>
      </c>
      <c r="G1571" s="3" t="inlineStr">
        <is>
          <t>file unik: GT_CT07.txt, GT_CT10.txt, GT_DETAIL_PT07_Notasi_Algoritme.txt, GT_DETAIL_PT10_Percabangan.txt, GT_SUBTOPIK_05_Pseudocode_Algoritme.txt</t>
        </is>
      </c>
    </row>
    <row r="1572">
      <c r="A1572" t="n">
        <v>107</v>
      </c>
      <c r="B1572" t="inlineStr">
        <is>
          <t>A</t>
        </is>
      </c>
      <c r="C1572" t="inlineStr">
        <is>
          <t>Faithfulness (Pers. 15)</t>
        </is>
      </c>
      <c r="D1572" s="3" t="inlineStr">
        <is>
          <t>F = 0,70×Entailment + 0,30×KWoverlap</t>
        </is>
      </c>
      <c r="E1572" s="3" t="inlineStr">
        <is>
          <t>Faithfulness = 0,70×Entailment + 0,30×KWoverlap = 0,70×0.8333 + 0,30×0.3006 = 0.6735  (entailment: 5/6 klaim didukung; KWoverlap = (|∩|/|ctx|)^0,65 = (31/197)^0,65 = 0.1574^0,65 = 0.3006)</t>
        </is>
      </c>
      <c r="F1572" t="n">
        <v>0.6735</v>
      </c>
      <c r="G1572" s="3" t="inlineStr">
        <is>
          <t>metode: llm_entailment + keyword</t>
        </is>
      </c>
    </row>
    <row r="1573">
      <c r="A1573" t="n">
        <v>107</v>
      </c>
      <c r="B1573" t="inlineStr">
        <is>
          <t>A</t>
        </is>
      </c>
      <c r="C1573" t="inlineStr">
        <is>
          <t>— Entailment (Pers. 12-13)</t>
        </is>
      </c>
      <c r="D1573" s="3" t="inlineStr">
        <is>
          <t>Entailment = Σverdict(sᵢ)/m</t>
        </is>
      </c>
      <c r="E1573" s="3" t="inlineStr">
        <is>
          <t>5 klaim YA dari 6 klaim dievaluasi</t>
        </is>
      </c>
      <c r="F1573" t="n">
        <v>0.8333</v>
      </c>
      <c r="G1573" s="3" t="inlineStr">
        <is>
          <t>verdict per klaim: sheet 'Entailment Detail'</t>
        </is>
      </c>
    </row>
    <row r="1574">
      <c r="A1574" t="n">
        <v>107</v>
      </c>
      <c r="B1574" t="inlineStr">
        <is>
          <t>A</t>
        </is>
      </c>
      <c r="C1574" t="inlineStr">
        <is>
          <t>— Keyword Overlap (Pers. 14)</t>
        </is>
      </c>
      <c r="D1574" s="3" t="inlineStr">
        <is>
          <t>KWoverlap = (|Stems(ans)∩Stems(ctx)| / |Stems(ctx)|)^0,65</t>
        </is>
      </c>
      <c r="E1574" s="3" t="inlineStr">
        <is>
          <t>KWoverlap = (|∩|/|ctx|)^0,65 = (31/197)^0,65 = 0.1574^0,65 = 0.3006</t>
        </is>
      </c>
      <c r="F1574" t="n">
        <v>0.3006</v>
      </c>
      <c r="G1574" s="3" t="inlineStr"/>
    </row>
    <row r="1575">
      <c r="A1575" t="n">
        <v>107</v>
      </c>
      <c r="B1575" t="inlineStr">
        <is>
          <t>A</t>
        </is>
      </c>
      <c r="C1575" t="inlineStr">
        <is>
          <t>Hallucination Risk (Pers. 18)</t>
        </is>
      </c>
      <c r="D1575" s="3" t="inlineStr">
        <is>
          <t>Risk = 0,65×(1-F) + 0,20×Contradiction + 0,15×Uncertainty</t>
        </is>
      </c>
      <c r="E1575" s="3" t="inlineStr">
        <is>
          <t>Risk = 0,65×OutOfContext + 0,20×Contradiction + 0,15×Uncertainty = 0,65×0.3265 + 0,20×0.0000 + 0,15×0.00 = 0.2122 [RENDAH]</t>
        </is>
      </c>
      <c r="F1575" t="n">
        <v>0.2122</v>
      </c>
      <c r="G1575" s="3" t="inlineStr">
        <is>
          <t>label: RENDAH; kontradiksi 0/21 kalimat; uncertainty flag: False</t>
        </is>
      </c>
    </row>
    <row r="1576">
      <c r="A1576" t="n">
        <v>107</v>
      </c>
      <c r="B1576" t="inlineStr">
        <is>
          <t>B</t>
        </is>
      </c>
      <c r="C1576" t="inlineStr">
        <is>
          <t>Faithfulness (Pers. 15)</t>
        </is>
      </c>
      <c r="D1576" s="3" t="inlineStr">
        <is>
          <t>F = 0,70×Entailment + 0,30×KWoverlap</t>
        </is>
      </c>
      <c r="E1576" s="3" t="inlineStr">
        <is>
          <t>Faithfulness = 0,70×Entailment + 0,30×KWoverlap = 0,70×1.0000 + 0,30×0.2187 = 0.7656  (entailment: 6/6 klaim didukung; KWoverlap = (|∩|/|ctx|)^0,65 = (19/197)^0,65 = 0.0964^0,65 = 0.2187)</t>
        </is>
      </c>
      <c r="F1576" t="n">
        <v>0.7655999999999999</v>
      </c>
      <c r="G1576" s="3" t="inlineStr">
        <is>
          <t>metode: llm_entailment + keyword</t>
        </is>
      </c>
    </row>
    <row r="1577">
      <c r="A1577" t="n">
        <v>107</v>
      </c>
      <c r="B1577" t="inlineStr">
        <is>
          <t>B</t>
        </is>
      </c>
      <c r="C1577" t="inlineStr">
        <is>
          <t>— Entailment (Pers. 12-13)</t>
        </is>
      </c>
      <c r="D1577" s="3" t="inlineStr">
        <is>
          <t>Entailment = Σverdict(sᵢ)/m</t>
        </is>
      </c>
      <c r="E1577" s="3" t="inlineStr">
        <is>
          <t>6 klaim YA dari 6 klaim dievaluasi</t>
        </is>
      </c>
      <c r="F1577" t="n">
        <v>1</v>
      </c>
      <c r="G1577" s="3" t="inlineStr">
        <is>
          <t>verdict per klaim: sheet 'Entailment Detail'</t>
        </is>
      </c>
    </row>
    <row r="1578">
      <c r="A1578" t="n">
        <v>107</v>
      </c>
      <c r="B1578" t="inlineStr">
        <is>
          <t>B</t>
        </is>
      </c>
      <c r="C1578" t="inlineStr">
        <is>
          <t>— Keyword Overlap (Pers. 14)</t>
        </is>
      </c>
      <c r="D1578" s="3" t="inlineStr">
        <is>
          <t>KWoverlap = (|Stems(ans)∩Stems(ctx)| / |Stems(ctx)|)^0,65</t>
        </is>
      </c>
      <c r="E1578" s="3" t="inlineStr">
        <is>
          <t>KWoverlap = (|∩|/|ctx|)^0,65 = (19/197)^0,65 = 0.0964^0,65 = 0.2187</t>
        </is>
      </c>
      <c r="F1578" t="n">
        <v>0.2187</v>
      </c>
      <c r="G1578" s="3" t="inlineStr"/>
    </row>
    <row r="1579">
      <c r="A1579" t="n">
        <v>107</v>
      </c>
      <c r="B1579" t="inlineStr">
        <is>
          <t>B</t>
        </is>
      </c>
      <c r="C1579" t="inlineStr">
        <is>
          <t>Hallucination Risk (Pers. 18)</t>
        </is>
      </c>
      <c r="D1579" s="3" t="inlineStr">
        <is>
          <t>Risk = 0,65×(1-F) + 0,20×Contradiction + 0,15×Uncertainty</t>
        </is>
      </c>
      <c r="E1579" s="3" t="inlineStr">
        <is>
          <t>Risk = 0,65×OutOfContext + 0,20×Contradiction + 0,15×Uncertainty = 0,65×0.2344 + 0,20×0.0000 + 0,15×0.00 = 0.1524 [RENDAH]</t>
        </is>
      </c>
      <c r="F1579" t="n">
        <v>0.1524</v>
      </c>
      <c r="G1579" s="3" t="inlineStr">
        <is>
          <t>label: RENDAH; kontradiksi 0/26 kalimat; uncertainty flag: False</t>
        </is>
      </c>
    </row>
    <row r="1580">
      <c r="A1580" t="n">
        <v>107</v>
      </c>
      <c r="B1580" t="inlineStr">
        <is>
          <t>B</t>
        </is>
      </c>
      <c r="C1580" t="inlineStr">
        <is>
          <t>Answer Accuracy (Pers. 20)</t>
        </is>
      </c>
      <c r="D1580" s="3" t="inlineStr">
        <is>
          <t>Correctᵢ ∈ {0,1} via LLM-as-Judge (HASIL: BENAR/SALAH)</t>
        </is>
      </c>
      <c r="E1580" s="3" t="inlineStr">
        <is>
          <t>Jawaban sistem:</t>
        </is>
      </c>
      <c r="F1580" t="inlineStr">
        <is>
          <t>BENAR</t>
        </is>
      </c>
      <c r="G1580" s="3" t="inlineStr">
        <is>
          <t>evaluator: ollama/llama3</t>
        </is>
      </c>
    </row>
    <row r="1581">
      <c r="A1581" t="n">
        <v>108</v>
      </c>
      <c r="B1581" t="inlineStr">
        <is>
          <t>A</t>
        </is>
      </c>
      <c r="C1581" t="inlineStr">
        <is>
          <t>Precision@K (Pers. 2)</t>
        </is>
      </c>
      <c r="D1581" s="3" t="inlineStr">
        <is>
          <t>Precision@K = |{d ∈ TopK : sim(q,d) ≥ θ}| / K</t>
        </is>
      </c>
      <c r="E1581" s="3" t="inlineStr">
        <is>
          <t>skor = [0.8149, 0.7762, 0.7747, 0.7656, 0.75, 0.7456] → 6 / 6</t>
        </is>
      </c>
      <c r="F1581" t="n">
        <v>1</v>
      </c>
      <c r="G1581" s="3" t="inlineStr">
        <is>
          <t>basis: skor chunk nyata (sesuai contoh Pers. 2 skripsi)</t>
        </is>
      </c>
    </row>
    <row r="1582">
      <c r="A1582" t="n">
        <v>108</v>
      </c>
      <c r="B1582" t="inlineStr">
        <is>
          <t>A</t>
        </is>
      </c>
      <c r="C1582" t="inlineStr">
        <is>
          <t>Recall@K (Pers. 4)</t>
        </is>
      </c>
      <c r="D1582" s="3" t="inlineStr">
        <is>
          <t>Recall@K = |{kata kunci ditemukan : sim ≥ θ}| / |R|</t>
        </is>
      </c>
      <c r="E1582" s="3" t="inlineStr">
        <is>
          <t>skor = [0.6854, 0.6498, 0.5004, 0.4963, 0.4511, 0.4474] → 6 / 6</t>
        </is>
      </c>
      <c r="F1582" t="n">
        <v>1</v>
      </c>
      <c r="G1582" s="3" t="inlineStr"/>
    </row>
    <row r="1583">
      <c r="A1583" t="n">
        <v>108</v>
      </c>
      <c r="B1583" t="inlineStr">
        <is>
          <t>A</t>
        </is>
      </c>
      <c r="C1583" t="inlineStr">
        <is>
          <t>Mean Similarity (Pers. 6)</t>
        </is>
      </c>
      <c r="D1583" s="3" t="inlineStr">
        <is>
          <t>MeanSim = (1/K) × Σ sim(q, dᵢ)</t>
        </is>
      </c>
      <c r="E1583" s="3" t="inlineStr">
        <is>
          <t>skor = [0.8149, 0.7762, 0.7747, 0.7656, 0.75, 0.7456] → (0.8149 + 0.7762 + 0.7747 + 0.7656 + 0.7500 + 0.7456) / 6</t>
        </is>
      </c>
      <c r="F1583" t="n">
        <v>0.7712</v>
      </c>
      <c r="G1583" s="3" t="inlineStr"/>
    </row>
    <row r="1584">
      <c r="A1584" t="n">
        <v>108</v>
      </c>
      <c r="B1584" t="inlineStr">
        <is>
          <t>A</t>
        </is>
      </c>
      <c r="C1584" t="inlineStr">
        <is>
          <t>Coverage (Pers. 8)</t>
        </is>
      </c>
      <c r="D1584" s="3" t="inlineStr">
        <is>
          <t>Coverage = |{dᵢ ∈ TopK : sim(q,dᵢ) ≥ θc}| / K</t>
        </is>
      </c>
      <c r="E1584" s="3" t="inlineStr">
        <is>
          <t>skor = [0.8149, 0.7762, 0.7747, 0.7656, 0.75, 0.7456] → 6 / 6</t>
        </is>
      </c>
      <c r="F1584" t="n">
        <v>1</v>
      </c>
      <c r="G1584" s="3" t="inlineStr"/>
    </row>
    <row r="1585">
      <c r="A1585" t="n">
        <v>108</v>
      </c>
      <c r="B1585" t="inlineStr">
        <is>
          <t>A</t>
        </is>
      </c>
      <c r="C1585" t="inlineStr">
        <is>
          <t>Source Diversity (Pers. 10)</t>
        </is>
      </c>
      <c r="D1585" s="3" t="inlineStr">
        <is>
          <t>Diversity = |sumber unik dalam TopK| / K</t>
        </is>
      </c>
      <c r="E1585" s="3" t="inlineStr">
        <is>
          <t>skor = ['GT_CT01.txt', 'GT_CT09.txt', 'GT_CT13.txt', 'GT_DETAIL_PT01_Pendahuluan.txt', 'GT_DETAIL_PT09_Variabel_TipeData_Operator_List.txt'] → 5 / 6</t>
        </is>
      </c>
      <c r="F1585" t="n">
        <v>0.8333</v>
      </c>
      <c r="G1585" s="3" t="inlineStr">
        <is>
          <t>file unik: GT_CT01.txt, GT_CT09.txt, GT_CT13.txt, GT_DETAIL_PT01_Pendahuluan.txt, GT_DETAIL_PT09_Variabel_TipeData_Operator_List.txt</t>
        </is>
      </c>
    </row>
    <row r="1586">
      <c r="A1586" t="n">
        <v>108</v>
      </c>
      <c r="B1586" t="inlineStr">
        <is>
          <t>A</t>
        </is>
      </c>
      <c r="C1586" t="inlineStr">
        <is>
          <t>Faithfulness (Pers. 15)</t>
        </is>
      </c>
      <c r="D1586" s="3" t="inlineStr">
        <is>
          <t>F = 0,70×Entailment + 0,30×KWoverlap</t>
        </is>
      </c>
      <c r="E1586" s="3" t="inlineStr">
        <is>
          <t>Faithfulness = 0,70×Entailment + 0,30×KWoverlap = 0,70×1.0000 + 0,30×0.2778 = 0.7833  (entailment: 6/6 klaim didukung; KWoverlap = (|∩|/|ctx|)^0,65 = (46/330)^0,65 = 0.1394^0,65 = 0.2778)</t>
        </is>
      </c>
      <c r="F1586" t="n">
        <v>0.7833</v>
      </c>
      <c r="G1586" s="3" t="inlineStr">
        <is>
          <t>metode: llm_entailment + keyword</t>
        </is>
      </c>
    </row>
    <row r="1587">
      <c r="A1587" t="n">
        <v>108</v>
      </c>
      <c r="B1587" t="inlineStr">
        <is>
          <t>A</t>
        </is>
      </c>
      <c r="C1587" t="inlineStr">
        <is>
          <t>— Entailment (Pers. 12-13)</t>
        </is>
      </c>
      <c r="D1587" s="3" t="inlineStr">
        <is>
          <t>Entailment = Σverdict(sᵢ)/m</t>
        </is>
      </c>
      <c r="E1587" s="3" t="inlineStr">
        <is>
          <t>6 klaim YA dari 6 klaim dievaluasi</t>
        </is>
      </c>
      <c r="F1587" t="n">
        <v>1</v>
      </c>
      <c r="G1587" s="3" t="inlineStr">
        <is>
          <t>verdict per klaim: sheet 'Entailment Detail'</t>
        </is>
      </c>
    </row>
    <row r="1588">
      <c r="A1588" t="n">
        <v>108</v>
      </c>
      <c r="B1588" t="inlineStr">
        <is>
          <t>A</t>
        </is>
      </c>
      <c r="C1588" t="inlineStr">
        <is>
          <t>— Keyword Overlap (Pers. 14)</t>
        </is>
      </c>
      <c r="D1588" s="3" t="inlineStr">
        <is>
          <t>KWoverlap = (|Stems(ans)∩Stems(ctx)| / |Stems(ctx)|)^0,65</t>
        </is>
      </c>
      <c r="E1588" s="3" t="inlineStr">
        <is>
          <t>KWoverlap = (|∩|/|ctx|)^0,65 = (46/330)^0,65 = 0.1394^0,65 = 0.2778</t>
        </is>
      </c>
      <c r="F1588" t="n">
        <v>0.2778</v>
      </c>
      <c r="G1588" s="3" t="inlineStr"/>
    </row>
    <row r="1589">
      <c r="A1589" t="n">
        <v>108</v>
      </c>
      <c r="B1589" t="inlineStr">
        <is>
          <t>A</t>
        </is>
      </c>
      <c r="C1589" t="inlineStr">
        <is>
          <t>Hallucination Risk (Pers. 18)</t>
        </is>
      </c>
      <c r="D1589" s="3" t="inlineStr">
        <is>
          <t>Risk = 0,65×(1-F) + 0,20×Contradiction + 0,15×Uncertainty</t>
        </is>
      </c>
      <c r="E1589" s="3" t="inlineStr">
        <is>
          <t>Risk = 0,65×OutOfContext + 0,20×Contradiction + 0,15×Uncertainty = 0,65×0.2167 + 0,20×0.0000 + 0,15×0.00 = 0.1409 [RENDAH]</t>
        </is>
      </c>
      <c r="F1589" t="n">
        <v>0.1409</v>
      </c>
      <c r="G1589" s="3" t="inlineStr">
        <is>
          <t>label: RENDAH; kontradiksi 0/16 kalimat; uncertainty flag: False</t>
        </is>
      </c>
    </row>
    <row r="1590">
      <c r="A1590" t="n">
        <v>108</v>
      </c>
      <c r="B1590" t="inlineStr">
        <is>
          <t>A</t>
        </is>
      </c>
      <c r="C1590" t="inlineStr">
        <is>
          <t>Answer Accuracy (Pers. 20)</t>
        </is>
      </c>
      <c r="D1590" s="3" t="inlineStr">
        <is>
          <t>Correctᵢ ∈ {0,1} via LLM-as-Judge (HASIL: BENAR/SALAH)</t>
        </is>
      </c>
      <c r="E1590" s="3" t="inlineStr">
        <is>
          <t>BENAR</t>
        </is>
      </c>
      <c r="F1590" t="inlineStr">
        <is>
          <t>BENAR</t>
        </is>
      </c>
      <c r="G1590" s="3" t="inlineStr">
        <is>
          <t>evaluator: ollama/llama3</t>
        </is>
      </c>
    </row>
    <row r="1591">
      <c r="A1591" t="n">
        <v>108</v>
      </c>
      <c r="B1591" t="inlineStr">
        <is>
          <t>B</t>
        </is>
      </c>
      <c r="C1591" t="inlineStr">
        <is>
          <t>Faithfulness (Pers. 15)</t>
        </is>
      </c>
      <c r="D1591" s="3" t="inlineStr">
        <is>
          <t>F = 0,70×Entailment + 0,30×KWoverlap</t>
        </is>
      </c>
      <c r="E1591" s="3" t="inlineStr">
        <is>
          <t>Faithfulness = 0,70×Entailment + 0,30×KWoverlap = 0,70×0.5000 + 0,30×0.2012 = 0.4104  (entailment: 3/6 klaim didukung; KWoverlap = (|∩|/|ctx|)^0,65 = (28/330)^0,65 = 0.0848^0,65 = 0.2012)</t>
        </is>
      </c>
      <c r="F1591" t="n">
        <v>0.4104</v>
      </c>
      <c r="G1591" s="3" t="inlineStr">
        <is>
          <t>metode: llm_entailment + keyword</t>
        </is>
      </c>
    </row>
    <row r="1592">
      <c r="A1592" t="n">
        <v>108</v>
      </c>
      <c r="B1592" t="inlineStr">
        <is>
          <t>B</t>
        </is>
      </c>
      <c r="C1592" t="inlineStr">
        <is>
          <t>— Entailment (Pers. 12-13)</t>
        </is>
      </c>
      <c r="D1592" s="3" t="inlineStr">
        <is>
          <t>Entailment = Σverdict(sᵢ)/m</t>
        </is>
      </c>
      <c r="E1592" s="3" t="inlineStr">
        <is>
          <t>3 klaim YA dari 6 klaim dievaluasi</t>
        </is>
      </c>
      <c r="F1592" t="n">
        <v>0.5</v>
      </c>
      <c r="G1592" s="3" t="inlineStr">
        <is>
          <t>verdict per klaim: sheet 'Entailment Detail'</t>
        </is>
      </c>
    </row>
    <row r="1593">
      <c r="A1593" t="n">
        <v>108</v>
      </c>
      <c r="B1593" t="inlineStr">
        <is>
          <t>B</t>
        </is>
      </c>
      <c r="C1593" t="inlineStr">
        <is>
          <t>— Keyword Overlap (Pers. 14)</t>
        </is>
      </c>
      <c r="D1593" s="3" t="inlineStr">
        <is>
          <t>KWoverlap = (|Stems(ans)∩Stems(ctx)| / |Stems(ctx)|)^0,65</t>
        </is>
      </c>
      <c r="E1593" s="3" t="inlineStr">
        <is>
          <t>KWoverlap = (|∩|/|ctx|)^0,65 = (28/330)^0,65 = 0.0848^0,65 = 0.2012</t>
        </is>
      </c>
      <c r="F1593" t="n">
        <v>0.2012</v>
      </c>
      <c r="G1593" s="3" t="inlineStr"/>
    </row>
    <row r="1594">
      <c r="A1594" t="n">
        <v>108</v>
      </c>
      <c r="B1594" t="inlineStr">
        <is>
          <t>B</t>
        </is>
      </c>
      <c r="C1594" t="inlineStr">
        <is>
          <t>Hallucination Risk (Pers. 18)</t>
        </is>
      </c>
      <c r="D1594" s="3" t="inlineStr">
        <is>
          <t>Risk = 0,65×(1-F) + 0,20×Contradiction + 0,15×Uncertainty</t>
        </is>
      </c>
      <c r="E1594" s="3" t="inlineStr">
        <is>
          <t>Risk = 0,65×OutOfContext + 0,20×Contradiction + 0,15×Uncertainty = 0,65×0.5896 + 0,20×0.0000 + 0,15×0.00 = 0.3832 [SEDANG]</t>
        </is>
      </c>
      <c r="F1594" t="n">
        <v>0.3832</v>
      </c>
      <c r="G1594" s="3" t="inlineStr">
        <is>
          <t>label: SEDANG; kontradiksi 0/19 kalimat; uncertainty flag: False</t>
        </is>
      </c>
    </row>
    <row r="1595">
      <c r="A1595" t="n">
        <v>108</v>
      </c>
      <c r="B1595" t="inlineStr">
        <is>
          <t>B</t>
        </is>
      </c>
      <c r="C1595" t="inlineStr">
        <is>
          <t>Answer Accuracy (Pers. 20)</t>
        </is>
      </c>
      <c r="D1595" s="3" t="inlineStr">
        <is>
          <t>Correctᵢ ∈ {0,1} via LLM-as-Judge (HASIL: BENAR/SALAH)</t>
        </is>
      </c>
      <c r="E1595" s="3" t="inlineStr">
        <is>
          <t>BENAR</t>
        </is>
      </c>
      <c r="F1595" t="inlineStr">
        <is>
          <t>BENAR</t>
        </is>
      </c>
      <c r="G1595" s="3" t="inlineStr">
        <is>
          <t>evaluator: ollama/llama3</t>
        </is>
      </c>
    </row>
    <row r="1596">
      <c r="A1596" t="n">
        <v>109</v>
      </c>
      <c r="B1596" t="inlineStr">
        <is>
          <t>A</t>
        </is>
      </c>
      <c r="C1596" t="inlineStr">
        <is>
          <t>Precision@K (Pers. 2)</t>
        </is>
      </c>
      <c r="D1596" s="3" t="inlineStr">
        <is>
          <t>Precision@K = |{d ∈ TopK : sim(q,d) ≥ θ}| / K</t>
        </is>
      </c>
      <c r="E1596" s="3" t="inlineStr">
        <is>
          <t>skor = [0.7519, 0.7357, 0.7259, 0.7254, 0.7146, 0.7117] → 6 / 6</t>
        </is>
      </c>
      <c r="F1596" t="n">
        <v>1</v>
      </c>
      <c r="G1596" s="3" t="inlineStr">
        <is>
          <t>basis: skor chunk nyata (sesuai contoh Pers. 2 skripsi)</t>
        </is>
      </c>
    </row>
    <row r="1597">
      <c r="A1597" t="n">
        <v>109</v>
      </c>
      <c r="B1597" t="inlineStr">
        <is>
          <t>A</t>
        </is>
      </c>
      <c r="C1597" t="inlineStr">
        <is>
          <t>Recall@K (Pers. 4)</t>
        </is>
      </c>
      <c r="D1597" s="3" t="inlineStr">
        <is>
          <t>Recall@K = |{kata kunci ditemukan : sim ≥ θ}| / |R|</t>
        </is>
      </c>
      <c r="E1597" s="3" t="inlineStr">
        <is>
          <t>skor = [0.7171, 0.6101, 0.505, 0.4845, 0.4797, 0.4756] → 6 / 6</t>
        </is>
      </c>
      <c r="F1597" t="n">
        <v>1</v>
      </c>
      <c r="G1597" s="3" t="inlineStr"/>
    </row>
    <row r="1598">
      <c r="A1598" t="n">
        <v>109</v>
      </c>
      <c r="B1598" t="inlineStr">
        <is>
          <t>A</t>
        </is>
      </c>
      <c r="C1598" t="inlineStr">
        <is>
          <t>Mean Similarity (Pers. 6)</t>
        </is>
      </c>
      <c r="D1598" s="3" t="inlineStr">
        <is>
          <t>MeanSim = (1/K) × Σ sim(q, dᵢ)</t>
        </is>
      </c>
      <c r="E1598" s="3" t="inlineStr">
        <is>
          <t>skor = [0.7519, 0.7357, 0.7259, 0.7254, 0.7146, 0.7117] → (0.7519 + 0.7357 + 0.7259 + 0.7254 + 0.7146 + 0.7117) / 6</t>
        </is>
      </c>
      <c r="F1598" t="n">
        <v>0.7275</v>
      </c>
      <c r="G1598" s="3" t="inlineStr"/>
    </row>
    <row r="1599">
      <c r="A1599" t="n">
        <v>109</v>
      </c>
      <c r="B1599" t="inlineStr">
        <is>
          <t>A</t>
        </is>
      </c>
      <c r="C1599" t="inlineStr">
        <is>
          <t>Coverage (Pers. 8)</t>
        </is>
      </c>
      <c r="D1599" s="3" t="inlineStr">
        <is>
          <t>Coverage = |{dᵢ ∈ TopK : sim(q,dᵢ) ≥ θc}| / K</t>
        </is>
      </c>
      <c r="E1599" s="3" t="inlineStr">
        <is>
          <t>skor = [0.7519, 0.7357, 0.7259, 0.7254, 0.7146, 0.7117] → 6 / 6</t>
        </is>
      </c>
      <c r="F1599" t="n">
        <v>1</v>
      </c>
      <c r="G1599" s="3" t="inlineStr"/>
    </row>
    <row r="1600">
      <c r="A1600" t="n">
        <v>109</v>
      </c>
      <c r="B1600" t="inlineStr">
        <is>
          <t>A</t>
        </is>
      </c>
      <c r="C1600" t="inlineStr">
        <is>
          <t>Source Diversity (Pers. 10)</t>
        </is>
      </c>
      <c r="D1600" s="3" t="inlineStr">
        <is>
          <t>Diversity = |sumber unik dalam TopK| / K</t>
        </is>
      </c>
      <c r="E1600" s="3" t="inlineStr">
        <is>
          <t>skor = ['GT_CT01.txt', 'GT_CT07.txt', 'GT_CT09.txt', 'GT_CT10.txt', 'GT_CT13.txt', 'GT_DETAIL_PT04_Abstraksi.txt'] → 6 / 6</t>
        </is>
      </c>
      <c r="F1600" t="n">
        <v>1</v>
      </c>
      <c r="G1600" s="3" t="inlineStr">
        <is>
          <t>file unik: GT_CT01.txt, GT_CT07.txt, GT_CT09.txt, GT_CT10.txt, GT_CT13.txt, GT_DETAIL_PT04_Abstraksi.txt</t>
        </is>
      </c>
    </row>
    <row r="1601">
      <c r="A1601" t="n">
        <v>109</v>
      </c>
      <c r="B1601" t="inlineStr">
        <is>
          <t>A</t>
        </is>
      </c>
      <c r="C1601" t="inlineStr">
        <is>
          <t>Faithfulness (Pers. 15)</t>
        </is>
      </c>
      <c r="D1601" s="3" t="inlineStr">
        <is>
          <t>F = 0,70×Entailment + 0,30×KWoverlap</t>
        </is>
      </c>
      <c r="E1601" s="3" t="inlineStr">
        <is>
          <t>Faithfulness = 0,70×Entailment + 0,30×KWoverlap = 0,70×0.6667 + 0,30×0.2044 = 0.5280  (entailment: 4/6 klaim didukung; KWoverlap = (|∩|/|ctx|)^0,65 = (30/345)^0,65 = 0.0870^0,65 = 0.2044)</t>
        </is>
      </c>
      <c r="F1601" t="n">
        <v>0.528</v>
      </c>
      <c r="G1601" s="3" t="inlineStr">
        <is>
          <t>metode: llm_entailment + keyword</t>
        </is>
      </c>
    </row>
    <row r="1602">
      <c r="A1602" t="n">
        <v>109</v>
      </c>
      <c r="B1602" t="inlineStr">
        <is>
          <t>A</t>
        </is>
      </c>
      <c r="C1602" t="inlineStr">
        <is>
          <t>— Entailment (Pers. 12-13)</t>
        </is>
      </c>
      <c r="D1602" s="3" t="inlineStr">
        <is>
          <t>Entailment = Σverdict(sᵢ)/m</t>
        </is>
      </c>
      <c r="E1602" s="3" t="inlineStr">
        <is>
          <t>4 klaim YA dari 6 klaim dievaluasi</t>
        </is>
      </c>
      <c r="F1602" t="n">
        <v>0.6667</v>
      </c>
      <c r="G1602" s="3" t="inlineStr">
        <is>
          <t>verdict per klaim: sheet 'Entailment Detail'</t>
        </is>
      </c>
    </row>
    <row r="1603">
      <c r="A1603" t="n">
        <v>109</v>
      </c>
      <c r="B1603" t="inlineStr">
        <is>
          <t>A</t>
        </is>
      </c>
      <c r="C1603" t="inlineStr">
        <is>
          <t>— Keyword Overlap (Pers. 14)</t>
        </is>
      </c>
      <c r="D1603" s="3" t="inlineStr">
        <is>
          <t>KWoverlap = (|Stems(ans)∩Stems(ctx)| / |Stems(ctx)|)^0,65</t>
        </is>
      </c>
      <c r="E1603" s="3" t="inlineStr">
        <is>
          <t>KWoverlap = (|∩|/|ctx|)^0,65 = (30/345)^0,65 = 0.0870^0,65 = 0.2044</t>
        </is>
      </c>
      <c r="F1603" t="n">
        <v>0.2044</v>
      </c>
      <c r="G1603" s="3" t="inlineStr"/>
    </row>
    <row r="1604">
      <c r="A1604" t="n">
        <v>109</v>
      </c>
      <c r="B1604" t="inlineStr">
        <is>
          <t>A</t>
        </is>
      </c>
      <c r="C1604" t="inlineStr">
        <is>
          <t>Hallucination Risk (Pers. 18)</t>
        </is>
      </c>
      <c r="D1604" s="3" t="inlineStr">
        <is>
          <t>Risk = 0,65×(1-F) + 0,20×Contradiction + 0,15×Uncertainty</t>
        </is>
      </c>
      <c r="E1604" s="3" t="inlineStr">
        <is>
          <t>Risk = 0,65×OutOfContext + 0,20×Contradiction + 0,15×Uncertainty = 0,65×0.4720 + 0,20×0.0000 + 0,15×0.20 = 0.3368 [SEDANG]</t>
        </is>
      </c>
      <c r="F1604" t="n">
        <v>0.3368</v>
      </c>
      <c r="G1604" s="3" t="inlineStr">
        <is>
          <t>label: SEDANG; kontradiksi 0/6 kalimat; uncertainty flag: True</t>
        </is>
      </c>
    </row>
    <row r="1605">
      <c r="A1605" t="n">
        <v>109</v>
      </c>
      <c r="B1605" t="inlineStr">
        <is>
          <t>A</t>
        </is>
      </c>
      <c r="C1605" t="inlineStr">
        <is>
          <t>Answer Accuracy (Pers. 20)</t>
        </is>
      </c>
      <c r="D1605" s="3" t="inlineStr">
        <is>
          <t>Correctᵢ ∈ {0,1} via LLM-as-Judge (HASIL: BENAR/SALAH)</t>
        </is>
      </c>
      <c r="E1605" s="3" t="inlineStr">
        <is>
          <t>BENAR
Sebab, dalam dokumen materi GT, dijelaskan bahwa struktur data Tree sesuai untuk mencapai pencarian O(1) karena setiap kemungkinan langkah bercabang secara hierarkis dari kondisi papan saat ini. Dalam konteks mencari nama mahasiswa berdasarkan NIM-nya, penggunaan dictionary juga sesuai sebagai struktur data yang dapat mencapai pencarian O(1).</t>
        </is>
      </c>
      <c r="F1605" t="inlineStr">
        <is>
          <t>BENAR</t>
        </is>
      </c>
      <c r="G1605" s="3" t="inlineStr">
        <is>
          <t>evaluator: ollama/llama3</t>
        </is>
      </c>
    </row>
    <row r="1606">
      <c r="A1606" t="n">
        <v>109</v>
      </c>
      <c r="B1606" t="inlineStr">
        <is>
          <t>B</t>
        </is>
      </c>
      <c r="C1606" t="inlineStr">
        <is>
          <t>Faithfulness (Pers. 15)</t>
        </is>
      </c>
      <c r="D1606" s="3" t="inlineStr">
        <is>
          <t>F = 0,70×Entailment + 0,30×KWoverlap</t>
        </is>
      </c>
      <c r="E1606" s="3" t="inlineStr">
        <is>
          <t>Faithfulness = 0,70×Entailment + 0,30×KWoverlap = 0,70×0.5000 + 0,30×0.2175 = 0.4152  (entailment: 3/6 klaim didukung; KWoverlap = (|∩|/|ctx|)^0,65 = (33/345)^0,65 = 0.0957^0,65 = 0.2175)</t>
        </is>
      </c>
      <c r="F1606" t="n">
        <v>0.4152</v>
      </c>
      <c r="G1606" s="3" t="inlineStr">
        <is>
          <t>metode: llm_entailment + keyword</t>
        </is>
      </c>
    </row>
    <row r="1607">
      <c r="A1607" t="n">
        <v>109</v>
      </c>
      <c r="B1607" t="inlineStr">
        <is>
          <t>B</t>
        </is>
      </c>
      <c r="C1607" t="inlineStr">
        <is>
          <t>— Entailment (Pers. 12-13)</t>
        </is>
      </c>
      <c r="D1607" s="3" t="inlineStr">
        <is>
          <t>Entailment = Σverdict(sᵢ)/m</t>
        </is>
      </c>
      <c r="E1607" s="3" t="inlineStr">
        <is>
          <t>3 klaim YA dari 6 klaim dievaluasi</t>
        </is>
      </c>
      <c r="F1607" t="n">
        <v>0.5</v>
      </c>
      <c r="G1607" s="3" t="inlineStr">
        <is>
          <t>verdict per klaim: sheet 'Entailment Detail'</t>
        </is>
      </c>
    </row>
    <row r="1608">
      <c r="A1608" t="n">
        <v>109</v>
      </c>
      <c r="B1608" t="inlineStr">
        <is>
          <t>B</t>
        </is>
      </c>
      <c r="C1608" t="inlineStr">
        <is>
          <t>— Keyword Overlap (Pers. 14)</t>
        </is>
      </c>
      <c r="D1608" s="3" t="inlineStr">
        <is>
          <t>KWoverlap = (|Stems(ans)∩Stems(ctx)| / |Stems(ctx)|)^0,65</t>
        </is>
      </c>
      <c r="E1608" s="3" t="inlineStr">
        <is>
          <t>KWoverlap = (|∩|/|ctx|)^0,65 = (33/345)^0,65 = 0.0957^0,65 = 0.2175</t>
        </is>
      </c>
      <c r="F1608" t="n">
        <v>0.2175</v>
      </c>
      <c r="G1608" s="3" t="inlineStr"/>
    </row>
    <row r="1609">
      <c r="A1609" t="n">
        <v>109</v>
      </c>
      <c r="B1609" t="inlineStr">
        <is>
          <t>B</t>
        </is>
      </c>
      <c r="C1609" t="inlineStr">
        <is>
          <t>Hallucination Risk (Pers. 18)</t>
        </is>
      </c>
      <c r="D1609" s="3" t="inlineStr">
        <is>
          <t>Risk = 0,65×(1-F) + 0,20×Contradiction + 0,15×Uncertainty</t>
        </is>
      </c>
      <c r="E1609" s="3" t="inlineStr">
        <is>
          <t>Risk = 0,65×OutOfContext + 0,20×Contradiction + 0,15×Uncertainty = 0,65×0.5848 + 0,20×0.0000 + 0,15×0.00 = 0.3801 [SEDANG]</t>
        </is>
      </c>
      <c r="F1609" t="n">
        <v>0.3801</v>
      </c>
      <c r="G1609" s="3" t="inlineStr">
        <is>
          <t>label: SEDANG; kontradiksi 0/11 kalimat; uncertainty flag: False</t>
        </is>
      </c>
    </row>
    <row r="1610">
      <c r="A1610" t="n">
        <v>109</v>
      </c>
      <c r="B1610" t="inlineStr">
        <is>
          <t>B</t>
        </is>
      </c>
      <c r="C1610" t="inlineStr">
        <is>
          <t>Answer Accuracy (Pers. 20)</t>
        </is>
      </c>
      <c r="D1610" s="3" t="inlineStr">
        <is>
          <t>Correctᵢ ∈ {0,1} via LLM-as-Judge (HASIL: BENAR/SALAH)</t>
        </is>
      </c>
      <c r="E1610" s="3" t="inlineStr">
        <is>
          <t>BENAR.
Alasan: Jawaban sistem menjelaskan bahwa penggunaan dictionary untuk mencari nama mahasiswa dengan cepat (O(1)) di Python memang benar dan efektif, serta menawarkan alternatif struktur data lain yang dapat mencapai pencarian O(1), seperti Hash Table, yang sejalan dengan referensi dokumen materi GT tentang CT.</t>
        </is>
      </c>
      <c r="F1610" t="inlineStr">
        <is>
          <t>BENAR</t>
        </is>
      </c>
      <c r="G1610" s="3" t="inlineStr">
        <is>
          <t>evaluator: ollama/llama3</t>
        </is>
      </c>
    </row>
    <row r="1611">
      <c r="A1611" t="n">
        <v>110</v>
      </c>
      <c r="B1611" t="inlineStr">
        <is>
          <t>A</t>
        </is>
      </c>
      <c r="C1611" t="inlineStr">
        <is>
          <t>Precision@K (Pers. 2)</t>
        </is>
      </c>
      <c r="D1611" s="3" t="inlineStr">
        <is>
          <t>Precision@K = |{d ∈ TopK : sim(q,d) ≥ θ}| / K</t>
        </is>
      </c>
      <c r="E1611" s="3" t="inlineStr">
        <is>
          <t>skor = [0.7739, 0.7712, 0.77, 0.768, 0.7575, 0.7541] → 6 / 6</t>
        </is>
      </c>
      <c r="F1611" t="n">
        <v>1</v>
      </c>
      <c r="G1611" s="3" t="inlineStr">
        <is>
          <t>basis: skor chunk nyata (sesuai contoh Pers. 2 skripsi)</t>
        </is>
      </c>
    </row>
    <row r="1612">
      <c r="A1612" t="n">
        <v>110</v>
      </c>
      <c r="B1612" t="inlineStr">
        <is>
          <t>A</t>
        </is>
      </c>
      <c r="C1612" t="inlineStr">
        <is>
          <t>Recall@K (Pers. 4)</t>
        </is>
      </c>
      <c r="D1612" s="3" t="inlineStr">
        <is>
          <t>Recall@K = |{kata kunci ditemukan : sim ≥ θ}| / |R|</t>
        </is>
      </c>
      <c r="E1612" s="3" t="inlineStr">
        <is>
          <t>skor = [0.5804, 0.5496, 0.4934, 0.4472, 0.4349, 0.4323] → 6 / 6</t>
        </is>
      </c>
      <c r="F1612" t="n">
        <v>1</v>
      </c>
      <c r="G1612" s="3" t="inlineStr"/>
    </row>
    <row r="1613">
      <c r="A1613" t="n">
        <v>110</v>
      </c>
      <c r="B1613" t="inlineStr">
        <is>
          <t>A</t>
        </is>
      </c>
      <c r="C1613" t="inlineStr">
        <is>
          <t>Mean Similarity (Pers. 6)</t>
        </is>
      </c>
      <c r="D1613" s="3" t="inlineStr">
        <is>
          <t>MeanSim = (1/K) × Σ sim(q, dᵢ)</t>
        </is>
      </c>
      <c r="E1613" s="3" t="inlineStr">
        <is>
          <t>skor = [0.7739, 0.7712, 0.77, 0.768, 0.7575, 0.7541] → (0.7739 + 0.7712 + 0.7700 + 0.7680 + 0.7575 + 0.7541) / 6</t>
        </is>
      </c>
      <c r="F1613" t="n">
        <v>0.7658</v>
      </c>
      <c r="G1613" s="3" t="inlineStr"/>
    </row>
    <row r="1614">
      <c r="A1614" t="n">
        <v>110</v>
      </c>
      <c r="B1614" t="inlineStr">
        <is>
          <t>A</t>
        </is>
      </c>
      <c r="C1614" t="inlineStr">
        <is>
          <t>Coverage (Pers. 8)</t>
        </is>
      </c>
      <c r="D1614" s="3" t="inlineStr">
        <is>
          <t>Coverage = |{dᵢ ∈ TopK : sim(q,dᵢ) ≥ θc}| / K</t>
        </is>
      </c>
      <c r="E1614" s="3" t="inlineStr">
        <is>
          <t>skor = [0.7739, 0.7712, 0.77, 0.768, 0.7575, 0.7541] → 6 / 6</t>
        </is>
      </c>
      <c r="F1614" t="n">
        <v>1</v>
      </c>
      <c r="G1614" s="3" t="inlineStr"/>
    </row>
    <row r="1615">
      <c r="A1615" t="n">
        <v>110</v>
      </c>
      <c r="B1615" t="inlineStr">
        <is>
          <t>A</t>
        </is>
      </c>
      <c r="C1615" t="inlineStr">
        <is>
          <t>Source Diversity (Pers. 10)</t>
        </is>
      </c>
      <c r="D1615" s="3" t="inlineStr">
        <is>
          <t>Diversity = |sumber unik dalam TopK| / K</t>
        </is>
      </c>
      <c r="E1615" s="3" t="inlineStr">
        <is>
          <t>skor = ['GT_CT01.txt', 'GT_CT03.txt', 'GT_CT09.txt', 'GT_CT13.txt', 'GT_DETAIL_PT01_Pendahuluan.txt'] → 5 / 6</t>
        </is>
      </c>
      <c r="F1615" t="n">
        <v>0.8333</v>
      </c>
      <c r="G1615" s="3" t="inlineStr">
        <is>
          <t>file unik: GT_CT01.txt, GT_CT03.txt, GT_CT09.txt, GT_CT13.txt, GT_DETAIL_PT01_Pendahuluan.txt</t>
        </is>
      </c>
    </row>
    <row r="1616">
      <c r="A1616" t="n">
        <v>110</v>
      </c>
      <c r="B1616" t="inlineStr">
        <is>
          <t>A</t>
        </is>
      </c>
      <c r="C1616" t="inlineStr">
        <is>
          <t>Faithfulness (Pers. 15)</t>
        </is>
      </c>
      <c r="D1616" s="3" t="inlineStr">
        <is>
          <t>F = 0,70×Entailment + 0,30×KWoverlap</t>
        </is>
      </c>
      <c r="E1616" s="3" t="inlineStr">
        <is>
          <t>Faithfulness = 0,70×Entailment + 0,30×KWoverlap = 0,70×0.8333 + 0,30×0.2291 = 0.6521  (entailment: 5/6 klaim didukung; KWoverlap = (|∩|/|ctx|)^0,65 = (37/357)^0,65 = 0.1036^0,65 = 0.2291)</t>
        </is>
      </c>
      <c r="F1616" t="n">
        <v>0.6521</v>
      </c>
      <c r="G1616" s="3" t="inlineStr">
        <is>
          <t>metode: llm_entailment + keyword</t>
        </is>
      </c>
    </row>
    <row r="1617">
      <c r="A1617" t="n">
        <v>110</v>
      </c>
      <c r="B1617" t="inlineStr">
        <is>
          <t>A</t>
        </is>
      </c>
      <c r="C1617" t="inlineStr">
        <is>
          <t>— Entailment (Pers. 12-13)</t>
        </is>
      </c>
      <c r="D1617" s="3" t="inlineStr">
        <is>
          <t>Entailment = Σverdict(sᵢ)/m</t>
        </is>
      </c>
      <c r="E1617" s="3" t="inlineStr">
        <is>
          <t>5 klaim YA dari 6 klaim dievaluasi</t>
        </is>
      </c>
      <c r="F1617" t="n">
        <v>0.8333</v>
      </c>
      <c r="G1617" s="3" t="inlineStr">
        <is>
          <t>verdict per klaim: sheet 'Entailment Detail'</t>
        </is>
      </c>
    </row>
    <row r="1618">
      <c r="A1618" t="n">
        <v>110</v>
      </c>
      <c r="B1618" t="inlineStr">
        <is>
          <t>A</t>
        </is>
      </c>
      <c r="C1618" t="inlineStr">
        <is>
          <t>— Keyword Overlap (Pers. 14)</t>
        </is>
      </c>
      <c r="D1618" s="3" t="inlineStr">
        <is>
          <t>KWoverlap = (|Stems(ans)∩Stems(ctx)| / |Stems(ctx)|)^0,65</t>
        </is>
      </c>
      <c r="E1618" s="3" t="inlineStr">
        <is>
          <t>KWoverlap = (|∩|/|ctx|)^0,65 = (37/357)^0,65 = 0.1036^0,65 = 0.2291</t>
        </is>
      </c>
      <c r="F1618" t="n">
        <v>0.2291</v>
      </c>
      <c r="G1618" s="3" t="inlineStr"/>
    </row>
    <row r="1619">
      <c r="A1619" t="n">
        <v>110</v>
      </c>
      <c r="B1619" t="inlineStr">
        <is>
          <t>A</t>
        </is>
      </c>
      <c r="C1619" t="inlineStr">
        <is>
          <t>Hallucination Risk (Pers. 18)</t>
        </is>
      </c>
      <c r="D1619" s="3" t="inlineStr">
        <is>
          <t>Risk = 0,65×(1-F) + 0,20×Contradiction + 0,15×Uncertainty</t>
        </is>
      </c>
      <c r="E1619" s="3" t="inlineStr">
        <is>
          <t>Risk = 0,65×OutOfContext + 0,20×Contradiction + 0,15×Uncertainty = 0,65×0.3479 + 0,20×0.0000 + 0,15×0.00 = 0.2261 [RENDAH]</t>
        </is>
      </c>
      <c r="F1619" t="n">
        <v>0.2261</v>
      </c>
      <c r="G1619" s="3" t="inlineStr">
        <is>
          <t>label: RENDAH; kontradiksi 0/16 kalimat; uncertainty flag: False</t>
        </is>
      </c>
    </row>
    <row r="1620">
      <c r="A1620" t="n">
        <v>110</v>
      </c>
      <c r="B1620" t="inlineStr">
        <is>
          <t>A</t>
        </is>
      </c>
      <c r="C1620" t="inlineStr">
        <is>
          <t>Answer Accuracy (Pers. 20)</t>
        </is>
      </c>
      <c r="D1620" s="3" t="inlineStr">
        <is>
          <t>Correctᵢ ∈ {0,1} via LLM-as-Judge (HASIL: BENAR/SALAH)</t>
        </is>
      </c>
      <c r="E1620" s="3" t="inlineStr"/>
      <c r="F1620" t="inlineStr">
        <is>
          <t>BENAR</t>
        </is>
      </c>
      <c r="G1620" s="3" t="inlineStr">
        <is>
          <t>evaluator: ollama/llama3</t>
        </is>
      </c>
    </row>
    <row r="1621">
      <c r="A1621" t="n">
        <v>110</v>
      </c>
      <c r="B1621" t="inlineStr">
        <is>
          <t>B</t>
        </is>
      </c>
      <c r="C1621" t="inlineStr">
        <is>
          <t>Faithfulness (Pers. 15)</t>
        </is>
      </c>
      <c r="D1621" s="3" t="inlineStr">
        <is>
          <t>F = 0,70×Entailment + 0,30×KWoverlap</t>
        </is>
      </c>
      <c r="E1621" s="3" t="inlineStr">
        <is>
          <t>Faithfulness = 0,70×Entailment + 0,30×KWoverlap = 0,70×1.0000 + 0,30×0.2930 = 0.7879  (entailment: 6/6 klaim didukung; KWoverlap = (|∩|/|ctx|)^0,65 = (54/357)^0,65 = 0.1513^0,65 = 0.2930)</t>
        </is>
      </c>
      <c r="F1621" t="n">
        <v>0.7879</v>
      </c>
      <c r="G1621" s="3" t="inlineStr">
        <is>
          <t>metode: llm_entailment + keyword</t>
        </is>
      </c>
    </row>
    <row r="1622">
      <c r="A1622" t="n">
        <v>110</v>
      </c>
      <c r="B1622" t="inlineStr">
        <is>
          <t>B</t>
        </is>
      </c>
      <c r="C1622" t="inlineStr">
        <is>
          <t>— Entailment (Pers. 12-13)</t>
        </is>
      </c>
      <c r="D1622" s="3" t="inlineStr">
        <is>
          <t>Entailment = Σverdict(sᵢ)/m</t>
        </is>
      </c>
      <c r="E1622" s="3" t="inlineStr">
        <is>
          <t>6 klaim YA dari 6 klaim dievaluasi</t>
        </is>
      </c>
      <c r="F1622" t="n">
        <v>1</v>
      </c>
      <c r="G1622" s="3" t="inlineStr">
        <is>
          <t>verdict per klaim: sheet 'Entailment Detail'</t>
        </is>
      </c>
    </row>
    <row r="1623">
      <c r="A1623" t="n">
        <v>110</v>
      </c>
      <c r="B1623" t="inlineStr">
        <is>
          <t>B</t>
        </is>
      </c>
      <c r="C1623" t="inlineStr">
        <is>
          <t>— Keyword Overlap (Pers. 14)</t>
        </is>
      </c>
      <c r="D1623" s="3" t="inlineStr">
        <is>
          <t>KWoverlap = (|Stems(ans)∩Stems(ctx)| / |Stems(ctx)|)^0,65</t>
        </is>
      </c>
      <c r="E1623" s="3" t="inlineStr">
        <is>
          <t>KWoverlap = (|∩|/|ctx|)^0,65 = (54/357)^0,65 = 0.1513^0,65 = 0.2930</t>
        </is>
      </c>
      <c r="F1623" t="n">
        <v>0.293</v>
      </c>
      <c r="G1623" s="3" t="inlineStr"/>
    </row>
    <row r="1624">
      <c r="A1624" t="n">
        <v>110</v>
      </c>
      <c r="B1624" t="inlineStr">
        <is>
          <t>B</t>
        </is>
      </c>
      <c r="C1624" t="inlineStr">
        <is>
          <t>Hallucination Risk (Pers. 18)</t>
        </is>
      </c>
      <c r="D1624" s="3" t="inlineStr">
        <is>
          <t>Risk = 0,65×(1-F) + 0,20×Contradiction + 0,15×Uncertainty</t>
        </is>
      </c>
      <c r="E1624" s="3" t="inlineStr">
        <is>
          <t>Risk = 0,65×OutOfContext + 0,20×Contradiction + 0,15×Uncertainty = 0,65×0.2121 + 0,20×0.0000 + 0,15×0.20 = 0.1679 [RENDAH]</t>
        </is>
      </c>
      <c r="F1624" t="n">
        <v>0.1679</v>
      </c>
      <c r="G1624" s="3" t="inlineStr">
        <is>
          <t>label: RENDAH; kontradiksi 0/90 kalimat; uncertainty flag: True</t>
        </is>
      </c>
    </row>
    <row r="1625">
      <c r="A1625" t="n">
        <v>110</v>
      </c>
      <c r="B1625" t="inlineStr">
        <is>
          <t>B</t>
        </is>
      </c>
      <c r="C1625" t="inlineStr">
        <is>
          <t>Answer Accuracy (Pers. 20)</t>
        </is>
      </c>
      <c r="D1625" s="3" t="inlineStr">
        <is>
          <t>Correctᵢ ∈ {0,1} via LLM-as-Judge (HASIL: BENAR/SALAH)</t>
        </is>
      </c>
      <c r="E1625" s="3" t="inlineStr"/>
      <c r="F1625" t="inlineStr">
        <is>
          <t>BENAR</t>
        </is>
      </c>
      <c r="G1625" s="3" t="inlineStr">
        <is>
          <t>evaluator: ollama/llama3</t>
        </is>
      </c>
    </row>
    <row r="1626">
      <c r="A1626" t="n">
        <v>111</v>
      </c>
      <c r="B1626" t="inlineStr">
        <is>
          <t>A</t>
        </is>
      </c>
      <c r="C1626" t="inlineStr">
        <is>
          <t>Precision@K (Pers. 2)</t>
        </is>
      </c>
      <c r="D1626" s="3" t="inlineStr">
        <is>
          <t>Precision@K = |{d ∈ TopK : sim(q,d) ≥ θ}| / K</t>
        </is>
      </c>
      <c r="E1626" s="3" t="inlineStr">
        <is>
          <t>skor = [0.7211, 0.7173, 0.7144, 0.7105, 0.7079, 0.7055] → 6 / 6</t>
        </is>
      </c>
      <c r="F1626" t="n">
        <v>1</v>
      </c>
      <c r="G1626" s="3" t="inlineStr">
        <is>
          <t>basis: skor chunk nyata (sesuai contoh Pers. 2 skripsi)</t>
        </is>
      </c>
    </row>
    <row r="1627">
      <c r="A1627" t="n">
        <v>111</v>
      </c>
      <c r="B1627" t="inlineStr">
        <is>
          <t>A</t>
        </is>
      </c>
      <c r="C1627" t="inlineStr">
        <is>
          <t>Recall@K (Pers. 4)</t>
        </is>
      </c>
      <c r="D1627" s="3" t="inlineStr">
        <is>
          <t>Recall@K = |{kata kunci ditemukan : sim ≥ θ}| / |R|</t>
        </is>
      </c>
      <c r="E1627" s="3" t="inlineStr">
        <is>
          <t>skor = [0.6481, 0.5309, 0.5238, 0.5125, 0.4562, 0.4107] → 6 / 6</t>
        </is>
      </c>
      <c r="F1627" t="n">
        <v>1</v>
      </c>
      <c r="G1627" s="3" t="inlineStr"/>
    </row>
    <row r="1628">
      <c r="A1628" t="n">
        <v>111</v>
      </c>
      <c r="B1628" t="inlineStr">
        <is>
          <t>A</t>
        </is>
      </c>
      <c r="C1628" t="inlineStr">
        <is>
          <t>Mean Similarity (Pers. 6)</t>
        </is>
      </c>
      <c r="D1628" s="3" t="inlineStr">
        <is>
          <t>MeanSim = (1/K) × Σ sim(q, dᵢ)</t>
        </is>
      </c>
      <c r="E1628" s="3" t="inlineStr">
        <is>
          <t>skor = [0.7211, 0.7173, 0.7144, 0.7105, 0.7079, 0.7055] → (0.7211 + 0.7173 + 0.7144 + 0.7105 + 0.7079 + 0.7055) / 6</t>
        </is>
      </c>
      <c r="F1628" t="n">
        <v>0.7128</v>
      </c>
      <c r="G1628" s="3" t="inlineStr"/>
    </row>
    <row r="1629">
      <c r="A1629" t="n">
        <v>111</v>
      </c>
      <c r="B1629" t="inlineStr">
        <is>
          <t>A</t>
        </is>
      </c>
      <c r="C1629" t="inlineStr">
        <is>
          <t>Coverage (Pers. 8)</t>
        </is>
      </c>
      <c r="D1629" s="3" t="inlineStr">
        <is>
          <t>Coverage = |{dᵢ ∈ TopK : sim(q,dᵢ) ≥ θc}| / K</t>
        </is>
      </c>
      <c r="E1629" s="3" t="inlineStr">
        <is>
          <t>skor = [0.7211, 0.7173, 0.7144, 0.7105, 0.7079, 0.7055] → 6 / 6</t>
        </is>
      </c>
      <c r="F1629" t="n">
        <v>1</v>
      </c>
      <c r="G1629" s="3" t="inlineStr"/>
    </row>
    <row r="1630">
      <c r="A1630" t="n">
        <v>111</v>
      </c>
      <c r="B1630" t="inlineStr">
        <is>
          <t>A</t>
        </is>
      </c>
      <c r="C1630" t="inlineStr">
        <is>
          <t>Source Diversity (Pers. 10)</t>
        </is>
      </c>
      <c r="D1630" s="3" t="inlineStr">
        <is>
          <t>Diversity = |sumber unik dalam TopK| / K</t>
        </is>
      </c>
      <c r="E1630" s="3" t="inlineStr">
        <is>
          <t>skor = ['5PGI.txt', '5TGI.txt', '6TAI.txt', 'GT_CT01.txt', 'GT_CT05.txt', 'GT_DETAIL_PT01_Pendahuluan.txt'] → 6 / 6</t>
        </is>
      </c>
      <c r="F1630" t="n">
        <v>1</v>
      </c>
      <c r="G1630" s="3" t="inlineStr">
        <is>
          <t>file unik: 5PGI.txt, 5TGI.txt, 6TAI.txt, GT_CT01.txt, GT_CT05.txt, GT_DETAIL_PT01_Pendahuluan.txt</t>
        </is>
      </c>
    </row>
    <row r="1631">
      <c r="A1631" t="n">
        <v>111</v>
      </c>
      <c r="B1631" t="inlineStr">
        <is>
          <t>A</t>
        </is>
      </c>
      <c r="C1631" t="inlineStr">
        <is>
          <t>Faithfulness (Pers. 15)</t>
        </is>
      </c>
      <c r="D1631" s="3" t="inlineStr">
        <is>
          <t>F = 0,70×Entailment + 0,30×KWoverlap</t>
        </is>
      </c>
      <c r="E1631" s="3" t="inlineStr">
        <is>
          <t>Faithfulness = 0,70×Entailment + 0,30×KWoverlap = 0,70×1.0000 + 0,30×0.2224 = 0.7667  (entailment: 6/6 klaim didukung; KWoverlap = (|∩|/|ctx|)^0,65 = (20/202)^0,65 = 0.0990^0,65 = 0.2224)</t>
        </is>
      </c>
      <c r="F1631" t="n">
        <v>0.7667</v>
      </c>
      <c r="G1631" s="3" t="inlineStr">
        <is>
          <t>metode: llm_entailment + keyword</t>
        </is>
      </c>
    </row>
    <row r="1632">
      <c r="A1632" t="n">
        <v>111</v>
      </c>
      <c r="B1632" t="inlineStr">
        <is>
          <t>A</t>
        </is>
      </c>
      <c r="C1632" t="inlineStr">
        <is>
          <t>— Entailment (Pers. 12-13)</t>
        </is>
      </c>
      <c r="D1632" s="3" t="inlineStr">
        <is>
          <t>Entailment = Σverdict(sᵢ)/m</t>
        </is>
      </c>
      <c r="E1632" s="3" t="inlineStr">
        <is>
          <t>6 klaim YA dari 6 klaim dievaluasi</t>
        </is>
      </c>
      <c r="F1632" t="n">
        <v>1</v>
      </c>
      <c r="G1632" s="3" t="inlineStr">
        <is>
          <t>verdict per klaim: sheet 'Entailment Detail'</t>
        </is>
      </c>
    </row>
    <row r="1633">
      <c r="A1633" t="n">
        <v>111</v>
      </c>
      <c r="B1633" t="inlineStr">
        <is>
          <t>A</t>
        </is>
      </c>
      <c r="C1633" t="inlineStr">
        <is>
          <t>— Keyword Overlap (Pers. 14)</t>
        </is>
      </c>
      <c r="D1633" s="3" t="inlineStr">
        <is>
          <t>KWoverlap = (|Stems(ans)∩Stems(ctx)| / |Stems(ctx)|)^0,65</t>
        </is>
      </c>
      <c r="E1633" s="3" t="inlineStr">
        <is>
          <t>KWoverlap = (|∩|/|ctx|)^0,65 = (20/202)^0,65 = 0.0990^0,65 = 0.2224</t>
        </is>
      </c>
      <c r="F1633" t="n">
        <v>0.2224</v>
      </c>
      <c r="G1633" s="3" t="inlineStr"/>
    </row>
    <row r="1634">
      <c r="A1634" t="n">
        <v>111</v>
      </c>
      <c r="B1634" t="inlineStr">
        <is>
          <t>A</t>
        </is>
      </c>
      <c r="C1634" t="inlineStr">
        <is>
          <t>Hallucination Risk (Pers. 18)</t>
        </is>
      </c>
      <c r="D1634" s="3" t="inlineStr">
        <is>
          <t>Risk = 0,65×(1-F) + 0,20×Contradiction + 0,15×Uncertainty</t>
        </is>
      </c>
      <c r="E1634" s="3" t="inlineStr">
        <is>
          <t>Risk = 0,65×OutOfContext + 0,20×Contradiction + 0,15×Uncertainty = 0,65×0.2333 + 0,20×0.0000 + 0,15×0.00 = 0.1516 [RENDAH]</t>
        </is>
      </c>
      <c r="F1634" t="n">
        <v>0.1516</v>
      </c>
      <c r="G1634" s="3" t="inlineStr">
        <is>
          <t>label: RENDAH; kontradiksi 0/10 kalimat; uncertainty flag: False</t>
        </is>
      </c>
    </row>
    <row r="1635">
      <c r="A1635" t="n">
        <v>111</v>
      </c>
      <c r="B1635" t="inlineStr">
        <is>
          <t>A</t>
        </is>
      </c>
      <c r="C1635" t="inlineStr">
        <is>
          <t>Answer Accuracy (Pers. 20)</t>
        </is>
      </c>
      <c r="D1635" s="3" t="inlineStr">
        <is>
          <t>Correctᵢ ∈ {0,1} via LLM-as-Judge (HASIL: BENAR/SALAH)</t>
        </is>
      </c>
      <c r="E1635" s="3" t="inlineStr">
        <is>
          <t>BENAR
Jawaban sistem membandingkan aktivitas "mengelompokkan soal-soal serupa sebelum mengerjakan" dengan konsep Pattern Recognition (PR) dalam AADP, yang sesuai dengan referensi dokumen materi GT tentang keterkaitan.</t>
        </is>
      </c>
      <c r="F1635" t="inlineStr">
        <is>
          <t>BENAR</t>
        </is>
      </c>
      <c r="G1635" s="3" t="inlineStr">
        <is>
          <t>evaluator: ollama/llama3</t>
        </is>
      </c>
    </row>
    <row r="1636">
      <c r="A1636" t="n">
        <v>111</v>
      </c>
      <c r="B1636" t="inlineStr">
        <is>
          <t>B</t>
        </is>
      </c>
      <c r="C1636" t="inlineStr">
        <is>
          <t>Faithfulness (Pers. 15)</t>
        </is>
      </c>
      <c r="D1636" s="3" t="inlineStr">
        <is>
          <t>F = 0,70×Entailment + 0,30×KWoverlap</t>
        </is>
      </c>
      <c r="E1636" s="3" t="inlineStr">
        <is>
          <t>Faithfulness = 0,70×Entailment + 0,30×KWoverlap = 0,70×0.6667 + 0,30×0.2504 = 0.5418  (entailment: 4/6 klaim didukung; KWoverlap = (|∩|/|ctx|)^0,65 = (24/202)^0,65 = 0.1188^0,65 = 0.2504)</t>
        </is>
      </c>
      <c r="F1636" t="n">
        <v>0.5417999999999999</v>
      </c>
      <c r="G1636" s="3" t="inlineStr">
        <is>
          <t>metode: llm_entailment + keyword</t>
        </is>
      </c>
    </row>
    <row r="1637">
      <c r="A1637" t="n">
        <v>111</v>
      </c>
      <c r="B1637" t="inlineStr">
        <is>
          <t>B</t>
        </is>
      </c>
      <c r="C1637" t="inlineStr">
        <is>
          <t>— Entailment (Pers. 12-13)</t>
        </is>
      </c>
      <c r="D1637" s="3" t="inlineStr">
        <is>
          <t>Entailment = Σverdict(sᵢ)/m</t>
        </is>
      </c>
      <c r="E1637" s="3" t="inlineStr">
        <is>
          <t>4 klaim YA dari 6 klaim dievaluasi</t>
        </is>
      </c>
      <c r="F1637" t="n">
        <v>0.6667</v>
      </c>
      <c r="G1637" s="3" t="inlineStr">
        <is>
          <t>verdict per klaim: sheet 'Entailment Detail'</t>
        </is>
      </c>
    </row>
    <row r="1638">
      <c r="A1638" t="n">
        <v>111</v>
      </c>
      <c r="B1638" t="inlineStr">
        <is>
          <t>B</t>
        </is>
      </c>
      <c r="C1638" t="inlineStr">
        <is>
          <t>— Keyword Overlap (Pers. 14)</t>
        </is>
      </c>
      <c r="D1638" s="3" t="inlineStr">
        <is>
          <t>KWoverlap = (|Stems(ans)∩Stems(ctx)| / |Stems(ctx)|)^0,65</t>
        </is>
      </c>
      <c r="E1638" s="3" t="inlineStr">
        <is>
          <t>KWoverlap = (|∩|/|ctx|)^0,65 = (24/202)^0,65 = 0.1188^0,65 = 0.2504</t>
        </is>
      </c>
      <c r="F1638" t="n">
        <v>0.2504</v>
      </c>
      <c r="G1638" s="3" t="inlineStr"/>
    </row>
    <row r="1639">
      <c r="A1639" t="n">
        <v>111</v>
      </c>
      <c r="B1639" t="inlineStr">
        <is>
          <t>B</t>
        </is>
      </c>
      <c r="C1639" t="inlineStr">
        <is>
          <t>Hallucination Risk (Pers. 18)</t>
        </is>
      </c>
      <c r="D1639" s="3" t="inlineStr">
        <is>
          <t>Risk = 0,65×(1-F) + 0,20×Contradiction + 0,15×Uncertainty</t>
        </is>
      </c>
      <c r="E1639" s="3" t="inlineStr">
        <is>
          <t>Risk = 0,65×OutOfContext + 0,20×Contradiction + 0,15×Uncertainty = 0,65×0.4582 + 0,20×0.0000 + 0,15×0.00 = 0.2978 [RENDAH]</t>
        </is>
      </c>
      <c r="F1639" t="n">
        <v>0.2978</v>
      </c>
      <c r="G1639" s="3" t="inlineStr">
        <is>
          <t>label: RENDAH; kontradiksi 0/10 kalimat; uncertainty flag: False</t>
        </is>
      </c>
    </row>
    <row r="1640">
      <c r="A1640" t="n">
        <v>111</v>
      </c>
      <c r="B1640" t="inlineStr">
        <is>
          <t>B</t>
        </is>
      </c>
      <c r="C1640" t="inlineStr">
        <is>
          <t>Answer Accuracy (Pers. 20)</t>
        </is>
      </c>
      <c r="D1640" s="3" t="inlineStr">
        <is>
          <t>Correctᵢ ∈ {0,1} via LLM-as-Judge (HASIL: BENAR/SALAH)</t>
        </is>
      </c>
      <c r="E1640" s="3" t="inlineStr">
        <is>
          <t>Menurut referensi, jawaban sistem dapat dianggap sebagai benar karena:
* AADP (Abstraksi, Analisis, Desain, dan Pengembangan) adalah framework untuk mengklasifikasikan aktivitas atau proses berpikir.
* Abstraksi dalam AADP melibatkan ekstrak unsur-unsur penting dari informasi yang diberikan dan menggabungkan menjadi konsep atau ide yang lebih umum.
* Pattern Recognition (Pengenalan Pola) dalam AA</t>
        </is>
      </c>
      <c r="F1640" t="inlineStr">
        <is>
          <t>BENAR</t>
        </is>
      </c>
      <c r="G1640" s="3" t="inlineStr">
        <is>
          <t>evaluator: ollama/llama3</t>
        </is>
      </c>
    </row>
    <row r="1641">
      <c r="A1641" t="n">
        <v>112</v>
      </c>
      <c r="B1641" t="inlineStr">
        <is>
          <t>A</t>
        </is>
      </c>
      <c r="C1641" t="inlineStr">
        <is>
          <t>Precision@K (Pers. 2)</t>
        </is>
      </c>
      <c r="D1641" s="3" t="inlineStr">
        <is>
          <t>Precision@K = |{d ∈ TopK : sim(q,d) ≥ θ}| / K</t>
        </is>
      </c>
      <c r="E1641" s="3" t="inlineStr">
        <is>
          <t>skor = [0.7669, 0.7668, 0.746, 0.7381, 0.737, 0.733] → 6 / 6</t>
        </is>
      </c>
      <c r="F1641" t="n">
        <v>1</v>
      </c>
      <c r="G1641" s="3" t="inlineStr">
        <is>
          <t>basis: skor chunk nyata (sesuai contoh Pers. 2 skripsi)</t>
        </is>
      </c>
    </row>
    <row r="1642">
      <c r="A1642" t="n">
        <v>112</v>
      </c>
      <c r="B1642" t="inlineStr">
        <is>
          <t>A</t>
        </is>
      </c>
      <c r="C1642" t="inlineStr">
        <is>
          <t>Recall@K (Pers. 4)</t>
        </is>
      </c>
      <c r="D1642" s="3" t="inlineStr">
        <is>
          <t>Recall@K = |{kata kunci ditemukan : sim ≥ θ}| / |R|</t>
        </is>
      </c>
      <c r="E1642" s="3" t="inlineStr">
        <is>
          <t>skor = [0.6773, 0.6042, 0.5132, 0.4792, 0.4712, 0.4322] → 6 / 6</t>
        </is>
      </c>
      <c r="F1642" t="n">
        <v>1</v>
      </c>
      <c r="G1642" s="3" t="inlineStr"/>
    </row>
    <row r="1643">
      <c r="A1643" t="n">
        <v>112</v>
      </c>
      <c r="B1643" t="inlineStr">
        <is>
          <t>A</t>
        </is>
      </c>
      <c r="C1643" t="inlineStr">
        <is>
          <t>Mean Similarity (Pers. 6)</t>
        </is>
      </c>
      <c r="D1643" s="3" t="inlineStr">
        <is>
          <t>MeanSim = (1/K) × Σ sim(q, dᵢ)</t>
        </is>
      </c>
      <c r="E1643" s="3" t="inlineStr">
        <is>
          <t>skor = [0.7669, 0.7668, 0.746, 0.7381, 0.737, 0.733] → (0.7669 + 0.7668 + 0.7460 + 0.7381 + 0.7370 + 0.7330) / 6</t>
        </is>
      </c>
      <c r="F1643" t="n">
        <v>0.748</v>
      </c>
      <c r="G1643" s="3" t="inlineStr"/>
    </row>
    <row r="1644">
      <c r="A1644" t="n">
        <v>112</v>
      </c>
      <c r="B1644" t="inlineStr">
        <is>
          <t>A</t>
        </is>
      </c>
      <c r="C1644" t="inlineStr">
        <is>
          <t>Coverage (Pers. 8)</t>
        </is>
      </c>
      <c r="D1644" s="3" t="inlineStr">
        <is>
          <t>Coverage = |{dᵢ ∈ TopK : sim(q,dᵢ) ≥ θc}| / K</t>
        </is>
      </c>
      <c r="E1644" s="3" t="inlineStr">
        <is>
          <t>skor = [0.7669, 0.7668, 0.746, 0.7381, 0.737, 0.733] → 6 / 6</t>
        </is>
      </c>
      <c r="F1644" t="n">
        <v>1</v>
      </c>
      <c r="G1644" s="3" t="inlineStr"/>
    </row>
    <row r="1645">
      <c r="A1645" t="n">
        <v>112</v>
      </c>
      <c r="B1645" t="inlineStr">
        <is>
          <t>A</t>
        </is>
      </c>
      <c r="C1645" t="inlineStr">
        <is>
          <t>Source Diversity (Pers. 10)</t>
        </is>
      </c>
      <c r="D1645" s="3" t="inlineStr">
        <is>
          <t>Diversity = |sumber unik dalam TopK| / K</t>
        </is>
      </c>
      <c r="E1645" s="3" t="inlineStr">
        <is>
          <t>skor = ['GT_CT01.txt', 'GT_CT03.txt', 'GT_CT06.txt', 'GT_DETAIL_PT01_Pendahuluan.txt', 'GT_DETAIL_PT03_Dekomposisi.txt', 'GT_SUBTOPIK_01_Dekomposisi_Optimasi.txt'] → 6 / 6</t>
        </is>
      </c>
      <c r="F1645" t="n">
        <v>1</v>
      </c>
      <c r="G1645" s="3" t="inlineStr">
        <is>
          <t>file unik: GT_CT01.txt, GT_CT03.txt, GT_CT06.txt, GT_DETAIL_PT01_Pendahuluan.txt, GT_DETAIL_PT03_Dekomposisi.txt, GT_SUBTOPIK_01_Dekomposisi_Optimasi.txt</t>
        </is>
      </c>
    </row>
    <row r="1646">
      <c r="A1646" t="n">
        <v>112</v>
      </c>
      <c r="B1646" t="inlineStr">
        <is>
          <t>A</t>
        </is>
      </c>
      <c r="C1646" t="inlineStr">
        <is>
          <t>Faithfulness (Pers. 15)</t>
        </is>
      </c>
      <c r="D1646" s="3" t="inlineStr">
        <is>
          <t>F = 0,70×Entailment + 0,30×KWoverlap</t>
        </is>
      </c>
      <c r="E1646" s="3" t="inlineStr">
        <is>
          <t>Faithfulness = 0,70×Entailment + 0,30×KWoverlap = 0,70×1.0000 + 0,30×0.2069 = 0.7621  (entailment: 6/6 klaim didukung; KWoverlap = (|∩|/|ctx|)^0,65 = (28/316)^0,65 = 0.0886^0,65 = 0.2069)</t>
        </is>
      </c>
      <c r="F1646" t="n">
        <v>0.7621</v>
      </c>
      <c r="G1646" s="3" t="inlineStr">
        <is>
          <t>metode: llm_entailment + keyword</t>
        </is>
      </c>
    </row>
    <row r="1647">
      <c r="A1647" t="n">
        <v>112</v>
      </c>
      <c r="B1647" t="inlineStr">
        <is>
          <t>A</t>
        </is>
      </c>
      <c r="C1647" t="inlineStr">
        <is>
          <t>— Entailment (Pers. 12-13)</t>
        </is>
      </c>
      <c r="D1647" s="3" t="inlineStr">
        <is>
          <t>Entailment = Σverdict(sᵢ)/m</t>
        </is>
      </c>
      <c r="E1647" s="3" t="inlineStr">
        <is>
          <t>6 klaim YA dari 6 klaim dievaluasi</t>
        </is>
      </c>
      <c r="F1647" t="n">
        <v>1</v>
      </c>
      <c r="G1647" s="3" t="inlineStr">
        <is>
          <t>verdict per klaim: sheet 'Entailment Detail'</t>
        </is>
      </c>
    </row>
    <row r="1648">
      <c r="A1648" t="n">
        <v>112</v>
      </c>
      <c r="B1648" t="inlineStr">
        <is>
          <t>A</t>
        </is>
      </c>
      <c r="C1648" t="inlineStr">
        <is>
          <t>— Keyword Overlap (Pers. 14)</t>
        </is>
      </c>
      <c r="D1648" s="3" t="inlineStr">
        <is>
          <t>KWoverlap = (|Stems(ans)∩Stems(ctx)| / |Stems(ctx)|)^0,65</t>
        </is>
      </c>
      <c r="E1648" s="3" t="inlineStr">
        <is>
          <t>KWoverlap = (|∩|/|ctx|)^0,65 = (28/316)^0,65 = 0.0886^0,65 = 0.2069</t>
        </is>
      </c>
      <c r="F1648" t="n">
        <v>0.2069</v>
      </c>
      <c r="G1648" s="3" t="inlineStr"/>
    </row>
    <row r="1649">
      <c r="A1649" t="n">
        <v>112</v>
      </c>
      <c r="B1649" t="inlineStr">
        <is>
          <t>A</t>
        </is>
      </c>
      <c r="C1649" t="inlineStr">
        <is>
          <t>Hallucination Risk (Pers. 18)</t>
        </is>
      </c>
      <c r="D1649" s="3" t="inlineStr">
        <is>
          <t>Risk = 0,65×(1-F) + 0,20×Contradiction + 0,15×Uncertainty</t>
        </is>
      </c>
      <c r="E1649" s="3" t="inlineStr">
        <is>
          <t>Risk = 0,65×OutOfContext + 0,20×Contradiction + 0,15×Uncertainty = 0,65×0.2379 + 0,20×0.0000 + 0,15×0.00 = 0.1546 [RENDAH]</t>
        </is>
      </c>
      <c r="F1649" t="n">
        <v>0.1546</v>
      </c>
      <c r="G1649" s="3" t="inlineStr">
        <is>
          <t>label: RENDAH; kontradiksi 0/9 kalimat; uncertainty flag: False</t>
        </is>
      </c>
    </row>
    <row r="1650">
      <c r="A1650" t="n">
        <v>112</v>
      </c>
      <c r="B1650" t="inlineStr">
        <is>
          <t>A</t>
        </is>
      </c>
      <c r="C1650" t="inlineStr">
        <is>
          <t>Answer Accuracy (Pers. 20)</t>
        </is>
      </c>
      <c r="D1650" s="3" t="inlineStr">
        <is>
          <t>Correctᵢ ∈ {0,1} via LLM-as-Judge (HASIL: BENAR/SALAH)</t>
        </is>
      </c>
      <c r="E1650" s="3" t="inlineStr">
        <is>
          <t>Jawaban sistem:</t>
        </is>
      </c>
      <c r="F1650" t="inlineStr">
        <is>
          <t>BENAR</t>
        </is>
      </c>
      <c r="G1650" s="3" t="inlineStr">
        <is>
          <t>evaluator: ollama/llama3</t>
        </is>
      </c>
    </row>
    <row r="1651">
      <c r="A1651" t="n">
        <v>112</v>
      </c>
      <c r="B1651" t="inlineStr">
        <is>
          <t>B</t>
        </is>
      </c>
      <c r="C1651" t="inlineStr">
        <is>
          <t>Faithfulness (Pers. 15)</t>
        </is>
      </c>
      <c r="D1651" s="3" t="inlineStr">
        <is>
          <t>F = 0,70×Entailment + 0,30×KWoverlap</t>
        </is>
      </c>
      <c r="E1651" s="3" t="inlineStr">
        <is>
          <t>Faithfulness = 0,70×Entailment + 0,30×KWoverlap = 0,70×1.0000 + 0,30×0.2069 = 0.7621  (entailment: 6/6 klaim didukung; KWoverlap = (|∩|/|ctx|)^0,65 = (28/316)^0,65 = 0.0886^0,65 = 0.2069)</t>
        </is>
      </c>
      <c r="F1651" t="n">
        <v>0.7621</v>
      </c>
      <c r="G1651" s="3" t="inlineStr">
        <is>
          <t>metode: llm_entailment + keyword</t>
        </is>
      </c>
    </row>
    <row r="1652">
      <c r="A1652" t="n">
        <v>112</v>
      </c>
      <c r="B1652" t="inlineStr">
        <is>
          <t>B</t>
        </is>
      </c>
      <c r="C1652" t="inlineStr">
        <is>
          <t>— Entailment (Pers. 12-13)</t>
        </is>
      </c>
      <c r="D1652" s="3" t="inlineStr">
        <is>
          <t>Entailment = Σverdict(sᵢ)/m</t>
        </is>
      </c>
      <c r="E1652" s="3" t="inlineStr">
        <is>
          <t>6 klaim YA dari 6 klaim dievaluasi</t>
        </is>
      </c>
      <c r="F1652" t="n">
        <v>1</v>
      </c>
      <c r="G1652" s="3" t="inlineStr">
        <is>
          <t>verdict per klaim: sheet 'Entailment Detail'</t>
        </is>
      </c>
    </row>
    <row r="1653">
      <c r="A1653" t="n">
        <v>112</v>
      </c>
      <c r="B1653" t="inlineStr">
        <is>
          <t>B</t>
        </is>
      </c>
      <c r="C1653" t="inlineStr">
        <is>
          <t>— Keyword Overlap (Pers. 14)</t>
        </is>
      </c>
      <c r="D1653" s="3" t="inlineStr">
        <is>
          <t>KWoverlap = (|Stems(ans)∩Stems(ctx)| / |Stems(ctx)|)^0,65</t>
        </is>
      </c>
      <c r="E1653" s="3" t="inlineStr">
        <is>
          <t>KWoverlap = (|∩|/|ctx|)^0,65 = (28/316)^0,65 = 0.0886^0,65 = 0.2069</t>
        </is>
      </c>
      <c r="F1653" t="n">
        <v>0.2069</v>
      </c>
      <c r="G1653" s="3" t="inlineStr"/>
    </row>
    <row r="1654">
      <c r="A1654" t="n">
        <v>112</v>
      </c>
      <c r="B1654" t="inlineStr">
        <is>
          <t>B</t>
        </is>
      </c>
      <c r="C1654" t="inlineStr">
        <is>
          <t>Hallucination Risk (Pers. 18)</t>
        </is>
      </c>
      <c r="D1654" s="3" t="inlineStr">
        <is>
          <t>Risk = 0,65×(1-F) + 0,20×Contradiction + 0,15×Uncertainty</t>
        </is>
      </c>
      <c r="E1654" s="3" t="inlineStr">
        <is>
          <t>Risk = 0,65×OutOfContext + 0,20×Contradiction + 0,15×Uncertainty = 0,65×0.2379 + 0,20×0.0000 + 0,15×0.00 = 0.1546 [RENDAH]</t>
        </is>
      </c>
      <c r="F1654" t="n">
        <v>0.1546</v>
      </c>
      <c r="G1654" s="3" t="inlineStr">
        <is>
          <t>label: RENDAH; kontradiksi 0/14 kalimat; uncertainty flag: False</t>
        </is>
      </c>
    </row>
    <row r="1655">
      <c r="A1655" t="n">
        <v>113</v>
      </c>
      <c r="B1655" t="inlineStr">
        <is>
          <t>A</t>
        </is>
      </c>
      <c r="C1655" t="inlineStr">
        <is>
          <t>Precision@K (Pers. 2)</t>
        </is>
      </c>
      <c r="D1655" s="3" t="inlineStr">
        <is>
          <t>Precision@K = |{d ∈ TopK : sim(q,d) ≥ θ}| / K</t>
        </is>
      </c>
      <c r="E1655" s="3" t="inlineStr">
        <is>
          <t>skor = [0.7081, 0.7066, 0.7049, 0.6991, 0.6986, 0.6952] → 6 / 6</t>
        </is>
      </c>
      <c r="F1655" t="n">
        <v>1</v>
      </c>
      <c r="G1655" s="3" t="inlineStr">
        <is>
          <t>basis: skor chunk nyata (sesuai contoh Pers. 2 skripsi)</t>
        </is>
      </c>
    </row>
    <row r="1656">
      <c r="A1656" t="n">
        <v>113</v>
      </c>
      <c r="B1656" t="inlineStr">
        <is>
          <t>A</t>
        </is>
      </c>
      <c r="C1656" t="inlineStr">
        <is>
          <t>Recall@K (Pers. 4)</t>
        </is>
      </c>
      <c r="D1656" s="3" t="inlineStr">
        <is>
          <t>Recall@K = |{kata kunci ditemukan : sim ≥ θ}| / |R|</t>
        </is>
      </c>
      <c r="E1656" s="3" t="inlineStr">
        <is>
          <t>skor = [0.6854, 0.6611, 0.5145, 0.4381, 0.4378, 0.3226] → 6 / 6</t>
        </is>
      </c>
      <c r="F1656" t="n">
        <v>1</v>
      </c>
      <c r="G1656" s="3" t="inlineStr"/>
    </row>
    <row r="1657">
      <c r="A1657" t="n">
        <v>113</v>
      </c>
      <c r="B1657" t="inlineStr">
        <is>
          <t>A</t>
        </is>
      </c>
      <c r="C1657" t="inlineStr">
        <is>
          <t>Mean Similarity (Pers. 6)</t>
        </is>
      </c>
      <c r="D1657" s="3" t="inlineStr">
        <is>
          <t>MeanSim = (1/K) × Σ sim(q, dᵢ)</t>
        </is>
      </c>
      <c r="E1657" s="3" t="inlineStr">
        <is>
          <t>skor = [0.7081, 0.7066, 0.7049, 0.6991, 0.6986, 0.6952] → (0.7081 + 0.7066 + 0.7049 + 0.6991 + 0.6986 + 0.6952) / 6</t>
        </is>
      </c>
      <c r="F1657" t="n">
        <v>0.7020999999999999</v>
      </c>
      <c r="G1657" s="3" t="inlineStr"/>
    </row>
    <row r="1658">
      <c r="A1658" t="n">
        <v>113</v>
      </c>
      <c r="B1658" t="inlineStr">
        <is>
          <t>A</t>
        </is>
      </c>
      <c r="C1658" t="inlineStr">
        <is>
          <t>Coverage (Pers. 8)</t>
        </is>
      </c>
      <c r="D1658" s="3" t="inlineStr">
        <is>
          <t>Coverage = |{dᵢ ∈ TopK : sim(q,dᵢ) ≥ θc}| / K</t>
        </is>
      </c>
      <c r="E1658" s="3" t="inlineStr">
        <is>
          <t>skor = [0.7081, 0.7066, 0.7049, 0.6991, 0.6986, 0.6952] → 6 / 6</t>
        </is>
      </c>
      <c r="F1658" t="n">
        <v>1</v>
      </c>
      <c r="G1658" s="3" t="inlineStr"/>
    </row>
    <row r="1659">
      <c r="A1659" t="n">
        <v>113</v>
      </c>
      <c r="B1659" t="inlineStr">
        <is>
          <t>A</t>
        </is>
      </c>
      <c r="C1659" t="inlineStr">
        <is>
          <t>Source Diversity (Pers. 10)</t>
        </is>
      </c>
      <c r="D1659" s="3" t="inlineStr">
        <is>
          <t>Diversity = |sumber unik dalam TopK| / K</t>
        </is>
      </c>
      <c r="E1659" s="3" t="inlineStr">
        <is>
          <t>skor = ['GT_CT01.txt', 'GT_CT06.txt', 'GT_DETAIL_PT01_Pendahuluan.txt', 'GT_DETAIL_PT02_ICT_Literacy_Ethics.txt', 'GT_SUBTOPIK_02_Abstraksi_Formulasi.txt'] → 5 / 6</t>
        </is>
      </c>
      <c r="F1659" t="n">
        <v>0.8333</v>
      </c>
      <c r="G1659" s="3" t="inlineStr">
        <is>
          <t>file unik: GT_CT01.txt, GT_CT06.txt, GT_DETAIL_PT01_Pendahuluan.txt, GT_DETAIL_PT02_ICT_Literacy_Ethics.txt, GT_SUBTOPIK_02_Abstraksi_Formulasi.txt</t>
        </is>
      </c>
    </row>
    <row r="1660">
      <c r="A1660" t="n">
        <v>113</v>
      </c>
      <c r="B1660" t="inlineStr">
        <is>
          <t>A</t>
        </is>
      </c>
      <c r="C1660" t="inlineStr">
        <is>
          <t>Faithfulness (Pers. 15)</t>
        </is>
      </c>
      <c r="D1660" s="3" t="inlineStr">
        <is>
          <t>F = 0,70×Entailment + 0,30×KWoverlap</t>
        </is>
      </c>
      <c r="E1660" s="3" t="inlineStr">
        <is>
          <t>Faithfulness = 0,70×Entailment + 0,30×KWoverlap = 0,70×1.0000 + 0,30×0.2661 = 0.7798  (entailment: 6/6 klaim didukung; KWoverlap = (|∩|/|ctx|)^0,65 = (51/391)^0,65 = 0.1304^0,65 = 0.2661)</t>
        </is>
      </c>
      <c r="F1660" t="n">
        <v>0.7798</v>
      </c>
      <c r="G1660" s="3" t="inlineStr">
        <is>
          <t>metode: llm_entailment + keyword</t>
        </is>
      </c>
    </row>
    <row r="1661">
      <c r="A1661" t="n">
        <v>113</v>
      </c>
      <c r="B1661" t="inlineStr">
        <is>
          <t>A</t>
        </is>
      </c>
      <c r="C1661" t="inlineStr">
        <is>
          <t>— Entailment (Pers. 12-13)</t>
        </is>
      </c>
      <c r="D1661" s="3" t="inlineStr">
        <is>
          <t>Entailment = Σverdict(sᵢ)/m</t>
        </is>
      </c>
      <c r="E1661" s="3" t="inlineStr">
        <is>
          <t>6 klaim YA dari 6 klaim dievaluasi</t>
        </is>
      </c>
      <c r="F1661" t="n">
        <v>1</v>
      </c>
      <c r="G1661" s="3" t="inlineStr">
        <is>
          <t>verdict per klaim: sheet 'Entailment Detail'</t>
        </is>
      </c>
    </row>
    <row r="1662">
      <c r="A1662" t="n">
        <v>113</v>
      </c>
      <c r="B1662" t="inlineStr">
        <is>
          <t>A</t>
        </is>
      </c>
      <c r="C1662" t="inlineStr">
        <is>
          <t>— Keyword Overlap (Pers. 14)</t>
        </is>
      </c>
      <c r="D1662" s="3" t="inlineStr">
        <is>
          <t>KWoverlap = (|Stems(ans)∩Stems(ctx)| / |Stems(ctx)|)^0,65</t>
        </is>
      </c>
      <c r="E1662" s="3" t="inlineStr">
        <is>
          <t>KWoverlap = (|∩|/|ctx|)^0,65 = (51/391)^0,65 = 0.1304^0,65 = 0.2661</t>
        </is>
      </c>
      <c r="F1662" t="n">
        <v>0.2661</v>
      </c>
      <c r="G1662" s="3" t="inlineStr"/>
    </row>
    <row r="1663">
      <c r="A1663" t="n">
        <v>113</v>
      </c>
      <c r="B1663" t="inlineStr">
        <is>
          <t>A</t>
        </is>
      </c>
      <c r="C1663" t="inlineStr">
        <is>
          <t>Hallucination Risk (Pers. 18)</t>
        </is>
      </c>
      <c r="D1663" s="3" t="inlineStr">
        <is>
          <t>Risk = 0,65×(1-F) + 0,20×Contradiction + 0,15×Uncertainty</t>
        </is>
      </c>
      <c r="E1663" s="3" t="inlineStr">
        <is>
          <t>Risk = 0,65×OutOfContext + 0,20×Contradiction + 0,15×Uncertainty = 0,65×0.2202 + 0,20×0.0000 + 0,15×0.00 = 0.1431 [RENDAH]</t>
        </is>
      </c>
      <c r="F1663" t="n">
        <v>0.1431</v>
      </c>
      <c r="G1663" s="3" t="inlineStr">
        <is>
          <t>label: RENDAH; kontradiksi 0/10 kalimat; uncertainty flag: False</t>
        </is>
      </c>
    </row>
    <row r="1664">
      <c r="A1664" t="n">
        <v>113</v>
      </c>
      <c r="B1664" t="inlineStr">
        <is>
          <t>B</t>
        </is>
      </c>
      <c r="C1664" t="inlineStr">
        <is>
          <t>Faithfulness (Pers. 15)</t>
        </is>
      </c>
      <c r="D1664" s="3" t="inlineStr">
        <is>
          <t>F = 0,70×Entailment + 0,30×KWoverlap</t>
        </is>
      </c>
      <c r="E1664" s="3" t="inlineStr">
        <is>
          <t>Faithfulness = 0,70×Entailment + 0,30×KWoverlap = 0,70×0.8333 + 0,30×0.2417 = 0.6558  (entailment: 5/6 klaim didukung; KWoverlap = (|∩|/|ctx|)^0,65 = (44/391)^0,65 = 0.1125^0,65 = 0.2417)</t>
        </is>
      </c>
      <c r="F1664" t="n">
        <v>0.6558</v>
      </c>
      <c r="G1664" s="3" t="inlineStr">
        <is>
          <t>metode: llm_entailment + keyword</t>
        </is>
      </c>
    </row>
    <row r="1665">
      <c r="A1665" t="n">
        <v>113</v>
      </c>
      <c r="B1665" t="inlineStr">
        <is>
          <t>B</t>
        </is>
      </c>
      <c r="C1665" t="inlineStr">
        <is>
          <t>— Entailment (Pers. 12-13)</t>
        </is>
      </c>
      <c r="D1665" s="3" t="inlineStr">
        <is>
          <t>Entailment = Σverdict(sᵢ)/m</t>
        </is>
      </c>
      <c r="E1665" s="3" t="inlineStr">
        <is>
          <t>5 klaim YA dari 6 klaim dievaluasi</t>
        </is>
      </c>
      <c r="F1665" t="n">
        <v>0.8333</v>
      </c>
      <c r="G1665" s="3" t="inlineStr">
        <is>
          <t>verdict per klaim: sheet 'Entailment Detail'</t>
        </is>
      </c>
    </row>
    <row r="1666">
      <c r="A1666" t="n">
        <v>113</v>
      </c>
      <c r="B1666" t="inlineStr">
        <is>
          <t>B</t>
        </is>
      </c>
      <c r="C1666" t="inlineStr">
        <is>
          <t>— Keyword Overlap (Pers. 14)</t>
        </is>
      </c>
      <c r="D1666" s="3" t="inlineStr">
        <is>
          <t>KWoverlap = (|Stems(ans)∩Stems(ctx)| / |Stems(ctx)|)^0,65</t>
        </is>
      </c>
      <c r="E1666" s="3" t="inlineStr">
        <is>
          <t>KWoverlap = (|∩|/|ctx|)^0,65 = (44/391)^0,65 = 0.1125^0,65 = 0.2417</t>
        </is>
      </c>
      <c r="F1666" t="n">
        <v>0.2417</v>
      </c>
      <c r="G1666" s="3" t="inlineStr"/>
    </row>
    <row r="1667">
      <c r="A1667" t="n">
        <v>113</v>
      </c>
      <c r="B1667" t="inlineStr">
        <is>
          <t>B</t>
        </is>
      </c>
      <c r="C1667" t="inlineStr">
        <is>
          <t>Hallucination Risk (Pers. 18)</t>
        </is>
      </c>
      <c r="D1667" s="3" t="inlineStr">
        <is>
          <t>Risk = 0,65×(1-F) + 0,20×Contradiction + 0,15×Uncertainty</t>
        </is>
      </c>
      <c r="E1667" s="3" t="inlineStr">
        <is>
          <t>Risk = 0,65×OutOfContext + 0,20×Contradiction + 0,15×Uncertainty = 0,65×0.3442 + 0,20×0.0000 + 0,15×0.00 = 0.2237 [RENDAH]</t>
        </is>
      </c>
      <c r="F1667" t="n">
        <v>0.2237</v>
      </c>
      <c r="G1667" s="3" t="inlineStr">
        <is>
          <t>label: RENDAH; kontradiksi 0/17 kalimat; uncertainty flag: False</t>
        </is>
      </c>
    </row>
    <row r="1668">
      <c r="A1668" t="n">
        <v>113</v>
      </c>
      <c r="B1668" t="inlineStr">
        <is>
          <t>B</t>
        </is>
      </c>
      <c r="C1668" t="inlineStr">
        <is>
          <t>Answer Accuracy (Pers. 20)</t>
        </is>
      </c>
      <c r="D1668" s="3" t="inlineStr">
        <is>
          <t>Correctᵢ ∈ {0,1} via LLM-as-Judge (HASIL: BENAR/SALAH)</t>
        </is>
      </c>
      <c r="E1668" s="3" t="inlineStr">
        <is>
          <t>YES, the system's answer is correct based on the reference.
The system correctly answered that IPB uses "unplugged activities" in some Computer Science (CT) courses to teach technology concepts without using computers or software. The system also provided a concrete example of an unplugged activity, namely the "Sorting Game", which can be used to teach algorithms.
The system's answer matches the</t>
        </is>
      </c>
      <c r="F1668" t="inlineStr">
        <is>
          <t>BENAR</t>
        </is>
      </c>
      <c r="G1668" s="3" t="inlineStr">
        <is>
          <t>evaluator: ollama/llama3</t>
        </is>
      </c>
    </row>
    <row r="1669">
      <c r="A1669" t="n">
        <v>114</v>
      </c>
      <c r="B1669" t="inlineStr">
        <is>
          <t>A</t>
        </is>
      </c>
      <c r="C1669" t="inlineStr">
        <is>
          <t>Precision@K (Pers. 2)</t>
        </is>
      </c>
      <c r="D1669" s="3" t="inlineStr">
        <is>
          <t>Precision@K = |{d ∈ TopK : sim(q,d) ≥ θ}| / K</t>
        </is>
      </c>
      <c r="E1669" s="3" t="inlineStr">
        <is>
          <t>skor = [0.777, 0.7438, 0.7406, 0.7284, 0.7264, 0.7237] → 6 / 6</t>
        </is>
      </c>
      <c r="F1669" t="n">
        <v>1</v>
      </c>
      <c r="G1669" s="3" t="inlineStr">
        <is>
          <t>basis: skor chunk nyata (sesuai contoh Pers. 2 skripsi)</t>
        </is>
      </c>
    </row>
    <row r="1670">
      <c r="A1670" t="n">
        <v>114</v>
      </c>
      <c r="B1670" t="inlineStr">
        <is>
          <t>A</t>
        </is>
      </c>
      <c r="C1670" t="inlineStr">
        <is>
          <t>Recall@K (Pers. 4)</t>
        </is>
      </c>
      <c r="D1670" s="3" t="inlineStr">
        <is>
          <t>Recall@K = |{kata kunci ditemukan : sim ≥ θ}| / |R|</t>
        </is>
      </c>
      <c r="E1670" s="3" t="inlineStr">
        <is>
          <t>skor = [0.6045, 0.5462, 0.5448, 0.4498, 0.4296, 0.4055] → 6 / 6</t>
        </is>
      </c>
      <c r="F1670" t="n">
        <v>1</v>
      </c>
      <c r="G1670" s="3" t="inlineStr"/>
    </row>
    <row r="1671">
      <c r="A1671" t="n">
        <v>114</v>
      </c>
      <c r="B1671" t="inlineStr">
        <is>
          <t>A</t>
        </is>
      </c>
      <c r="C1671" t="inlineStr">
        <is>
          <t>Mean Similarity (Pers. 6)</t>
        </is>
      </c>
      <c r="D1671" s="3" t="inlineStr">
        <is>
          <t>MeanSim = (1/K) × Σ sim(q, dᵢ)</t>
        </is>
      </c>
      <c r="E1671" s="3" t="inlineStr">
        <is>
          <t>skor = [0.777, 0.7438, 0.7406, 0.7284, 0.7264, 0.7237] → (0.7770 + 0.7438 + 0.7406 + 0.7284 + 0.7264 + 0.7237) / 6</t>
        </is>
      </c>
      <c r="F1671" t="n">
        <v>0.74</v>
      </c>
      <c r="G1671" s="3" t="inlineStr"/>
    </row>
    <row r="1672">
      <c r="A1672" t="n">
        <v>114</v>
      </c>
      <c r="B1672" t="inlineStr">
        <is>
          <t>A</t>
        </is>
      </c>
      <c r="C1672" t="inlineStr">
        <is>
          <t>Coverage (Pers. 8)</t>
        </is>
      </c>
      <c r="D1672" s="3" t="inlineStr">
        <is>
          <t>Coverage = |{dᵢ ∈ TopK : sim(q,dᵢ) ≥ θc}| / K</t>
        </is>
      </c>
      <c r="E1672" s="3" t="inlineStr">
        <is>
          <t>skor = [0.777, 0.7438, 0.7406, 0.7284, 0.7264, 0.7237] → 6 / 6</t>
        </is>
      </c>
      <c r="F1672" t="n">
        <v>1</v>
      </c>
      <c r="G1672" s="3" t="inlineStr"/>
    </row>
    <row r="1673">
      <c r="A1673" t="n">
        <v>114</v>
      </c>
      <c r="B1673" t="inlineStr">
        <is>
          <t>A</t>
        </is>
      </c>
      <c r="C1673" t="inlineStr">
        <is>
          <t>Source Diversity (Pers. 10)</t>
        </is>
      </c>
      <c r="D1673" s="3" t="inlineStr">
        <is>
          <t>Diversity = |sumber unik dalam TopK| / K</t>
        </is>
      </c>
      <c r="E1673" s="3" t="inlineStr">
        <is>
          <t>skor = ['5PAI.txt', 'GT_CT01.txt', 'GT_CT02.txt', 'GT_DETAIL_PT01_Pendahuluan.txt', 'GT_SUBTOPIK_02_Abstraksi_Formulasi.txt'] → 5 / 6</t>
        </is>
      </c>
      <c r="F1673" t="n">
        <v>0.8333</v>
      </c>
      <c r="G1673" s="3" t="inlineStr">
        <is>
          <t>file unik: 5PAI.txt, GT_CT01.txt, GT_CT02.txt, GT_DETAIL_PT01_Pendahuluan.txt, GT_SUBTOPIK_02_Abstraksi_Formulasi.txt</t>
        </is>
      </c>
    </row>
    <row r="1674">
      <c r="A1674" t="n">
        <v>114</v>
      </c>
      <c r="B1674" t="inlineStr">
        <is>
          <t>A</t>
        </is>
      </c>
      <c r="C1674" t="inlineStr">
        <is>
          <t>Faithfulness (Pers. 15)</t>
        </is>
      </c>
      <c r="D1674" s="3" t="inlineStr">
        <is>
          <t>F = 0,70×Entailment + 0,30×KWoverlap</t>
        </is>
      </c>
      <c r="E1674" s="3" t="inlineStr">
        <is>
          <t>Faithfulness = 0,70×Entailment + 0,30×KWoverlap = 0,70×1.0000 + 0,30×0.2249 = 0.7675  (entailment: 6/6 klaim didukung; KWoverlap = (|∩|/|ctx|)^0,65 = (28/278)^0,65 = 0.1007^0,65 = 0.2249)</t>
        </is>
      </c>
      <c r="F1674" t="n">
        <v>0.7675</v>
      </c>
      <c r="G1674" s="3" t="inlineStr">
        <is>
          <t>metode: llm_entailment + keyword</t>
        </is>
      </c>
    </row>
    <row r="1675">
      <c r="A1675" t="n">
        <v>114</v>
      </c>
      <c r="B1675" t="inlineStr">
        <is>
          <t>A</t>
        </is>
      </c>
      <c r="C1675" t="inlineStr">
        <is>
          <t>— Entailment (Pers. 12-13)</t>
        </is>
      </c>
      <c r="D1675" s="3" t="inlineStr">
        <is>
          <t>Entailment = Σverdict(sᵢ)/m</t>
        </is>
      </c>
      <c r="E1675" s="3" t="inlineStr">
        <is>
          <t>6 klaim YA dari 6 klaim dievaluasi</t>
        </is>
      </c>
      <c r="F1675" t="n">
        <v>1</v>
      </c>
      <c r="G1675" s="3" t="inlineStr">
        <is>
          <t>verdict per klaim: sheet 'Entailment Detail'</t>
        </is>
      </c>
    </row>
    <row r="1676">
      <c r="A1676" t="n">
        <v>114</v>
      </c>
      <c r="B1676" t="inlineStr">
        <is>
          <t>A</t>
        </is>
      </c>
      <c r="C1676" t="inlineStr">
        <is>
          <t>— Keyword Overlap (Pers. 14)</t>
        </is>
      </c>
      <c r="D1676" s="3" t="inlineStr">
        <is>
          <t>KWoverlap = (|Stems(ans)∩Stems(ctx)| / |Stems(ctx)|)^0,65</t>
        </is>
      </c>
      <c r="E1676" s="3" t="inlineStr">
        <is>
          <t>KWoverlap = (|∩|/|ctx|)^0,65 = (28/278)^0,65 = 0.1007^0,65 = 0.2249</t>
        </is>
      </c>
      <c r="F1676" t="n">
        <v>0.2249</v>
      </c>
      <c r="G1676" s="3" t="inlineStr"/>
    </row>
    <row r="1677">
      <c r="A1677" t="n">
        <v>114</v>
      </c>
      <c r="B1677" t="inlineStr">
        <is>
          <t>A</t>
        </is>
      </c>
      <c r="C1677" t="inlineStr">
        <is>
          <t>Hallucination Risk (Pers. 18)</t>
        </is>
      </c>
      <c r="D1677" s="3" t="inlineStr">
        <is>
          <t>Risk = 0,65×(1-F) + 0,20×Contradiction + 0,15×Uncertainty</t>
        </is>
      </c>
      <c r="E1677" s="3" t="inlineStr">
        <is>
          <t>Risk = 0,65×OutOfContext + 0,20×Contradiction + 0,15×Uncertainty = 0,65×0.2325 + 0,20×0.0000 + 0,15×0.00 = 0.1511 [RENDAH]</t>
        </is>
      </c>
      <c r="F1677" t="n">
        <v>0.1511</v>
      </c>
      <c r="G1677" s="3" t="inlineStr">
        <is>
          <t>label: RENDAH; kontradiksi 0/11 kalimat; uncertainty flag: False</t>
        </is>
      </c>
    </row>
    <row r="1678">
      <c r="A1678" t="n">
        <v>114</v>
      </c>
      <c r="B1678" t="inlineStr">
        <is>
          <t>A</t>
        </is>
      </c>
      <c r="C1678" t="inlineStr">
        <is>
          <t>Answer Accuracy (Pers. 20)</t>
        </is>
      </c>
      <c r="D1678" s="3" t="inlineStr">
        <is>
          <t>Correctᵢ ∈ {0,1} via LLM-as-Judge (HASIL: BENAR/SALAH)</t>
        </is>
      </c>
      <c r="E1678" s="3" t="inlineStr">
        <is>
          <t>BENAR.
Jawaban sistem telah menjawab pertanyaan dengan benar berdasarkan referensi, karena jawaban tersebut:
1. Mengidentifikasi unsur-unsur yang terkait dengan masalah penjadwalan kuliah (analisis)
2. Mengidentifikasi komponen-komponen yang paling penting dalam masalah (abstraksi)
Jawaban sistem juga berfokus pada konsep dasar penjadwalan, seperti scheduling algorithm dan constraints, yang ses</t>
        </is>
      </c>
      <c r="F1678" t="inlineStr">
        <is>
          <t>BENAR</t>
        </is>
      </c>
      <c r="G1678" s="3" t="inlineStr">
        <is>
          <t>evaluator: ollama/llama3</t>
        </is>
      </c>
    </row>
    <row r="1679">
      <c r="A1679" t="n">
        <v>114</v>
      </c>
      <c r="B1679" t="inlineStr">
        <is>
          <t>B</t>
        </is>
      </c>
      <c r="C1679" t="inlineStr">
        <is>
          <t>Faithfulness (Pers. 15)</t>
        </is>
      </c>
      <c r="D1679" s="3" t="inlineStr">
        <is>
          <t>F = 0,70×Entailment + 0,30×KWoverlap</t>
        </is>
      </c>
      <c r="E1679" s="3" t="inlineStr">
        <is>
          <t>Faithfulness = 0,70×Entailment + 0,30×KWoverlap = 0,70×1.0000 + 0,30×0.2453 = 0.7736  (entailment: 6/6 klaim didukung; KWoverlap = (|∩|/|ctx|)^0,65 = (32/278)^0,65 = 0.1151^0,65 = 0.2453)</t>
        </is>
      </c>
      <c r="F1679" t="n">
        <v>0.7736</v>
      </c>
      <c r="G1679" s="3" t="inlineStr">
        <is>
          <t>metode: llm_entailment + keyword</t>
        </is>
      </c>
    </row>
    <row r="1680">
      <c r="A1680" t="n">
        <v>114</v>
      </c>
      <c r="B1680" t="inlineStr">
        <is>
          <t>B</t>
        </is>
      </c>
      <c r="C1680" t="inlineStr">
        <is>
          <t>— Entailment (Pers. 12-13)</t>
        </is>
      </c>
      <c r="D1680" s="3" t="inlineStr">
        <is>
          <t>Entailment = Σverdict(sᵢ)/m</t>
        </is>
      </c>
      <c r="E1680" s="3" t="inlineStr">
        <is>
          <t>6 klaim YA dari 6 klaim dievaluasi</t>
        </is>
      </c>
      <c r="F1680" t="n">
        <v>1</v>
      </c>
      <c r="G1680" s="3" t="inlineStr">
        <is>
          <t>verdict per klaim: sheet 'Entailment Detail'</t>
        </is>
      </c>
    </row>
    <row r="1681">
      <c r="A1681" t="n">
        <v>114</v>
      </c>
      <c r="B1681" t="inlineStr">
        <is>
          <t>B</t>
        </is>
      </c>
      <c r="C1681" t="inlineStr">
        <is>
          <t>— Keyword Overlap (Pers. 14)</t>
        </is>
      </c>
      <c r="D1681" s="3" t="inlineStr">
        <is>
          <t>KWoverlap = (|Stems(ans)∩Stems(ctx)| / |Stems(ctx)|)^0,65</t>
        </is>
      </c>
      <c r="E1681" s="3" t="inlineStr">
        <is>
          <t>KWoverlap = (|∩|/|ctx|)^0,65 = (32/278)^0,65 = 0.1151^0,65 = 0.2453</t>
        </is>
      </c>
      <c r="F1681" t="n">
        <v>0.2453</v>
      </c>
      <c r="G1681" s="3" t="inlineStr"/>
    </row>
    <row r="1682">
      <c r="A1682" t="n">
        <v>114</v>
      </c>
      <c r="B1682" t="inlineStr">
        <is>
          <t>B</t>
        </is>
      </c>
      <c r="C1682" t="inlineStr">
        <is>
          <t>Hallucination Risk (Pers. 18)</t>
        </is>
      </c>
      <c r="D1682" s="3" t="inlineStr">
        <is>
          <t>Risk = 0,65×(1-F) + 0,20×Contradiction + 0,15×Uncertainty</t>
        </is>
      </c>
      <c r="E1682" s="3" t="inlineStr">
        <is>
          <t>Risk = 0,65×OutOfContext + 0,20×Contradiction + 0,15×Uncertainty = 0,65×0.2264 + 0,20×0.0000 + 0,15×0.00 = 0.1472 [RENDAH]</t>
        </is>
      </c>
      <c r="F1682" t="n">
        <v>0.1472</v>
      </c>
      <c r="G1682" s="3" t="inlineStr">
        <is>
          <t>label: RENDAH; kontradiksi 0/29 kalimat; uncertainty flag: False</t>
        </is>
      </c>
    </row>
    <row r="1683">
      <c r="A1683" t="n">
        <v>114</v>
      </c>
      <c r="B1683" t="inlineStr">
        <is>
          <t>B</t>
        </is>
      </c>
      <c r="C1683" t="inlineStr">
        <is>
          <t>Answer Accuracy (Pers. 20)</t>
        </is>
      </c>
      <c r="D1683" s="3" t="inlineStr">
        <is>
          <t>Correctᵢ ∈ {0,1} via LLM-as-Judge (HASIL: BENAR/SALAH)</t>
        </is>
      </c>
      <c r="E1683" s="3" t="inlineStr">
        <is>
          <t>Menurut referensi, jawaban sistem adalah BENAR.
Alasan:
1. Jawaban sistem memulai dengan mengidentifikasi konteks masalah (Contextualize), yaitu menentukan apa yang ingin dicapai dengan solusi penjadwalan kuliah.
2. Selanjutnya, jawaban sistem definisikan tujuan, yaitu mencari solusi yang paling efisien dan efektif untuk penjadwalan kuliah.
Keduanya adalah bagian dari keempat pilar CT (Contextu</t>
        </is>
      </c>
      <c r="F1683" t="inlineStr">
        <is>
          <t>BENAR</t>
        </is>
      </c>
      <c r="G1683" s="3" t="inlineStr">
        <is>
          <t>evaluator: ollama/llama3</t>
        </is>
      </c>
    </row>
    <row r="1684">
      <c r="A1684" t="n">
        <v>115</v>
      </c>
      <c r="B1684" t="inlineStr">
        <is>
          <t>A</t>
        </is>
      </c>
      <c r="C1684" t="inlineStr">
        <is>
          <t>Precision@K (Pers. 2)</t>
        </is>
      </c>
      <c r="D1684" s="3" t="inlineStr">
        <is>
          <t>Precision@K = |{d ∈ TopK : sim(q,d) ≥ θ}| / K</t>
        </is>
      </c>
      <c r="E1684" s="3" t="inlineStr">
        <is>
          <t>skor = [0.7663, 0.7443, 0.7395, 0.7351, 0.7321, 0.7277] → 6 / 6</t>
        </is>
      </c>
      <c r="F1684" t="n">
        <v>1</v>
      </c>
      <c r="G1684" s="3" t="inlineStr">
        <is>
          <t>basis: skor chunk nyata (sesuai contoh Pers. 2 skripsi)</t>
        </is>
      </c>
    </row>
    <row r="1685">
      <c r="A1685" t="n">
        <v>115</v>
      </c>
      <c r="B1685" t="inlineStr">
        <is>
          <t>A</t>
        </is>
      </c>
      <c r="C1685" t="inlineStr">
        <is>
          <t>Recall@K (Pers. 4)</t>
        </is>
      </c>
      <c r="D1685" s="3" t="inlineStr">
        <is>
          <t>Recall@K = |{kata kunci ditemukan : sim ≥ θ}| / |R|</t>
        </is>
      </c>
      <c r="E1685" s="3" t="inlineStr">
        <is>
          <t>skor = [0.7738, 0.4951, 0.4919, 0.4512, 0.4365, 0.4244] → 6 / 6</t>
        </is>
      </c>
      <c r="F1685" t="n">
        <v>1</v>
      </c>
      <c r="G1685" s="3" t="inlineStr"/>
    </row>
    <row r="1686">
      <c r="A1686" t="n">
        <v>115</v>
      </c>
      <c r="B1686" t="inlineStr">
        <is>
          <t>A</t>
        </is>
      </c>
      <c r="C1686" t="inlineStr">
        <is>
          <t>Mean Similarity (Pers. 6)</t>
        </is>
      </c>
      <c r="D1686" s="3" t="inlineStr">
        <is>
          <t>MeanSim = (1/K) × Σ sim(q, dᵢ)</t>
        </is>
      </c>
      <c r="E1686" s="3" t="inlineStr">
        <is>
          <t>skor = [0.7663, 0.7443, 0.7395, 0.7351, 0.7321, 0.7277] → (0.7663 + 0.7443 + 0.7395 + 0.7351 + 0.7321 + 0.7277) / 6</t>
        </is>
      </c>
      <c r="F1686" t="n">
        <v>0.7408</v>
      </c>
      <c r="G1686" s="3" t="inlineStr"/>
    </row>
    <row r="1687">
      <c r="A1687" t="n">
        <v>115</v>
      </c>
      <c r="B1687" t="inlineStr">
        <is>
          <t>A</t>
        </is>
      </c>
      <c r="C1687" t="inlineStr">
        <is>
          <t>Coverage (Pers. 8)</t>
        </is>
      </c>
      <c r="D1687" s="3" t="inlineStr">
        <is>
          <t>Coverage = |{dᵢ ∈ TopK : sim(q,dᵢ) ≥ θc}| / K</t>
        </is>
      </c>
      <c r="E1687" s="3" t="inlineStr">
        <is>
          <t>skor = [0.7663, 0.7443, 0.7395, 0.7351, 0.7321, 0.7277] → 6 / 6</t>
        </is>
      </c>
      <c r="F1687" t="n">
        <v>1</v>
      </c>
      <c r="G1687" s="3" t="inlineStr"/>
    </row>
    <row r="1688">
      <c r="A1688" t="n">
        <v>115</v>
      </c>
      <c r="B1688" t="inlineStr">
        <is>
          <t>A</t>
        </is>
      </c>
      <c r="C1688" t="inlineStr">
        <is>
          <t>Source Diversity (Pers. 10)</t>
        </is>
      </c>
      <c r="D1688" s="3" t="inlineStr">
        <is>
          <t>Diversity = |sumber unik dalam TopK| / K</t>
        </is>
      </c>
      <c r="E1688" s="3" t="inlineStr">
        <is>
          <t>skor = ['GT_CT01.txt', 'GT_DETAIL_PT01_Pendahuluan.txt', 'GT_SUBTOPIK_02_Abstraksi_Formulasi.txt'] → 3 / 6</t>
        </is>
      </c>
      <c r="F1688" t="n">
        <v>0.5</v>
      </c>
      <c r="G1688" s="3" t="inlineStr">
        <is>
          <t>file unik: GT_CT01.txt, GT_DETAIL_PT01_Pendahuluan.txt, GT_SUBTOPIK_02_Abstraksi_Formulasi.txt</t>
        </is>
      </c>
    </row>
    <row r="1689">
      <c r="A1689" t="n">
        <v>115</v>
      </c>
      <c r="B1689" t="inlineStr">
        <is>
          <t>A</t>
        </is>
      </c>
      <c r="C1689" t="inlineStr">
        <is>
          <t>Faithfulness (Pers. 15)</t>
        </is>
      </c>
      <c r="D1689" s="3" t="inlineStr">
        <is>
          <t>F = 0,70×Entailment + 0,30×KWoverlap</t>
        </is>
      </c>
      <c r="E1689" s="3" t="inlineStr">
        <is>
          <t>Faithfulness = 0,70×Entailment + 0,30×KWoverlap = 0,70×1.0000 + 0,30×0.2536 = 0.7761  (entailment: 6/6 klaim didukung; KWoverlap = (|∩|/|ctx|)^0,65 = (43/355)^0,65 = 0.1211^0,65 = 0.2536)</t>
        </is>
      </c>
      <c r="F1689" t="n">
        <v>0.7761</v>
      </c>
      <c r="G1689" s="3" t="inlineStr">
        <is>
          <t>metode: llm_entailment + keyword</t>
        </is>
      </c>
    </row>
    <row r="1690">
      <c r="A1690" t="n">
        <v>115</v>
      </c>
      <c r="B1690" t="inlineStr">
        <is>
          <t>A</t>
        </is>
      </c>
      <c r="C1690" t="inlineStr">
        <is>
          <t>— Entailment (Pers. 12-13)</t>
        </is>
      </c>
      <c r="D1690" s="3" t="inlineStr">
        <is>
          <t>Entailment = Σverdict(sᵢ)/m</t>
        </is>
      </c>
      <c r="E1690" s="3" t="inlineStr">
        <is>
          <t>6 klaim YA dari 6 klaim dievaluasi</t>
        </is>
      </c>
      <c r="F1690" t="n">
        <v>1</v>
      </c>
      <c r="G1690" s="3" t="inlineStr">
        <is>
          <t>verdict per klaim: sheet 'Entailment Detail'</t>
        </is>
      </c>
    </row>
    <row r="1691">
      <c r="A1691" t="n">
        <v>115</v>
      </c>
      <c r="B1691" t="inlineStr">
        <is>
          <t>A</t>
        </is>
      </c>
      <c r="C1691" t="inlineStr">
        <is>
          <t>— Keyword Overlap (Pers. 14)</t>
        </is>
      </c>
      <c r="D1691" s="3" t="inlineStr">
        <is>
          <t>KWoverlap = (|Stems(ans)∩Stems(ctx)| / |Stems(ctx)|)^0,65</t>
        </is>
      </c>
      <c r="E1691" s="3" t="inlineStr">
        <is>
          <t>KWoverlap = (|∩|/|ctx|)^0,65 = (43/355)^0,65 = 0.1211^0,65 = 0.2536</t>
        </is>
      </c>
      <c r="F1691" t="n">
        <v>0.2536</v>
      </c>
      <c r="G1691" s="3" t="inlineStr"/>
    </row>
    <row r="1692">
      <c r="A1692" t="n">
        <v>115</v>
      </c>
      <c r="B1692" t="inlineStr">
        <is>
          <t>A</t>
        </is>
      </c>
      <c r="C1692" t="inlineStr">
        <is>
          <t>Hallucination Risk (Pers. 18)</t>
        </is>
      </c>
      <c r="D1692" s="3" t="inlineStr">
        <is>
          <t>Risk = 0,65×(1-F) + 0,20×Contradiction + 0,15×Uncertainty</t>
        </is>
      </c>
      <c r="E1692" s="3" t="inlineStr">
        <is>
          <t>Risk = 0,65×OutOfContext + 0,20×Contradiction + 0,15×Uncertainty = 0,65×0.2239 + 0,20×0.0000 + 0,15×0.00 = 0.1455 [RENDAH]</t>
        </is>
      </c>
      <c r="F1692" t="n">
        <v>0.1455</v>
      </c>
      <c r="G1692" s="3" t="inlineStr">
        <is>
          <t>label: RENDAH; kontradiksi 0/9 kalimat; uncertainty flag: False</t>
        </is>
      </c>
    </row>
    <row r="1693">
      <c r="A1693" t="n">
        <v>115</v>
      </c>
      <c r="B1693" t="inlineStr">
        <is>
          <t>A</t>
        </is>
      </c>
      <c r="C1693" t="inlineStr">
        <is>
          <t>Answer Accuracy (Pers. 20)</t>
        </is>
      </c>
      <c r="D1693" s="3" t="inlineStr">
        <is>
          <t>Correctᵢ ∈ {0,1} via LLM-as-Judge (HASIL: BENAR/SALAH)</t>
        </is>
      </c>
      <c r="E1693" s="3" t="inlineStr">
        <is>
          <t>Jawaban sistem:</t>
        </is>
      </c>
      <c r="F1693" t="inlineStr">
        <is>
          <t>BENAR</t>
        </is>
      </c>
      <c r="G1693" s="3" t="inlineStr">
        <is>
          <t>evaluator: ollama/llama3</t>
        </is>
      </c>
    </row>
    <row r="1694">
      <c r="A1694" t="n">
        <v>115</v>
      </c>
      <c r="B1694" t="inlineStr">
        <is>
          <t>B</t>
        </is>
      </c>
      <c r="C1694" t="inlineStr">
        <is>
          <t>Faithfulness (Pers. 15)</t>
        </is>
      </c>
      <c r="D1694" s="3" t="inlineStr">
        <is>
          <t>F = 0,70×Entailment + 0,30×KWoverlap</t>
        </is>
      </c>
      <c r="E1694" s="3" t="inlineStr">
        <is>
          <t>Faithfulness = 0,70×Entailment + 0,30×KWoverlap = 0,70×0.8333 + 0,30×0.1736 = 0.6354  (entailment: 5/6 klaim didukung; KWoverlap = (|∩|/|ctx|)^0,65 = (24/355)^0,65 = 0.0676^0,65 = 0.1736)</t>
        </is>
      </c>
      <c r="F1694" t="n">
        <v>0.6354</v>
      </c>
      <c r="G1694" s="3" t="inlineStr">
        <is>
          <t>metode: llm_entailment + keyword</t>
        </is>
      </c>
    </row>
    <row r="1695">
      <c r="A1695" t="n">
        <v>115</v>
      </c>
      <c r="B1695" t="inlineStr">
        <is>
          <t>B</t>
        </is>
      </c>
      <c r="C1695" t="inlineStr">
        <is>
          <t>— Entailment (Pers. 12-13)</t>
        </is>
      </c>
      <c r="D1695" s="3" t="inlineStr">
        <is>
          <t>Entailment = Σverdict(sᵢ)/m</t>
        </is>
      </c>
      <c r="E1695" s="3" t="inlineStr">
        <is>
          <t>5 klaim YA dari 6 klaim dievaluasi</t>
        </is>
      </c>
      <c r="F1695" t="n">
        <v>0.8333</v>
      </c>
      <c r="G1695" s="3" t="inlineStr">
        <is>
          <t>verdict per klaim: sheet 'Entailment Detail'</t>
        </is>
      </c>
    </row>
    <row r="1696">
      <c r="A1696" t="n">
        <v>115</v>
      </c>
      <c r="B1696" t="inlineStr">
        <is>
          <t>B</t>
        </is>
      </c>
      <c r="C1696" t="inlineStr">
        <is>
          <t>— Keyword Overlap (Pers. 14)</t>
        </is>
      </c>
      <c r="D1696" s="3" t="inlineStr">
        <is>
          <t>KWoverlap = (|Stems(ans)∩Stems(ctx)| / |Stems(ctx)|)^0,65</t>
        </is>
      </c>
      <c r="E1696" s="3" t="inlineStr">
        <is>
          <t>KWoverlap = (|∩|/|ctx|)^0,65 = (24/355)^0,65 = 0.0676^0,65 = 0.1736</t>
        </is>
      </c>
      <c r="F1696" t="n">
        <v>0.1736</v>
      </c>
      <c r="G1696" s="3" t="inlineStr"/>
    </row>
    <row r="1697">
      <c r="A1697" t="n">
        <v>115</v>
      </c>
      <c r="B1697" t="inlineStr">
        <is>
          <t>B</t>
        </is>
      </c>
      <c r="C1697" t="inlineStr">
        <is>
          <t>Hallucination Risk (Pers. 18)</t>
        </is>
      </c>
      <c r="D1697" s="3" t="inlineStr">
        <is>
          <t>Risk = 0,65×(1-F) + 0,20×Contradiction + 0,15×Uncertainty</t>
        </is>
      </c>
      <c r="E1697" s="3" t="inlineStr">
        <is>
          <t>Risk = 0,65×OutOfContext + 0,20×Contradiction + 0,15×Uncertainty = 0,65×0.3646 + 0,20×0.0000 + 0,15×0.00 = 0.2370 [RENDAH]</t>
        </is>
      </c>
      <c r="F1697" t="n">
        <v>0.237</v>
      </c>
      <c r="G1697" s="3" t="inlineStr">
        <is>
          <t>label: RENDAH; kontradiksi 0/21 kalimat; uncertainty flag: False</t>
        </is>
      </c>
    </row>
    <row r="1698">
      <c r="A1698" t="n">
        <v>115</v>
      </c>
      <c r="B1698" t="inlineStr">
        <is>
          <t>B</t>
        </is>
      </c>
      <c r="C1698" t="inlineStr">
        <is>
          <t>Answer Accuracy (Pers. 20)</t>
        </is>
      </c>
      <c r="D1698" s="3" t="inlineStr">
        <is>
          <t>Correctᵢ ∈ {0,1} via LLM-as-Judge (HASIL: BENAR/SALAH)</t>
        </is>
      </c>
      <c r="E1698" s="3" t="inlineStr">
        <is>
          <t>BENAR</t>
        </is>
      </c>
      <c r="F1698" t="inlineStr">
        <is>
          <t>BENAR</t>
        </is>
      </c>
      <c r="G1698" s="3" t="inlineStr">
        <is>
          <t>evaluator: ollama/llama3</t>
        </is>
      </c>
    </row>
    <row r="1699">
      <c r="A1699" t="n">
        <v>116</v>
      </c>
      <c r="B1699" t="inlineStr">
        <is>
          <t>A</t>
        </is>
      </c>
      <c r="C1699" t="inlineStr">
        <is>
          <t>Precision@K (Pers. 2)</t>
        </is>
      </c>
      <c r="D1699" s="3" t="inlineStr">
        <is>
          <t>Precision@K = |{d ∈ TopK : sim(q,d) ≥ θ}| / K</t>
        </is>
      </c>
      <c r="E1699" s="3" t="inlineStr">
        <is>
          <t>skor = [0.7665, 0.766, 0.7614, 0.7581, 0.7512, 0.7503] → 6 / 6</t>
        </is>
      </c>
      <c r="F1699" t="n">
        <v>1</v>
      </c>
      <c r="G1699" s="3" t="inlineStr">
        <is>
          <t>basis: skor chunk nyata (sesuai contoh Pers. 2 skripsi)</t>
        </is>
      </c>
    </row>
    <row r="1700">
      <c r="A1700" t="n">
        <v>116</v>
      </c>
      <c r="B1700" t="inlineStr">
        <is>
          <t>A</t>
        </is>
      </c>
      <c r="C1700" t="inlineStr">
        <is>
          <t>Recall@K (Pers. 4)</t>
        </is>
      </c>
      <c r="D1700" s="3" t="inlineStr">
        <is>
          <t>Recall@K = |{kata kunci ditemukan : sim ≥ θ}| / |R|</t>
        </is>
      </c>
      <c r="E1700" s="3" t="inlineStr">
        <is>
          <t>skor = [0.6666, 0.6018, 0.5669, 0.5157, 0.4391, 0.4226] → 6 / 6</t>
        </is>
      </c>
      <c r="F1700" t="n">
        <v>1</v>
      </c>
      <c r="G1700" s="3" t="inlineStr"/>
    </row>
    <row r="1701">
      <c r="A1701" t="n">
        <v>116</v>
      </c>
      <c r="B1701" t="inlineStr">
        <is>
          <t>A</t>
        </is>
      </c>
      <c r="C1701" t="inlineStr">
        <is>
          <t>Mean Similarity (Pers. 6)</t>
        </is>
      </c>
      <c r="D1701" s="3" t="inlineStr">
        <is>
          <t>MeanSim = (1/K) × Σ sim(q, dᵢ)</t>
        </is>
      </c>
      <c r="E1701" s="3" t="inlineStr">
        <is>
          <t>skor = [0.7665, 0.766, 0.7614, 0.7581, 0.7512, 0.7503] → (0.7665 + 0.7660 + 0.7614 + 0.7581 + 0.7512 + 0.7503) / 6</t>
        </is>
      </c>
      <c r="F1701" t="n">
        <v>0.7589</v>
      </c>
      <c r="G1701" s="3" t="inlineStr"/>
    </row>
    <row r="1702">
      <c r="A1702" t="n">
        <v>116</v>
      </c>
      <c r="B1702" t="inlineStr">
        <is>
          <t>A</t>
        </is>
      </c>
      <c r="C1702" t="inlineStr">
        <is>
          <t>Coverage (Pers. 8)</t>
        </is>
      </c>
      <c r="D1702" s="3" t="inlineStr">
        <is>
          <t>Coverage = |{dᵢ ∈ TopK : sim(q,dᵢ) ≥ θc}| / K</t>
        </is>
      </c>
      <c r="E1702" s="3" t="inlineStr">
        <is>
          <t>skor = [0.7665, 0.766, 0.7614, 0.7581, 0.7512, 0.7503] → 6 / 6</t>
        </is>
      </c>
      <c r="F1702" t="n">
        <v>1</v>
      </c>
      <c r="G1702" s="3" t="inlineStr"/>
    </row>
    <row r="1703">
      <c r="A1703" t="n">
        <v>116</v>
      </c>
      <c r="B1703" t="inlineStr">
        <is>
          <t>A</t>
        </is>
      </c>
      <c r="C1703" t="inlineStr">
        <is>
          <t>Source Diversity (Pers. 10)</t>
        </is>
      </c>
      <c r="D1703" s="3" t="inlineStr">
        <is>
          <t>Diversity = |sumber unik dalam TopK| / K</t>
        </is>
      </c>
      <c r="E1703" s="3" t="inlineStr">
        <is>
          <t>skor = ['GT_CT01.txt', 'GT_CT03.txt', 'GT_CT07.txt', 'GT_DETAIL_PT01_Pendahuluan.txt', 'GT_DETAIL_PT03_Dekomposisi.txt', 'GT_DETAIL_PT11_Perulangan.txt'] → 6 / 6</t>
        </is>
      </c>
      <c r="F1703" t="n">
        <v>1</v>
      </c>
      <c r="G1703" s="3" t="inlineStr">
        <is>
          <t>file unik: GT_CT01.txt, GT_CT03.txt, GT_CT07.txt, GT_DETAIL_PT01_Pendahuluan.txt, GT_DETAIL_PT03_Dekomposisi.txt, GT_DETAIL_PT11_Perulangan.txt</t>
        </is>
      </c>
    </row>
    <row r="1704">
      <c r="A1704" t="n">
        <v>116</v>
      </c>
      <c r="B1704" t="inlineStr">
        <is>
          <t>A</t>
        </is>
      </c>
      <c r="C1704" t="inlineStr">
        <is>
          <t>Faithfulness (Pers. 15)</t>
        </is>
      </c>
      <c r="D1704" s="3" t="inlineStr">
        <is>
          <t>F = 0,70×Entailment + 0,30×KWoverlap</t>
        </is>
      </c>
      <c r="E1704" s="3" t="inlineStr">
        <is>
          <t>Faithfulness = 0,70×Entailment + 0,30×KWoverlap = 0,70×1.0000 + 0,30×0.2846 = 0.7854  (entailment: 6/6 klaim didukung; KWoverlap = (|∩|/|ctx|)^0,65 = (46/318)^0,65 = 0.1447^0,65 = 0.2846)</t>
        </is>
      </c>
      <c r="F1704" t="n">
        <v>0.7854</v>
      </c>
      <c r="G1704" s="3" t="inlineStr">
        <is>
          <t>metode: llm_entailment + keyword</t>
        </is>
      </c>
    </row>
    <row r="1705">
      <c r="A1705" t="n">
        <v>116</v>
      </c>
      <c r="B1705" t="inlineStr">
        <is>
          <t>A</t>
        </is>
      </c>
      <c r="C1705" t="inlineStr">
        <is>
          <t>— Entailment (Pers. 12-13)</t>
        </is>
      </c>
      <c r="D1705" s="3" t="inlineStr">
        <is>
          <t>Entailment = Σverdict(sᵢ)/m</t>
        </is>
      </c>
      <c r="E1705" s="3" t="inlineStr">
        <is>
          <t>6 klaim YA dari 6 klaim dievaluasi</t>
        </is>
      </c>
      <c r="F1705" t="n">
        <v>1</v>
      </c>
      <c r="G1705" s="3" t="inlineStr">
        <is>
          <t>verdict per klaim: sheet 'Entailment Detail'</t>
        </is>
      </c>
    </row>
    <row r="1706">
      <c r="A1706" t="n">
        <v>116</v>
      </c>
      <c r="B1706" t="inlineStr">
        <is>
          <t>A</t>
        </is>
      </c>
      <c r="C1706" t="inlineStr">
        <is>
          <t>— Keyword Overlap (Pers. 14)</t>
        </is>
      </c>
      <c r="D1706" s="3" t="inlineStr">
        <is>
          <t>KWoverlap = (|Stems(ans)∩Stems(ctx)| / |Stems(ctx)|)^0,65</t>
        </is>
      </c>
      <c r="E1706" s="3" t="inlineStr">
        <is>
          <t>KWoverlap = (|∩|/|ctx|)^0,65 = (46/318)^0,65 = 0.1447^0,65 = 0.2846</t>
        </is>
      </c>
      <c r="F1706" t="n">
        <v>0.2846</v>
      </c>
      <c r="G1706" s="3" t="inlineStr"/>
    </row>
    <row r="1707">
      <c r="A1707" t="n">
        <v>116</v>
      </c>
      <c r="B1707" t="inlineStr">
        <is>
          <t>A</t>
        </is>
      </c>
      <c r="C1707" t="inlineStr">
        <is>
          <t>Hallucination Risk (Pers. 18)</t>
        </is>
      </c>
      <c r="D1707" s="3" t="inlineStr">
        <is>
          <t>Risk = 0,65×(1-F) + 0,20×Contradiction + 0,15×Uncertainty</t>
        </is>
      </c>
      <c r="E1707" s="3" t="inlineStr">
        <is>
          <t>Risk = 0,65×OutOfContext + 0,20×Contradiction + 0,15×Uncertainty = 0,65×0.2146 + 0,20×0.0000 + 0,15×0.20 = 0.1695 [RENDAH]</t>
        </is>
      </c>
      <c r="F1707" t="n">
        <v>0.1695</v>
      </c>
      <c r="G1707" s="3" t="inlineStr">
        <is>
          <t>label: RENDAH; kontradiksi 0/12 kalimat; uncertainty flag: True</t>
        </is>
      </c>
    </row>
    <row r="1708">
      <c r="A1708" t="n">
        <v>116</v>
      </c>
      <c r="B1708" t="inlineStr">
        <is>
          <t>A</t>
        </is>
      </c>
      <c r="C1708" t="inlineStr">
        <is>
          <t>Answer Accuracy (Pers. 20)</t>
        </is>
      </c>
      <c r="D1708" s="3" t="inlineStr">
        <is>
          <t>Correctᵢ ∈ {0,1} via LLM-as-Judge (HASIL: BENAR/SALAH)</t>
        </is>
      </c>
      <c r="E1708" s="3" t="inlineStr">
        <is>
          <t>BENAR
Ruangannya menjawab pertanyaan dengan benar berdasarkan referensi, karena dekomposisi adalah proses memecahkan masalah besar menjadi sub-masalah yang lebih kecil dan mudah ditangani, dan dalam kasus aplikasi kalkulator sederhana, dekomposisi menjadi tiga bagian: input → hitung → output sesuai dengan konsep dekomposisi.</t>
        </is>
      </c>
      <c r="F1708" t="inlineStr">
        <is>
          <t>BENAR</t>
        </is>
      </c>
      <c r="G1708" s="3" t="inlineStr">
        <is>
          <t>evaluator: ollama/llama3</t>
        </is>
      </c>
    </row>
    <row r="1709">
      <c r="A1709" t="n">
        <v>116</v>
      </c>
      <c r="B1709" t="inlineStr">
        <is>
          <t>B</t>
        </is>
      </c>
      <c r="C1709" t="inlineStr">
        <is>
          <t>Faithfulness (Pers. 15)</t>
        </is>
      </c>
      <c r="D1709" s="3" t="inlineStr">
        <is>
          <t>F = 0,70×Entailment + 0,30×KWoverlap</t>
        </is>
      </c>
      <c r="E1709" s="3" t="inlineStr">
        <is>
          <t>Faithfulness = 0,70×Entailment + 0,30×KWoverlap = 0,70×1.0000 + 0,30×0.2470 = 0.7741  (entailment: 6/6 klaim didukung; KWoverlap = (|∩|/|ctx|)^0,65 = (37/318)^0,65 = 0.1164^0,65 = 0.2470)</t>
        </is>
      </c>
      <c r="F1709" t="n">
        <v>0.7741</v>
      </c>
      <c r="G1709" s="3" t="inlineStr">
        <is>
          <t>metode: llm_entailment + keyword</t>
        </is>
      </c>
    </row>
    <row r="1710">
      <c r="A1710" t="n">
        <v>116</v>
      </c>
      <c r="B1710" t="inlineStr">
        <is>
          <t>B</t>
        </is>
      </c>
      <c r="C1710" t="inlineStr">
        <is>
          <t>— Entailment (Pers. 12-13)</t>
        </is>
      </c>
      <c r="D1710" s="3" t="inlineStr">
        <is>
          <t>Entailment = Σverdict(sᵢ)/m</t>
        </is>
      </c>
      <c r="E1710" s="3" t="inlineStr">
        <is>
          <t>6 klaim YA dari 6 klaim dievaluasi</t>
        </is>
      </c>
      <c r="F1710" t="n">
        <v>1</v>
      </c>
      <c r="G1710" s="3" t="inlineStr">
        <is>
          <t>verdict per klaim: sheet 'Entailment Detail'</t>
        </is>
      </c>
    </row>
    <row r="1711">
      <c r="A1711" t="n">
        <v>116</v>
      </c>
      <c r="B1711" t="inlineStr">
        <is>
          <t>B</t>
        </is>
      </c>
      <c r="C1711" t="inlineStr">
        <is>
          <t>— Keyword Overlap (Pers. 14)</t>
        </is>
      </c>
      <c r="D1711" s="3" t="inlineStr">
        <is>
          <t>KWoverlap = (|Stems(ans)∩Stems(ctx)| / |Stems(ctx)|)^0,65</t>
        </is>
      </c>
      <c r="E1711" s="3" t="inlineStr">
        <is>
          <t>KWoverlap = (|∩|/|ctx|)^0,65 = (37/318)^0,65 = 0.1164^0,65 = 0.2470</t>
        </is>
      </c>
      <c r="F1711" t="n">
        <v>0.247</v>
      </c>
      <c r="G1711" s="3" t="inlineStr"/>
    </row>
    <row r="1712">
      <c r="A1712" t="n">
        <v>116</v>
      </c>
      <c r="B1712" t="inlineStr">
        <is>
          <t>B</t>
        </is>
      </c>
      <c r="C1712" t="inlineStr">
        <is>
          <t>Hallucination Risk (Pers. 18)</t>
        </is>
      </c>
      <c r="D1712" s="3" t="inlineStr">
        <is>
          <t>Risk = 0,65×(1-F) + 0,20×Contradiction + 0,15×Uncertainty</t>
        </is>
      </c>
      <c r="E1712" s="3" t="inlineStr">
        <is>
          <t>Risk = 0,65×OutOfContext + 0,20×Contradiction + 0,15×Uncertainty = 0,65×0.2259 + 0,20×0.0000 + 0,15×0.20 = 0.1768 [RENDAH]</t>
        </is>
      </c>
      <c r="F1712" t="n">
        <v>0.1768</v>
      </c>
      <c r="G1712" s="3" t="inlineStr">
        <is>
          <t>label: RENDAH; kontradiksi 0/18 kalimat; uncertainty flag: True</t>
        </is>
      </c>
    </row>
    <row r="1713">
      <c r="A1713" t="n">
        <v>116</v>
      </c>
      <c r="B1713" t="inlineStr">
        <is>
          <t>B</t>
        </is>
      </c>
      <c r="C1713" t="inlineStr">
        <is>
          <t>Answer Accuracy (Pers. 20)</t>
        </is>
      </c>
      <c r="D1713" s="3" t="inlineStr">
        <is>
          <t>Correctᵢ ∈ {0,1} via LLM-as-Judge (HASIL: BENAR/SALAH)</t>
        </is>
      </c>
      <c r="E1713" s="3" t="inlineStr">
        <is>
          <t>BENAR
Jawaban sistem menjawab pertanyaan dengan benar berdasarkan referensi, yaitu dekomposisi masalah menjadi sub-masalah yang lebih kecil dan mudah ditangani (dekomposisi). Referensi GT juga menyarankan konsep kompleksitas algoritme yang mirip dengan jawaban sistem.</t>
        </is>
      </c>
      <c r="F1713" t="inlineStr">
        <is>
          <t>BENAR</t>
        </is>
      </c>
      <c r="G1713" s="3" t="inlineStr">
        <is>
          <t>evaluator: ollama/llama3</t>
        </is>
      </c>
    </row>
    <row r="1714">
      <c r="A1714" t="n">
        <v>117</v>
      </c>
      <c r="B1714" t="inlineStr">
        <is>
          <t>A</t>
        </is>
      </c>
      <c r="C1714" t="inlineStr">
        <is>
          <t>Precision@K (Pers. 2)</t>
        </is>
      </c>
      <c r="D1714" s="3" t="inlineStr">
        <is>
          <t>Precision@K = |{d ∈ TopK : sim(q,d) ≥ θ}| / K</t>
        </is>
      </c>
      <c r="E1714" s="3" t="inlineStr">
        <is>
          <t>skor = [0.821, 0.7984, 0.7593, 0.756, 0.7554, 0.7538] → 6 / 6</t>
        </is>
      </c>
      <c r="F1714" t="n">
        <v>1</v>
      </c>
      <c r="G1714" s="3" t="inlineStr">
        <is>
          <t>basis: skor chunk nyata (sesuai contoh Pers. 2 skripsi)</t>
        </is>
      </c>
    </row>
    <row r="1715">
      <c r="A1715" t="n">
        <v>117</v>
      </c>
      <c r="B1715" t="inlineStr">
        <is>
          <t>A</t>
        </is>
      </c>
      <c r="C1715" t="inlineStr">
        <is>
          <t>Recall@K (Pers. 4)</t>
        </is>
      </c>
      <c r="D1715" s="3" t="inlineStr">
        <is>
          <t>Recall@K = |{kata kunci ditemukan : sim ≥ θ}| / |R|</t>
        </is>
      </c>
      <c r="E1715" s="3" t="inlineStr">
        <is>
          <t>skor = [0.6378, 0.6131, 0.6002, 0.5656, 0.4929, 0.4087] → 6 / 6</t>
        </is>
      </c>
      <c r="F1715" t="n">
        <v>1</v>
      </c>
      <c r="G1715" s="3" t="inlineStr"/>
    </row>
    <row r="1716">
      <c r="A1716" t="n">
        <v>117</v>
      </c>
      <c r="B1716" t="inlineStr">
        <is>
          <t>A</t>
        </is>
      </c>
      <c r="C1716" t="inlineStr">
        <is>
          <t>Mean Similarity (Pers. 6)</t>
        </is>
      </c>
      <c r="D1716" s="3" t="inlineStr">
        <is>
          <t>MeanSim = (1/K) × Σ sim(q, dᵢ)</t>
        </is>
      </c>
      <c r="E1716" s="3" t="inlineStr">
        <is>
          <t>skor = [0.821, 0.7984, 0.7593, 0.756, 0.7554, 0.7538] → (0.8210 + 0.7984 + 0.7593 + 0.7560 + 0.7554 + 0.7538) / 6</t>
        </is>
      </c>
      <c r="F1716" t="n">
        <v>0.774</v>
      </c>
      <c r="G1716" s="3" t="inlineStr"/>
    </row>
    <row r="1717">
      <c r="A1717" t="n">
        <v>117</v>
      </c>
      <c r="B1717" t="inlineStr">
        <is>
          <t>A</t>
        </is>
      </c>
      <c r="C1717" t="inlineStr">
        <is>
          <t>Coverage (Pers. 8)</t>
        </is>
      </c>
      <c r="D1717" s="3" t="inlineStr">
        <is>
          <t>Coverage = |{dᵢ ∈ TopK : sim(q,dᵢ) ≥ θc}| / K</t>
        </is>
      </c>
      <c r="E1717" s="3" t="inlineStr">
        <is>
          <t>skor = [0.821, 0.7984, 0.7593, 0.756, 0.7554, 0.7538] → 6 / 6</t>
        </is>
      </c>
      <c r="F1717" t="n">
        <v>1</v>
      </c>
      <c r="G1717" s="3" t="inlineStr"/>
    </row>
    <row r="1718">
      <c r="A1718" t="n">
        <v>117</v>
      </c>
      <c r="B1718" t="inlineStr">
        <is>
          <t>A</t>
        </is>
      </c>
      <c r="C1718" t="inlineStr">
        <is>
          <t>Source Diversity (Pers. 10)</t>
        </is>
      </c>
      <c r="D1718" s="3" t="inlineStr">
        <is>
          <t>Diversity = |sumber unik dalam TopK| / K</t>
        </is>
      </c>
      <c r="E1718" s="3" t="inlineStr">
        <is>
          <t>skor = ['GT_CT01.txt', 'GT_CT03.txt', 'GT_CT13.txt', 'GT_DETAIL_PT04_Abstraksi.txt', 'GT_SUBTOPIK_02_Abstraksi_Formulasi.txt'] → 5 / 6</t>
        </is>
      </c>
      <c r="F1718" t="n">
        <v>0.8333</v>
      </c>
      <c r="G1718" s="3" t="inlineStr">
        <is>
          <t>file unik: GT_CT01.txt, GT_CT03.txt, GT_CT13.txt, GT_DETAIL_PT04_Abstraksi.txt, GT_SUBTOPIK_02_Abstraksi_Formulasi.txt</t>
        </is>
      </c>
    </row>
    <row r="1719">
      <c r="A1719" t="n">
        <v>117</v>
      </c>
      <c r="B1719" t="inlineStr">
        <is>
          <t>A</t>
        </is>
      </c>
      <c r="C1719" t="inlineStr">
        <is>
          <t>Faithfulness (Pers. 15)</t>
        </is>
      </c>
      <c r="D1719" s="3" t="inlineStr">
        <is>
          <t>F = 0,70×Entailment + 0,30×KWoverlap</t>
        </is>
      </c>
      <c r="E1719" s="3" t="inlineStr">
        <is>
          <t>Faithfulness = 0,70×Entailment + 0,30×KWoverlap = 0,70×1.0000 + 0,30×0.2351 = 0.7705  (entailment: 6/6 klaim didukung; KWoverlap = (|∩|/|ctx|)^0,65 = (36/334)^0,65 = 0.1078^0,65 = 0.2351)</t>
        </is>
      </c>
      <c r="F1719" t="n">
        <v>0.7705</v>
      </c>
      <c r="G1719" s="3" t="inlineStr">
        <is>
          <t>metode: llm_entailment + keyword</t>
        </is>
      </c>
    </row>
    <row r="1720">
      <c r="A1720" t="n">
        <v>117</v>
      </c>
      <c r="B1720" t="inlineStr">
        <is>
          <t>A</t>
        </is>
      </c>
      <c r="C1720" t="inlineStr">
        <is>
          <t>— Entailment (Pers. 12-13)</t>
        </is>
      </c>
      <c r="D1720" s="3" t="inlineStr">
        <is>
          <t>Entailment = Σverdict(sᵢ)/m</t>
        </is>
      </c>
      <c r="E1720" s="3" t="inlineStr">
        <is>
          <t>6 klaim YA dari 6 klaim dievaluasi</t>
        </is>
      </c>
      <c r="F1720" t="n">
        <v>1</v>
      </c>
      <c r="G1720" s="3" t="inlineStr">
        <is>
          <t>verdict per klaim: sheet 'Entailment Detail'</t>
        </is>
      </c>
    </row>
    <row r="1721">
      <c r="A1721" t="n">
        <v>117</v>
      </c>
      <c r="B1721" t="inlineStr">
        <is>
          <t>A</t>
        </is>
      </c>
      <c r="C1721" t="inlineStr">
        <is>
          <t>— Keyword Overlap (Pers. 14)</t>
        </is>
      </c>
      <c r="D1721" s="3" t="inlineStr">
        <is>
          <t>KWoverlap = (|Stems(ans)∩Stems(ctx)| / |Stems(ctx)|)^0,65</t>
        </is>
      </c>
      <c r="E1721" s="3" t="inlineStr">
        <is>
          <t>KWoverlap = (|∩|/|ctx|)^0,65 = (36/334)^0,65 = 0.1078^0,65 = 0.2351</t>
        </is>
      </c>
      <c r="F1721" t="n">
        <v>0.2351</v>
      </c>
      <c r="G1721" s="3" t="inlineStr"/>
    </row>
    <row r="1722">
      <c r="A1722" t="n">
        <v>117</v>
      </c>
      <c r="B1722" t="inlineStr">
        <is>
          <t>A</t>
        </is>
      </c>
      <c r="C1722" t="inlineStr">
        <is>
          <t>Hallucination Risk (Pers. 18)</t>
        </is>
      </c>
      <c r="D1722" s="3" t="inlineStr">
        <is>
          <t>Risk = 0,65×(1-F) + 0,20×Contradiction + 0,15×Uncertainty</t>
        </is>
      </c>
      <c r="E1722" s="3" t="inlineStr">
        <is>
          <t>Risk = 0,65×OutOfContext + 0,20×Contradiction + 0,15×Uncertainty = 0,65×0.2295 + 0,20×0.0000 + 0,15×0.00 = 0.1492 [RENDAH]</t>
        </is>
      </c>
      <c r="F1722" t="n">
        <v>0.1492</v>
      </c>
      <c r="G1722" s="3" t="inlineStr">
        <is>
          <t>label: RENDAH; kontradiksi 0/14 kalimat; uncertainty flag: False</t>
        </is>
      </c>
    </row>
    <row r="1723">
      <c r="A1723" t="n">
        <v>117</v>
      </c>
      <c r="B1723" t="inlineStr">
        <is>
          <t>A</t>
        </is>
      </c>
      <c r="C1723" t="inlineStr">
        <is>
          <t>Answer Accuracy (Pers. 20)</t>
        </is>
      </c>
      <c r="D1723" s="3" t="inlineStr">
        <is>
          <t>Correctᵢ ∈ {0,1} via LLM-as-Judge (HASIL: BENAR/SALAH)</t>
        </is>
      </c>
      <c r="E1723" s="3" t="inlineStr">
        <is>
          <t>Jawaban sistem: BENAR</t>
        </is>
      </c>
      <c r="F1723" t="inlineStr">
        <is>
          <t>BENAR</t>
        </is>
      </c>
      <c r="G1723" s="3" t="inlineStr">
        <is>
          <t>evaluator: ollama/llama3</t>
        </is>
      </c>
    </row>
    <row r="1724">
      <c r="A1724" t="n">
        <v>117</v>
      </c>
      <c r="B1724" t="inlineStr">
        <is>
          <t>B</t>
        </is>
      </c>
      <c r="C1724" t="inlineStr">
        <is>
          <t>Faithfulness (Pers. 15)</t>
        </is>
      </c>
      <c r="D1724" s="3" t="inlineStr">
        <is>
          <t>F = 0,70×Entailment + 0,30×KWoverlap</t>
        </is>
      </c>
      <c r="E1724" s="3" t="inlineStr">
        <is>
          <t>Faithfulness = 0,70×Entailment + 0,30×KWoverlap = 0,70×0.8333 + 0,30×0.1950 = 0.6418  (entailment: 5/6 klaim didukung; KWoverlap = (|∩|/|ctx|)^0,65 = (27/334)^0,65 = 0.0808^0,65 = 0.1950)</t>
        </is>
      </c>
      <c r="F1724" t="n">
        <v>0.6418</v>
      </c>
      <c r="G1724" s="3" t="inlineStr">
        <is>
          <t>metode: llm_entailment + keyword</t>
        </is>
      </c>
    </row>
    <row r="1725">
      <c r="A1725" t="n">
        <v>117</v>
      </c>
      <c r="B1725" t="inlineStr">
        <is>
          <t>B</t>
        </is>
      </c>
      <c r="C1725" t="inlineStr">
        <is>
          <t>— Entailment (Pers. 12-13)</t>
        </is>
      </c>
      <c r="D1725" s="3" t="inlineStr">
        <is>
          <t>Entailment = Σverdict(sᵢ)/m</t>
        </is>
      </c>
      <c r="E1725" s="3" t="inlineStr">
        <is>
          <t>5 klaim YA dari 6 klaim dievaluasi</t>
        </is>
      </c>
      <c r="F1725" t="n">
        <v>0.8333</v>
      </c>
      <c r="G1725" s="3" t="inlineStr">
        <is>
          <t>verdict per klaim: sheet 'Entailment Detail'</t>
        </is>
      </c>
    </row>
    <row r="1726">
      <c r="A1726" t="n">
        <v>117</v>
      </c>
      <c r="B1726" t="inlineStr">
        <is>
          <t>B</t>
        </is>
      </c>
      <c r="C1726" t="inlineStr">
        <is>
          <t>— Keyword Overlap (Pers. 14)</t>
        </is>
      </c>
      <c r="D1726" s="3" t="inlineStr">
        <is>
          <t>KWoverlap = (|Stems(ans)∩Stems(ctx)| / |Stems(ctx)|)^0,65</t>
        </is>
      </c>
      <c r="E1726" s="3" t="inlineStr">
        <is>
          <t>KWoverlap = (|∩|/|ctx|)^0,65 = (27/334)^0,65 = 0.0808^0,65 = 0.1950</t>
        </is>
      </c>
      <c r="F1726" t="n">
        <v>0.195</v>
      </c>
      <c r="G1726" s="3" t="inlineStr"/>
    </row>
    <row r="1727">
      <c r="A1727" t="n">
        <v>117</v>
      </c>
      <c r="B1727" t="inlineStr">
        <is>
          <t>B</t>
        </is>
      </c>
      <c r="C1727" t="inlineStr">
        <is>
          <t>Hallucination Risk (Pers. 18)</t>
        </is>
      </c>
      <c r="D1727" s="3" t="inlineStr">
        <is>
          <t>Risk = 0,65×(1-F) + 0,20×Contradiction + 0,15×Uncertainty</t>
        </is>
      </c>
      <c r="E1727" s="3" t="inlineStr">
        <is>
          <t>Risk = 0,65×OutOfContext + 0,20×Contradiction + 0,15×Uncertainty = 0,65×0.3582 + 0,20×0.0000 + 0,15×0.00 = 0.2328 [RENDAH]</t>
        </is>
      </c>
      <c r="F1727" t="n">
        <v>0.2328</v>
      </c>
      <c r="G1727" s="3" t="inlineStr">
        <is>
          <t>label: RENDAH; kontradiksi 0/25 kalimat; uncertainty flag: False</t>
        </is>
      </c>
    </row>
    <row r="1728">
      <c r="A1728" t="n">
        <v>117</v>
      </c>
      <c r="B1728" t="inlineStr">
        <is>
          <t>B</t>
        </is>
      </c>
      <c r="C1728" t="inlineStr">
        <is>
          <t>Answer Accuracy (Pers. 20)</t>
        </is>
      </c>
      <c r="D1728" s="3" t="inlineStr">
        <is>
          <t>Correctᵢ ∈ {0,1} via LLM-as-Judge (HASIL: BENAR/SALAH)</t>
        </is>
      </c>
      <c r="E1728" s="3" t="inlineStr">
        <is>
          <t>BENAR
Ragam jawaban sistem yang diberikan memang sesuai dengan referensi dan aturan pembuatan hierarki dekomposisi, yaitu:
1. Mulai dari tujuan: Identifikasi tujuan utama yang ingin dicapai (toko online menerima 1000 pesanan per hari).
2. Bagikan menjadi bagian-bagian: Bagikan tujuan utama menjadi bagian-bagian yang lebih kecil dan dapat diukur (diverifikasi pembayaran, dikemas, dan dikirim).
3.</t>
        </is>
      </c>
      <c r="F1728" t="inlineStr">
        <is>
          <t>BENAR</t>
        </is>
      </c>
      <c r="G1728" s="3" t="inlineStr">
        <is>
          <t>evaluator: ollama/llama3</t>
        </is>
      </c>
    </row>
    <row r="1729">
      <c r="A1729" t="n">
        <v>118</v>
      </c>
      <c r="B1729" t="inlineStr">
        <is>
          <t>A</t>
        </is>
      </c>
      <c r="C1729" t="inlineStr">
        <is>
          <t>Precision@K (Pers. 2)</t>
        </is>
      </c>
      <c r="D1729" s="3" t="inlineStr">
        <is>
          <t>Precision@K = |{d ∈ TopK : sim(q,d) ≥ θ}| / K</t>
        </is>
      </c>
      <c r="E1729" s="3" t="inlineStr">
        <is>
          <t>skor = [0.8022, 0.7879, 0.7592, 0.7383, 0.734, 0.7252] → 6 / 6</t>
        </is>
      </c>
      <c r="F1729" t="n">
        <v>1</v>
      </c>
      <c r="G1729" s="3" t="inlineStr">
        <is>
          <t>basis: skor chunk nyata (sesuai contoh Pers. 2 skripsi)</t>
        </is>
      </c>
    </row>
    <row r="1730">
      <c r="A1730" t="n">
        <v>118</v>
      </c>
      <c r="B1730" t="inlineStr">
        <is>
          <t>A</t>
        </is>
      </c>
      <c r="C1730" t="inlineStr">
        <is>
          <t>Recall@K (Pers. 4)</t>
        </is>
      </c>
      <c r="D1730" s="3" t="inlineStr">
        <is>
          <t>Recall@K = |{kata kunci ditemukan : sim ≥ θ}| / |R|</t>
        </is>
      </c>
      <c r="E1730" s="3" t="inlineStr">
        <is>
          <t>skor = [0.6504, 0.6084, 0.6079, 0.574, 0.5397, 0.5039] → 6 / 6</t>
        </is>
      </c>
      <c r="F1730" t="n">
        <v>1</v>
      </c>
      <c r="G1730" s="3" t="inlineStr"/>
    </row>
    <row r="1731">
      <c r="A1731" t="n">
        <v>118</v>
      </c>
      <c r="B1731" t="inlineStr">
        <is>
          <t>A</t>
        </is>
      </c>
      <c r="C1731" t="inlineStr">
        <is>
          <t>Mean Similarity (Pers. 6)</t>
        </is>
      </c>
      <c r="D1731" s="3" t="inlineStr">
        <is>
          <t>MeanSim = (1/K) × Σ sim(q, dᵢ)</t>
        </is>
      </c>
      <c r="E1731" s="3" t="inlineStr">
        <is>
          <t>skor = [0.8022, 0.7879, 0.7592, 0.7383, 0.734, 0.7252] → (0.8022 + 0.7879 + 0.7592 + 0.7383 + 0.7340 + 0.7252) / 6</t>
        </is>
      </c>
      <c r="F1731" t="n">
        <v>0.7578</v>
      </c>
      <c r="G1731" s="3" t="inlineStr"/>
    </row>
    <row r="1732">
      <c r="A1732" t="n">
        <v>118</v>
      </c>
      <c r="B1732" t="inlineStr">
        <is>
          <t>A</t>
        </is>
      </c>
      <c r="C1732" t="inlineStr">
        <is>
          <t>Coverage (Pers. 8)</t>
        </is>
      </c>
      <c r="D1732" s="3" t="inlineStr">
        <is>
          <t>Coverage = |{dᵢ ∈ TopK : sim(q,dᵢ) ≥ θc}| / K</t>
        </is>
      </c>
      <c r="E1732" s="3" t="inlineStr">
        <is>
          <t>skor = [0.8022, 0.7879, 0.7592, 0.7383, 0.734, 0.7252] → 6 / 6</t>
        </is>
      </c>
      <c r="F1732" t="n">
        <v>1</v>
      </c>
      <c r="G1732" s="3" t="inlineStr"/>
    </row>
    <row r="1733">
      <c r="A1733" t="n">
        <v>118</v>
      </c>
      <c r="B1733" t="inlineStr">
        <is>
          <t>A</t>
        </is>
      </c>
      <c r="C1733" t="inlineStr">
        <is>
          <t>Source Diversity (Pers. 10)</t>
        </is>
      </c>
      <c r="D1733" s="3" t="inlineStr">
        <is>
          <t>Diversity = |sumber unik dalam TopK| / K</t>
        </is>
      </c>
      <c r="E1733" s="3" t="inlineStr">
        <is>
          <t>skor = ['GT_CT01.txt', 'GT_CT03.txt', 'GT_DETAIL_PT03_Dekomposisi.txt'] → 3 / 6</t>
        </is>
      </c>
      <c r="F1733" t="n">
        <v>0.5</v>
      </c>
      <c r="G1733" s="3" t="inlineStr">
        <is>
          <t>file unik: GT_CT01.txt, GT_CT03.txt, GT_DETAIL_PT03_Dekomposisi.txt</t>
        </is>
      </c>
    </row>
    <row r="1734">
      <c r="A1734" t="n">
        <v>118</v>
      </c>
      <c r="B1734" t="inlineStr">
        <is>
          <t>A</t>
        </is>
      </c>
      <c r="C1734" t="inlineStr">
        <is>
          <t>Faithfulness (Pers. 15)</t>
        </is>
      </c>
      <c r="D1734" s="3" t="inlineStr">
        <is>
          <t>F = 0,70×Entailment + 0,30×KWoverlap</t>
        </is>
      </c>
      <c r="E1734" s="3" t="inlineStr">
        <is>
          <t>Faithfulness = 0,70×Entailment + 0,30×KWoverlap = 0,70×1.0000 + 0,30×0.2841 = 0.7852  (entailment: 6/6 klaim didukung; KWoverlap = (|∩|/|ctx|)^0,65 = (43/298)^0,65 = 0.1443^0,65 = 0.2841)</t>
        </is>
      </c>
      <c r="F1734" t="n">
        <v>0.7852</v>
      </c>
      <c r="G1734" s="3" t="inlineStr">
        <is>
          <t>metode: llm_entailment + keyword</t>
        </is>
      </c>
    </row>
    <row r="1735">
      <c r="A1735" t="n">
        <v>118</v>
      </c>
      <c r="B1735" t="inlineStr">
        <is>
          <t>A</t>
        </is>
      </c>
      <c r="C1735" t="inlineStr">
        <is>
          <t>— Entailment (Pers. 12-13)</t>
        </is>
      </c>
      <c r="D1735" s="3" t="inlineStr">
        <is>
          <t>Entailment = Σverdict(sᵢ)/m</t>
        </is>
      </c>
      <c r="E1735" s="3" t="inlineStr">
        <is>
          <t>6 klaim YA dari 6 klaim dievaluasi</t>
        </is>
      </c>
      <c r="F1735" t="n">
        <v>1</v>
      </c>
      <c r="G1735" s="3" t="inlineStr">
        <is>
          <t>verdict per klaim: sheet 'Entailment Detail'</t>
        </is>
      </c>
    </row>
    <row r="1736">
      <c r="A1736" t="n">
        <v>118</v>
      </c>
      <c r="B1736" t="inlineStr">
        <is>
          <t>A</t>
        </is>
      </c>
      <c r="C1736" t="inlineStr">
        <is>
          <t>— Keyword Overlap (Pers. 14)</t>
        </is>
      </c>
      <c r="D1736" s="3" t="inlineStr">
        <is>
          <t>KWoverlap = (|Stems(ans)∩Stems(ctx)| / |Stems(ctx)|)^0,65</t>
        </is>
      </c>
      <c r="E1736" s="3" t="inlineStr">
        <is>
          <t>KWoverlap = (|∩|/|ctx|)^0,65 = (43/298)^0,65 = 0.1443^0,65 = 0.2841</t>
        </is>
      </c>
      <c r="F1736" t="n">
        <v>0.2841</v>
      </c>
      <c r="G1736" s="3" t="inlineStr"/>
    </row>
    <row r="1737">
      <c r="A1737" t="n">
        <v>118</v>
      </c>
      <c r="B1737" t="inlineStr">
        <is>
          <t>A</t>
        </is>
      </c>
      <c r="C1737" t="inlineStr">
        <is>
          <t>Hallucination Risk (Pers. 18)</t>
        </is>
      </c>
      <c r="D1737" s="3" t="inlineStr">
        <is>
          <t>Risk = 0,65×(1-F) + 0,20×Contradiction + 0,15×Uncertainty</t>
        </is>
      </c>
      <c r="E1737" s="3" t="inlineStr">
        <is>
          <t>Risk = 0,65×OutOfContext + 0,20×Contradiction + 0,15×Uncertainty = 0,65×0.2148 + 0,20×0.0000 + 0,15×0.00 = 0.1396 [RENDAH]</t>
        </is>
      </c>
      <c r="F1737" t="n">
        <v>0.1396</v>
      </c>
      <c r="G1737" s="3" t="inlineStr">
        <is>
          <t>label: RENDAH; kontradiksi 0/8 kalimat; uncertainty flag: False</t>
        </is>
      </c>
    </row>
    <row r="1738">
      <c r="A1738" t="n">
        <v>118</v>
      </c>
      <c r="B1738" t="inlineStr">
        <is>
          <t>A</t>
        </is>
      </c>
      <c r="C1738" t="inlineStr">
        <is>
          <t>Answer Accuracy (Pers. 20)</t>
        </is>
      </c>
      <c r="D1738" s="3" t="inlineStr">
        <is>
          <t>Correctᵢ ∈ {0,1} via LLM-as-Judge (HASIL: BENAR/SALAH)</t>
        </is>
      </c>
      <c r="E1738" s="3" t="inlineStr"/>
      <c r="F1738" t="inlineStr">
        <is>
          <t>BENAR</t>
        </is>
      </c>
      <c r="G1738" s="3" t="inlineStr">
        <is>
          <t>evaluator: ollama/llama3</t>
        </is>
      </c>
    </row>
    <row r="1739">
      <c r="A1739" t="n">
        <v>118</v>
      </c>
      <c r="B1739" t="inlineStr">
        <is>
          <t>B</t>
        </is>
      </c>
      <c r="C1739" t="inlineStr">
        <is>
          <t>Faithfulness (Pers. 15)</t>
        </is>
      </c>
      <c r="D1739" s="3" t="inlineStr">
        <is>
          <t>F = 0,70×Entailment + 0,30×KWoverlap</t>
        </is>
      </c>
      <c r="E1739" s="3" t="inlineStr">
        <is>
          <t>Faithfulness = 0,70×Entailment + 0,30×KWoverlap = 0,70×1.0000 + 0,30×0.2100 = 0.7630  (entailment: 6/6 klaim didukung; KWoverlap = (|∩|/|ctx|)^0,65 = (27/298)^0,65 = 0.0906^0,65 = 0.2100)</t>
        </is>
      </c>
      <c r="F1739" t="n">
        <v>0.763</v>
      </c>
      <c r="G1739" s="3" t="inlineStr">
        <is>
          <t>metode: llm_entailment + keyword</t>
        </is>
      </c>
    </row>
    <row r="1740">
      <c r="A1740" t="n">
        <v>118</v>
      </c>
      <c r="B1740" t="inlineStr">
        <is>
          <t>B</t>
        </is>
      </c>
      <c r="C1740" t="inlineStr">
        <is>
          <t>— Entailment (Pers. 12-13)</t>
        </is>
      </c>
      <c r="D1740" s="3" t="inlineStr">
        <is>
          <t>Entailment = Σverdict(sᵢ)/m</t>
        </is>
      </c>
      <c r="E1740" s="3" t="inlineStr">
        <is>
          <t>6 klaim YA dari 6 klaim dievaluasi</t>
        </is>
      </c>
      <c r="F1740" t="n">
        <v>1</v>
      </c>
      <c r="G1740" s="3" t="inlineStr">
        <is>
          <t>verdict per klaim: sheet 'Entailment Detail'</t>
        </is>
      </c>
    </row>
    <row r="1741">
      <c r="A1741" t="n">
        <v>118</v>
      </c>
      <c r="B1741" t="inlineStr">
        <is>
          <t>B</t>
        </is>
      </c>
      <c r="C1741" t="inlineStr">
        <is>
          <t>— Keyword Overlap (Pers. 14)</t>
        </is>
      </c>
      <c r="D1741" s="3" t="inlineStr">
        <is>
          <t>KWoverlap = (|Stems(ans)∩Stems(ctx)| / |Stems(ctx)|)^0,65</t>
        </is>
      </c>
      <c r="E1741" s="3" t="inlineStr">
        <is>
          <t>KWoverlap = (|∩|/|ctx|)^0,65 = (27/298)^0,65 = 0.0906^0,65 = 0.2100</t>
        </is>
      </c>
      <c r="F1741" t="n">
        <v>0.21</v>
      </c>
      <c r="G1741" s="3" t="inlineStr"/>
    </row>
    <row r="1742">
      <c r="A1742" t="n">
        <v>118</v>
      </c>
      <c r="B1742" t="inlineStr">
        <is>
          <t>B</t>
        </is>
      </c>
      <c r="C1742" t="inlineStr">
        <is>
          <t>Hallucination Risk (Pers. 18)</t>
        </is>
      </c>
      <c r="D1742" s="3" t="inlineStr">
        <is>
          <t>Risk = 0,65×(1-F) + 0,20×Contradiction + 0,15×Uncertainty</t>
        </is>
      </c>
      <c r="E1742" s="3" t="inlineStr">
        <is>
          <t>Risk = 0,65×OutOfContext + 0,20×Contradiction + 0,15×Uncertainty = 0,65×0.2370 + 0,20×0.0000 + 0,15×0.00 = 0.1540 [RENDAH]</t>
        </is>
      </c>
      <c r="F1742" t="n">
        <v>0.154</v>
      </c>
      <c r="G1742" s="3" t="inlineStr">
        <is>
          <t>label: RENDAH; kontradiksi 0/13 kalimat; uncertainty flag: False</t>
        </is>
      </c>
    </row>
    <row r="1743">
      <c r="A1743" t="n">
        <v>118</v>
      </c>
      <c r="B1743" t="inlineStr">
        <is>
          <t>B</t>
        </is>
      </c>
      <c r="C1743" t="inlineStr">
        <is>
          <t>Answer Accuracy (Pers. 20)</t>
        </is>
      </c>
      <c r="D1743" s="3" t="inlineStr">
        <is>
          <t>Correctᵢ ∈ {0,1} via LLM-as-Judge (HASIL: BENAR/SALAH)</t>
        </is>
      </c>
      <c r="E1743" s="3" t="inlineStr">
        <is>
          <t>BENAR</t>
        </is>
      </c>
      <c r="F1743" t="inlineStr">
        <is>
          <t>BENAR</t>
        </is>
      </c>
      <c r="G1743" s="3" t="inlineStr">
        <is>
          <t>evaluator: ollama/llama3</t>
        </is>
      </c>
    </row>
    <row r="1744">
      <c r="A1744" t="n">
        <v>119</v>
      </c>
      <c r="B1744" t="inlineStr">
        <is>
          <t>A</t>
        </is>
      </c>
      <c r="C1744" t="inlineStr">
        <is>
          <t>Precision@K (Pers. 2)</t>
        </is>
      </c>
      <c r="D1744" s="3" t="inlineStr">
        <is>
          <t>Precision@K = |{d ∈ TopK : sim(q,d) ≥ θ}| / K</t>
        </is>
      </c>
      <c r="E1744" s="3" t="inlineStr">
        <is>
          <t>skor = [0.7866, 0.7288, 0.7187, 0.7063, 0.6969, 0.694] → 6 / 6</t>
        </is>
      </c>
      <c r="F1744" t="n">
        <v>1</v>
      </c>
      <c r="G1744" s="3" t="inlineStr">
        <is>
          <t>basis: skor chunk nyata (sesuai contoh Pers. 2 skripsi)</t>
        </is>
      </c>
    </row>
    <row r="1745">
      <c r="A1745" t="n">
        <v>119</v>
      </c>
      <c r="B1745" t="inlineStr">
        <is>
          <t>A</t>
        </is>
      </c>
      <c r="C1745" t="inlineStr">
        <is>
          <t>Recall@K (Pers. 4)</t>
        </is>
      </c>
      <c r="D1745" s="3" t="inlineStr">
        <is>
          <t>Recall@K = |{kata kunci ditemukan : sim ≥ θ}| / |R|</t>
        </is>
      </c>
      <c r="E1745" s="3" t="inlineStr">
        <is>
          <t>skor = [0.6854, 0.6594, 0.6268, 0.553, 0.5066, 0.4599] → 6 / 7</t>
        </is>
      </c>
      <c r="F1745" t="n">
        <v>0.8571</v>
      </c>
      <c r="G1745" s="3" t="inlineStr"/>
    </row>
    <row r="1746">
      <c r="A1746" t="n">
        <v>119</v>
      </c>
      <c r="B1746" t="inlineStr">
        <is>
          <t>A</t>
        </is>
      </c>
      <c r="C1746" t="inlineStr">
        <is>
          <t>Mean Similarity (Pers. 6)</t>
        </is>
      </c>
      <c r="D1746" s="3" t="inlineStr">
        <is>
          <t>MeanSim = (1/K) × Σ sim(q, dᵢ)</t>
        </is>
      </c>
      <c r="E1746" s="3" t="inlineStr">
        <is>
          <t>skor = [0.7866, 0.7288, 0.7187, 0.7063, 0.6969, 0.694] → (0.7866 + 0.7288 + 0.7187 + 0.7063 + 0.6969 + 0.6940) / 6</t>
        </is>
      </c>
      <c r="F1746" t="n">
        <v>0.7219</v>
      </c>
      <c r="G1746" s="3" t="inlineStr"/>
    </row>
    <row r="1747">
      <c r="A1747" t="n">
        <v>119</v>
      </c>
      <c r="B1747" t="inlineStr">
        <is>
          <t>A</t>
        </is>
      </c>
      <c r="C1747" t="inlineStr">
        <is>
          <t>Coverage (Pers. 8)</t>
        </is>
      </c>
      <c r="D1747" s="3" t="inlineStr">
        <is>
          <t>Coverage = |{dᵢ ∈ TopK : sim(q,dᵢ) ≥ θc}| / K</t>
        </is>
      </c>
      <c r="E1747" s="3" t="inlineStr">
        <is>
          <t>skor = [0.7866, 0.7288, 0.7187, 0.7063, 0.6969, 0.694] → 6 / 6</t>
        </is>
      </c>
      <c r="F1747" t="n">
        <v>1</v>
      </c>
      <c r="G1747" s="3" t="inlineStr"/>
    </row>
    <row r="1748">
      <c r="A1748" t="n">
        <v>119</v>
      </c>
      <c r="B1748" t="inlineStr">
        <is>
          <t>A</t>
        </is>
      </c>
      <c r="C1748" t="inlineStr">
        <is>
          <t>Source Diversity (Pers. 10)</t>
        </is>
      </c>
      <c r="D1748" s="3" t="inlineStr">
        <is>
          <t>Diversity = |sumber unik dalam TopK| / K</t>
        </is>
      </c>
      <c r="E1748" s="3" t="inlineStr">
        <is>
          <t>skor = ['GT_CT03.txt', 'GT_CT04.txt', 'GT_CT07.txt', 'GT_CT09.txt', 'GT_DETAIL_PT04_Abstraksi.txt'] → 5 / 6</t>
        </is>
      </c>
      <c r="F1748" t="n">
        <v>0.8333</v>
      </c>
      <c r="G1748" s="3" t="inlineStr">
        <is>
          <t>file unik: GT_CT03.txt, GT_CT04.txt, GT_CT07.txt, GT_CT09.txt, GT_DETAIL_PT04_Abstraksi.txt</t>
        </is>
      </c>
    </row>
    <row r="1749">
      <c r="A1749" t="n">
        <v>119</v>
      </c>
      <c r="B1749" t="inlineStr">
        <is>
          <t>A</t>
        </is>
      </c>
      <c r="C1749" t="inlineStr">
        <is>
          <t>Faithfulness (Pers. 15)</t>
        </is>
      </c>
      <c r="D1749" s="3" t="inlineStr">
        <is>
          <t>F = 0,70×Entailment + 0,30×KWoverlap</t>
        </is>
      </c>
      <c r="E1749" s="3" t="inlineStr">
        <is>
          <t>Faithfulness = 0,70×Entailment + 0,30×KWoverlap = 0,70×1.0000 + 0,30×0.2619 = 0.7786  (entailment: 6/6 klaim didukung; KWoverlap = (|∩|/|ctx|)^0,65 = (35/275)^0,65 = 0.1273^0,65 = 0.2619)</t>
        </is>
      </c>
      <c r="F1749" t="n">
        <v>0.7786</v>
      </c>
      <c r="G1749" s="3" t="inlineStr">
        <is>
          <t>metode: llm_entailment + keyword</t>
        </is>
      </c>
    </row>
    <row r="1750">
      <c r="A1750" t="n">
        <v>119</v>
      </c>
      <c r="B1750" t="inlineStr">
        <is>
          <t>A</t>
        </is>
      </c>
      <c r="C1750" t="inlineStr">
        <is>
          <t>— Entailment (Pers. 12-13)</t>
        </is>
      </c>
      <c r="D1750" s="3" t="inlineStr">
        <is>
          <t>Entailment = Σverdict(sᵢ)/m</t>
        </is>
      </c>
      <c r="E1750" s="3" t="inlineStr">
        <is>
          <t>6 klaim YA dari 6 klaim dievaluasi</t>
        </is>
      </c>
      <c r="F1750" t="n">
        <v>1</v>
      </c>
      <c r="G1750" s="3" t="inlineStr">
        <is>
          <t>verdict per klaim: sheet 'Entailment Detail'</t>
        </is>
      </c>
    </row>
    <row r="1751">
      <c r="A1751" t="n">
        <v>119</v>
      </c>
      <c r="B1751" t="inlineStr">
        <is>
          <t>A</t>
        </is>
      </c>
      <c r="C1751" t="inlineStr">
        <is>
          <t>— Keyword Overlap (Pers. 14)</t>
        </is>
      </c>
      <c r="D1751" s="3" t="inlineStr">
        <is>
          <t>KWoverlap = (|Stems(ans)∩Stems(ctx)| / |Stems(ctx)|)^0,65</t>
        </is>
      </c>
      <c r="E1751" s="3" t="inlineStr">
        <is>
          <t>KWoverlap = (|∩|/|ctx|)^0,65 = (35/275)^0,65 = 0.1273^0,65 = 0.2619</t>
        </is>
      </c>
      <c r="F1751" t="n">
        <v>0.2619</v>
      </c>
      <c r="G1751" s="3" t="inlineStr"/>
    </row>
    <row r="1752">
      <c r="A1752" t="n">
        <v>119</v>
      </c>
      <c r="B1752" t="inlineStr">
        <is>
          <t>A</t>
        </is>
      </c>
      <c r="C1752" t="inlineStr">
        <is>
          <t>Hallucination Risk (Pers. 18)</t>
        </is>
      </c>
      <c r="D1752" s="3" t="inlineStr">
        <is>
          <t>Risk = 0,65×(1-F) + 0,20×Contradiction + 0,15×Uncertainty</t>
        </is>
      </c>
      <c r="E1752" s="3" t="inlineStr">
        <is>
          <t>Risk = 0,65×OutOfContext + 0,20×Contradiction + 0,15×Uncertainty = 0,65×0.2214 + 0,20×0.0000 + 0,15×0.20 = 0.1739 [RENDAH]</t>
        </is>
      </c>
      <c r="F1752" t="n">
        <v>0.1739</v>
      </c>
      <c r="G1752" s="3" t="inlineStr">
        <is>
          <t>label: RENDAH; kontradiksi 0/10 kalimat; uncertainty flag: True</t>
        </is>
      </c>
    </row>
    <row r="1753">
      <c r="A1753" t="n">
        <v>119</v>
      </c>
      <c r="B1753" t="inlineStr">
        <is>
          <t>B</t>
        </is>
      </c>
      <c r="C1753" t="inlineStr">
        <is>
          <t>Faithfulness (Pers. 15)</t>
        </is>
      </c>
      <c r="D1753" s="3" t="inlineStr">
        <is>
          <t>F = 0,70×Entailment + 0,30×KWoverlap</t>
        </is>
      </c>
      <c r="E1753" s="3" t="inlineStr">
        <is>
          <t>Faithfulness = 0,70×Entailment + 0,30×KWoverlap = 0,70×0.5000 + 0,30×0.1936 = 0.4081  (entailment: 3/6 klaim didukung; KWoverlap = (|∩|/|ctx|)^0,65 = (22/275)^0,65 = 0.0800^0,65 = 0.1936)</t>
        </is>
      </c>
      <c r="F1753" t="n">
        <v>0.4081</v>
      </c>
      <c r="G1753" s="3" t="inlineStr">
        <is>
          <t>metode: llm_entailment + keyword</t>
        </is>
      </c>
    </row>
    <row r="1754">
      <c r="A1754" t="n">
        <v>119</v>
      </c>
      <c r="B1754" t="inlineStr">
        <is>
          <t>B</t>
        </is>
      </c>
      <c r="C1754" t="inlineStr">
        <is>
          <t>— Entailment (Pers. 12-13)</t>
        </is>
      </c>
      <c r="D1754" s="3" t="inlineStr">
        <is>
          <t>Entailment = Σverdict(sᵢ)/m</t>
        </is>
      </c>
      <c r="E1754" s="3" t="inlineStr">
        <is>
          <t>3 klaim YA dari 6 klaim dievaluasi</t>
        </is>
      </c>
      <c r="F1754" t="n">
        <v>0.5</v>
      </c>
      <c r="G1754" s="3" t="inlineStr">
        <is>
          <t>verdict per klaim: sheet 'Entailment Detail'</t>
        </is>
      </c>
    </row>
    <row r="1755">
      <c r="A1755" t="n">
        <v>119</v>
      </c>
      <c r="B1755" t="inlineStr">
        <is>
          <t>B</t>
        </is>
      </c>
      <c r="C1755" t="inlineStr">
        <is>
          <t>— Keyword Overlap (Pers. 14)</t>
        </is>
      </c>
      <c r="D1755" s="3" t="inlineStr">
        <is>
          <t>KWoverlap = (|Stems(ans)∩Stems(ctx)| / |Stems(ctx)|)^0,65</t>
        </is>
      </c>
      <c r="E1755" s="3" t="inlineStr">
        <is>
          <t>KWoverlap = (|∩|/|ctx|)^0,65 = (22/275)^0,65 = 0.0800^0,65 = 0.1936</t>
        </is>
      </c>
      <c r="F1755" t="n">
        <v>0.1936</v>
      </c>
      <c r="G1755" s="3" t="inlineStr"/>
    </row>
    <row r="1756">
      <c r="A1756" t="n">
        <v>119</v>
      </c>
      <c r="B1756" t="inlineStr">
        <is>
          <t>B</t>
        </is>
      </c>
      <c r="C1756" t="inlineStr">
        <is>
          <t>Hallucination Risk (Pers. 18)</t>
        </is>
      </c>
      <c r="D1756" s="3" t="inlineStr">
        <is>
          <t>Risk = 0,65×(1-F) + 0,20×Contradiction + 0,15×Uncertainty</t>
        </is>
      </c>
      <c r="E1756" s="3" t="inlineStr">
        <is>
          <t>Risk = 0,65×OutOfContext + 0,20×Contradiction + 0,15×Uncertainty = 0,65×0.5919 + 0,20×0.0000 + 0,15×0.20 = 0.4147 [SEDANG]</t>
        </is>
      </c>
      <c r="F1756" t="n">
        <v>0.4147</v>
      </c>
      <c r="G1756" s="3" t="inlineStr">
        <is>
          <t>label: SEDANG; kontradiksi 0/17 kalimat; uncertainty flag: True</t>
        </is>
      </c>
    </row>
    <row r="1757">
      <c r="A1757" t="n">
        <v>119</v>
      </c>
      <c r="B1757" t="inlineStr">
        <is>
          <t>B</t>
        </is>
      </c>
      <c r="C1757" t="inlineStr">
        <is>
          <t>Answer Accuracy (Pers. 20)</t>
        </is>
      </c>
      <c r="D1757" s="3" t="inlineStr">
        <is>
          <t>Correctᵢ ∈ {0,1} via LLM-as-Judge (HASIL: BENAR/SALAH)</t>
        </is>
      </c>
      <c r="E1757" s="3" t="inlineStr">
        <is>
          <t>BENAR</t>
        </is>
      </c>
      <c r="F1757" t="inlineStr">
        <is>
          <t>BENAR</t>
        </is>
      </c>
      <c r="G1757" s="3" t="inlineStr">
        <is>
          <t>evaluator: ollama/llama3</t>
        </is>
      </c>
    </row>
    <row r="1758">
      <c r="A1758" t="n">
        <v>120</v>
      </c>
      <c r="B1758" t="inlineStr">
        <is>
          <t>A</t>
        </is>
      </c>
      <c r="C1758" t="inlineStr">
        <is>
          <t>Precision@K (Pers. 2)</t>
        </is>
      </c>
      <c r="D1758" s="3" t="inlineStr">
        <is>
          <t>Precision@K = |{d ∈ TopK : sim(q,d) ≥ θ}| / K</t>
        </is>
      </c>
      <c r="E1758" s="3" t="inlineStr">
        <is>
          <t>skor = [0.8637, 0.8256, 0.7901, 0.7641, 0.7614, 0.7337] → 6 / 6</t>
        </is>
      </c>
      <c r="F1758" t="n">
        <v>1</v>
      </c>
      <c r="G1758" s="3" t="inlineStr">
        <is>
          <t>basis: skor chunk nyata (sesuai contoh Pers. 2 skripsi)</t>
        </is>
      </c>
    </row>
    <row r="1759">
      <c r="A1759" t="n">
        <v>120</v>
      </c>
      <c r="B1759" t="inlineStr">
        <is>
          <t>A</t>
        </is>
      </c>
      <c r="C1759" t="inlineStr">
        <is>
          <t>Recall@K (Pers. 4)</t>
        </is>
      </c>
      <c r="D1759" s="3" t="inlineStr">
        <is>
          <t>Recall@K = |{kata kunci ditemukan : sim ≥ θ}| / |R|</t>
        </is>
      </c>
      <c r="E1759" s="3" t="inlineStr">
        <is>
          <t>skor = [0.6705, 0.6525, 0.5724, 0.5644, 0.544, 0.4777] → 6 / 7</t>
        </is>
      </c>
      <c r="F1759" t="n">
        <v>0.8571</v>
      </c>
      <c r="G1759" s="3" t="inlineStr"/>
    </row>
    <row r="1760">
      <c r="A1760" t="n">
        <v>120</v>
      </c>
      <c r="B1760" t="inlineStr">
        <is>
          <t>A</t>
        </is>
      </c>
      <c r="C1760" t="inlineStr">
        <is>
          <t>Mean Similarity (Pers. 6)</t>
        </is>
      </c>
      <c r="D1760" s="3" t="inlineStr">
        <is>
          <t>MeanSim = (1/K) × Σ sim(q, dᵢ)</t>
        </is>
      </c>
      <c r="E1760" s="3" t="inlineStr">
        <is>
          <t>skor = [0.8637, 0.8256, 0.7901, 0.7641, 0.7614, 0.7337] → (0.8637 + 0.8256 + 0.7901 + 0.7641 + 0.7614 + 0.7337) / 6</t>
        </is>
      </c>
      <c r="F1760" t="n">
        <v>0.7897999999999999</v>
      </c>
      <c r="G1760" s="3" t="inlineStr"/>
    </row>
    <row r="1761">
      <c r="A1761" t="n">
        <v>120</v>
      </c>
      <c r="B1761" t="inlineStr">
        <is>
          <t>A</t>
        </is>
      </c>
      <c r="C1761" t="inlineStr">
        <is>
          <t>Coverage (Pers. 8)</t>
        </is>
      </c>
      <c r="D1761" s="3" t="inlineStr">
        <is>
          <t>Coverage = |{dᵢ ∈ TopK : sim(q,dᵢ) ≥ θc}| / K</t>
        </is>
      </c>
      <c r="E1761" s="3" t="inlineStr">
        <is>
          <t>skor = [0.8637, 0.8256, 0.7901, 0.7641, 0.7614, 0.7337] → 6 / 6</t>
        </is>
      </c>
      <c r="F1761" t="n">
        <v>1</v>
      </c>
      <c r="G1761" s="3" t="inlineStr"/>
    </row>
    <row r="1762">
      <c r="A1762" t="n">
        <v>120</v>
      </c>
      <c r="B1762" t="inlineStr">
        <is>
          <t>A</t>
        </is>
      </c>
      <c r="C1762" t="inlineStr">
        <is>
          <t>Source Diversity (Pers. 10)</t>
        </is>
      </c>
      <c r="D1762" s="3" t="inlineStr">
        <is>
          <t>Diversity = |sumber unik dalam TopK| / K</t>
        </is>
      </c>
      <c r="E1762" s="3" t="inlineStr">
        <is>
          <t>skor = ['GT_CT04.txt', 'GT_DETAIL_PT03_Dekomposisi.txt', 'GT_DETAIL_PT04_Abstraksi.txt', 'GT_SUBTOPIK_01_Dekomposisi_Optimasi.txt', 'GT_SUBTOPIK_02_Abstraksi_Formulasi.txt'] → 5 / 6</t>
        </is>
      </c>
      <c r="F1762" t="n">
        <v>0.8333</v>
      </c>
      <c r="G1762" s="3" t="inlineStr">
        <is>
          <t>file unik: GT_CT04.txt, GT_DETAIL_PT03_Dekomposisi.txt, GT_DETAIL_PT04_Abstraksi.txt, GT_SUBTOPIK_01_Dekomposisi_Optimasi.txt, GT_SUBTOPIK_02_Abstraksi_Formulasi.txt</t>
        </is>
      </c>
    </row>
    <row r="1763">
      <c r="A1763" t="n">
        <v>120</v>
      </c>
      <c r="B1763" t="inlineStr">
        <is>
          <t>A</t>
        </is>
      </c>
      <c r="C1763" t="inlineStr">
        <is>
          <t>Faithfulness (Pers. 15)</t>
        </is>
      </c>
      <c r="D1763" s="3" t="inlineStr">
        <is>
          <t>F = 0,70×Entailment + 0,30×KWoverlap</t>
        </is>
      </c>
      <c r="E1763" s="3" t="inlineStr">
        <is>
          <t>Faithfulness = 0,70×Entailment + 0,30×KWoverlap = 0,70×1.0000 + 0,30×0.3013 = 0.7904  (entailment: 6/6 klaim didukung; KWoverlap = (|∩|/|ctx|)^0,65 = (33/209)^0,65 = 0.1579^0,65 = 0.3013)</t>
        </is>
      </c>
      <c r="F1763" t="n">
        <v>0.7904</v>
      </c>
      <c r="G1763" s="3" t="inlineStr">
        <is>
          <t>metode: llm_entailment + keyword</t>
        </is>
      </c>
    </row>
    <row r="1764">
      <c r="A1764" t="n">
        <v>120</v>
      </c>
      <c r="B1764" t="inlineStr">
        <is>
          <t>A</t>
        </is>
      </c>
      <c r="C1764" t="inlineStr">
        <is>
          <t>— Entailment (Pers. 12-13)</t>
        </is>
      </c>
      <c r="D1764" s="3" t="inlineStr">
        <is>
          <t>Entailment = Σverdict(sᵢ)/m</t>
        </is>
      </c>
      <c r="E1764" s="3" t="inlineStr">
        <is>
          <t>6 klaim YA dari 6 klaim dievaluasi</t>
        </is>
      </c>
      <c r="F1764" t="n">
        <v>1</v>
      </c>
      <c r="G1764" s="3" t="inlineStr">
        <is>
          <t>verdict per klaim: sheet 'Entailment Detail'</t>
        </is>
      </c>
    </row>
    <row r="1765">
      <c r="A1765" t="n">
        <v>120</v>
      </c>
      <c r="B1765" t="inlineStr">
        <is>
          <t>A</t>
        </is>
      </c>
      <c r="C1765" t="inlineStr">
        <is>
          <t>— Keyword Overlap (Pers. 14)</t>
        </is>
      </c>
      <c r="D1765" s="3" t="inlineStr">
        <is>
          <t>KWoverlap = (|Stems(ans)∩Stems(ctx)| / |Stems(ctx)|)^0,65</t>
        </is>
      </c>
      <c r="E1765" s="3" t="inlineStr">
        <is>
          <t>KWoverlap = (|∩|/|ctx|)^0,65 = (33/209)^0,65 = 0.1579^0,65 = 0.3013</t>
        </is>
      </c>
      <c r="F1765" t="n">
        <v>0.3013</v>
      </c>
      <c r="G1765" s="3" t="inlineStr"/>
    </row>
    <row r="1766">
      <c r="A1766" t="n">
        <v>120</v>
      </c>
      <c r="B1766" t="inlineStr">
        <is>
          <t>A</t>
        </is>
      </c>
      <c r="C1766" t="inlineStr">
        <is>
          <t>Hallucination Risk (Pers. 18)</t>
        </is>
      </c>
      <c r="D1766" s="3" t="inlineStr">
        <is>
          <t>Risk = 0,65×(1-F) + 0,20×Contradiction + 0,15×Uncertainty</t>
        </is>
      </c>
      <c r="E1766" s="3" t="inlineStr">
        <is>
          <t>Risk = 0,65×OutOfContext + 0,20×Contradiction + 0,15×Uncertainty = 0,65×0.2096 + 0,20×0.0000 + 0,15×0.20 = 0.1662 [RENDAH]</t>
        </is>
      </c>
      <c r="F1766" t="n">
        <v>0.1662</v>
      </c>
      <c r="G1766" s="3" t="inlineStr">
        <is>
          <t>label: RENDAH; kontradiksi 0/8 kalimat; uncertainty flag: True</t>
        </is>
      </c>
    </row>
    <row r="1767">
      <c r="A1767" t="n">
        <v>120</v>
      </c>
      <c r="B1767" t="inlineStr">
        <is>
          <t>A</t>
        </is>
      </c>
      <c r="C1767" t="inlineStr">
        <is>
          <t>Answer Accuracy (Pers. 20)</t>
        </is>
      </c>
      <c r="D1767" s="3" t="inlineStr">
        <is>
          <t>Correctᵢ ∈ {0,1} via LLM-as-Judge (HASIL: BENAR/SALAH)</t>
        </is>
      </c>
      <c r="E1767" s="3" t="inlineStr">
        <is>
          <t>BENAR
The system's answer correctly identifies the concept of "batasan" in the context of the lift problem as referring to constraints or limitations that affect the solution. The explanation also highlights the difference between data (which includes information about the weight of each beaver) and batasan (which includes the capacity of each lift and the total weight of the beavers).</t>
        </is>
      </c>
      <c r="F1767" t="inlineStr">
        <is>
          <t>BENAR</t>
        </is>
      </c>
      <c r="G1767" s="3" t="inlineStr">
        <is>
          <t>evaluator: ollama/llama3</t>
        </is>
      </c>
    </row>
    <row r="1768">
      <c r="A1768" t="n">
        <v>120</v>
      </c>
      <c r="B1768" t="inlineStr">
        <is>
          <t>B</t>
        </is>
      </c>
      <c r="C1768" t="inlineStr">
        <is>
          <t>Faithfulness (Pers. 15)</t>
        </is>
      </c>
      <c r="D1768" s="3" t="inlineStr">
        <is>
          <t>F = 0,70×Entailment + 0,30×KWoverlap</t>
        </is>
      </c>
      <c r="E1768" s="3" t="inlineStr">
        <is>
          <t>Faithfulness = 0,70×Entailment + 0,30×KWoverlap = 0,70×1.0000 + 0,30×0.2770 = 0.7831  (entailment: 6/6 klaim didukung; KWoverlap = (|∩|/|ctx|)^0,65 = (29/209)^0,65 = 0.1388^0,65 = 0.2770)</t>
        </is>
      </c>
      <c r="F1768" t="n">
        <v>0.7831</v>
      </c>
      <c r="G1768" s="3" t="inlineStr">
        <is>
          <t>metode: llm_entailment + keyword</t>
        </is>
      </c>
    </row>
    <row r="1769">
      <c r="A1769" t="n">
        <v>120</v>
      </c>
      <c r="B1769" t="inlineStr">
        <is>
          <t>B</t>
        </is>
      </c>
      <c r="C1769" t="inlineStr">
        <is>
          <t>— Entailment (Pers. 12-13)</t>
        </is>
      </c>
      <c r="D1769" s="3" t="inlineStr">
        <is>
          <t>Entailment = Σverdict(sᵢ)/m</t>
        </is>
      </c>
      <c r="E1769" s="3" t="inlineStr">
        <is>
          <t>6 klaim YA dari 6 klaim dievaluasi</t>
        </is>
      </c>
      <c r="F1769" t="n">
        <v>1</v>
      </c>
      <c r="G1769" s="3" t="inlineStr">
        <is>
          <t>verdict per klaim: sheet 'Entailment Detail'</t>
        </is>
      </c>
    </row>
    <row r="1770">
      <c r="A1770" t="n">
        <v>120</v>
      </c>
      <c r="B1770" t="inlineStr">
        <is>
          <t>B</t>
        </is>
      </c>
      <c r="C1770" t="inlineStr">
        <is>
          <t>— Keyword Overlap (Pers. 14)</t>
        </is>
      </c>
      <c r="D1770" s="3" t="inlineStr">
        <is>
          <t>KWoverlap = (|Stems(ans)∩Stems(ctx)| / |Stems(ctx)|)^0,65</t>
        </is>
      </c>
      <c r="E1770" s="3" t="inlineStr">
        <is>
          <t>KWoverlap = (|∩|/|ctx|)^0,65 = (29/209)^0,65 = 0.1388^0,65 = 0.2770</t>
        </is>
      </c>
      <c r="F1770" t="n">
        <v>0.277</v>
      </c>
      <c r="G1770" s="3" t="inlineStr"/>
    </row>
    <row r="1771">
      <c r="A1771" t="n">
        <v>120</v>
      </c>
      <c r="B1771" t="inlineStr">
        <is>
          <t>B</t>
        </is>
      </c>
      <c r="C1771" t="inlineStr">
        <is>
          <t>Hallucination Risk (Pers. 18)</t>
        </is>
      </c>
      <c r="D1771" s="3" t="inlineStr">
        <is>
          <t>Risk = 0,65×(1-F) + 0,20×Contradiction + 0,15×Uncertainty</t>
        </is>
      </c>
      <c r="E1771" s="3" t="inlineStr">
        <is>
          <t>Risk = 0,65×OutOfContext + 0,20×Contradiction + 0,15×Uncertainty = 0,65×0.2169 + 0,20×0.0000 + 0,15×0.20 = 0.1710 [RENDAH]</t>
        </is>
      </c>
      <c r="F1771" t="n">
        <v>0.171</v>
      </c>
      <c r="G1771" s="3" t="inlineStr">
        <is>
          <t>label: RENDAH; kontradiksi 0/12 kalimat; uncertainty flag: True</t>
        </is>
      </c>
    </row>
    <row r="1772">
      <c r="A1772" t="n">
        <v>120</v>
      </c>
      <c r="B1772" t="inlineStr">
        <is>
          <t>B</t>
        </is>
      </c>
      <c r="C1772" t="inlineStr">
        <is>
          <t>Answer Accuracy (Pers. 20)</t>
        </is>
      </c>
      <c r="D1772" s="3" t="inlineStr">
        <is>
          <t>Correctᵢ ∈ {0,1} via LLM-as-Judge (HASIL: BENAR/SALAH)</t>
        </is>
      </c>
      <c r="E1772" s="3" t="inlineStr">
        <is>
          <t>BENAR</t>
        </is>
      </c>
      <c r="F1772" t="inlineStr">
        <is>
          <t>BENAR</t>
        </is>
      </c>
      <c r="G1772" s="3" t="inlineStr">
        <is>
          <t>evaluator: ollama/llama3</t>
        </is>
      </c>
    </row>
    <row r="1773">
      <c r="A1773" t="n">
        <v>121</v>
      </c>
      <c r="B1773" t="inlineStr">
        <is>
          <t>A</t>
        </is>
      </c>
      <c r="C1773" t="inlineStr">
        <is>
          <t>Precision@K (Pers. 2)</t>
        </is>
      </c>
      <c r="D1773" s="3" t="inlineStr">
        <is>
          <t>Precision@K = |{d ∈ TopK : sim(q,d) ≥ θ}| / K</t>
        </is>
      </c>
      <c r="E1773" s="3" t="inlineStr">
        <is>
          <t>skor = [0.7396, 0.734, 0.7148, 0.7087, 0.7071, 0.7063] → 6 / 6</t>
        </is>
      </c>
      <c r="F1773" t="n">
        <v>1</v>
      </c>
      <c r="G1773" s="3" t="inlineStr">
        <is>
          <t>basis: skor chunk nyata (sesuai contoh Pers. 2 skripsi)</t>
        </is>
      </c>
    </row>
    <row r="1774">
      <c r="A1774" t="n">
        <v>121</v>
      </c>
      <c r="B1774" t="inlineStr">
        <is>
          <t>A</t>
        </is>
      </c>
      <c r="C1774" t="inlineStr">
        <is>
          <t>Recall@K (Pers. 4)</t>
        </is>
      </c>
      <c r="D1774" s="3" t="inlineStr">
        <is>
          <t>Recall@K = |{kata kunci ditemukan : sim ≥ θ}| / |R|</t>
        </is>
      </c>
      <c r="E1774" s="3" t="inlineStr">
        <is>
          <t>skor = [0.7017, 0.6502, 0.5515, 0.4993, 0.4625, 0.414] → 6 / 7</t>
        </is>
      </c>
      <c r="F1774" t="n">
        <v>0.8571</v>
      </c>
      <c r="G1774" s="3" t="inlineStr"/>
    </row>
    <row r="1775">
      <c r="A1775" t="n">
        <v>121</v>
      </c>
      <c r="B1775" t="inlineStr">
        <is>
          <t>A</t>
        </is>
      </c>
      <c r="C1775" t="inlineStr">
        <is>
          <t>Mean Similarity (Pers. 6)</t>
        </is>
      </c>
      <c r="D1775" s="3" t="inlineStr">
        <is>
          <t>MeanSim = (1/K) × Σ sim(q, dᵢ)</t>
        </is>
      </c>
      <c r="E1775" s="3" t="inlineStr">
        <is>
          <t>skor = [0.7396, 0.734, 0.7148, 0.7087, 0.7071, 0.7063] → (0.7396 + 0.7340 + 0.7148 + 0.7087 + 0.7071 + 0.7063) / 6</t>
        </is>
      </c>
      <c r="F1775" t="n">
        <v>0.7184</v>
      </c>
      <c r="G1775" s="3" t="inlineStr"/>
    </row>
    <row r="1776">
      <c r="A1776" t="n">
        <v>121</v>
      </c>
      <c r="B1776" t="inlineStr">
        <is>
          <t>A</t>
        </is>
      </c>
      <c r="C1776" t="inlineStr">
        <is>
          <t>Coverage (Pers. 8)</t>
        </is>
      </c>
      <c r="D1776" s="3" t="inlineStr">
        <is>
          <t>Coverage = |{dᵢ ∈ TopK : sim(q,dᵢ) ≥ θc}| / K</t>
        </is>
      </c>
      <c r="E1776" s="3" t="inlineStr">
        <is>
          <t>skor = [0.7396, 0.734, 0.7148, 0.7087, 0.7071, 0.7063] → 6 / 6</t>
        </is>
      </c>
      <c r="F1776" t="n">
        <v>1</v>
      </c>
      <c r="G1776" s="3" t="inlineStr"/>
    </row>
    <row r="1777">
      <c r="A1777" t="n">
        <v>121</v>
      </c>
      <c r="B1777" t="inlineStr">
        <is>
          <t>A</t>
        </is>
      </c>
      <c r="C1777" t="inlineStr">
        <is>
          <t>Source Diversity (Pers. 10)</t>
        </is>
      </c>
      <c r="D1777" s="3" t="inlineStr">
        <is>
          <t>Diversity = |sumber unik dalam TopK| / K</t>
        </is>
      </c>
      <c r="E1777" s="3" t="inlineStr">
        <is>
          <t>skor = ['GT_CT01.txt', 'GT_CT04.txt', 'GT_CT07.txt', 'GT_DETAIL_PT01_Pendahuluan.txt', 'GT_SUBTOPIK_02_Abstraksi_Formulasi.txt'] → 5 / 6</t>
        </is>
      </c>
      <c r="F1777" t="n">
        <v>0.8333</v>
      </c>
      <c r="G1777" s="3" t="inlineStr">
        <is>
          <t>file unik: GT_CT01.txt, GT_CT04.txt, GT_CT07.txt, GT_DETAIL_PT01_Pendahuluan.txt, GT_SUBTOPIK_02_Abstraksi_Formulasi.txt</t>
        </is>
      </c>
    </row>
    <row r="1778">
      <c r="A1778" t="n">
        <v>121</v>
      </c>
      <c r="B1778" t="inlineStr">
        <is>
          <t>A</t>
        </is>
      </c>
      <c r="C1778" t="inlineStr">
        <is>
          <t>Faithfulness (Pers. 15)</t>
        </is>
      </c>
      <c r="D1778" s="3" t="inlineStr">
        <is>
          <t>F = 0,70×Entailment + 0,30×KWoverlap</t>
        </is>
      </c>
      <c r="E1778" s="3" t="inlineStr">
        <is>
          <t>Faithfulness = 0,70×Entailment + 0,30×KWoverlap = 0,70×1.0000 + 0,30×0.3031 = 0.7909  (entailment: 6/6 klaim didukung; KWoverlap = (|∩|/|ctx|)^0,65 = (62/389)^0,65 = 0.1594^0,65 = 0.3031)</t>
        </is>
      </c>
      <c r="F1778" t="n">
        <v>0.7909</v>
      </c>
      <c r="G1778" s="3" t="inlineStr">
        <is>
          <t>metode: llm_entailment + keyword</t>
        </is>
      </c>
    </row>
    <row r="1779">
      <c r="A1779" t="n">
        <v>121</v>
      </c>
      <c r="B1779" t="inlineStr">
        <is>
          <t>A</t>
        </is>
      </c>
      <c r="C1779" t="inlineStr">
        <is>
          <t>— Entailment (Pers. 12-13)</t>
        </is>
      </c>
      <c r="D1779" s="3" t="inlineStr">
        <is>
          <t>Entailment = Σverdict(sᵢ)/m</t>
        </is>
      </c>
      <c r="E1779" s="3" t="inlineStr">
        <is>
          <t>6 klaim YA dari 6 klaim dievaluasi</t>
        </is>
      </c>
      <c r="F1779" t="n">
        <v>1</v>
      </c>
      <c r="G1779" s="3" t="inlineStr">
        <is>
          <t>verdict per klaim: sheet 'Entailment Detail'</t>
        </is>
      </c>
    </row>
    <row r="1780">
      <c r="A1780" t="n">
        <v>121</v>
      </c>
      <c r="B1780" t="inlineStr">
        <is>
          <t>A</t>
        </is>
      </c>
      <c r="C1780" t="inlineStr">
        <is>
          <t>— Keyword Overlap (Pers. 14)</t>
        </is>
      </c>
      <c r="D1780" s="3" t="inlineStr">
        <is>
          <t>KWoverlap = (|Stems(ans)∩Stems(ctx)| / |Stems(ctx)|)^0,65</t>
        </is>
      </c>
      <c r="E1780" s="3" t="inlineStr">
        <is>
          <t>KWoverlap = (|∩|/|ctx|)^0,65 = (62/389)^0,65 = 0.1594^0,65 = 0.3031</t>
        </is>
      </c>
      <c r="F1780" t="n">
        <v>0.3031</v>
      </c>
      <c r="G1780" s="3" t="inlineStr"/>
    </row>
    <row r="1781">
      <c r="A1781" t="n">
        <v>121</v>
      </c>
      <c r="B1781" t="inlineStr">
        <is>
          <t>A</t>
        </is>
      </c>
      <c r="C1781" t="inlineStr">
        <is>
          <t>Hallucination Risk (Pers. 18)</t>
        </is>
      </c>
      <c r="D1781" s="3" t="inlineStr">
        <is>
          <t>Risk = 0,65×(1-F) + 0,20×Contradiction + 0,15×Uncertainty</t>
        </is>
      </c>
      <c r="E1781" s="3" t="inlineStr">
        <is>
          <t>Risk = 0,65×OutOfContext + 0,20×Contradiction + 0,15×Uncertainty = 0,65×0.2091 + 0,20×0.0000 + 0,15×0.00 = 0.1359 [RENDAH]</t>
        </is>
      </c>
      <c r="F1781" t="n">
        <v>0.1359</v>
      </c>
      <c r="G1781" s="3" t="inlineStr">
        <is>
          <t>label: RENDAH; kontradiksi 0/10 kalimat; uncertainty flag: False</t>
        </is>
      </c>
    </row>
    <row r="1782">
      <c r="A1782" t="n">
        <v>121</v>
      </c>
      <c r="B1782" t="inlineStr">
        <is>
          <t>A</t>
        </is>
      </c>
      <c r="C1782" t="inlineStr">
        <is>
          <t>Answer Accuracy (Pers. 20)</t>
        </is>
      </c>
      <c r="D1782" s="3" t="inlineStr">
        <is>
          <t>Correctᵢ ∈ {0,1} via LLM-as-Judge (HASIL: BENAR/SALAH)</t>
        </is>
      </c>
      <c r="E1782" s="3" t="inlineStr">
        <is>
          <t>BENAR</t>
        </is>
      </c>
      <c r="F1782" t="inlineStr">
        <is>
          <t>BENAR</t>
        </is>
      </c>
      <c r="G1782" s="3" t="inlineStr">
        <is>
          <t>evaluator: ollama/llama3</t>
        </is>
      </c>
    </row>
    <row r="1783">
      <c r="A1783" t="n">
        <v>121</v>
      </c>
      <c r="B1783" t="inlineStr">
        <is>
          <t>B</t>
        </is>
      </c>
      <c r="C1783" t="inlineStr">
        <is>
          <t>Faithfulness (Pers. 15)</t>
        </is>
      </c>
      <c r="D1783" s="3" t="inlineStr">
        <is>
          <t>F = 0,70×Entailment + 0,30×KWoverlap</t>
        </is>
      </c>
      <c r="E1783" s="3" t="inlineStr">
        <is>
          <t>Faithfulness = 0,70×Entailment + 0,30×KWoverlap = 0,70×1.0000 + 0,30×0.2636 = 0.7791  (entailment: 6/6 klaim didukung; KWoverlap = (|∩|/|ctx|)^0,65 = (50/389)^0,65 = 0.1285^0,65 = 0.2636)</t>
        </is>
      </c>
      <c r="F1783" t="n">
        <v>0.7791</v>
      </c>
      <c r="G1783" s="3" t="inlineStr">
        <is>
          <t>metode: llm_entailment + keyword</t>
        </is>
      </c>
    </row>
    <row r="1784">
      <c r="A1784" t="n">
        <v>121</v>
      </c>
      <c r="B1784" t="inlineStr">
        <is>
          <t>B</t>
        </is>
      </c>
      <c r="C1784" t="inlineStr">
        <is>
          <t>— Entailment (Pers. 12-13)</t>
        </is>
      </c>
      <c r="D1784" s="3" t="inlineStr">
        <is>
          <t>Entailment = Σverdict(sᵢ)/m</t>
        </is>
      </c>
      <c r="E1784" s="3" t="inlineStr">
        <is>
          <t>6 klaim YA dari 6 klaim dievaluasi</t>
        </is>
      </c>
      <c r="F1784" t="n">
        <v>1</v>
      </c>
      <c r="G1784" s="3" t="inlineStr">
        <is>
          <t>verdict per klaim: sheet 'Entailment Detail'</t>
        </is>
      </c>
    </row>
    <row r="1785">
      <c r="A1785" t="n">
        <v>121</v>
      </c>
      <c r="B1785" t="inlineStr">
        <is>
          <t>B</t>
        </is>
      </c>
      <c r="C1785" t="inlineStr">
        <is>
          <t>— Keyword Overlap (Pers. 14)</t>
        </is>
      </c>
      <c r="D1785" s="3" t="inlineStr">
        <is>
          <t>KWoverlap = (|Stems(ans)∩Stems(ctx)| / |Stems(ctx)|)^0,65</t>
        </is>
      </c>
      <c r="E1785" s="3" t="inlineStr">
        <is>
          <t>KWoverlap = (|∩|/|ctx|)^0,65 = (50/389)^0,65 = 0.1285^0,65 = 0.2636</t>
        </is>
      </c>
      <c r="F1785" t="n">
        <v>0.2636</v>
      </c>
      <c r="G1785" s="3" t="inlineStr"/>
    </row>
    <row r="1786">
      <c r="A1786" t="n">
        <v>121</v>
      </c>
      <c r="B1786" t="inlineStr">
        <is>
          <t>B</t>
        </is>
      </c>
      <c r="C1786" t="inlineStr">
        <is>
          <t>Hallucination Risk (Pers. 18)</t>
        </is>
      </c>
      <c r="D1786" s="3" t="inlineStr">
        <is>
          <t>Risk = 0,65×(1-F) + 0,20×Contradiction + 0,15×Uncertainty</t>
        </is>
      </c>
      <c r="E1786" s="3" t="inlineStr">
        <is>
          <t>Risk = 0,65×OutOfContext + 0,20×Contradiction + 0,15×Uncertainty = 0,65×0.2209 + 0,20×0.0000 + 0,15×0.20 = 0.1736 [RENDAH]</t>
        </is>
      </c>
      <c r="F1786" t="n">
        <v>0.1736</v>
      </c>
      <c r="G1786" s="3" t="inlineStr">
        <is>
          <t>label: RENDAH; kontradiksi 0/29 kalimat; uncertainty flag: True</t>
        </is>
      </c>
    </row>
    <row r="1787">
      <c r="A1787" t="n">
        <v>121</v>
      </c>
      <c r="B1787" t="inlineStr">
        <is>
          <t>B</t>
        </is>
      </c>
      <c r="C1787" t="inlineStr">
        <is>
          <t>Answer Accuracy (Pers. 20)</t>
        </is>
      </c>
      <c r="D1787" s="3" t="inlineStr">
        <is>
          <t>Correctᵢ ∈ {0,1} via LLM-as-Judge (HASIL: BENAR/SALAH)</t>
        </is>
      </c>
      <c r="E1787" s="3" t="inlineStr">
        <is>
          <t>BENAR
The system's answer is correct based on the reference provided. The reference defines abstraction as "the ability to focus on what's important, identify and concentrate on relevant details, and ignore irrelevant and distracting things". The system's answer explains that abstraction is a process of increasing awareness or understanding of a concept or object, which aligns with the definition</t>
        </is>
      </c>
      <c r="F1787" t="inlineStr">
        <is>
          <t>BENAR</t>
        </is>
      </c>
      <c r="G1787" s="3" t="inlineStr">
        <is>
          <t>evaluator: ollama/llama3</t>
        </is>
      </c>
    </row>
    <row r="1788">
      <c r="A1788" t="n">
        <v>122</v>
      </c>
      <c r="B1788" t="inlineStr">
        <is>
          <t>A</t>
        </is>
      </c>
      <c r="C1788" t="inlineStr">
        <is>
          <t>Precision@K (Pers. 2)</t>
        </is>
      </c>
      <c r="D1788" s="3" t="inlineStr">
        <is>
          <t>Precision@K = |{d ∈ TopK : sim(q,d) ≥ θ}| / K</t>
        </is>
      </c>
      <c r="E1788" s="3" t="inlineStr">
        <is>
          <t>skor = [0.7575, 0.7524, 0.7521, 0.7328, 0.7314, 0.7312] → 6 / 6</t>
        </is>
      </c>
      <c r="F1788" t="n">
        <v>1</v>
      </c>
      <c r="G1788" s="3" t="inlineStr">
        <is>
          <t>basis: skor chunk nyata (sesuai contoh Pers. 2 skripsi)</t>
        </is>
      </c>
    </row>
    <row r="1789">
      <c r="A1789" t="n">
        <v>122</v>
      </c>
      <c r="B1789" t="inlineStr">
        <is>
          <t>A</t>
        </is>
      </c>
      <c r="C1789" t="inlineStr">
        <is>
          <t>Recall@K (Pers. 4)</t>
        </is>
      </c>
      <c r="D1789" s="3" t="inlineStr">
        <is>
          <t>Recall@K = |{kata kunci ditemukan : sim ≥ θ}| / |R|</t>
        </is>
      </c>
      <c r="E1789" s="3" t="inlineStr">
        <is>
          <t>skor = [0.5991, 0.5878, 0.5636, 0.5441, 0.4916, 0.4466] → 6 / 6</t>
        </is>
      </c>
      <c r="F1789" t="n">
        <v>1</v>
      </c>
      <c r="G1789" s="3" t="inlineStr"/>
    </row>
    <row r="1790">
      <c r="A1790" t="n">
        <v>122</v>
      </c>
      <c r="B1790" t="inlineStr">
        <is>
          <t>A</t>
        </is>
      </c>
      <c r="C1790" t="inlineStr">
        <is>
          <t>Mean Similarity (Pers. 6)</t>
        </is>
      </c>
      <c r="D1790" s="3" t="inlineStr">
        <is>
          <t>MeanSim = (1/K) × Σ sim(q, dᵢ)</t>
        </is>
      </c>
      <c r="E1790" s="3" t="inlineStr">
        <is>
          <t>skor = [0.7575, 0.7524, 0.7521, 0.7328, 0.7314, 0.7312] → (0.7575 + 0.7524 + 0.7521 + 0.7328 + 0.7314 + 0.7312) / 6</t>
        </is>
      </c>
      <c r="F1790" t="n">
        <v>0.7429</v>
      </c>
      <c r="G1790" s="3" t="inlineStr"/>
    </row>
    <row r="1791">
      <c r="A1791" t="n">
        <v>122</v>
      </c>
      <c r="B1791" t="inlineStr">
        <is>
          <t>A</t>
        </is>
      </c>
      <c r="C1791" t="inlineStr">
        <is>
          <t>Coverage (Pers. 8)</t>
        </is>
      </c>
      <c r="D1791" s="3" t="inlineStr">
        <is>
          <t>Coverage = |{dᵢ ∈ TopK : sim(q,dᵢ) ≥ θc}| / K</t>
        </is>
      </c>
      <c r="E1791" s="3" t="inlineStr">
        <is>
          <t>skor = [0.7575, 0.7524, 0.7521, 0.7328, 0.7314, 0.7312] → 6 / 6</t>
        </is>
      </c>
      <c r="F1791" t="n">
        <v>1</v>
      </c>
      <c r="G1791" s="3" t="inlineStr"/>
    </row>
    <row r="1792">
      <c r="A1792" t="n">
        <v>122</v>
      </c>
      <c r="B1792" t="inlineStr">
        <is>
          <t>A</t>
        </is>
      </c>
      <c r="C1792" t="inlineStr">
        <is>
          <t>Source Diversity (Pers. 10)</t>
        </is>
      </c>
      <c r="D1792" s="3" t="inlineStr">
        <is>
          <t>Diversity = |sumber unik dalam TopK| / K</t>
        </is>
      </c>
      <c r="E1792" s="3" t="inlineStr">
        <is>
          <t>skor = ['GT_CT07.txt', 'GT_DETAIL_PT05_Pattern_Recognition.txt', 'GT_SUBTOPIK_03_Pola_Bilangan_Deret.txt', 'GT_SUBTOPIK_04_Modulo_Siklus.txt'] → 4 / 6</t>
        </is>
      </c>
      <c r="F1792" t="n">
        <v>0.6667</v>
      </c>
      <c r="G1792" s="3" t="inlineStr">
        <is>
          <t>file unik: GT_CT07.txt, GT_DETAIL_PT05_Pattern_Recognition.txt, GT_SUBTOPIK_03_Pola_Bilangan_Deret.txt, GT_SUBTOPIK_04_Modulo_Siklus.txt</t>
        </is>
      </c>
    </row>
    <row r="1793">
      <c r="A1793" t="n">
        <v>122</v>
      </c>
      <c r="B1793" t="inlineStr">
        <is>
          <t>A</t>
        </is>
      </c>
      <c r="C1793" t="inlineStr">
        <is>
          <t>Faithfulness (Pers. 15)</t>
        </is>
      </c>
      <c r="D1793" s="3" t="inlineStr">
        <is>
          <t>F = 0,70×Entailment + 0,30×KWoverlap</t>
        </is>
      </c>
      <c r="E1793" s="3" t="inlineStr">
        <is>
          <t>Faithfulness = 0,70×Entailment + 0,30×KWoverlap = 0,70×1.0000 + 0,30×0.2007 = 0.7602  (entailment: 6/6 klaim didukung; KWoverlap = (|∩|/|ctx|)^0,65 = (18/213)^0,65 = 0.0845^0,65 = 0.2007)</t>
        </is>
      </c>
      <c r="F1793" t="n">
        <v>0.7602</v>
      </c>
      <c r="G1793" s="3" t="inlineStr">
        <is>
          <t>metode: llm_entailment + keyword</t>
        </is>
      </c>
    </row>
    <row r="1794">
      <c r="A1794" t="n">
        <v>122</v>
      </c>
      <c r="B1794" t="inlineStr">
        <is>
          <t>A</t>
        </is>
      </c>
      <c r="C1794" t="inlineStr">
        <is>
          <t>— Entailment (Pers. 12-13)</t>
        </is>
      </c>
      <c r="D1794" s="3" t="inlineStr">
        <is>
          <t>Entailment = Σverdict(sᵢ)/m</t>
        </is>
      </c>
      <c r="E1794" s="3" t="inlineStr">
        <is>
          <t>6 klaim YA dari 6 klaim dievaluasi</t>
        </is>
      </c>
      <c r="F1794" t="n">
        <v>1</v>
      </c>
      <c r="G1794" s="3" t="inlineStr">
        <is>
          <t>verdict per klaim: sheet 'Entailment Detail'</t>
        </is>
      </c>
    </row>
    <row r="1795">
      <c r="A1795" t="n">
        <v>122</v>
      </c>
      <c r="B1795" t="inlineStr">
        <is>
          <t>A</t>
        </is>
      </c>
      <c r="C1795" t="inlineStr">
        <is>
          <t>— Keyword Overlap (Pers. 14)</t>
        </is>
      </c>
      <c r="D1795" s="3" t="inlineStr">
        <is>
          <t>KWoverlap = (|Stems(ans)∩Stems(ctx)| / |Stems(ctx)|)^0,65</t>
        </is>
      </c>
      <c r="E1795" s="3" t="inlineStr">
        <is>
          <t>KWoverlap = (|∩|/|ctx|)^0,65 = (18/213)^0,65 = 0.0845^0,65 = 0.2007</t>
        </is>
      </c>
      <c r="F1795" t="n">
        <v>0.2007</v>
      </c>
      <c r="G1795" s="3" t="inlineStr"/>
    </row>
    <row r="1796">
      <c r="A1796" t="n">
        <v>122</v>
      </c>
      <c r="B1796" t="inlineStr">
        <is>
          <t>A</t>
        </is>
      </c>
      <c r="C1796" t="inlineStr">
        <is>
          <t>Hallucination Risk (Pers. 18)</t>
        </is>
      </c>
      <c r="D1796" s="3" t="inlineStr">
        <is>
          <t>Risk = 0,65×(1-F) + 0,20×Contradiction + 0,15×Uncertainty</t>
        </is>
      </c>
      <c r="E1796" s="3" t="inlineStr">
        <is>
          <t>Risk = 0,65×OutOfContext + 0,20×Contradiction + 0,15×Uncertainty = 0,65×0.2398 + 0,20×0.0000 + 0,15×0.00 = 0.1559 [RENDAH]</t>
        </is>
      </c>
      <c r="F1796" t="n">
        <v>0.1559</v>
      </c>
      <c r="G1796" s="3" t="inlineStr">
        <is>
          <t>label: RENDAH; kontradiksi 0/17 kalimat; uncertainty flag: False</t>
        </is>
      </c>
    </row>
    <row r="1797">
      <c r="A1797" t="n">
        <v>122</v>
      </c>
      <c r="B1797" t="inlineStr">
        <is>
          <t>B</t>
        </is>
      </c>
      <c r="C1797" t="inlineStr">
        <is>
          <t>Faithfulness (Pers. 15)</t>
        </is>
      </c>
      <c r="D1797" s="3" t="inlineStr">
        <is>
          <t>F = 0,70×Entailment + 0,30×KWoverlap</t>
        </is>
      </c>
      <c r="E1797" s="3" t="inlineStr">
        <is>
          <t>Faithfulness = 0,70×Entailment + 0,30×KWoverlap = 0,70×0.8333 + 0,30×0.1624 = 0.6320  (entailment: 5/6 klaim didukung; KWoverlap = (|∩|/|ctx|)^0,65 = (13/213)^0,65 = 0.0610^0,65 = 0.1624)</t>
        </is>
      </c>
      <c r="F1797" t="n">
        <v>0.632</v>
      </c>
      <c r="G1797" s="3" t="inlineStr">
        <is>
          <t>metode: llm_entailment + keyword</t>
        </is>
      </c>
    </row>
    <row r="1798">
      <c r="A1798" t="n">
        <v>122</v>
      </c>
      <c r="B1798" t="inlineStr">
        <is>
          <t>B</t>
        </is>
      </c>
      <c r="C1798" t="inlineStr">
        <is>
          <t>— Entailment (Pers. 12-13)</t>
        </is>
      </c>
      <c r="D1798" s="3" t="inlineStr">
        <is>
          <t>Entailment = Σverdict(sᵢ)/m</t>
        </is>
      </c>
      <c r="E1798" s="3" t="inlineStr">
        <is>
          <t>5 klaim YA dari 6 klaim dievaluasi</t>
        </is>
      </c>
      <c r="F1798" t="n">
        <v>0.8333</v>
      </c>
      <c r="G1798" s="3" t="inlineStr">
        <is>
          <t>verdict per klaim: sheet 'Entailment Detail'</t>
        </is>
      </c>
    </row>
    <row r="1799">
      <c r="A1799" t="n">
        <v>122</v>
      </c>
      <c r="B1799" t="inlineStr">
        <is>
          <t>B</t>
        </is>
      </c>
      <c r="C1799" t="inlineStr">
        <is>
          <t>— Keyword Overlap (Pers. 14)</t>
        </is>
      </c>
      <c r="D1799" s="3" t="inlineStr">
        <is>
          <t>KWoverlap = (|Stems(ans)∩Stems(ctx)| / |Stems(ctx)|)^0,65</t>
        </is>
      </c>
      <c r="E1799" s="3" t="inlineStr">
        <is>
          <t>KWoverlap = (|∩|/|ctx|)^0,65 = (13/213)^0,65 = 0.0610^0,65 = 0.1624</t>
        </is>
      </c>
      <c r="F1799" t="n">
        <v>0.1624</v>
      </c>
      <c r="G1799" s="3" t="inlineStr"/>
    </row>
    <row r="1800">
      <c r="A1800" t="n">
        <v>122</v>
      </c>
      <c r="B1800" t="inlineStr">
        <is>
          <t>B</t>
        </is>
      </c>
      <c r="C1800" t="inlineStr">
        <is>
          <t>Hallucination Risk (Pers. 18)</t>
        </is>
      </c>
      <c r="D1800" s="3" t="inlineStr">
        <is>
          <t>Risk = 0,65×(1-F) + 0,20×Contradiction + 0,15×Uncertainty</t>
        </is>
      </c>
      <c r="E1800" s="3" t="inlineStr">
        <is>
          <t>Risk = 0,65×OutOfContext + 0,20×Contradiction + 0,15×Uncertainty = 0,65×0.3680 + 0,20×0.0000 + 0,15×0.00 = 0.2392 [RENDAH]</t>
        </is>
      </c>
      <c r="F1800" t="n">
        <v>0.2392</v>
      </c>
      <c r="G1800" s="3" t="inlineStr">
        <is>
          <t>label: RENDAH; kontradiksi 0/17 kalimat; uncertainty flag: False</t>
        </is>
      </c>
    </row>
    <row r="1801">
      <c r="A1801" t="n">
        <v>122</v>
      </c>
      <c r="B1801" t="inlineStr">
        <is>
          <t>B</t>
        </is>
      </c>
      <c r="C1801" t="inlineStr">
        <is>
          <t>Answer Accuracy (Pers. 20)</t>
        </is>
      </c>
      <c r="D1801" s="3" t="inlineStr">
        <is>
          <t>Correctᵢ ∈ {0,1} via LLM-as-Judge (HASIL: BENAR/SALAH)</t>
        </is>
      </c>
      <c r="E1801" s="3" t="inlineStr">
        <is>
          <t>BENAR</t>
        </is>
      </c>
      <c r="F1801" t="inlineStr">
        <is>
          <t>BENAR</t>
        </is>
      </c>
      <c r="G1801" s="3" t="inlineStr">
        <is>
          <t>evaluator: ollama/llama3</t>
        </is>
      </c>
    </row>
    <row r="1802">
      <c r="A1802" t="n">
        <v>123</v>
      </c>
      <c r="B1802" t="inlineStr">
        <is>
          <t>A</t>
        </is>
      </c>
      <c r="C1802" t="inlineStr">
        <is>
          <t>Precision@K (Pers. 2)</t>
        </is>
      </c>
      <c r="D1802" s="3" t="inlineStr">
        <is>
          <t>Precision@K = |{d ∈ TopK : sim(q,d) ≥ θ}| / K</t>
        </is>
      </c>
      <c r="E1802" s="3" t="inlineStr">
        <is>
          <t>skor = [0.7335, 0.7242, 0.7206, 0.7116, 0.7078, 0.7048] → 6 / 6</t>
        </is>
      </c>
      <c r="F1802" t="n">
        <v>1</v>
      </c>
      <c r="G1802" s="3" t="inlineStr">
        <is>
          <t>basis: skor chunk nyata (sesuai contoh Pers. 2 skripsi)</t>
        </is>
      </c>
    </row>
    <row r="1803">
      <c r="A1803" t="n">
        <v>123</v>
      </c>
      <c r="B1803" t="inlineStr">
        <is>
          <t>A</t>
        </is>
      </c>
      <c r="C1803" t="inlineStr">
        <is>
          <t>Recall@K (Pers. 4)</t>
        </is>
      </c>
      <c r="D1803" s="3" t="inlineStr">
        <is>
          <t>Recall@K = |{kata kunci ditemukan : sim ≥ θ}| / |R|</t>
        </is>
      </c>
      <c r="E1803" s="3" t="inlineStr">
        <is>
          <t>skor = [0.7198, 0.6095, 0.5379, 0.5272, 0.483, 0.3952] → 6 / 7</t>
        </is>
      </c>
      <c r="F1803" t="n">
        <v>0.8571</v>
      </c>
      <c r="G1803" s="3" t="inlineStr"/>
    </row>
    <row r="1804">
      <c r="A1804" t="n">
        <v>123</v>
      </c>
      <c r="B1804" t="inlineStr">
        <is>
          <t>A</t>
        </is>
      </c>
      <c r="C1804" t="inlineStr">
        <is>
          <t>Mean Similarity (Pers. 6)</t>
        </is>
      </c>
      <c r="D1804" s="3" t="inlineStr">
        <is>
          <t>MeanSim = (1/K) × Σ sim(q, dᵢ)</t>
        </is>
      </c>
      <c r="E1804" s="3" t="inlineStr">
        <is>
          <t>skor = [0.7335, 0.7242, 0.7206, 0.7116, 0.7078, 0.7048] → (0.7335 + 0.7242 + 0.7206 + 0.7116 + 0.7078 + 0.7048) / 6</t>
        </is>
      </c>
      <c r="F1804" t="n">
        <v>0.7171</v>
      </c>
      <c r="G1804" s="3" t="inlineStr"/>
    </row>
    <row r="1805">
      <c r="A1805" t="n">
        <v>123</v>
      </c>
      <c r="B1805" t="inlineStr">
        <is>
          <t>A</t>
        </is>
      </c>
      <c r="C1805" t="inlineStr">
        <is>
          <t>Coverage (Pers. 8)</t>
        </is>
      </c>
      <c r="D1805" s="3" t="inlineStr">
        <is>
          <t>Coverage = |{dᵢ ∈ TopK : sim(q,dᵢ) ≥ θc}| / K</t>
        </is>
      </c>
      <c r="E1805" s="3" t="inlineStr">
        <is>
          <t>skor = [0.7335, 0.7242, 0.7206, 0.7116, 0.7078, 0.7048] → 6 / 6</t>
        </is>
      </c>
      <c r="F1805" t="n">
        <v>1</v>
      </c>
      <c r="G1805" s="3" t="inlineStr"/>
    </row>
    <row r="1806">
      <c r="A1806" t="n">
        <v>123</v>
      </c>
      <c r="B1806" t="inlineStr">
        <is>
          <t>A</t>
        </is>
      </c>
      <c r="C1806" t="inlineStr">
        <is>
          <t>Source Diversity (Pers. 10)</t>
        </is>
      </c>
      <c r="D1806" s="3" t="inlineStr">
        <is>
          <t>Diversity = |sumber unik dalam TopK| / K</t>
        </is>
      </c>
      <c r="E1806" s="3" t="inlineStr">
        <is>
          <t>skor = ['GT_CT01.txt', 'GT_CT05.txt', 'GT_CT13.txt', 'GT_DETAIL_PT01_Pendahuluan.txt', 'GT_DETAIL_PT05_Pattern_Recognition.txt', 'GT_SUBTOPIK_04_Modulo_Siklus.txt'] → 6 / 6</t>
        </is>
      </c>
      <c r="F1806" t="n">
        <v>1</v>
      </c>
      <c r="G1806" s="3" t="inlineStr">
        <is>
          <t>file unik: GT_CT01.txt, GT_CT05.txt, GT_CT13.txt, GT_DETAIL_PT01_Pendahuluan.txt, GT_DETAIL_PT05_Pattern_Recognition.txt, GT_SUBTOPIK_04_Modulo_Siklus.txt</t>
        </is>
      </c>
    </row>
    <row r="1807">
      <c r="A1807" t="n">
        <v>123</v>
      </c>
      <c r="B1807" t="inlineStr">
        <is>
          <t>A</t>
        </is>
      </c>
      <c r="C1807" t="inlineStr">
        <is>
          <t>Faithfulness (Pers. 15)</t>
        </is>
      </c>
      <c r="D1807" s="3" t="inlineStr">
        <is>
          <t>F = 0,70×Entailment + 0,30×KWoverlap</t>
        </is>
      </c>
      <c r="E1807" s="3" t="inlineStr">
        <is>
          <t>Faithfulness = 0,70×Entailment + 0,30×KWoverlap = 0,70×0.6667 + 0,30×0.1778 = 0.5200  (entailment: 4/6 klaim didukung; KWoverlap = (|∩|/|ctx|)^0,65 = (20/285)^0,65 = 0.0702^0,65 = 0.1778)</t>
        </is>
      </c>
      <c r="F1807" t="n">
        <v>0.52</v>
      </c>
      <c r="G1807" s="3" t="inlineStr">
        <is>
          <t>metode: llm_entailment + keyword</t>
        </is>
      </c>
    </row>
    <row r="1808">
      <c r="A1808" t="n">
        <v>123</v>
      </c>
      <c r="B1808" t="inlineStr">
        <is>
          <t>A</t>
        </is>
      </c>
      <c r="C1808" t="inlineStr">
        <is>
          <t>— Entailment (Pers. 12-13)</t>
        </is>
      </c>
      <c r="D1808" s="3" t="inlineStr">
        <is>
          <t>Entailment = Σverdict(sᵢ)/m</t>
        </is>
      </c>
      <c r="E1808" s="3" t="inlineStr">
        <is>
          <t>4 klaim YA dari 6 klaim dievaluasi</t>
        </is>
      </c>
      <c r="F1808" t="n">
        <v>0.6667</v>
      </c>
      <c r="G1808" s="3" t="inlineStr">
        <is>
          <t>verdict per klaim: sheet 'Entailment Detail'</t>
        </is>
      </c>
    </row>
    <row r="1809">
      <c r="A1809" t="n">
        <v>123</v>
      </c>
      <c r="B1809" t="inlineStr">
        <is>
          <t>A</t>
        </is>
      </c>
      <c r="C1809" t="inlineStr">
        <is>
          <t>— Keyword Overlap (Pers. 14)</t>
        </is>
      </c>
      <c r="D1809" s="3" t="inlineStr">
        <is>
          <t>KWoverlap = (|Stems(ans)∩Stems(ctx)| / |Stems(ctx)|)^0,65</t>
        </is>
      </c>
      <c r="E1809" s="3" t="inlineStr">
        <is>
          <t>KWoverlap = (|∩|/|ctx|)^0,65 = (20/285)^0,65 = 0.0702^0,65 = 0.1778</t>
        </is>
      </c>
      <c r="F1809" t="n">
        <v>0.1778</v>
      </c>
      <c r="G1809" s="3" t="inlineStr"/>
    </row>
    <row r="1810">
      <c r="A1810" t="n">
        <v>123</v>
      </c>
      <c r="B1810" t="inlineStr">
        <is>
          <t>A</t>
        </is>
      </c>
      <c r="C1810" t="inlineStr">
        <is>
          <t>Hallucination Risk (Pers. 18)</t>
        </is>
      </c>
      <c r="D1810" s="3" t="inlineStr">
        <is>
          <t>Risk = 0,65×(1-F) + 0,20×Contradiction + 0,15×Uncertainty</t>
        </is>
      </c>
      <c r="E1810" s="3" t="inlineStr">
        <is>
          <t>Risk = 0,65×OutOfContext + 0,20×Contradiction + 0,15×Uncertainty = 0,65×0.4800 + 0,20×0.0000 + 0,15×0.00 = 0.3120 [RENDAH]</t>
        </is>
      </c>
      <c r="F1810" t="n">
        <v>0.312</v>
      </c>
      <c r="G1810" s="3" t="inlineStr">
        <is>
          <t>label: RENDAH; kontradiksi 0/11 kalimat; uncertainty flag: False</t>
        </is>
      </c>
    </row>
    <row r="1811">
      <c r="A1811" t="n">
        <v>123</v>
      </c>
      <c r="B1811" t="inlineStr">
        <is>
          <t>A</t>
        </is>
      </c>
      <c r="C1811" t="inlineStr">
        <is>
          <t>Answer Accuracy (Pers. 20)</t>
        </is>
      </c>
      <c r="D1811" s="3" t="inlineStr">
        <is>
          <t>Correctᵢ ∈ {0,1} via LLM-as-Judge (HASIL: BENAR/SALAH)</t>
        </is>
      </c>
      <c r="E1811" s="3" t="inlineStr">
        <is>
          <t>BENAR
Alasan: Jawaban sistem menjawab pertanyaan dengan benar berdasarkan referensi. Sistem menjelaskan bahwa pola recognition pada data pengunjung adalah tentang mengenali pola yang terjadi dalam data, dan konsep utama yang digunakan adalah "Trend" atau "Linear Trend". Hal ini sesuai dengan referensi yang diberikan, yaitu tentang menemukan pola dalam data.</t>
        </is>
      </c>
      <c r="F1811" t="inlineStr">
        <is>
          <t>BENAR</t>
        </is>
      </c>
      <c r="G1811" s="3" t="inlineStr">
        <is>
          <t>evaluator: ollama/llama3</t>
        </is>
      </c>
    </row>
    <row r="1812">
      <c r="A1812" t="n">
        <v>123</v>
      </c>
      <c r="B1812" t="inlineStr">
        <is>
          <t>B</t>
        </is>
      </c>
      <c r="C1812" t="inlineStr">
        <is>
          <t>Faithfulness (Pers. 15)</t>
        </is>
      </c>
      <c r="D1812" s="3" t="inlineStr">
        <is>
          <t>F = 0,70×Entailment + 0,30×KWoverlap</t>
        </is>
      </c>
      <c r="E1812" s="3" t="inlineStr">
        <is>
          <t>Faithfulness = 0,70×Entailment + 0,30×KWoverlap = 0,70×0.5000 + 0,30×0.1206 = 0.3862  (entailment: 3/6 klaim didukung; KWoverlap = (|∩|/|ctx|)^0,65 = (11/285)^0,65 = 0.0386^0,65 = 0.1206)</t>
        </is>
      </c>
      <c r="F1812" t="n">
        <v>0.3862</v>
      </c>
      <c r="G1812" s="3" t="inlineStr">
        <is>
          <t>metode: llm_entailment + keyword</t>
        </is>
      </c>
    </row>
    <row r="1813">
      <c r="A1813" t="n">
        <v>123</v>
      </c>
      <c r="B1813" t="inlineStr">
        <is>
          <t>B</t>
        </is>
      </c>
      <c r="C1813" t="inlineStr">
        <is>
          <t>— Entailment (Pers. 12-13)</t>
        </is>
      </c>
      <c r="D1813" s="3" t="inlineStr">
        <is>
          <t>Entailment = Σverdict(sᵢ)/m</t>
        </is>
      </c>
      <c r="E1813" s="3" t="inlineStr">
        <is>
          <t>3 klaim YA dari 6 klaim dievaluasi</t>
        </is>
      </c>
      <c r="F1813" t="n">
        <v>0.5</v>
      </c>
      <c r="G1813" s="3" t="inlineStr">
        <is>
          <t>verdict per klaim: sheet 'Entailment Detail'</t>
        </is>
      </c>
    </row>
    <row r="1814">
      <c r="A1814" t="n">
        <v>123</v>
      </c>
      <c r="B1814" t="inlineStr">
        <is>
          <t>B</t>
        </is>
      </c>
      <c r="C1814" t="inlineStr">
        <is>
          <t>— Keyword Overlap (Pers. 14)</t>
        </is>
      </c>
      <c r="D1814" s="3" t="inlineStr">
        <is>
          <t>KWoverlap = (|Stems(ans)∩Stems(ctx)| / |Stems(ctx)|)^0,65</t>
        </is>
      </c>
      <c r="E1814" s="3" t="inlineStr">
        <is>
          <t>KWoverlap = (|∩|/|ctx|)^0,65 = (11/285)^0,65 = 0.0386^0,65 = 0.1206</t>
        </is>
      </c>
      <c r="F1814" t="n">
        <v>0.1206</v>
      </c>
      <c r="G1814" s="3" t="inlineStr"/>
    </row>
    <row r="1815">
      <c r="A1815" t="n">
        <v>123</v>
      </c>
      <c r="B1815" t="inlineStr">
        <is>
          <t>B</t>
        </is>
      </c>
      <c r="C1815" t="inlineStr">
        <is>
          <t>Hallucination Risk (Pers. 18)</t>
        </is>
      </c>
      <c r="D1815" s="3" t="inlineStr">
        <is>
          <t>Risk = 0,65×(1-F) + 0,20×Contradiction + 0,15×Uncertainty</t>
        </is>
      </c>
      <c r="E1815" s="3" t="inlineStr">
        <is>
          <t>Risk = 0,65×OutOfContext + 0,20×Contradiction + 0,15×Uncertainty = 0,65×0.6138 + 0,20×0.0000 + 0,15×0.00 = 0.3990 [SEDANG]</t>
        </is>
      </c>
      <c r="F1815" t="n">
        <v>0.399</v>
      </c>
      <c r="G1815" s="3" t="inlineStr">
        <is>
          <t>label: SEDANG; kontradiksi 0/7 kalimat; uncertainty flag: False</t>
        </is>
      </c>
    </row>
    <row r="1816">
      <c r="A1816" t="n">
        <v>123</v>
      </c>
      <c r="B1816" t="inlineStr">
        <is>
          <t>B</t>
        </is>
      </c>
      <c r="C1816" t="inlineStr">
        <is>
          <t>Answer Accuracy (Pers. 20)</t>
        </is>
      </c>
      <c r="D1816" s="3" t="inlineStr">
        <is>
          <t>Correctᵢ ∈ {0,1} via LLM-as-Judge (HASIL: BENAR/SALAH)</t>
        </is>
      </c>
      <c r="E1816" s="3" t="inlineStr">
        <is>
          <t>BENAR
The system's answer correctly identifies the pattern in the data as a peak at the end of the week, which is consistent with the provided reference materials on pattern recognition and CT (Continuous-Time). The answer also provides a formal mathematical representation of the pattern using a quadratic function, which is in line with the concepts presented in the GT (Gamma Teoritis) material.</t>
        </is>
      </c>
      <c r="F1816" t="inlineStr">
        <is>
          <t>BENAR</t>
        </is>
      </c>
      <c r="G1816" s="3" t="inlineStr">
        <is>
          <t>evaluator: ollama/llama3</t>
        </is>
      </c>
    </row>
    <row r="1817">
      <c r="A1817" t="n">
        <v>124</v>
      </c>
      <c r="B1817" t="inlineStr">
        <is>
          <t>A</t>
        </is>
      </c>
      <c r="C1817" t="inlineStr">
        <is>
          <t>Precision@K (Pers. 2)</t>
        </is>
      </c>
      <c r="D1817" s="3" t="inlineStr">
        <is>
          <t>Precision@K = |{d ∈ TopK : sim(q,d) ≥ θ}| / K</t>
        </is>
      </c>
      <c r="E1817" s="3" t="inlineStr">
        <is>
          <t>skor = [0.736, 0.7273, 0.7205, 0.7158, 0.714, 0.7116] → 6 / 6</t>
        </is>
      </c>
      <c r="F1817" t="n">
        <v>1</v>
      </c>
      <c r="G1817" s="3" t="inlineStr">
        <is>
          <t>basis: skor chunk nyata (sesuai contoh Pers. 2 skripsi)</t>
        </is>
      </c>
    </row>
    <row r="1818">
      <c r="A1818" t="n">
        <v>124</v>
      </c>
      <c r="B1818" t="inlineStr">
        <is>
          <t>A</t>
        </is>
      </c>
      <c r="C1818" t="inlineStr">
        <is>
          <t>Recall@K (Pers. 4)</t>
        </is>
      </c>
      <c r="D1818" s="3" t="inlineStr">
        <is>
          <t>Recall@K = |{kata kunci ditemukan : sim ≥ θ}| / |R|</t>
        </is>
      </c>
      <c r="E1818" s="3" t="inlineStr">
        <is>
          <t>skor = [0.7221, 0.6166, 0.5014, 0.4968, 0.4895, 0.444] → 6 / 6</t>
        </is>
      </c>
      <c r="F1818" t="n">
        <v>1</v>
      </c>
      <c r="G1818" s="3" t="inlineStr"/>
    </row>
    <row r="1819">
      <c r="A1819" t="n">
        <v>124</v>
      </c>
      <c r="B1819" t="inlineStr">
        <is>
          <t>A</t>
        </is>
      </c>
      <c r="C1819" t="inlineStr">
        <is>
          <t>Mean Similarity (Pers. 6)</t>
        </is>
      </c>
      <c r="D1819" s="3" t="inlineStr">
        <is>
          <t>MeanSim = (1/K) × Σ sim(q, dᵢ)</t>
        </is>
      </c>
      <c r="E1819" s="3" t="inlineStr">
        <is>
          <t>skor = [0.736, 0.7273, 0.7205, 0.7158, 0.714, 0.7116] → (0.7360 + 0.7273 + 0.7205 + 0.7158 + 0.7140 + 0.7116) / 6</t>
        </is>
      </c>
      <c r="F1819" t="n">
        <v>0.7209</v>
      </c>
      <c r="G1819" s="3" t="inlineStr"/>
    </row>
    <row r="1820">
      <c r="A1820" t="n">
        <v>124</v>
      </c>
      <c r="B1820" t="inlineStr">
        <is>
          <t>A</t>
        </is>
      </c>
      <c r="C1820" t="inlineStr">
        <is>
          <t>Coverage (Pers. 8)</t>
        </is>
      </c>
      <c r="D1820" s="3" t="inlineStr">
        <is>
          <t>Coverage = |{dᵢ ∈ TopK : sim(q,dᵢ) ≥ θc}| / K</t>
        </is>
      </c>
      <c r="E1820" s="3" t="inlineStr">
        <is>
          <t>skor = [0.736, 0.7273, 0.7205, 0.7158, 0.714, 0.7116] → 6 / 6</t>
        </is>
      </c>
      <c r="F1820" t="n">
        <v>1</v>
      </c>
      <c r="G1820" s="3" t="inlineStr"/>
    </row>
    <row r="1821">
      <c r="A1821" t="n">
        <v>124</v>
      </c>
      <c r="B1821" t="inlineStr">
        <is>
          <t>A</t>
        </is>
      </c>
      <c r="C1821" t="inlineStr">
        <is>
          <t>Source Diversity (Pers. 10)</t>
        </is>
      </c>
      <c r="D1821" s="3" t="inlineStr">
        <is>
          <t>Diversity = |sumber unik dalam TopK| / K</t>
        </is>
      </c>
      <c r="E1821" s="3" t="inlineStr">
        <is>
          <t>skor = ['GT_CT05.txt', 'GT_CT07.txt', 'GT_DETAIL_PT05_Pattern_Recognition.txt', 'GT_SUBTOPIK_03_Pola_Bilangan_Deret.txt'] → 4 / 6</t>
        </is>
      </c>
      <c r="F1821" t="n">
        <v>0.6667</v>
      </c>
      <c r="G1821" s="3" t="inlineStr">
        <is>
          <t>file unik: GT_CT05.txt, GT_CT07.txt, GT_DETAIL_PT05_Pattern_Recognition.txt, GT_SUBTOPIK_03_Pola_Bilangan_Deret.txt</t>
        </is>
      </c>
    </row>
    <row r="1822">
      <c r="A1822" t="n">
        <v>124</v>
      </c>
      <c r="B1822" t="inlineStr">
        <is>
          <t>A</t>
        </is>
      </c>
      <c r="C1822" t="inlineStr">
        <is>
          <t>Faithfulness (Pers. 15)</t>
        </is>
      </c>
      <c r="D1822" s="3" t="inlineStr">
        <is>
          <t>F = 0,70×Entailment + 0,30×KWoverlap</t>
        </is>
      </c>
      <c r="E1822" s="3" t="inlineStr">
        <is>
          <t>Faithfulness = 0,70×Entailment + 0,30×KWoverlap = 0,70×0.6667 + 0,30×0.1989 = 0.5263  (entailment: 4/6 klaim didukung; KWoverlap = (|∩|/|ctx|)^0,65 = (16/192)^0,65 = 0.0833^0,65 = 0.1989)</t>
        </is>
      </c>
      <c r="F1822" t="n">
        <v>0.5263</v>
      </c>
      <c r="G1822" s="3" t="inlineStr">
        <is>
          <t>metode: llm_entailment + keyword</t>
        </is>
      </c>
    </row>
    <row r="1823">
      <c r="A1823" t="n">
        <v>124</v>
      </c>
      <c r="B1823" t="inlineStr">
        <is>
          <t>A</t>
        </is>
      </c>
      <c r="C1823" t="inlineStr">
        <is>
          <t>— Entailment (Pers. 12-13)</t>
        </is>
      </c>
      <c r="D1823" s="3" t="inlineStr">
        <is>
          <t>Entailment = Σverdict(sᵢ)/m</t>
        </is>
      </c>
      <c r="E1823" s="3" t="inlineStr">
        <is>
          <t>4 klaim YA dari 6 klaim dievaluasi</t>
        </is>
      </c>
      <c r="F1823" t="n">
        <v>0.6667</v>
      </c>
      <c r="G1823" s="3" t="inlineStr">
        <is>
          <t>verdict per klaim: sheet 'Entailment Detail'</t>
        </is>
      </c>
    </row>
    <row r="1824">
      <c r="A1824" t="n">
        <v>124</v>
      </c>
      <c r="B1824" t="inlineStr">
        <is>
          <t>A</t>
        </is>
      </c>
      <c r="C1824" t="inlineStr">
        <is>
          <t>— Keyword Overlap (Pers. 14)</t>
        </is>
      </c>
      <c r="D1824" s="3" t="inlineStr">
        <is>
          <t>KWoverlap = (|Stems(ans)∩Stems(ctx)| / |Stems(ctx)|)^0,65</t>
        </is>
      </c>
      <c r="E1824" s="3" t="inlineStr">
        <is>
          <t>KWoverlap = (|∩|/|ctx|)^0,65 = (16/192)^0,65 = 0.0833^0,65 = 0.1989</t>
        </is>
      </c>
      <c r="F1824" t="n">
        <v>0.1989</v>
      </c>
      <c r="G1824" s="3" t="inlineStr"/>
    </row>
    <row r="1825">
      <c r="A1825" t="n">
        <v>124</v>
      </c>
      <c r="B1825" t="inlineStr">
        <is>
          <t>A</t>
        </is>
      </c>
      <c r="C1825" t="inlineStr">
        <is>
          <t>Hallucination Risk (Pers. 18)</t>
        </is>
      </c>
      <c r="D1825" s="3" t="inlineStr">
        <is>
          <t>Risk = 0,65×(1-F) + 0,20×Contradiction + 0,15×Uncertainty</t>
        </is>
      </c>
      <c r="E1825" s="3" t="inlineStr">
        <is>
          <t>Risk = 0,65×OutOfContext + 0,20×Contradiction + 0,15×Uncertainty = 0,65×0.4737 + 0,20×0.0000 + 0,15×0.00 = 0.3079 [RENDAH]</t>
        </is>
      </c>
      <c r="F1825" t="n">
        <v>0.3079</v>
      </c>
      <c r="G1825" s="3" t="inlineStr">
        <is>
          <t>label: RENDAH; kontradiksi 0/31 kalimat; uncertainty flag: False</t>
        </is>
      </c>
    </row>
    <row r="1826">
      <c r="A1826" t="n">
        <v>124</v>
      </c>
      <c r="B1826" t="inlineStr">
        <is>
          <t>A</t>
        </is>
      </c>
      <c r="C1826" t="inlineStr">
        <is>
          <t>Answer Accuracy (Pers. 20)</t>
        </is>
      </c>
      <c r="D1826" s="3" t="inlineStr">
        <is>
          <t>Correctᵢ ∈ {0,1} via LLM-as-Judge (HASIL: BENAR/SALAH)</t>
        </is>
      </c>
      <c r="E1826" s="3" t="inlineStr">
        <is>
          <t>BENAR</t>
        </is>
      </c>
      <c r="F1826" t="inlineStr">
        <is>
          <t>BENAR</t>
        </is>
      </c>
      <c r="G1826" s="3" t="inlineStr">
        <is>
          <t>evaluator: ollama/llama3</t>
        </is>
      </c>
    </row>
    <row r="1827">
      <c r="A1827" t="n">
        <v>124</v>
      </c>
      <c r="B1827" t="inlineStr">
        <is>
          <t>B</t>
        </is>
      </c>
      <c r="C1827" t="inlineStr">
        <is>
          <t>Faithfulness (Pers. 15)</t>
        </is>
      </c>
      <c r="D1827" s="3" t="inlineStr">
        <is>
          <t>F = 0,70×Entailment + 0,30×KWoverlap</t>
        </is>
      </c>
      <c r="E1827" s="3" t="inlineStr">
        <is>
          <t>Faithfulness = 0,70×Entailment + 0,30×KWoverlap = 0,70×0.3333 + 0,30×0.2373 = 0.3045  (entailment: 2/6 klaim didukung; KWoverlap = (|∩|/|ctx|)^0,65 = (21/192)^0,65 = 0.1094^0,65 = 0.2373)</t>
        </is>
      </c>
      <c r="F1827" t="n">
        <v>0.3045</v>
      </c>
      <c r="G1827" s="3" t="inlineStr">
        <is>
          <t>metode: llm_entailment + keyword</t>
        </is>
      </c>
    </row>
    <row r="1828">
      <c r="A1828" t="n">
        <v>124</v>
      </c>
      <c r="B1828" t="inlineStr">
        <is>
          <t>B</t>
        </is>
      </c>
      <c r="C1828" t="inlineStr">
        <is>
          <t>— Entailment (Pers. 12-13)</t>
        </is>
      </c>
      <c r="D1828" s="3" t="inlineStr">
        <is>
          <t>Entailment = Σverdict(sᵢ)/m</t>
        </is>
      </c>
      <c r="E1828" s="3" t="inlineStr">
        <is>
          <t>2 klaim YA dari 6 klaim dievaluasi</t>
        </is>
      </c>
      <c r="F1828" t="n">
        <v>0.3333</v>
      </c>
      <c r="G1828" s="3" t="inlineStr">
        <is>
          <t>verdict per klaim: sheet 'Entailment Detail'</t>
        </is>
      </c>
    </row>
    <row r="1829">
      <c r="A1829" t="n">
        <v>124</v>
      </c>
      <c r="B1829" t="inlineStr">
        <is>
          <t>B</t>
        </is>
      </c>
      <c r="C1829" t="inlineStr">
        <is>
          <t>— Keyword Overlap (Pers. 14)</t>
        </is>
      </c>
      <c r="D1829" s="3" t="inlineStr">
        <is>
          <t>KWoverlap = (|Stems(ans)∩Stems(ctx)| / |Stems(ctx)|)^0,65</t>
        </is>
      </c>
      <c r="E1829" s="3" t="inlineStr">
        <is>
          <t>KWoverlap = (|∩|/|ctx|)^0,65 = (21/192)^0,65 = 0.1094^0,65 = 0.2373</t>
        </is>
      </c>
      <c r="F1829" t="n">
        <v>0.2373</v>
      </c>
      <c r="G1829" s="3" t="inlineStr"/>
    </row>
    <row r="1830">
      <c r="A1830" t="n">
        <v>124</v>
      </c>
      <c r="B1830" t="inlineStr">
        <is>
          <t>B</t>
        </is>
      </c>
      <c r="C1830" t="inlineStr">
        <is>
          <t>Hallucination Risk (Pers. 18)</t>
        </is>
      </c>
      <c r="D1830" s="3" t="inlineStr">
        <is>
          <t>Risk = 0,65×(1-F) + 0,20×Contradiction + 0,15×Uncertainty</t>
        </is>
      </c>
      <c r="E1830" s="3" t="inlineStr">
        <is>
          <t>Risk = 0,65×OutOfContext + 0,20×Contradiction + 0,15×Uncertainty = 0,65×0.6955 + 0,20×0.0000 + 0,15×0.00 = 0.4521 [SEDANG]</t>
        </is>
      </c>
      <c r="F1830" t="n">
        <v>0.4521</v>
      </c>
      <c r="G1830" s="3" t="inlineStr">
        <is>
          <t>label: SEDANG; kontradiksi 0/12 kalimat; uncertainty flag: False</t>
        </is>
      </c>
    </row>
    <row r="1831">
      <c r="A1831" t="n">
        <v>124</v>
      </c>
      <c r="B1831" t="inlineStr">
        <is>
          <t>B</t>
        </is>
      </c>
      <c r="C1831" t="inlineStr">
        <is>
          <t>Answer Accuracy (Pers. 20)</t>
        </is>
      </c>
      <c r="D1831" s="3" t="inlineStr">
        <is>
          <t>Correctᵢ ∈ {0,1} via LLM-as-Judge (HASIL: BENAR/SALAH)</t>
        </is>
      </c>
      <c r="E1831" s="3" t="inlineStr">
        <is>
          <t>BENAR</t>
        </is>
      </c>
      <c r="F1831" t="inlineStr">
        <is>
          <t>BENAR</t>
        </is>
      </c>
      <c r="G1831" s="3" t="inlineStr">
        <is>
          <t>evaluator: ollama/llama3</t>
        </is>
      </c>
    </row>
    <row r="1832">
      <c r="A1832" t="n">
        <v>125</v>
      </c>
      <c r="B1832" t="inlineStr">
        <is>
          <t>A</t>
        </is>
      </c>
      <c r="C1832" t="inlineStr">
        <is>
          <t>Precision@K (Pers. 2)</t>
        </is>
      </c>
      <c r="D1832" s="3" t="inlineStr">
        <is>
          <t>Precision@K = |{d ∈ TopK : sim(q,d) ≥ θ}| / K</t>
        </is>
      </c>
      <c r="E1832" s="3" t="inlineStr">
        <is>
          <t>skor = [0.8057, 0.7974, 0.7954, 0.7839, 0.7701, 0.7623] → 6 / 6</t>
        </is>
      </c>
      <c r="F1832" t="n">
        <v>1</v>
      </c>
      <c r="G1832" s="3" t="inlineStr">
        <is>
          <t>basis: skor chunk nyata (sesuai contoh Pers. 2 skripsi)</t>
        </is>
      </c>
    </row>
    <row r="1833">
      <c r="A1833" t="n">
        <v>125</v>
      </c>
      <c r="B1833" t="inlineStr">
        <is>
          <t>A</t>
        </is>
      </c>
      <c r="C1833" t="inlineStr">
        <is>
          <t>Recall@K (Pers. 4)</t>
        </is>
      </c>
      <c r="D1833" s="3" t="inlineStr">
        <is>
          <t>Recall@K = |{kata kunci ditemukan : sim ≥ θ}| / |R|</t>
        </is>
      </c>
      <c r="E1833" s="3" t="inlineStr">
        <is>
          <t>skor = [0.7463, 0.6308, 0.5409, 0.4633, 0.4611, 0.425] → 6 / 6</t>
        </is>
      </c>
      <c r="F1833" t="n">
        <v>1</v>
      </c>
      <c r="G1833" s="3" t="inlineStr"/>
    </row>
    <row r="1834">
      <c r="A1834" t="n">
        <v>125</v>
      </c>
      <c r="B1834" t="inlineStr">
        <is>
          <t>A</t>
        </is>
      </c>
      <c r="C1834" t="inlineStr">
        <is>
          <t>Mean Similarity (Pers. 6)</t>
        </is>
      </c>
      <c r="D1834" s="3" t="inlineStr">
        <is>
          <t>MeanSim = (1/K) × Σ sim(q, dᵢ)</t>
        </is>
      </c>
      <c r="E1834" s="3" t="inlineStr">
        <is>
          <t>skor = [0.8057, 0.7974, 0.7954, 0.7839, 0.7701, 0.7623] → (0.8057 + 0.7974 + 0.7954 + 0.7839 + 0.7701 + 0.7623) / 6</t>
        </is>
      </c>
      <c r="F1834" t="n">
        <v>0.7858000000000001</v>
      </c>
      <c r="G1834" s="3" t="inlineStr"/>
    </row>
    <row r="1835">
      <c r="A1835" t="n">
        <v>125</v>
      </c>
      <c r="B1835" t="inlineStr">
        <is>
          <t>A</t>
        </is>
      </c>
      <c r="C1835" t="inlineStr">
        <is>
          <t>Coverage (Pers. 8)</t>
        </is>
      </c>
      <c r="D1835" s="3" t="inlineStr">
        <is>
          <t>Coverage = |{dᵢ ∈ TopK : sim(q,dᵢ) ≥ θc}| / K</t>
        </is>
      </c>
      <c r="E1835" s="3" t="inlineStr">
        <is>
          <t>skor = [0.8057, 0.7974, 0.7954, 0.7839, 0.7701, 0.7623] → 6 / 6</t>
        </is>
      </c>
      <c r="F1835" t="n">
        <v>1</v>
      </c>
      <c r="G1835" s="3" t="inlineStr"/>
    </row>
    <row r="1836">
      <c r="A1836" t="n">
        <v>125</v>
      </c>
      <c r="B1836" t="inlineStr">
        <is>
          <t>A</t>
        </is>
      </c>
      <c r="C1836" t="inlineStr">
        <is>
          <t>Source Diversity (Pers. 10)</t>
        </is>
      </c>
      <c r="D1836" s="3" t="inlineStr">
        <is>
          <t>Diversity = |sumber unik dalam TopK| / K</t>
        </is>
      </c>
      <c r="E1836" s="3" t="inlineStr">
        <is>
          <t>skor = ['GT_CT05.txt', 'GT_DETAIL_PT05_Pattern_Recognition.txt', 'GT_SUBTOPIK_01_Dekomposisi_Optimasi.txt', 'GT_SUBTOPIK_04_Modulo_Siklus.txt', 'GT_SUBTOPIK_08_Perulangan_For_While.txt'] → 5 / 6</t>
        </is>
      </c>
      <c r="F1836" t="n">
        <v>0.8333</v>
      </c>
      <c r="G1836" s="3" t="inlineStr">
        <is>
          <t>file unik: GT_CT05.txt, GT_DETAIL_PT05_Pattern_Recognition.txt, GT_SUBTOPIK_01_Dekomposisi_Optimasi.txt, GT_SUBTOPIK_04_Modulo_Siklus.txt, GT_SUBTOPIK_08_Perulangan_For_While.txt</t>
        </is>
      </c>
    </row>
    <row r="1837">
      <c r="A1837" t="n">
        <v>125</v>
      </c>
      <c r="B1837" t="inlineStr">
        <is>
          <t>A</t>
        </is>
      </c>
      <c r="C1837" t="inlineStr">
        <is>
          <t>Faithfulness (Pers. 15)</t>
        </is>
      </c>
      <c r="D1837" s="3" t="inlineStr">
        <is>
          <t>F = 0,70×Entailment + 0,30×KWoverlap</t>
        </is>
      </c>
      <c r="E1837" s="3" t="inlineStr">
        <is>
          <t>Faithfulness = 0,70×Entailment + 0,30×KWoverlap = 0,70×1.0000 + 0,30×0.3211 = 0.7963  (entailment: 6/6 klaim didukung; KWoverlap = (|∩|/|ctx|)^0,65 = (31/178)^0,65 = 0.1742^0,65 = 0.3211)</t>
        </is>
      </c>
      <c r="F1837" t="n">
        <v>0.7963</v>
      </c>
      <c r="G1837" s="3" t="inlineStr">
        <is>
          <t>metode: llm_entailment + keyword</t>
        </is>
      </c>
    </row>
    <row r="1838">
      <c r="A1838" t="n">
        <v>125</v>
      </c>
      <c r="B1838" t="inlineStr">
        <is>
          <t>A</t>
        </is>
      </c>
      <c r="C1838" t="inlineStr">
        <is>
          <t>— Entailment (Pers. 12-13)</t>
        </is>
      </c>
      <c r="D1838" s="3" t="inlineStr">
        <is>
          <t>Entailment = Σverdict(sᵢ)/m</t>
        </is>
      </c>
      <c r="E1838" s="3" t="inlineStr">
        <is>
          <t>6 klaim YA dari 6 klaim dievaluasi</t>
        </is>
      </c>
      <c r="F1838" t="n">
        <v>1</v>
      </c>
      <c r="G1838" s="3" t="inlineStr">
        <is>
          <t>verdict per klaim: sheet 'Entailment Detail'</t>
        </is>
      </c>
    </row>
    <row r="1839">
      <c r="A1839" t="n">
        <v>125</v>
      </c>
      <c r="B1839" t="inlineStr">
        <is>
          <t>A</t>
        </is>
      </c>
      <c r="C1839" t="inlineStr">
        <is>
          <t>— Keyword Overlap (Pers. 14)</t>
        </is>
      </c>
      <c r="D1839" s="3" t="inlineStr">
        <is>
          <t>KWoverlap = (|Stems(ans)∩Stems(ctx)| / |Stems(ctx)|)^0,65</t>
        </is>
      </c>
      <c r="E1839" s="3" t="inlineStr">
        <is>
          <t>KWoverlap = (|∩|/|ctx|)^0,65 = (31/178)^0,65 = 0.1742^0,65 = 0.3211</t>
        </is>
      </c>
      <c r="F1839" t="n">
        <v>0.3211</v>
      </c>
      <c r="G1839" s="3" t="inlineStr"/>
    </row>
    <row r="1840">
      <c r="A1840" t="n">
        <v>125</v>
      </c>
      <c r="B1840" t="inlineStr">
        <is>
          <t>A</t>
        </is>
      </c>
      <c r="C1840" t="inlineStr">
        <is>
          <t>Hallucination Risk (Pers. 18)</t>
        </is>
      </c>
      <c r="D1840" s="3" t="inlineStr">
        <is>
          <t>Risk = 0,65×(1-F) + 0,20×Contradiction + 0,15×Uncertainty</t>
        </is>
      </c>
      <c r="E1840" s="3" t="inlineStr">
        <is>
          <t>Risk = 0,65×OutOfContext + 0,20×Contradiction + 0,15×Uncertainty = 0,65×0.2037 + 0,20×0.0000 + 0,15×0.00 = 0.1324 [RENDAH]</t>
        </is>
      </c>
      <c r="F1840" t="n">
        <v>0.1324</v>
      </c>
      <c r="G1840" s="3" t="inlineStr">
        <is>
          <t>label: RENDAH; kontradiksi 0/21 kalimat; uncertainty flag: False</t>
        </is>
      </c>
    </row>
    <row r="1841">
      <c r="A1841" t="n">
        <v>125</v>
      </c>
      <c r="B1841" t="inlineStr">
        <is>
          <t>A</t>
        </is>
      </c>
      <c r="C1841" t="inlineStr">
        <is>
          <t>Answer Accuracy (Pers. 20)</t>
        </is>
      </c>
      <c r="D1841" s="3" t="inlineStr">
        <is>
          <t>Correctᵢ ∈ {0,1} via LLM-as-Judge (HASIL: BENAR/SALAH)</t>
        </is>
      </c>
      <c r="E1841" s="3" t="inlineStr">
        <is>
          <t>BENAR</t>
        </is>
      </c>
      <c r="F1841" t="inlineStr">
        <is>
          <t>BENAR</t>
        </is>
      </c>
      <c r="G1841" s="3" t="inlineStr">
        <is>
          <t>evaluator: ollama/llama3</t>
        </is>
      </c>
    </row>
    <row r="1842">
      <c r="A1842" t="n">
        <v>125</v>
      </c>
      <c r="B1842" t="inlineStr">
        <is>
          <t>B</t>
        </is>
      </c>
      <c r="C1842" t="inlineStr">
        <is>
          <t>Faithfulness (Pers. 15)</t>
        </is>
      </c>
      <c r="D1842" s="3" t="inlineStr">
        <is>
          <t>F = 0,70×Entailment + 0,30×KWoverlap</t>
        </is>
      </c>
      <c r="E1842" s="3" t="inlineStr">
        <is>
          <t>Faithfulness = 0,70×Entailment + 0,30×KWoverlap = 0,70×1.0000 + 0,30×0.1733 = 0.7520  (entailment: 5/5 klaim didukung; KWoverlap = (|∩|/|ctx|)^0,65 = (12/178)^0,65 = 0.0674^0,65 = 0.1733)</t>
        </is>
      </c>
      <c r="F1842" t="n">
        <v>0.752</v>
      </c>
      <c r="G1842" s="3" t="inlineStr">
        <is>
          <t>metode: llm_entailment + keyword</t>
        </is>
      </c>
    </row>
    <row r="1843">
      <c r="A1843" t="n">
        <v>125</v>
      </c>
      <c r="B1843" t="inlineStr">
        <is>
          <t>B</t>
        </is>
      </c>
      <c r="C1843" t="inlineStr">
        <is>
          <t>— Entailment (Pers. 12-13)</t>
        </is>
      </c>
      <c r="D1843" s="3" t="inlineStr">
        <is>
          <t>Entailment = Σverdict(sᵢ)/m</t>
        </is>
      </c>
      <c r="E1843" s="3" t="inlineStr">
        <is>
          <t>5 klaim YA dari 5 klaim dievaluasi</t>
        </is>
      </c>
      <c r="F1843" t="n">
        <v>1</v>
      </c>
      <c r="G1843" s="3" t="inlineStr">
        <is>
          <t>verdict per klaim: sheet 'Entailment Detail'</t>
        </is>
      </c>
    </row>
    <row r="1844">
      <c r="A1844" t="n">
        <v>125</v>
      </c>
      <c r="B1844" t="inlineStr">
        <is>
          <t>B</t>
        </is>
      </c>
      <c r="C1844" t="inlineStr">
        <is>
          <t>— Keyword Overlap (Pers. 14)</t>
        </is>
      </c>
      <c r="D1844" s="3" t="inlineStr">
        <is>
          <t>KWoverlap = (|Stems(ans)∩Stems(ctx)| / |Stems(ctx)|)^0,65</t>
        </is>
      </c>
      <c r="E1844" s="3" t="inlineStr">
        <is>
          <t>KWoverlap = (|∩|/|ctx|)^0,65 = (12/178)^0,65 = 0.0674^0,65 = 0.1733</t>
        </is>
      </c>
      <c r="F1844" t="n">
        <v>0.1733</v>
      </c>
      <c r="G1844" s="3" t="inlineStr"/>
    </row>
    <row r="1845">
      <c r="A1845" t="n">
        <v>125</v>
      </c>
      <c r="B1845" t="inlineStr">
        <is>
          <t>B</t>
        </is>
      </c>
      <c r="C1845" t="inlineStr">
        <is>
          <t>Hallucination Risk (Pers. 18)</t>
        </is>
      </c>
      <c r="D1845" s="3" t="inlineStr">
        <is>
          <t>Risk = 0,65×(1-F) + 0,20×Contradiction + 0,15×Uncertainty</t>
        </is>
      </c>
      <c r="E1845" s="3" t="inlineStr">
        <is>
          <t>Risk = 0,65×OutOfContext + 0,20×Contradiction + 0,15×Uncertainty = 0,65×0.2480 + 0,20×0.0000 + 0,15×0.00 = 0.1612 [RENDAH]</t>
        </is>
      </c>
      <c r="F1845" t="n">
        <v>0.1612</v>
      </c>
      <c r="G1845" s="3" t="inlineStr">
        <is>
          <t>label: RENDAH; kontradiksi 0/6 kalimat; uncertainty flag: False</t>
        </is>
      </c>
    </row>
    <row r="1846">
      <c r="A1846" t="n">
        <v>125</v>
      </c>
      <c r="B1846" t="inlineStr">
        <is>
          <t>B</t>
        </is>
      </c>
      <c r="C1846" t="inlineStr">
        <is>
          <t>Answer Accuracy (Pers. 20)</t>
        </is>
      </c>
      <c r="D1846" s="3" t="inlineStr">
        <is>
          <t>Correctᵢ ∈ {0,1} via LLM-as-Judge (HASIL: BENAR/SALAH)</t>
        </is>
      </c>
      <c r="E1846" s="3" t="inlineStr">
        <is>
          <t>Jawaban sistem: 
Rasionalnya adalah sebagai berikut:
Sistem menjawab pertanyaan dengan benar berdasarkan referensi (siklus 4). Sistem menggunakan konsep pattern recognition untuk melihat pola yang terjadi pada digit terakhir pangkat 7. Pola tersebut adalah siklus 4, yaitu: 7, 9, 3, 1. Kemudian, sistem memprediksi digit terakhir berdasarkan pola yang terjadi dan mendapatkan jawaban 7, yang sesuai</t>
        </is>
      </c>
      <c r="F1846" t="inlineStr">
        <is>
          <t>BENAR</t>
        </is>
      </c>
      <c r="G1846" s="3" t="inlineStr">
        <is>
          <t>evaluator: ollama/llama3</t>
        </is>
      </c>
    </row>
    <row r="1847">
      <c r="A1847" t="n">
        <v>126</v>
      </c>
      <c r="B1847" t="inlineStr">
        <is>
          <t>A</t>
        </is>
      </c>
      <c r="C1847" t="inlineStr">
        <is>
          <t>Precision@K (Pers. 2)</t>
        </is>
      </c>
      <c r="D1847" s="3" t="inlineStr">
        <is>
          <t>Precision@K = |{d ∈ TopK : sim(q,d) ≥ θ}| / K</t>
        </is>
      </c>
      <c r="E1847" s="3" t="inlineStr">
        <is>
          <t>skor = [0.8087, 0.8053, 0.8043, 0.8042, 0.7964, 0.7881] → 6 / 6</t>
        </is>
      </c>
      <c r="F1847" t="n">
        <v>1</v>
      </c>
      <c r="G1847" s="3" t="inlineStr">
        <is>
          <t>basis: skor chunk nyata (sesuai contoh Pers. 2 skripsi)</t>
        </is>
      </c>
    </row>
    <row r="1848">
      <c r="A1848" t="n">
        <v>126</v>
      </c>
      <c r="B1848" t="inlineStr">
        <is>
          <t>A</t>
        </is>
      </c>
      <c r="C1848" t="inlineStr">
        <is>
          <t>Recall@K (Pers. 4)</t>
        </is>
      </c>
      <c r="D1848" s="3" t="inlineStr">
        <is>
          <t>Recall@K = |{kata kunci ditemukan : sim ≥ θ}| / |R|</t>
        </is>
      </c>
      <c r="E1848" s="3" t="inlineStr">
        <is>
          <t>skor = [0.7056, 0.7038, 0.5136, 0.5094, 0.5074, 0.4776] → 6 / 6</t>
        </is>
      </c>
      <c r="F1848" t="n">
        <v>1</v>
      </c>
      <c r="G1848" s="3" t="inlineStr"/>
    </row>
    <row r="1849">
      <c r="A1849" t="n">
        <v>126</v>
      </c>
      <c r="B1849" t="inlineStr">
        <is>
          <t>A</t>
        </is>
      </c>
      <c r="C1849" t="inlineStr">
        <is>
          <t>Mean Similarity (Pers. 6)</t>
        </is>
      </c>
      <c r="D1849" s="3" t="inlineStr">
        <is>
          <t>MeanSim = (1/K) × Σ sim(q, dᵢ)</t>
        </is>
      </c>
      <c r="E1849" s="3" t="inlineStr">
        <is>
          <t>skor = [0.8087, 0.8053, 0.8043, 0.8042, 0.7964, 0.7881] → (0.8087 + 0.8053 + 0.8043 + 0.8042 + 0.7964 + 0.7881) / 6</t>
        </is>
      </c>
      <c r="F1849" t="n">
        <v>0.8012</v>
      </c>
      <c r="G1849" s="3" t="inlineStr"/>
    </row>
    <row r="1850">
      <c r="A1850" t="n">
        <v>126</v>
      </c>
      <c r="B1850" t="inlineStr">
        <is>
          <t>A</t>
        </is>
      </c>
      <c r="C1850" t="inlineStr">
        <is>
          <t>Coverage (Pers. 8)</t>
        </is>
      </c>
      <c r="D1850" s="3" t="inlineStr">
        <is>
          <t>Coverage = |{dᵢ ∈ TopK : sim(q,dᵢ) ≥ θc}| / K</t>
        </is>
      </c>
      <c r="E1850" s="3" t="inlineStr">
        <is>
          <t>skor = [0.8087, 0.8053, 0.8043, 0.8042, 0.7964, 0.7881] → 6 / 6</t>
        </is>
      </c>
      <c r="F1850" t="n">
        <v>1</v>
      </c>
      <c r="G1850" s="3" t="inlineStr"/>
    </row>
    <row r="1851">
      <c r="A1851" t="n">
        <v>126</v>
      </c>
      <c r="B1851" t="inlineStr">
        <is>
          <t>A</t>
        </is>
      </c>
      <c r="C1851" t="inlineStr">
        <is>
          <t>Source Diversity (Pers. 10)</t>
        </is>
      </c>
      <c r="D1851" s="3" t="inlineStr">
        <is>
          <t>Diversity = |sumber unik dalam TopK| / K</t>
        </is>
      </c>
      <c r="E1851" s="3" t="inlineStr">
        <is>
          <t>skor = ['GT_CT07.txt', 'GT_DETAIL_PT07_Notasi_Algoritme.txt', 'GT_DETAIL_PT10_Percabangan.txt', 'GT_DETAIL_PT11_Perulangan.txt', 'GT_SUBTOPIK_04_Modulo_Siklus.txt', 'GT_SUBTOPIK_05_Pseudocode_Algoritme.txt'] → 6 / 6</t>
        </is>
      </c>
      <c r="F1851" t="n">
        <v>1</v>
      </c>
      <c r="G1851" s="3" t="inlineStr">
        <is>
          <t>file unik: GT_CT07.txt, GT_DETAIL_PT07_Notasi_Algoritme.txt, GT_DETAIL_PT10_Percabangan.txt, GT_DETAIL_PT11_Perulangan.txt, GT_SUBTOPIK_04_Modulo_Siklus.txt, GT_SUBTOPIK_05_Pseudocode_Algoritme.txt</t>
        </is>
      </c>
    </row>
    <row r="1852">
      <c r="A1852" t="n">
        <v>126</v>
      </c>
      <c r="B1852" t="inlineStr">
        <is>
          <t>A</t>
        </is>
      </c>
      <c r="C1852" t="inlineStr">
        <is>
          <t>Faithfulness (Pers. 15)</t>
        </is>
      </c>
      <c r="D1852" s="3" t="inlineStr">
        <is>
          <t>F = 0,70×Entailment + 0,30×KWoverlap</t>
        </is>
      </c>
      <c r="E1852" s="3" t="inlineStr">
        <is>
          <t>Faithfulness = 0,70×Entailment + 0,30×KWoverlap = 0,70×1.0000 + 0,30×0.2685 = 0.7806  (entailment: 6/6 klaim didukung; KWoverlap = (|∩|/|ctx|)^0,65 = (25/189)^0,65 = 0.1323^0,65 = 0.2685)</t>
        </is>
      </c>
      <c r="F1852" t="n">
        <v>0.7806</v>
      </c>
      <c r="G1852" s="3" t="inlineStr">
        <is>
          <t>metode: llm_entailment + keyword</t>
        </is>
      </c>
    </row>
    <row r="1853">
      <c r="A1853" t="n">
        <v>126</v>
      </c>
      <c r="B1853" t="inlineStr">
        <is>
          <t>A</t>
        </is>
      </c>
      <c r="C1853" t="inlineStr">
        <is>
          <t>— Entailment (Pers. 12-13)</t>
        </is>
      </c>
      <c r="D1853" s="3" t="inlineStr">
        <is>
          <t>Entailment = Σverdict(sᵢ)/m</t>
        </is>
      </c>
      <c r="E1853" s="3" t="inlineStr">
        <is>
          <t>6 klaim YA dari 6 klaim dievaluasi</t>
        </is>
      </c>
      <c r="F1853" t="n">
        <v>1</v>
      </c>
      <c r="G1853" s="3" t="inlineStr">
        <is>
          <t>verdict per klaim: sheet 'Entailment Detail'</t>
        </is>
      </c>
    </row>
    <row r="1854">
      <c r="A1854" t="n">
        <v>126</v>
      </c>
      <c r="B1854" t="inlineStr">
        <is>
          <t>A</t>
        </is>
      </c>
      <c r="C1854" t="inlineStr">
        <is>
          <t>— Keyword Overlap (Pers. 14)</t>
        </is>
      </c>
      <c r="D1854" s="3" t="inlineStr">
        <is>
          <t>KWoverlap = (|Stems(ans)∩Stems(ctx)| / |Stems(ctx)|)^0,65</t>
        </is>
      </c>
      <c r="E1854" s="3" t="inlineStr">
        <is>
          <t>KWoverlap = (|∩|/|ctx|)^0,65 = (25/189)^0,65 = 0.1323^0,65 = 0.2685</t>
        </is>
      </c>
      <c r="F1854" t="n">
        <v>0.2685</v>
      </c>
      <c r="G1854" s="3" t="inlineStr"/>
    </row>
    <row r="1855">
      <c r="A1855" t="n">
        <v>126</v>
      </c>
      <c r="B1855" t="inlineStr">
        <is>
          <t>A</t>
        </is>
      </c>
      <c r="C1855" t="inlineStr">
        <is>
          <t>Hallucination Risk (Pers. 18)</t>
        </is>
      </c>
      <c r="D1855" s="3" t="inlineStr">
        <is>
          <t>Risk = 0,65×(1-F) + 0,20×Contradiction + 0,15×Uncertainty</t>
        </is>
      </c>
      <c r="E1855" s="3" t="inlineStr">
        <is>
          <t>Risk = 0,65×OutOfContext + 0,20×Contradiction + 0,15×Uncertainty = 0,65×0.2194 + 0,20×0.0000 + 0,15×0.00 = 0.1426 [RENDAH]</t>
        </is>
      </c>
      <c r="F1855" t="n">
        <v>0.1426</v>
      </c>
      <c r="G1855" s="3" t="inlineStr">
        <is>
          <t>label: RENDAH; kontradiksi 0/48 kalimat; uncertainty flag: False</t>
        </is>
      </c>
    </row>
    <row r="1856">
      <c r="A1856" t="n">
        <v>126</v>
      </c>
      <c r="B1856" t="inlineStr">
        <is>
          <t>B</t>
        </is>
      </c>
      <c r="C1856" t="inlineStr">
        <is>
          <t>Faithfulness (Pers. 15)</t>
        </is>
      </c>
      <c r="D1856" s="3" t="inlineStr">
        <is>
          <t>F = 0,70×Entailment + 0,30×KWoverlap</t>
        </is>
      </c>
      <c r="E1856" s="3" t="inlineStr">
        <is>
          <t>Faithfulness = 0,70×Entailment + 0,30×KWoverlap = 0,70×0.8333 + 0,30×0.2090 = 0.6460  (entailment: 5/6 klaim didukung; KWoverlap = (|∩|/|ctx|)^0,65 = (17/189)^0,65 = 0.0899^0,65 = 0.2090)</t>
        </is>
      </c>
      <c r="F1856" t="n">
        <v>0.646</v>
      </c>
      <c r="G1856" s="3" t="inlineStr">
        <is>
          <t>metode: llm_entailment + keyword</t>
        </is>
      </c>
    </row>
    <row r="1857">
      <c r="A1857" t="n">
        <v>126</v>
      </c>
      <c r="B1857" t="inlineStr">
        <is>
          <t>B</t>
        </is>
      </c>
      <c r="C1857" t="inlineStr">
        <is>
          <t>— Entailment (Pers. 12-13)</t>
        </is>
      </c>
      <c r="D1857" s="3" t="inlineStr">
        <is>
          <t>Entailment = Σverdict(sᵢ)/m</t>
        </is>
      </c>
      <c r="E1857" s="3" t="inlineStr">
        <is>
          <t>5 klaim YA dari 6 klaim dievaluasi</t>
        </is>
      </c>
      <c r="F1857" t="n">
        <v>0.8333</v>
      </c>
      <c r="G1857" s="3" t="inlineStr">
        <is>
          <t>verdict per klaim: sheet 'Entailment Detail'</t>
        </is>
      </c>
    </row>
    <row r="1858">
      <c r="A1858" t="n">
        <v>126</v>
      </c>
      <c r="B1858" t="inlineStr">
        <is>
          <t>B</t>
        </is>
      </c>
      <c r="C1858" t="inlineStr">
        <is>
          <t>— Keyword Overlap (Pers. 14)</t>
        </is>
      </c>
      <c r="D1858" s="3" t="inlineStr">
        <is>
          <t>KWoverlap = (|Stems(ans)∩Stems(ctx)| / |Stems(ctx)|)^0,65</t>
        </is>
      </c>
      <c r="E1858" s="3" t="inlineStr">
        <is>
          <t>KWoverlap = (|∩|/|ctx|)^0,65 = (17/189)^0,65 = 0.0899^0,65 = 0.2090</t>
        </is>
      </c>
      <c r="F1858" t="n">
        <v>0.209</v>
      </c>
      <c r="G1858" s="3" t="inlineStr"/>
    </row>
    <row r="1859">
      <c r="A1859" t="n">
        <v>126</v>
      </c>
      <c r="B1859" t="inlineStr">
        <is>
          <t>B</t>
        </is>
      </c>
      <c r="C1859" t="inlineStr">
        <is>
          <t>Hallucination Risk (Pers. 18)</t>
        </is>
      </c>
      <c r="D1859" s="3" t="inlineStr">
        <is>
          <t>Risk = 0,65×(1-F) + 0,20×Contradiction + 0,15×Uncertainty</t>
        </is>
      </c>
      <c r="E1859" s="3" t="inlineStr">
        <is>
          <t>Risk = 0,65×OutOfContext + 0,20×Contradiction + 0,15×Uncertainty = 0,65×0.3540 + 0,20×0.0000 + 0,15×0.00 = 0.2301 [RENDAH]</t>
        </is>
      </c>
      <c r="F1859" t="n">
        <v>0.2301</v>
      </c>
      <c r="G1859" s="3" t="inlineStr">
        <is>
          <t>label: RENDAH; kontradiksi 0/25 kalimat; uncertainty flag: False</t>
        </is>
      </c>
    </row>
    <row r="1860">
      <c r="A1860" t="n">
        <v>127</v>
      </c>
      <c r="B1860" t="inlineStr">
        <is>
          <t>A</t>
        </is>
      </c>
      <c r="C1860" t="inlineStr">
        <is>
          <t>Precision@K (Pers. 2)</t>
        </is>
      </c>
      <c r="D1860" s="3" t="inlineStr">
        <is>
          <t>Precision@K = |{d ∈ TopK : sim(q,d) ≥ θ}| / K</t>
        </is>
      </c>
      <c r="E1860" s="3" t="inlineStr">
        <is>
          <t>skor = [0.8204, 0.8157, 0.8133, 0.8006, 0.7993, 0.7972] → 6 / 6</t>
        </is>
      </c>
      <c r="F1860" t="n">
        <v>1</v>
      </c>
      <c r="G1860" s="3" t="inlineStr">
        <is>
          <t>basis: skor chunk nyata (sesuai contoh Pers. 2 skripsi)</t>
        </is>
      </c>
    </row>
    <row r="1861">
      <c r="A1861" t="n">
        <v>127</v>
      </c>
      <c r="B1861" t="inlineStr">
        <is>
          <t>A</t>
        </is>
      </c>
      <c r="C1861" t="inlineStr">
        <is>
          <t>Recall@K (Pers. 4)</t>
        </is>
      </c>
      <c r="D1861" s="3" t="inlineStr">
        <is>
          <t>Recall@K = |{kata kunci ditemukan : sim ≥ θ}| / |R|</t>
        </is>
      </c>
      <c r="E1861" s="3" t="inlineStr">
        <is>
          <t>skor = [0.7558, 0.5648, 0.5216, 0.5092, 0.489, 0.4057] → 6 / 6</t>
        </is>
      </c>
      <c r="F1861" t="n">
        <v>1</v>
      </c>
      <c r="G1861" s="3" t="inlineStr"/>
    </row>
    <row r="1862">
      <c r="A1862" t="n">
        <v>127</v>
      </c>
      <c r="B1862" t="inlineStr">
        <is>
          <t>A</t>
        </is>
      </c>
      <c r="C1862" t="inlineStr">
        <is>
          <t>Mean Similarity (Pers. 6)</t>
        </is>
      </c>
      <c r="D1862" s="3" t="inlineStr">
        <is>
          <t>MeanSim = (1/K) × Σ sim(q, dᵢ)</t>
        </is>
      </c>
      <c r="E1862" s="3" t="inlineStr">
        <is>
          <t>skor = [0.8204, 0.8157, 0.8133, 0.8006, 0.7993, 0.7972] → (0.8204 + 0.8157 + 0.8133 + 0.8006 + 0.7993 + 0.7972) / 6</t>
        </is>
      </c>
      <c r="F1862" t="n">
        <v>0.8077</v>
      </c>
      <c r="G1862" s="3" t="inlineStr"/>
    </row>
    <row r="1863">
      <c r="A1863" t="n">
        <v>127</v>
      </c>
      <c r="B1863" t="inlineStr">
        <is>
          <t>A</t>
        </is>
      </c>
      <c r="C1863" t="inlineStr">
        <is>
          <t>Coverage (Pers. 8)</t>
        </is>
      </c>
      <c r="D1863" s="3" t="inlineStr">
        <is>
          <t>Coverage = |{dᵢ ∈ TopK : sim(q,dᵢ) ≥ θc}| / K</t>
        </is>
      </c>
      <c r="E1863" s="3" t="inlineStr">
        <is>
          <t>skor = [0.8204, 0.8157, 0.8133, 0.8006, 0.7993, 0.7972] → 6 / 6</t>
        </is>
      </c>
      <c r="F1863" t="n">
        <v>1</v>
      </c>
      <c r="G1863" s="3" t="inlineStr"/>
    </row>
    <row r="1864">
      <c r="A1864" t="n">
        <v>127</v>
      </c>
      <c r="B1864" t="inlineStr">
        <is>
          <t>A</t>
        </is>
      </c>
      <c r="C1864" t="inlineStr">
        <is>
          <t>Source Diversity (Pers. 10)</t>
        </is>
      </c>
      <c r="D1864" s="3" t="inlineStr">
        <is>
          <t>Diversity = |sumber unik dalam TopK| / K</t>
        </is>
      </c>
      <c r="E1864" s="3" t="inlineStr">
        <is>
          <t>skor = ['GT_CT07.txt', 'GT_CT10.txt', 'GT_DETAIL_PT10_Percabangan.txt', 'GT_SUBTOPIK_04_Modulo_Siklus.txt', 'GT_SUBTOPIK_05_Pseudocode_Algoritme.txt'] → 5 / 6</t>
        </is>
      </c>
      <c r="F1864" t="n">
        <v>0.8333</v>
      </c>
      <c r="G1864" s="3" t="inlineStr">
        <is>
          <t>file unik: GT_CT07.txt, GT_CT10.txt, GT_DETAIL_PT10_Percabangan.txt, GT_SUBTOPIK_04_Modulo_Siklus.txt, GT_SUBTOPIK_05_Pseudocode_Algoritme.txt</t>
        </is>
      </c>
    </row>
    <row r="1865">
      <c r="A1865" t="n">
        <v>127</v>
      </c>
      <c r="B1865" t="inlineStr">
        <is>
          <t>A</t>
        </is>
      </c>
      <c r="C1865" t="inlineStr">
        <is>
          <t>Faithfulness (Pers. 15)</t>
        </is>
      </c>
      <c r="D1865" s="3" t="inlineStr">
        <is>
          <t>F = 0,70×Entailment + 0,30×KWoverlap</t>
        </is>
      </c>
      <c r="E1865" s="3" t="inlineStr">
        <is>
          <t>Faithfulness = 0,70×Entailment + 0,30×KWoverlap = 0,70×0.8333 + 0,30×0.3525 = 0.6891  (entailment: 5/6 klaim didukung; KWoverlap = (|∩|/|ctx|)^0,65 = (39/194)^0,65 = 0.2010^0,65 = 0.3525)</t>
        </is>
      </c>
      <c r="F1865" t="n">
        <v>0.6891</v>
      </c>
      <c r="G1865" s="3" t="inlineStr">
        <is>
          <t>metode: llm_entailment + keyword</t>
        </is>
      </c>
    </row>
    <row r="1866">
      <c r="A1866" t="n">
        <v>127</v>
      </c>
      <c r="B1866" t="inlineStr">
        <is>
          <t>A</t>
        </is>
      </c>
      <c r="C1866" t="inlineStr">
        <is>
          <t>— Entailment (Pers. 12-13)</t>
        </is>
      </c>
      <c r="D1866" s="3" t="inlineStr">
        <is>
          <t>Entailment = Σverdict(sᵢ)/m</t>
        </is>
      </c>
      <c r="E1866" s="3" t="inlineStr">
        <is>
          <t>5 klaim YA dari 6 klaim dievaluasi</t>
        </is>
      </c>
      <c r="F1866" t="n">
        <v>0.8333</v>
      </c>
      <c r="G1866" s="3" t="inlineStr">
        <is>
          <t>verdict per klaim: sheet 'Entailment Detail'</t>
        </is>
      </c>
    </row>
    <row r="1867">
      <c r="A1867" t="n">
        <v>127</v>
      </c>
      <c r="B1867" t="inlineStr">
        <is>
          <t>A</t>
        </is>
      </c>
      <c r="C1867" t="inlineStr">
        <is>
          <t>— Keyword Overlap (Pers. 14)</t>
        </is>
      </c>
      <c r="D1867" s="3" t="inlineStr">
        <is>
          <t>KWoverlap = (|Stems(ans)∩Stems(ctx)| / |Stems(ctx)|)^0,65</t>
        </is>
      </c>
      <c r="E1867" s="3" t="inlineStr">
        <is>
          <t>KWoverlap = (|∩|/|ctx|)^0,65 = (39/194)^0,65 = 0.2010^0,65 = 0.3525</t>
        </is>
      </c>
      <c r="F1867" t="n">
        <v>0.3525</v>
      </c>
      <c r="G1867" s="3" t="inlineStr"/>
    </row>
    <row r="1868">
      <c r="A1868" t="n">
        <v>127</v>
      </c>
      <c r="B1868" t="inlineStr">
        <is>
          <t>A</t>
        </is>
      </c>
      <c r="C1868" t="inlineStr">
        <is>
          <t>Hallucination Risk (Pers. 18)</t>
        </is>
      </c>
      <c r="D1868" s="3" t="inlineStr">
        <is>
          <t>Risk = 0,65×(1-F) + 0,20×Contradiction + 0,15×Uncertainty</t>
        </is>
      </c>
      <c r="E1868" s="3" t="inlineStr">
        <is>
          <t>Risk = 0,65×OutOfContext + 0,20×Contradiction + 0,15×Uncertainty = 0,65×0.3109 + 0,20×0.0000 + 0,15×0.00 = 0.2021 [RENDAH]</t>
        </is>
      </c>
      <c r="F1868" t="n">
        <v>0.2021</v>
      </c>
      <c r="G1868" s="3" t="inlineStr">
        <is>
          <t>label: RENDAH; kontradiksi 0/19 kalimat; uncertainty flag: False</t>
        </is>
      </c>
    </row>
    <row r="1869">
      <c r="A1869" t="n">
        <v>127</v>
      </c>
      <c r="B1869" t="inlineStr">
        <is>
          <t>A</t>
        </is>
      </c>
      <c r="C1869" t="inlineStr">
        <is>
          <t>Answer Accuracy (Pers. 20)</t>
        </is>
      </c>
      <c r="D1869" s="3" t="inlineStr">
        <is>
          <t>Correctᵢ ∈ {0,1} via LLM-as-Judge (HASIL: BENAR/SALAH)</t>
        </is>
      </c>
      <c r="E1869" s="3" t="inlineStr">
        <is>
          <t>BENAR</t>
        </is>
      </c>
      <c r="F1869" t="inlineStr">
        <is>
          <t>BENAR</t>
        </is>
      </c>
      <c r="G1869" s="3" t="inlineStr">
        <is>
          <t>evaluator: ollama/llama3</t>
        </is>
      </c>
    </row>
    <row r="1870">
      <c r="A1870" t="n">
        <v>127</v>
      </c>
      <c r="B1870" t="inlineStr">
        <is>
          <t>B</t>
        </is>
      </c>
      <c r="C1870" t="inlineStr">
        <is>
          <t>Faithfulness (Pers. 15)</t>
        </is>
      </c>
      <c r="D1870" s="3" t="inlineStr">
        <is>
          <t>F = 0,70×Entailment + 0,30×KWoverlap</t>
        </is>
      </c>
      <c r="E1870" s="3" t="inlineStr">
        <is>
          <t>Faithfulness = 0,70×Entailment + 0,30×KWoverlap = 0,70×0.5000 + 0,30×0.1638 = 0.3991  (entailment: 3/6 klaim didukung; KWoverlap = (|∩|/|ctx|)^0,65 = (12/194)^0,65 = 0.0619^0,65 = 0.1638)</t>
        </is>
      </c>
      <c r="F1870" t="n">
        <v>0.3991</v>
      </c>
      <c r="G1870" s="3" t="inlineStr">
        <is>
          <t>metode: llm_entailment + keyword</t>
        </is>
      </c>
    </row>
    <row r="1871">
      <c r="A1871" t="n">
        <v>127</v>
      </c>
      <c r="B1871" t="inlineStr">
        <is>
          <t>B</t>
        </is>
      </c>
      <c r="C1871" t="inlineStr">
        <is>
          <t>— Entailment (Pers. 12-13)</t>
        </is>
      </c>
      <c r="D1871" s="3" t="inlineStr">
        <is>
          <t>Entailment = Σverdict(sᵢ)/m</t>
        </is>
      </c>
      <c r="E1871" s="3" t="inlineStr">
        <is>
          <t>3 klaim YA dari 6 klaim dievaluasi</t>
        </is>
      </c>
      <c r="F1871" t="n">
        <v>0.5</v>
      </c>
      <c r="G1871" s="3" t="inlineStr">
        <is>
          <t>verdict per klaim: sheet 'Entailment Detail'</t>
        </is>
      </c>
    </row>
    <row r="1872">
      <c r="A1872" t="n">
        <v>127</v>
      </c>
      <c r="B1872" t="inlineStr">
        <is>
          <t>B</t>
        </is>
      </c>
      <c r="C1872" t="inlineStr">
        <is>
          <t>— Keyword Overlap (Pers. 14)</t>
        </is>
      </c>
      <c r="D1872" s="3" t="inlineStr">
        <is>
          <t>KWoverlap = (|Stems(ans)∩Stems(ctx)| / |Stems(ctx)|)^0,65</t>
        </is>
      </c>
      <c r="E1872" s="3" t="inlineStr">
        <is>
          <t>KWoverlap = (|∩|/|ctx|)^0,65 = (12/194)^0,65 = 0.0619^0,65 = 0.1638</t>
        </is>
      </c>
      <c r="F1872" t="n">
        <v>0.1638</v>
      </c>
      <c r="G1872" s="3" t="inlineStr"/>
    </row>
    <row r="1873">
      <c r="A1873" t="n">
        <v>127</v>
      </c>
      <c r="B1873" t="inlineStr">
        <is>
          <t>B</t>
        </is>
      </c>
      <c r="C1873" t="inlineStr">
        <is>
          <t>Hallucination Risk (Pers. 18)</t>
        </is>
      </c>
      <c r="D1873" s="3" t="inlineStr">
        <is>
          <t>Risk = 0,65×(1-F) + 0,20×Contradiction + 0,15×Uncertainty</t>
        </is>
      </c>
      <c r="E1873" s="3" t="inlineStr">
        <is>
          <t>Risk = 0,65×OutOfContext + 0,20×Contradiction + 0,15×Uncertainty = 0,65×0.6009 + 0,20×0.0000 + 0,15×0.00 = 0.3906 [SEDANG]</t>
        </is>
      </c>
      <c r="F1873" t="n">
        <v>0.3906</v>
      </c>
      <c r="G1873" s="3" t="inlineStr">
        <is>
          <t>label: SEDANG; kontradiksi 0/16 kalimat; uncertainty flag: False</t>
        </is>
      </c>
    </row>
    <row r="1874">
      <c r="A1874" t="n">
        <v>127</v>
      </c>
      <c r="B1874" t="inlineStr">
        <is>
          <t>B</t>
        </is>
      </c>
      <c r="C1874" t="inlineStr">
        <is>
          <t>Answer Accuracy (Pers. 20)</t>
        </is>
      </c>
      <c r="D1874" s="3" t="inlineStr">
        <is>
          <t>Correctᵢ ∈ {0,1} via LLM-as-Judge (HASIL: BENAR/SALAH)</t>
        </is>
      </c>
      <c r="E1874" s="3" t="inlineStr"/>
      <c r="F1874" t="inlineStr">
        <is>
          <t>BENAR</t>
        </is>
      </c>
      <c r="G1874" s="3" t="inlineStr">
        <is>
          <t>evaluator: ollama/llama3</t>
        </is>
      </c>
    </row>
    <row r="1875">
      <c r="A1875" t="n">
        <v>128</v>
      </c>
      <c r="B1875" t="inlineStr">
        <is>
          <t>A</t>
        </is>
      </c>
      <c r="C1875" t="inlineStr">
        <is>
          <t>Precision@K (Pers. 2)</t>
        </is>
      </c>
      <c r="D1875" s="3" t="inlineStr">
        <is>
          <t>Precision@K = |{d ∈ TopK : sim(q,d) ≥ θ}| / K</t>
        </is>
      </c>
      <c r="E1875" s="3" t="inlineStr">
        <is>
          <t>skor = [0.793, 0.7921, 0.7779, 0.7621, 0.754, 0.752] → 6 / 6</t>
        </is>
      </c>
      <c r="F1875" t="n">
        <v>1</v>
      </c>
      <c r="G1875" s="3" t="inlineStr">
        <is>
          <t>basis: skor chunk nyata (sesuai contoh Pers. 2 skripsi)</t>
        </is>
      </c>
    </row>
    <row r="1876">
      <c r="A1876" t="n">
        <v>128</v>
      </c>
      <c r="B1876" t="inlineStr">
        <is>
          <t>A</t>
        </is>
      </c>
      <c r="C1876" t="inlineStr">
        <is>
          <t>Recall@K (Pers. 4)</t>
        </is>
      </c>
      <c r="D1876" s="3" t="inlineStr">
        <is>
          <t>Recall@K = |{kata kunci ditemukan : sim ≥ θ}| / |R|</t>
        </is>
      </c>
      <c r="E1876" s="3" t="inlineStr">
        <is>
          <t>skor = [0.7468, 0.6071, 0.5275, 0.4412, 0.4152, 0.402] → 6 / 7</t>
        </is>
      </c>
      <c r="F1876" t="n">
        <v>0.8571</v>
      </c>
      <c r="G1876" s="3" t="inlineStr"/>
    </row>
    <row r="1877">
      <c r="A1877" t="n">
        <v>128</v>
      </c>
      <c r="B1877" t="inlineStr">
        <is>
          <t>A</t>
        </is>
      </c>
      <c r="C1877" t="inlineStr">
        <is>
          <t>Mean Similarity (Pers. 6)</t>
        </is>
      </c>
      <c r="D1877" s="3" t="inlineStr">
        <is>
          <t>MeanSim = (1/K) × Σ sim(q, dᵢ)</t>
        </is>
      </c>
      <c r="E1877" s="3" t="inlineStr">
        <is>
          <t>skor = [0.793, 0.7921, 0.7779, 0.7621, 0.754, 0.752] → (0.7930 + 0.7921 + 0.7779 + 0.7621 + 0.7540 + 0.7520) / 6</t>
        </is>
      </c>
      <c r="F1877" t="n">
        <v>0.7719</v>
      </c>
      <c r="G1877" s="3" t="inlineStr"/>
    </row>
    <row r="1878">
      <c r="A1878" t="n">
        <v>128</v>
      </c>
      <c r="B1878" t="inlineStr">
        <is>
          <t>A</t>
        </is>
      </c>
      <c r="C1878" t="inlineStr">
        <is>
          <t>Coverage (Pers. 8)</t>
        </is>
      </c>
      <c r="D1878" s="3" t="inlineStr">
        <is>
          <t>Coverage = |{dᵢ ∈ TopK : sim(q,dᵢ) ≥ θc}| / K</t>
        </is>
      </c>
      <c r="E1878" s="3" t="inlineStr">
        <is>
          <t>skor = [0.793, 0.7921, 0.7779, 0.7621, 0.754, 0.752] → 6 / 6</t>
        </is>
      </c>
      <c r="F1878" t="n">
        <v>1</v>
      </c>
      <c r="G1878" s="3" t="inlineStr"/>
    </row>
    <row r="1879">
      <c r="A1879" t="n">
        <v>128</v>
      </c>
      <c r="B1879" t="inlineStr">
        <is>
          <t>A</t>
        </is>
      </c>
      <c r="C1879" t="inlineStr">
        <is>
          <t>Source Diversity (Pers. 10)</t>
        </is>
      </c>
      <c r="D1879" s="3" t="inlineStr">
        <is>
          <t>Diversity = |sumber unik dalam TopK| / K</t>
        </is>
      </c>
      <c r="E1879" s="3" t="inlineStr">
        <is>
          <t>skor = ['GT_CT07.txt', 'GT_CT10.txt', 'GT_DETAIL_PT07_Notasi_Algoritme.txt', 'GT_DETAIL_PT10_Percabangan.txt', 'GT_DETAIL_PT11_Perulangan.txt', 'GT_SUBTOPIK_05_Pseudocode_Algoritme.txt'] → 6 / 6</t>
        </is>
      </c>
      <c r="F1879" t="n">
        <v>1</v>
      </c>
      <c r="G1879" s="3" t="inlineStr">
        <is>
          <t>file unik: GT_CT07.txt, GT_CT10.txt, GT_DETAIL_PT07_Notasi_Algoritme.txt, GT_DETAIL_PT10_Percabangan.txt, GT_DETAIL_PT11_Perulangan.txt, GT_SUBTOPIK_05_Pseudocode_Algoritme.txt</t>
        </is>
      </c>
    </row>
    <row r="1880">
      <c r="A1880" t="n">
        <v>128</v>
      </c>
      <c r="B1880" t="inlineStr">
        <is>
          <t>A</t>
        </is>
      </c>
      <c r="C1880" t="inlineStr">
        <is>
          <t>Faithfulness (Pers. 15)</t>
        </is>
      </c>
      <c r="D1880" s="3" t="inlineStr">
        <is>
          <t>F = 0,70×Entailment + 0,30×KWoverlap</t>
        </is>
      </c>
      <c r="E1880" s="3" t="inlineStr">
        <is>
          <t>Faithfulness = 0,70×Entailment + 0,30×KWoverlap = 0,70×0.3333 + 0,30×0.2857 = 0.3190  (entailment: 2/6 klaim didukung; KWoverlap = (|∩|/|ctx|)^0,65 = (31/213)^0,65 = 0.1455^0,65 = 0.2857)</t>
        </is>
      </c>
      <c r="F1880" t="n">
        <v>0.319</v>
      </c>
      <c r="G1880" s="3" t="inlineStr">
        <is>
          <t>metode: llm_entailment + keyword</t>
        </is>
      </c>
    </row>
    <row r="1881">
      <c r="A1881" t="n">
        <v>128</v>
      </c>
      <c r="B1881" t="inlineStr">
        <is>
          <t>A</t>
        </is>
      </c>
      <c r="C1881" t="inlineStr">
        <is>
          <t>— Entailment (Pers. 12-13)</t>
        </is>
      </c>
      <c r="D1881" s="3" t="inlineStr">
        <is>
          <t>Entailment = Σverdict(sᵢ)/m</t>
        </is>
      </c>
      <c r="E1881" s="3" t="inlineStr">
        <is>
          <t>2 klaim YA dari 6 klaim dievaluasi</t>
        </is>
      </c>
      <c r="F1881" t="n">
        <v>0.3333</v>
      </c>
      <c r="G1881" s="3" t="inlineStr">
        <is>
          <t>verdict per klaim: sheet 'Entailment Detail'</t>
        </is>
      </c>
    </row>
    <row r="1882">
      <c r="A1882" t="n">
        <v>128</v>
      </c>
      <c r="B1882" t="inlineStr">
        <is>
          <t>A</t>
        </is>
      </c>
      <c r="C1882" t="inlineStr">
        <is>
          <t>— Keyword Overlap (Pers. 14)</t>
        </is>
      </c>
      <c r="D1882" s="3" t="inlineStr">
        <is>
          <t>KWoverlap = (|Stems(ans)∩Stems(ctx)| / |Stems(ctx)|)^0,65</t>
        </is>
      </c>
      <c r="E1882" s="3" t="inlineStr">
        <is>
          <t>KWoverlap = (|∩|/|ctx|)^0,65 = (31/213)^0,65 = 0.1455^0,65 = 0.2857</t>
        </is>
      </c>
      <c r="F1882" t="n">
        <v>0.2857</v>
      </c>
      <c r="G1882" s="3" t="inlineStr"/>
    </row>
    <row r="1883">
      <c r="A1883" t="n">
        <v>128</v>
      </c>
      <c r="B1883" t="inlineStr">
        <is>
          <t>A</t>
        </is>
      </c>
      <c r="C1883" t="inlineStr">
        <is>
          <t>Hallucination Risk (Pers. 18)</t>
        </is>
      </c>
      <c r="D1883" s="3" t="inlineStr">
        <is>
          <t>Risk = 0,65×(1-F) + 0,20×Contradiction + 0,15×Uncertainty</t>
        </is>
      </c>
      <c r="E1883" s="3" t="inlineStr">
        <is>
          <t>Risk = 0,65×OutOfContext + 0,20×Contradiction + 0,15×Uncertainty = 0,65×0.6810 + 0,20×0.0000 + 0,15×0.00 = 0.4427 [SEDANG]</t>
        </is>
      </c>
      <c r="F1883" t="n">
        <v>0.4427</v>
      </c>
      <c r="G1883" s="3" t="inlineStr">
        <is>
          <t>label: SEDANG; kontradiksi 0/25 kalimat; uncertainty flag: False</t>
        </is>
      </c>
    </row>
    <row r="1884">
      <c r="A1884" t="n">
        <v>128</v>
      </c>
      <c r="B1884" t="inlineStr">
        <is>
          <t>A</t>
        </is>
      </c>
      <c r="C1884" t="inlineStr">
        <is>
          <t>Answer Accuracy (Pers. 20)</t>
        </is>
      </c>
      <c r="D1884" s="3" t="inlineStr">
        <is>
          <t>Correctᵢ ∈ {0,1} via LLM-as-Judge (HASIL: BENAR/SALAH)</t>
        </is>
      </c>
      <c r="E1884" s="3" t="inlineStr">
        <is>
          <t>Based on the provided reference, I would say that the system's answer is... **BENAR**!
Here's why:
1. The system provides a pseudocode for calculating the average, maximum, and minimum values from an array of user-inputted numbers.
2. The pseudocode uses concepts learned in the material, such as loops (e.g., `read(a, b)` ) and conditionals (e.g., `if` statements).
3. The system's answer is conci</t>
        </is>
      </c>
      <c r="F1884" t="inlineStr">
        <is>
          <t>BENAR</t>
        </is>
      </c>
      <c r="G1884" s="3" t="inlineStr">
        <is>
          <t>evaluator: ollama/llama3</t>
        </is>
      </c>
    </row>
    <row r="1885">
      <c r="A1885" t="n">
        <v>128</v>
      </c>
      <c r="B1885" t="inlineStr">
        <is>
          <t>B</t>
        </is>
      </c>
      <c r="C1885" t="inlineStr">
        <is>
          <t>Faithfulness (Pers. 15)</t>
        </is>
      </c>
      <c r="D1885" s="3" t="inlineStr">
        <is>
          <t>F = 0,70×Entailment + 0,30×KWoverlap</t>
        </is>
      </c>
      <c r="E1885" s="3" t="inlineStr">
        <is>
          <t>Faithfulness = 0,70×Entailment + 0,30×KWoverlap = 0,70×0.6000 + 0,30×0.2674 = 0.5002  (entailment: 3/5 klaim didukung; KWoverlap = (|∩|/|ctx|)^0,65 = (28/213)^0,65 = 0.1315^0,65 = 0.2674)</t>
        </is>
      </c>
      <c r="F1885" t="n">
        <v>0.5002</v>
      </c>
      <c r="G1885" s="3" t="inlineStr">
        <is>
          <t>metode: llm_entailment + keyword</t>
        </is>
      </c>
    </row>
    <row r="1886">
      <c r="A1886" t="n">
        <v>128</v>
      </c>
      <c r="B1886" t="inlineStr">
        <is>
          <t>B</t>
        </is>
      </c>
      <c r="C1886" t="inlineStr">
        <is>
          <t>— Entailment (Pers. 12-13)</t>
        </is>
      </c>
      <c r="D1886" s="3" t="inlineStr">
        <is>
          <t>Entailment = Σverdict(sᵢ)/m</t>
        </is>
      </c>
      <c r="E1886" s="3" t="inlineStr">
        <is>
          <t>3 klaim YA dari 5 klaim dievaluasi</t>
        </is>
      </c>
      <c r="F1886" t="n">
        <v>0.6</v>
      </c>
      <c r="G1886" s="3" t="inlineStr">
        <is>
          <t>verdict per klaim: sheet 'Entailment Detail'</t>
        </is>
      </c>
    </row>
    <row r="1887">
      <c r="A1887" t="n">
        <v>128</v>
      </c>
      <c r="B1887" t="inlineStr">
        <is>
          <t>B</t>
        </is>
      </c>
      <c r="C1887" t="inlineStr">
        <is>
          <t>— Keyword Overlap (Pers. 14)</t>
        </is>
      </c>
      <c r="D1887" s="3" t="inlineStr">
        <is>
          <t>KWoverlap = (|Stems(ans)∩Stems(ctx)| / |Stems(ctx)|)^0,65</t>
        </is>
      </c>
      <c r="E1887" s="3" t="inlineStr">
        <is>
          <t>KWoverlap = (|∩|/|ctx|)^0,65 = (28/213)^0,65 = 0.1315^0,65 = 0.2674</t>
        </is>
      </c>
      <c r="F1887" t="n">
        <v>0.2674</v>
      </c>
      <c r="G1887" s="3" t="inlineStr"/>
    </row>
    <row r="1888">
      <c r="A1888" t="n">
        <v>128</v>
      </c>
      <c r="B1888" t="inlineStr">
        <is>
          <t>B</t>
        </is>
      </c>
      <c r="C1888" t="inlineStr">
        <is>
          <t>Hallucination Risk (Pers. 18)</t>
        </is>
      </c>
      <c r="D1888" s="3" t="inlineStr">
        <is>
          <t>Risk = 0,65×(1-F) + 0,20×Contradiction + 0,15×Uncertainty</t>
        </is>
      </c>
      <c r="E1888" s="3" t="inlineStr">
        <is>
          <t>Risk = 0,65×OutOfContext + 0,20×Contradiction + 0,15×Uncertainty = 0,65×0.4998 + 0,20×0.0000 + 0,15×0.00 = 0.3249 [SEDANG]</t>
        </is>
      </c>
      <c r="F1888" t="n">
        <v>0.3249</v>
      </c>
      <c r="G1888" s="3" t="inlineStr">
        <is>
          <t>label: SEDANG; kontradiksi 0/31 kalimat; uncertainty flag: False</t>
        </is>
      </c>
    </row>
    <row r="1889">
      <c r="A1889" t="n">
        <v>128</v>
      </c>
      <c r="B1889" t="inlineStr">
        <is>
          <t>B</t>
        </is>
      </c>
      <c r="C1889" t="inlineStr">
        <is>
          <t>Answer Accuracy (Pers. 20)</t>
        </is>
      </c>
      <c r="D1889" s="3" t="inlineStr">
        <is>
          <t>Correctᵢ ∈ {0,1} via LLM-as-Judge (HASIL: BENAR/SALAH)</t>
        </is>
      </c>
      <c r="E1889" s="3" t="inlineStr">
        <is>
          <t>Menurut referensi, jawaban sistem telah menjawab pertanyaan dengan benar. Alasan itu adalah:
* Deklarasi variabel `average`, `max_value`, dan `min_value` sesuai dengan kebutuhan.
* Loop WHILE dengan kondisi "pengguna belum selesai input" yang memungkinkan pengguna untuk menginput berapa saja elemen, dan berhenti kalau input -1.
* Proses dalam loop untuk menghitung nilai rata-rata, nilai terbesar,</t>
        </is>
      </c>
      <c r="F1889" t="inlineStr">
        <is>
          <t>BENAR</t>
        </is>
      </c>
      <c r="G1889" s="3" t="inlineStr">
        <is>
          <t>evaluator: ollama/llama3</t>
        </is>
      </c>
    </row>
    <row r="1890">
      <c r="A1890" t="n">
        <v>129</v>
      </c>
      <c r="B1890" t="inlineStr">
        <is>
          <t>A</t>
        </is>
      </c>
      <c r="C1890" t="inlineStr">
        <is>
          <t>Precision@K (Pers. 2)</t>
        </is>
      </c>
      <c r="D1890" s="3" t="inlineStr">
        <is>
          <t>Precision@K = |{d ∈ TopK : sim(q,d) ≥ θ}| / K</t>
        </is>
      </c>
      <c r="E1890" s="3" t="inlineStr">
        <is>
          <t>skor = [0.8013, 0.8009, 0.7977, 0.7921, 0.7906, 0.7616] → 6 / 6</t>
        </is>
      </c>
      <c r="F1890" t="n">
        <v>1</v>
      </c>
      <c r="G1890" s="3" t="inlineStr">
        <is>
          <t>basis: skor chunk nyata (sesuai contoh Pers. 2 skripsi)</t>
        </is>
      </c>
    </row>
    <row r="1891">
      <c r="A1891" t="n">
        <v>129</v>
      </c>
      <c r="B1891" t="inlineStr">
        <is>
          <t>A</t>
        </is>
      </c>
      <c r="C1891" t="inlineStr">
        <is>
          <t>Recall@K (Pers. 4)</t>
        </is>
      </c>
      <c r="D1891" s="3" t="inlineStr">
        <is>
          <t>Recall@K = |{kata kunci ditemukan : sim ≥ θ}| / |R|</t>
        </is>
      </c>
      <c r="E1891" s="3" t="inlineStr">
        <is>
          <t>skor = [0.7203, 0.6475, 0.5297, 0.5082, 0.4679, 0.4461] → 6 / 6</t>
        </is>
      </c>
      <c r="F1891" t="n">
        <v>1</v>
      </c>
      <c r="G1891" s="3" t="inlineStr"/>
    </row>
    <row r="1892">
      <c r="A1892" t="n">
        <v>129</v>
      </c>
      <c r="B1892" t="inlineStr">
        <is>
          <t>A</t>
        </is>
      </c>
      <c r="C1892" t="inlineStr">
        <is>
          <t>Mean Similarity (Pers. 6)</t>
        </is>
      </c>
      <c r="D1892" s="3" t="inlineStr">
        <is>
          <t>MeanSim = (1/K) × Σ sim(q, dᵢ)</t>
        </is>
      </c>
      <c r="E1892" s="3" t="inlineStr">
        <is>
          <t>skor = [0.8013, 0.8009, 0.7977, 0.7921, 0.7906, 0.7616] → (0.8013 + 0.8009 + 0.7977 + 0.7921 + 0.7906 + 0.7616) / 6</t>
        </is>
      </c>
      <c r="F1892" t="n">
        <v>0.7907</v>
      </c>
      <c r="G1892" s="3" t="inlineStr"/>
    </row>
    <row r="1893">
      <c r="A1893" t="n">
        <v>129</v>
      </c>
      <c r="B1893" t="inlineStr">
        <is>
          <t>A</t>
        </is>
      </c>
      <c r="C1893" t="inlineStr">
        <is>
          <t>Coverage (Pers. 8)</t>
        </is>
      </c>
      <c r="D1893" s="3" t="inlineStr">
        <is>
          <t>Coverage = |{dᵢ ∈ TopK : sim(q,dᵢ) ≥ θc}| / K</t>
        </is>
      </c>
      <c r="E1893" s="3" t="inlineStr">
        <is>
          <t>skor = [0.8013, 0.8009, 0.7977, 0.7921, 0.7906, 0.7616] → 6 / 6</t>
        </is>
      </c>
      <c r="F1893" t="n">
        <v>1</v>
      </c>
      <c r="G1893" s="3" t="inlineStr"/>
    </row>
    <row r="1894">
      <c r="A1894" t="n">
        <v>129</v>
      </c>
      <c r="B1894" t="inlineStr">
        <is>
          <t>A</t>
        </is>
      </c>
      <c r="C1894" t="inlineStr">
        <is>
          <t>Source Diversity (Pers. 10)</t>
        </is>
      </c>
      <c r="D1894" s="3" t="inlineStr">
        <is>
          <t>Diversity = |sumber unik dalam TopK| / K</t>
        </is>
      </c>
      <c r="E1894" s="3" t="inlineStr">
        <is>
          <t>skor = ['GT_CT07.txt', 'GT_CT11.txt', 'GT_DETAIL_PT07_Notasi_Algoritme.txt', 'GT_DETAIL_PT10_Percabangan.txt', 'GT_SUBTOPIK_04_Modulo_Siklus.txt', 'GT_SUBTOPIK_05_Pseudocode_Algoritme.txt'] → 6 / 6</t>
        </is>
      </c>
      <c r="F1894" t="n">
        <v>1</v>
      </c>
      <c r="G1894" s="3" t="inlineStr">
        <is>
          <t>file unik: GT_CT07.txt, GT_CT11.txt, GT_DETAIL_PT07_Notasi_Algoritme.txt, GT_DETAIL_PT10_Percabangan.txt, GT_SUBTOPIK_04_Modulo_Siklus.txt, GT_SUBTOPIK_05_Pseudocode_Algoritme.txt</t>
        </is>
      </c>
    </row>
    <row r="1895">
      <c r="A1895" t="n">
        <v>129</v>
      </c>
      <c r="B1895" t="inlineStr">
        <is>
          <t>A</t>
        </is>
      </c>
      <c r="C1895" t="inlineStr">
        <is>
          <t>Faithfulness (Pers. 15)</t>
        </is>
      </c>
      <c r="D1895" s="3" t="inlineStr">
        <is>
          <t>F = 0,70×Entailment + 0,30×KWoverlap</t>
        </is>
      </c>
      <c r="E1895" s="3" t="inlineStr">
        <is>
          <t>Faithfulness = 0,70×Entailment + 0,30×KWoverlap = 0,70×0.5000 + 0,30×0.2813 = 0.4344  (entailment: 3/6 klaim didukung; KWoverlap = (|∩|/|ctx|)^0,65 = (27/190)^0,65 = 0.1421^0,65 = 0.2813)</t>
        </is>
      </c>
      <c r="F1895" t="n">
        <v>0.4344</v>
      </c>
      <c r="G1895" s="3" t="inlineStr">
        <is>
          <t>metode: llm_entailment + keyword</t>
        </is>
      </c>
    </row>
    <row r="1896">
      <c r="A1896" t="n">
        <v>129</v>
      </c>
      <c r="B1896" t="inlineStr">
        <is>
          <t>A</t>
        </is>
      </c>
      <c r="C1896" t="inlineStr">
        <is>
          <t>— Entailment (Pers. 12-13)</t>
        </is>
      </c>
      <c r="D1896" s="3" t="inlineStr">
        <is>
          <t>Entailment = Σverdict(sᵢ)/m</t>
        </is>
      </c>
      <c r="E1896" s="3" t="inlineStr">
        <is>
          <t>3 klaim YA dari 6 klaim dievaluasi</t>
        </is>
      </c>
      <c r="F1896" t="n">
        <v>0.5</v>
      </c>
      <c r="G1896" s="3" t="inlineStr">
        <is>
          <t>verdict per klaim: sheet 'Entailment Detail'</t>
        </is>
      </c>
    </row>
    <row r="1897">
      <c r="A1897" t="n">
        <v>129</v>
      </c>
      <c r="B1897" t="inlineStr">
        <is>
          <t>A</t>
        </is>
      </c>
      <c r="C1897" t="inlineStr">
        <is>
          <t>— Keyword Overlap (Pers. 14)</t>
        </is>
      </c>
      <c r="D1897" s="3" t="inlineStr">
        <is>
          <t>KWoverlap = (|Stems(ans)∩Stems(ctx)| / |Stems(ctx)|)^0,65</t>
        </is>
      </c>
      <c r="E1897" s="3" t="inlineStr">
        <is>
          <t>KWoverlap = (|∩|/|ctx|)^0,65 = (27/190)^0,65 = 0.1421^0,65 = 0.2813</t>
        </is>
      </c>
      <c r="F1897" t="n">
        <v>0.2813</v>
      </c>
      <c r="G1897" s="3" t="inlineStr"/>
    </row>
    <row r="1898">
      <c r="A1898" t="n">
        <v>129</v>
      </c>
      <c r="B1898" t="inlineStr">
        <is>
          <t>A</t>
        </is>
      </c>
      <c r="C1898" t="inlineStr">
        <is>
          <t>Hallucination Risk (Pers. 18)</t>
        </is>
      </c>
      <c r="D1898" s="3" t="inlineStr">
        <is>
          <t>Risk = 0,65×(1-F) + 0,20×Contradiction + 0,15×Uncertainty</t>
        </is>
      </c>
      <c r="E1898" s="3" t="inlineStr">
        <is>
          <t>Risk = 0,65×OutOfContext + 0,20×Contradiction + 0,15×Uncertainty = 0,65×0.5656 + 0,20×0.0000 + 0,15×0.00 = 0.3676 [SEDANG]</t>
        </is>
      </c>
      <c r="F1898" t="n">
        <v>0.3676</v>
      </c>
      <c r="G1898" s="3" t="inlineStr">
        <is>
          <t>label: SEDANG; kontradiksi 0/33 kalimat; uncertainty flag: False</t>
        </is>
      </c>
    </row>
    <row r="1899">
      <c r="A1899" t="n">
        <v>129</v>
      </c>
      <c r="B1899" t="inlineStr">
        <is>
          <t>A</t>
        </is>
      </c>
      <c r="C1899" t="inlineStr">
        <is>
          <t>Answer Accuracy (Pers. 20)</t>
        </is>
      </c>
      <c r="D1899" s="3" t="inlineStr">
        <is>
          <t>Correctᵢ ∈ {0,1} via LLM-as-Judge (HASIL: BENAR/SALAH)</t>
        </is>
      </c>
      <c r="E1899" s="3" t="inlineStr">
        <is>
          <t>Jawaban sistem: 
Rationale:
1. The system's answer is based on the reference provided, which includes a pseudocode for checking whether a number is prime.
2. The system suggests using an algoritme with complexity O(√n) to check for primality, which aligns with the existing knowledge and understanding of the problem.
3. The system provides a loop structure that iterates from 2 to N, which is cons</t>
        </is>
      </c>
      <c r="F1899" t="inlineStr">
        <is>
          <t>BENAR</t>
        </is>
      </c>
      <c r="G1899" s="3" t="inlineStr">
        <is>
          <t>evaluator: ollama/llama3</t>
        </is>
      </c>
    </row>
    <row r="1900">
      <c r="A1900" t="n">
        <v>129</v>
      </c>
      <c r="B1900" t="inlineStr">
        <is>
          <t>B</t>
        </is>
      </c>
      <c r="C1900" t="inlineStr">
        <is>
          <t>Faithfulness (Pers. 15)</t>
        </is>
      </c>
      <c r="D1900" s="3" t="inlineStr">
        <is>
          <t>F = 0,70×Entailment + 0,30×KWoverlap</t>
        </is>
      </c>
      <c r="E1900" s="3" t="inlineStr">
        <is>
          <t>Faithfulness = 0,70×Entailment + 0,30×KWoverlap = 0,70×0.0000 + 0,30×0.2315 = 0.0694  (entailment: 0/6 klaim didukung; KWoverlap = (|∩|/|ctx|)^0,65 = (20/190)^0,65 = 0.1053^0,65 = 0.2315)</t>
        </is>
      </c>
      <c r="F1900" t="n">
        <v>0.0694</v>
      </c>
      <c r="G1900" s="3" t="inlineStr">
        <is>
          <t>metode: llm_entailment + keyword</t>
        </is>
      </c>
    </row>
    <row r="1901">
      <c r="A1901" t="n">
        <v>129</v>
      </c>
      <c r="B1901" t="inlineStr">
        <is>
          <t>B</t>
        </is>
      </c>
      <c r="C1901" t="inlineStr">
        <is>
          <t>— Entailment (Pers. 12-13)</t>
        </is>
      </c>
      <c r="D1901" s="3" t="inlineStr">
        <is>
          <t>Entailment = Σverdict(sᵢ)/m</t>
        </is>
      </c>
      <c r="E1901" s="3" t="inlineStr">
        <is>
          <t>0 klaim YA dari 6 klaim dievaluasi</t>
        </is>
      </c>
      <c r="F1901" t="n">
        <v>0</v>
      </c>
      <c r="G1901" s="3" t="inlineStr">
        <is>
          <t>verdict per klaim: sheet 'Entailment Detail'</t>
        </is>
      </c>
    </row>
    <row r="1902">
      <c r="A1902" t="n">
        <v>129</v>
      </c>
      <c r="B1902" t="inlineStr">
        <is>
          <t>B</t>
        </is>
      </c>
      <c r="C1902" t="inlineStr">
        <is>
          <t>— Keyword Overlap (Pers. 14)</t>
        </is>
      </c>
      <c r="D1902" s="3" t="inlineStr">
        <is>
          <t>KWoverlap = (|Stems(ans)∩Stems(ctx)| / |Stems(ctx)|)^0,65</t>
        </is>
      </c>
      <c r="E1902" s="3" t="inlineStr">
        <is>
          <t>KWoverlap = (|∩|/|ctx|)^0,65 = (20/190)^0,65 = 0.1053^0,65 = 0.2315</t>
        </is>
      </c>
      <c r="F1902" t="n">
        <v>0.2315</v>
      </c>
      <c r="G1902" s="3" t="inlineStr"/>
    </row>
    <row r="1903">
      <c r="A1903" t="n">
        <v>129</v>
      </c>
      <c r="B1903" t="inlineStr">
        <is>
          <t>B</t>
        </is>
      </c>
      <c r="C1903" t="inlineStr">
        <is>
          <t>Hallucination Risk (Pers. 18)</t>
        </is>
      </c>
      <c r="D1903" s="3" t="inlineStr">
        <is>
          <t>Risk = 0,65×(1-F) + 0,20×Contradiction + 0,15×Uncertainty</t>
        </is>
      </c>
      <c r="E1903" s="3" t="inlineStr">
        <is>
          <t>Risk = 0,65×OutOfContext + 0,20×Contradiction + 0,15×Uncertainty = 0,65×0.9306 + 0,20×0.0000 + 0,15×0.00 = 0.6049 [TINGGI]</t>
        </is>
      </c>
      <c r="F1903" t="n">
        <v>0.6049</v>
      </c>
      <c r="G1903" s="3" t="inlineStr">
        <is>
          <t>label: TINGGI; kontradiksi 0/33 kalimat; uncertainty flag: False</t>
        </is>
      </c>
    </row>
    <row r="1904">
      <c r="A1904" t="n">
        <v>129</v>
      </c>
      <c r="B1904" t="inlineStr">
        <is>
          <t>B</t>
        </is>
      </c>
      <c r="C1904" t="inlineStr">
        <is>
          <t>Answer Accuracy (Pers. 20)</t>
        </is>
      </c>
      <c r="D1904" s="3" t="inlineStr">
        <is>
          <t>Correctᵢ ∈ {0,1} via LLM-as-Judge (HASIL: BENAR/SALAH)</t>
        </is>
      </c>
      <c r="E1904" s="3" t="inlineStr">
        <is>
          <t>Jawaban sistem:</t>
        </is>
      </c>
      <c r="F1904" t="inlineStr">
        <is>
          <t>BENAR</t>
        </is>
      </c>
      <c r="G1904" s="3" t="inlineStr">
        <is>
          <t>evaluator: ollama/llama3</t>
        </is>
      </c>
    </row>
    <row r="1905">
      <c r="A1905" t="n">
        <v>130</v>
      </c>
      <c r="B1905" t="inlineStr">
        <is>
          <t>A</t>
        </is>
      </c>
      <c r="C1905" t="inlineStr">
        <is>
          <t>Precision@K (Pers. 2)</t>
        </is>
      </c>
      <c r="D1905" s="3" t="inlineStr">
        <is>
          <t>Precision@K = |{d ∈ TopK : sim(q,d) ≥ θ}| / K</t>
        </is>
      </c>
      <c r="E1905" s="3" t="inlineStr">
        <is>
          <t>skor = [0.7794, 0.7782, 0.7578, 0.7449, 0.743, 0.7398] → 6 / 6</t>
        </is>
      </c>
      <c r="F1905" t="n">
        <v>1</v>
      </c>
      <c r="G1905" s="3" t="inlineStr">
        <is>
          <t>basis: skor chunk nyata (sesuai contoh Pers. 2 skripsi)</t>
        </is>
      </c>
    </row>
    <row r="1906">
      <c r="A1906" t="n">
        <v>130</v>
      </c>
      <c r="B1906" t="inlineStr">
        <is>
          <t>A</t>
        </is>
      </c>
      <c r="C1906" t="inlineStr">
        <is>
          <t>Recall@K (Pers. 4)</t>
        </is>
      </c>
      <c r="D1906" s="3" t="inlineStr">
        <is>
          <t>Recall@K = |{kata kunci ditemukan : sim ≥ θ}| / |R|</t>
        </is>
      </c>
      <c r="E1906" s="3" t="inlineStr">
        <is>
          <t>skor = [0.7049, 0.557, 0.4949, 0.4513, 0.4345, 0.4284] → 6 / 6</t>
        </is>
      </c>
      <c r="F1906" t="n">
        <v>1</v>
      </c>
      <c r="G1906" s="3" t="inlineStr"/>
    </row>
    <row r="1907">
      <c r="A1907" t="n">
        <v>130</v>
      </c>
      <c r="B1907" t="inlineStr">
        <is>
          <t>A</t>
        </is>
      </c>
      <c r="C1907" t="inlineStr">
        <is>
          <t>Mean Similarity (Pers. 6)</t>
        </is>
      </c>
      <c r="D1907" s="3" t="inlineStr">
        <is>
          <t>MeanSim = (1/K) × Σ sim(q, dᵢ)</t>
        </is>
      </c>
      <c r="E1907" s="3" t="inlineStr">
        <is>
          <t>skor = [0.7794, 0.7782, 0.7578, 0.7449, 0.743, 0.7398] → (0.7794 + 0.7782 + 0.7578 + 0.7449 + 0.7430 + 0.7398) / 6</t>
        </is>
      </c>
      <c r="F1907" t="n">
        <v>0.7572</v>
      </c>
      <c r="G1907" s="3" t="inlineStr"/>
    </row>
    <row r="1908">
      <c r="A1908" t="n">
        <v>130</v>
      </c>
      <c r="B1908" t="inlineStr">
        <is>
          <t>A</t>
        </is>
      </c>
      <c r="C1908" t="inlineStr">
        <is>
          <t>Coverage (Pers. 8)</t>
        </is>
      </c>
      <c r="D1908" s="3" t="inlineStr">
        <is>
          <t>Coverage = |{dᵢ ∈ TopK : sim(q,dᵢ) ≥ θc}| / K</t>
        </is>
      </c>
      <c r="E1908" s="3" t="inlineStr">
        <is>
          <t>skor = [0.7794, 0.7782, 0.7578, 0.7449, 0.743, 0.7398] → 6 / 6</t>
        </is>
      </c>
      <c r="F1908" t="n">
        <v>1</v>
      </c>
      <c r="G1908" s="3" t="inlineStr"/>
    </row>
    <row r="1909">
      <c r="A1909" t="n">
        <v>130</v>
      </c>
      <c r="B1909" t="inlineStr">
        <is>
          <t>A</t>
        </is>
      </c>
      <c r="C1909" t="inlineStr">
        <is>
          <t>Source Diversity (Pers. 10)</t>
        </is>
      </c>
      <c r="D1909" s="3" t="inlineStr">
        <is>
          <t>Diversity = |sumber unik dalam TopK| / K</t>
        </is>
      </c>
      <c r="E1909" s="3" t="inlineStr">
        <is>
          <t>skor = ['GT_CT07.txt', 'GT_CT10.txt', 'GT_DETAIL_PT07_Notasi_Algoritme.txt', 'GT_DETAIL_PT10_Percabangan.txt', 'GT_SUBTOPIK_05_Pseudocode_Algoritme.txt'] → 5 / 6</t>
        </is>
      </c>
      <c r="F1909" t="n">
        <v>0.8333</v>
      </c>
      <c r="G1909" s="3" t="inlineStr">
        <is>
          <t>file unik: GT_CT07.txt, GT_CT10.txt, GT_DETAIL_PT07_Notasi_Algoritme.txt, GT_DETAIL_PT10_Percabangan.txt, GT_SUBTOPIK_05_Pseudocode_Algoritme.txt</t>
        </is>
      </c>
    </row>
    <row r="1910">
      <c r="A1910" t="n">
        <v>130</v>
      </c>
      <c r="B1910" t="inlineStr">
        <is>
          <t>A</t>
        </is>
      </c>
      <c r="C1910" t="inlineStr">
        <is>
          <t>Faithfulness (Pers. 15)</t>
        </is>
      </c>
      <c r="D1910" s="3" t="inlineStr">
        <is>
          <t>F = 0,70×Entailment + 0,30×KWoverlap</t>
        </is>
      </c>
      <c r="E1910" s="3" t="inlineStr">
        <is>
          <t>Faithfulness = 0,70×Entailment + 0,30×KWoverlap = 0,70×0.8333 + 0,30×0.2520 = 0.6589  (entailment: 5/6 klaim didukung; KWoverlap = (|∩|/|ctx|)^0,65 = (24/200)^0,65 = 0.1200^0,65 = 0.2520)</t>
        </is>
      </c>
      <c r="F1910" t="n">
        <v>0.6589</v>
      </c>
      <c r="G1910" s="3" t="inlineStr">
        <is>
          <t>metode: llm_entailment + keyword</t>
        </is>
      </c>
    </row>
    <row r="1911">
      <c r="A1911" t="n">
        <v>130</v>
      </c>
      <c r="B1911" t="inlineStr">
        <is>
          <t>A</t>
        </is>
      </c>
      <c r="C1911" t="inlineStr">
        <is>
          <t>— Entailment (Pers. 12-13)</t>
        </is>
      </c>
      <c r="D1911" s="3" t="inlineStr">
        <is>
          <t>Entailment = Σverdict(sᵢ)/m</t>
        </is>
      </c>
      <c r="E1911" s="3" t="inlineStr">
        <is>
          <t>5 klaim YA dari 6 klaim dievaluasi</t>
        </is>
      </c>
      <c r="F1911" t="n">
        <v>0.8333</v>
      </c>
      <c r="G1911" s="3" t="inlineStr">
        <is>
          <t>verdict per klaim: sheet 'Entailment Detail'</t>
        </is>
      </c>
    </row>
    <row r="1912">
      <c r="A1912" t="n">
        <v>130</v>
      </c>
      <c r="B1912" t="inlineStr">
        <is>
          <t>A</t>
        </is>
      </c>
      <c r="C1912" t="inlineStr">
        <is>
          <t>— Keyword Overlap (Pers. 14)</t>
        </is>
      </c>
      <c r="D1912" s="3" t="inlineStr">
        <is>
          <t>KWoverlap = (|Stems(ans)∩Stems(ctx)| / |Stems(ctx)|)^0,65</t>
        </is>
      </c>
      <c r="E1912" s="3" t="inlineStr">
        <is>
          <t>KWoverlap = (|∩|/|ctx|)^0,65 = (24/200)^0,65 = 0.1200^0,65 = 0.2520</t>
        </is>
      </c>
      <c r="F1912" t="n">
        <v>0.252</v>
      </c>
      <c r="G1912" s="3" t="inlineStr"/>
    </row>
    <row r="1913">
      <c r="A1913" t="n">
        <v>130</v>
      </c>
      <c r="B1913" t="inlineStr">
        <is>
          <t>A</t>
        </is>
      </c>
      <c r="C1913" t="inlineStr">
        <is>
          <t>Hallucination Risk (Pers. 18)</t>
        </is>
      </c>
      <c r="D1913" s="3" t="inlineStr">
        <is>
          <t>Risk = 0,65×(1-F) + 0,20×Contradiction + 0,15×Uncertainty</t>
        </is>
      </c>
      <c r="E1913" s="3" t="inlineStr">
        <is>
          <t>Risk = 0,65×OutOfContext + 0,20×Contradiction + 0,15×Uncertainty = 0,65×0.3411 + 0,20×0.0000 + 0,15×0.00 = 0.2217 [RENDAH]</t>
        </is>
      </c>
      <c r="F1913" t="n">
        <v>0.2217</v>
      </c>
      <c r="G1913" s="3" t="inlineStr">
        <is>
          <t>label: RENDAH; kontradiksi 0/20 kalimat; uncertainty flag: False</t>
        </is>
      </c>
    </row>
    <row r="1914">
      <c r="A1914" t="n">
        <v>130</v>
      </c>
      <c r="B1914" t="inlineStr">
        <is>
          <t>A</t>
        </is>
      </c>
      <c r="C1914" t="inlineStr">
        <is>
          <t>Answer Accuracy (Pers. 20)</t>
        </is>
      </c>
      <c r="D1914" s="3" t="inlineStr">
        <is>
          <t>Correctᵢ ∈ {0,1} via LLM-as-Judge (HASIL: BENAR/SALAH)</t>
        </is>
      </c>
      <c r="E1914" s="3" t="inlineStr">
        <is>
          <t>Jawaban sistem menjawab pertanyaan dengan benar berdasarkan referensi.
Pertanyaan meminta pseudocode yang membaca string dan menghitung frekuensi setiap huruf yang muncul, serta menggunakan struktur data yang sesuai. Jawaban sistem menggunakan dictionary sebagai struktur data untuk menghitung frekuensi setiap huruf, yang sesuai dengan referensi yang diberikan.
Jawaban sistem juga memberikan pseu</t>
        </is>
      </c>
      <c r="F1914" t="inlineStr">
        <is>
          <t>BENAR</t>
        </is>
      </c>
      <c r="G1914" s="3" t="inlineStr">
        <is>
          <t>evaluator: ollama/llama3</t>
        </is>
      </c>
    </row>
    <row r="1915">
      <c r="A1915" t="n">
        <v>130</v>
      </c>
      <c r="B1915" t="inlineStr">
        <is>
          <t>B</t>
        </is>
      </c>
      <c r="C1915" t="inlineStr">
        <is>
          <t>Faithfulness (Pers. 15)</t>
        </is>
      </c>
      <c r="D1915" s="3" t="inlineStr">
        <is>
          <t>F = 0,70×Entailment + 0,30×KWoverlap</t>
        </is>
      </c>
      <c r="E1915" s="3" t="inlineStr">
        <is>
          <t>Faithfulness = 0,70×Entailment + 0,30×KWoverlap = 0,70×0.8333 + 0,30×0.2588 = 0.6610  (entailment: 5/6 klaim didukung; KWoverlap = (|∩|/|ctx|)^0,65 = (25/200)^0,65 = 0.1250^0,65 = 0.2588)</t>
        </is>
      </c>
      <c r="F1915" t="n">
        <v>0.661</v>
      </c>
      <c r="G1915" s="3" t="inlineStr">
        <is>
          <t>metode: llm_entailment + keyword</t>
        </is>
      </c>
    </row>
    <row r="1916">
      <c r="A1916" t="n">
        <v>130</v>
      </c>
      <c r="B1916" t="inlineStr">
        <is>
          <t>B</t>
        </is>
      </c>
      <c r="C1916" t="inlineStr">
        <is>
          <t>— Entailment (Pers. 12-13)</t>
        </is>
      </c>
      <c r="D1916" s="3" t="inlineStr">
        <is>
          <t>Entailment = Σverdict(sᵢ)/m</t>
        </is>
      </c>
      <c r="E1916" s="3" t="inlineStr">
        <is>
          <t>5 klaim YA dari 6 klaim dievaluasi</t>
        </is>
      </c>
      <c r="F1916" t="n">
        <v>0.8333</v>
      </c>
      <c r="G1916" s="3" t="inlineStr">
        <is>
          <t>verdict per klaim: sheet 'Entailment Detail'</t>
        </is>
      </c>
    </row>
    <row r="1917">
      <c r="A1917" t="n">
        <v>130</v>
      </c>
      <c r="B1917" t="inlineStr">
        <is>
          <t>B</t>
        </is>
      </c>
      <c r="C1917" t="inlineStr">
        <is>
          <t>— Keyword Overlap (Pers. 14)</t>
        </is>
      </c>
      <c r="D1917" s="3" t="inlineStr">
        <is>
          <t>KWoverlap = (|Stems(ans)∩Stems(ctx)| / |Stems(ctx)|)^0,65</t>
        </is>
      </c>
      <c r="E1917" s="3" t="inlineStr">
        <is>
          <t>KWoverlap = (|∩|/|ctx|)^0,65 = (25/200)^0,65 = 0.1250^0,65 = 0.2588</t>
        </is>
      </c>
      <c r="F1917" t="n">
        <v>0.2588</v>
      </c>
      <c r="G1917" s="3" t="inlineStr"/>
    </row>
    <row r="1918">
      <c r="A1918" t="n">
        <v>130</v>
      </c>
      <c r="B1918" t="inlineStr">
        <is>
          <t>B</t>
        </is>
      </c>
      <c r="C1918" t="inlineStr">
        <is>
          <t>Hallucination Risk (Pers. 18)</t>
        </is>
      </c>
      <c r="D1918" s="3" t="inlineStr">
        <is>
          <t>Risk = 0,65×(1-F) + 0,20×Contradiction + 0,15×Uncertainty</t>
        </is>
      </c>
      <c r="E1918" s="3" t="inlineStr">
        <is>
          <t>Risk = 0,65×OutOfContext + 0,20×Contradiction + 0,15×Uncertainty = 0,65×0.3390 + 0,20×0.0000 + 0,15×0.00 = 0.2203 [RENDAH]</t>
        </is>
      </c>
      <c r="F1918" t="n">
        <v>0.2203</v>
      </c>
      <c r="G1918" s="3" t="inlineStr">
        <is>
          <t>label: RENDAH; kontradiksi 0/29 kalimat; uncertainty flag: False</t>
        </is>
      </c>
    </row>
    <row r="1919">
      <c r="A1919" t="n">
        <v>131</v>
      </c>
      <c r="B1919" t="inlineStr">
        <is>
          <t>A</t>
        </is>
      </c>
      <c r="C1919" t="inlineStr">
        <is>
          <t>Precision@K (Pers. 2)</t>
        </is>
      </c>
      <c r="D1919" s="3" t="inlineStr">
        <is>
          <t>Precision@K = |{d ∈ TopK : sim(q,d) ≥ θ}| / K</t>
        </is>
      </c>
      <c r="E1919" s="3" t="inlineStr">
        <is>
          <t>skor = [0.7074, 0.7067, 0.7015, 0.6991, 0.6972, 0.6965] → 6 / 6</t>
        </is>
      </c>
      <c r="F1919" t="n">
        <v>1</v>
      </c>
      <c r="G1919" s="3" t="inlineStr">
        <is>
          <t>basis: skor chunk nyata (sesuai contoh Pers. 2 skripsi)</t>
        </is>
      </c>
    </row>
    <row r="1920">
      <c r="A1920" t="n">
        <v>131</v>
      </c>
      <c r="B1920" t="inlineStr">
        <is>
          <t>A</t>
        </is>
      </c>
      <c r="C1920" t="inlineStr">
        <is>
          <t>Recall@K (Pers. 4)</t>
        </is>
      </c>
      <c r="D1920" s="3" t="inlineStr">
        <is>
          <t>Recall@K = |{kata kunci ditemukan : sim ≥ θ}| / |R|</t>
        </is>
      </c>
      <c r="E1920" s="3" t="inlineStr">
        <is>
          <t>skor = [0.7904, 0.5483, 0.488, 0.4769, 0.4446, 0.4349] → 6 / 6</t>
        </is>
      </c>
      <c r="F1920" t="n">
        <v>1</v>
      </c>
      <c r="G1920" s="3" t="inlineStr"/>
    </row>
    <row r="1921">
      <c r="A1921" t="n">
        <v>131</v>
      </c>
      <c r="B1921" t="inlineStr">
        <is>
          <t>A</t>
        </is>
      </c>
      <c r="C1921" t="inlineStr">
        <is>
          <t>Mean Similarity (Pers. 6)</t>
        </is>
      </c>
      <c r="D1921" s="3" t="inlineStr">
        <is>
          <t>MeanSim = (1/K) × Σ sim(q, dᵢ)</t>
        </is>
      </c>
      <c r="E1921" s="3" t="inlineStr">
        <is>
          <t>skor = [0.7074, 0.7067, 0.7015, 0.6991, 0.6972, 0.6965] → (0.7074 + 0.7067 + 0.7015 + 0.6991 + 0.6972 + 0.6965) / 6</t>
        </is>
      </c>
      <c r="F1921" t="n">
        <v>0.7014</v>
      </c>
      <c r="G1921" s="3" t="inlineStr"/>
    </row>
    <row r="1922">
      <c r="A1922" t="n">
        <v>131</v>
      </c>
      <c r="B1922" t="inlineStr">
        <is>
          <t>A</t>
        </is>
      </c>
      <c r="C1922" t="inlineStr">
        <is>
          <t>Coverage (Pers. 8)</t>
        </is>
      </c>
      <c r="D1922" s="3" t="inlineStr">
        <is>
          <t>Coverage = |{dᵢ ∈ TopK : sim(q,dᵢ) ≥ θc}| / K</t>
        </is>
      </c>
      <c r="E1922" s="3" t="inlineStr">
        <is>
          <t>skor = [0.7074, 0.7067, 0.7015, 0.6991, 0.6972, 0.6965] → 6 / 6</t>
        </is>
      </c>
      <c r="F1922" t="n">
        <v>1</v>
      </c>
      <c r="G1922" s="3" t="inlineStr"/>
    </row>
    <row r="1923">
      <c r="A1923" t="n">
        <v>131</v>
      </c>
      <c r="B1923" t="inlineStr">
        <is>
          <t>A</t>
        </is>
      </c>
      <c r="C1923" t="inlineStr">
        <is>
          <t>Source Diversity (Pers. 10)</t>
        </is>
      </c>
      <c r="D1923" s="3" t="inlineStr">
        <is>
          <t>Diversity = |sumber unik dalam TopK| / K</t>
        </is>
      </c>
      <c r="E1923" s="3" t="inlineStr">
        <is>
          <t>skor = ['GT_CT05.txt', 'GT_DETAIL_PT04_Abstraksi.txt', 'GT_DETAIL_PT05_Pattern_Recognition.txt', 'GT_SUBTOPIK_03_Pola_Bilangan_Deret.txt'] → 4 / 6</t>
        </is>
      </c>
      <c r="F1923" t="n">
        <v>0.6667</v>
      </c>
      <c r="G1923" s="3" t="inlineStr">
        <is>
          <t>file unik: GT_CT05.txt, GT_DETAIL_PT04_Abstraksi.txt, GT_DETAIL_PT05_Pattern_Recognition.txt, GT_SUBTOPIK_03_Pola_Bilangan_Deret.txt</t>
        </is>
      </c>
    </row>
    <row r="1924">
      <c r="A1924" t="n">
        <v>131</v>
      </c>
      <c r="B1924" t="inlineStr">
        <is>
          <t>A</t>
        </is>
      </c>
      <c r="C1924" t="inlineStr">
        <is>
          <t>Faithfulness (Pers. 15)</t>
        </is>
      </c>
      <c r="D1924" s="3" t="inlineStr">
        <is>
          <t>F = 0,70×Entailment + 0,30×KWoverlap</t>
        </is>
      </c>
      <c r="E1924" s="3" t="inlineStr">
        <is>
          <t>Faithfulness = 0,70×Entailment + 0,30×KWoverlap = 0,70×1.0000 + 0,30×0.5225 = 0.8568  (entailment: 6/6 klaim didukung; KWoverlap = (|∩|/|ctx|)^0,65 = (63/171)^0,65 = 0.3684^0,65 = 0.5225)</t>
        </is>
      </c>
      <c r="F1924" t="n">
        <v>0.8568</v>
      </c>
      <c r="G1924" s="3" t="inlineStr">
        <is>
          <t>metode: llm_entailment + keyword</t>
        </is>
      </c>
    </row>
    <row r="1925">
      <c r="A1925" t="n">
        <v>131</v>
      </c>
      <c r="B1925" t="inlineStr">
        <is>
          <t>A</t>
        </is>
      </c>
      <c r="C1925" t="inlineStr">
        <is>
          <t>— Entailment (Pers. 12-13)</t>
        </is>
      </c>
      <c r="D1925" s="3" t="inlineStr">
        <is>
          <t>Entailment = Σverdict(sᵢ)/m</t>
        </is>
      </c>
      <c r="E1925" s="3" t="inlineStr">
        <is>
          <t>6 klaim YA dari 6 klaim dievaluasi</t>
        </is>
      </c>
      <c r="F1925" t="n">
        <v>1</v>
      </c>
      <c r="G1925" s="3" t="inlineStr">
        <is>
          <t>verdict per klaim: sheet 'Entailment Detail'</t>
        </is>
      </c>
    </row>
    <row r="1926">
      <c r="A1926" t="n">
        <v>131</v>
      </c>
      <c r="B1926" t="inlineStr">
        <is>
          <t>A</t>
        </is>
      </c>
      <c r="C1926" t="inlineStr">
        <is>
          <t>— Keyword Overlap (Pers. 14)</t>
        </is>
      </c>
      <c r="D1926" s="3" t="inlineStr">
        <is>
          <t>KWoverlap = (|Stems(ans)∩Stems(ctx)| / |Stems(ctx)|)^0,65</t>
        </is>
      </c>
      <c r="E1926" s="3" t="inlineStr">
        <is>
          <t>KWoverlap = (|∩|/|ctx|)^0,65 = (63/171)^0,65 = 0.3684^0,65 = 0.5225</t>
        </is>
      </c>
      <c r="F1926" t="n">
        <v>0.5225</v>
      </c>
      <c r="G1926" s="3" t="inlineStr"/>
    </row>
    <row r="1927">
      <c r="A1927" t="n">
        <v>131</v>
      </c>
      <c r="B1927" t="inlineStr">
        <is>
          <t>A</t>
        </is>
      </c>
      <c r="C1927" t="inlineStr">
        <is>
          <t>Hallucination Risk (Pers. 18)</t>
        </is>
      </c>
      <c r="D1927" s="3" t="inlineStr">
        <is>
          <t>Risk = 0,65×(1-F) + 0,20×Contradiction + 0,15×Uncertainty</t>
        </is>
      </c>
      <c r="E1927" s="3" t="inlineStr">
        <is>
          <t>Risk = 0,65×OutOfContext + 0,20×Contradiction + 0,15×Uncertainty = 0,65×0.1432 + 0,20×0.0323 + 0,15×0.00 = 0.0995 [RENDAH]</t>
        </is>
      </c>
      <c r="F1927" t="n">
        <v>0.09950000000000001</v>
      </c>
      <c r="G1927" s="3" t="inlineStr">
        <is>
          <t>label: RENDAH; kontradiksi 1/31 kalimat; uncertainty flag: False</t>
        </is>
      </c>
    </row>
    <row r="1928">
      <c r="A1928" t="n">
        <v>131</v>
      </c>
      <c r="B1928" t="inlineStr">
        <is>
          <t>A</t>
        </is>
      </c>
      <c r="C1928" t="inlineStr">
        <is>
          <t>Answer Accuracy (Pers. 20)</t>
        </is>
      </c>
      <c r="D1928" s="3" t="inlineStr">
        <is>
          <t>Correctᵢ ∈ {0,1} via LLM-as-Judge (HASIL: BENAR/SALAH)</t>
        </is>
      </c>
      <c r="E1928" s="3" t="inlineStr">
        <is>
          <t>Menurut jawaban sistem, hasilnya adalah:
Pertanyaan 1: 
Pembanding: Dosen salah satu benar karena perpangkatan bersifat right-associative.
Keterangan: Jawaban sistem hanya memberikan hasil "BENAR" tanpa menjelaskan alasannya. Dalam kenyataan, jawaban yang dihitung teman Anda (2**3)**2 = 8**2 = 64 salah, sedangkan jawaban Anda 2**(3**2) = 2**9 = 512 benar. Right-associative artinya bahwa perpang</t>
        </is>
      </c>
      <c r="F1928" t="inlineStr">
        <is>
          <t>BENAR</t>
        </is>
      </c>
      <c r="G1928" s="3" t="inlineStr">
        <is>
          <t>evaluator: ollama/llama3</t>
        </is>
      </c>
    </row>
    <row r="1929">
      <c r="A1929" t="n">
        <v>131</v>
      </c>
      <c r="B1929" t="inlineStr">
        <is>
          <t>B</t>
        </is>
      </c>
      <c r="C1929" t="inlineStr">
        <is>
          <t>Faithfulness (Pers. 15)</t>
        </is>
      </c>
      <c r="D1929" s="3" t="inlineStr">
        <is>
          <t>F = 0,70×Entailment + 0,30×KWoverlap</t>
        </is>
      </c>
      <c r="E1929" s="3" t="inlineStr">
        <is>
          <t>Faithfulness = 0,70×Entailment + 0,30×KWoverlap = 0,70×0.6667 + 0,30×0.2230 = 0.5336  (entailment: 4/6 klaim didukung; KWoverlap = (|∩|/|ctx|)^0,65 = (17/171)^0,65 = 0.0994^0,65 = 0.2230)</t>
        </is>
      </c>
      <c r="F1929" t="n">
        <v>0.5336</v>
      </c>
      <c r="G1929" s="3" t="inlineStr">
        <is>
          <t>metode: llm_entailment + keyword</t>
        </is>
      </c>
    </row>
    <row r="1930">
      <c r="A1930" t="n">
        <v>131</v>
      </c>
      <c r="B1930" t="inlineStr">
        <is>
          <t>B</t>
        </is>
      </c>
      <c r="C1930" t="inlineStr">
        <is>
          <t>— Entailment (Pers. 12-13)</t>
        </is>
      </c>
      <c r="D1930" s="3" t="inlineStr">
        <is>
          <t>Entailment = Σverdict(sᵢ)/m</t>
        </is>
      </c>
      <c r="E1930" s="3" t="inlineStr">
        <is>
          <t>4 klaim YA dari 6 klaim dievaluasi</t>
        </is>
      </c>
      <c r="F1930" t="n">
        <v>0.6667</v>
      </c>
      <c r="G1930" s="3" t="inlineStr">
        <is>
          <t>verdict per klaim: sheet 'Entailment Detail'</t>
        </is>
      </c>
    </row>
    <row r="1931">
      <c r="A1931" t="n">
        <v>131</v>
      </c>
      <c r="B1931" t="inlineStr">
        <is>
          <t>B</t>
        </is>
      </c>
      <c r="C1931" t="inlineStr">
        <is>
          <t>— Keyword Overlap (Pers. 14)</t>
        </is>
      </c>
      <c r="D1931" s="3" t="inlineStr">
        <is>
          <t>KWoverlap = (|Stems(ans)∩Stems(ctx)| / |Stems(ctx)|)^0,65</t>
        </is>
      </c>
      <c r="E1931" s="3" t="inlineStr">
        <is>
          <t>KWoverlap = (|∩|/|ctx|)^0,65 = (17/171)^0,65 = 0.0994^0,65 = 0.2230</t>
        </is>
      </c>
      <c r="F1931" t="n">
        <v>0.223</v>
      </c>
      <c r="G1931" s="3" t="inlineStr"/>
    </row>
    <row r="1932">
      <c r="A1932" t="n">
        <v>131</v>
      </c>
      <c r="B1932" t="inlineStr">
        <is>
          <t>B</t>
        </is>
      </c>
      <c r="C1932" t="inlineStr">
        <is>
          <t>Hallucination Risk (Pers. 18)</t>
        </is>
      </c>
      <c r="D1932" s="3" t="inlineStr">
        <is>
          <t>Risk = 0,65×(1-F) + 0,20×Contradiction + 0,15×Uncertainty</t>
        </is>
      </c>
      <c r="E1932" s="3" t="inlineStr">
        <is>
          <t>Risk = 0,65×OutOfContext + 0,20×Contradiction + 0,15×Uncertainty = 0,65×0.4664 + 0,20×0.2000 + 0,15×0.00 = 0.3432 [SEDANG]</t>
        </is>
      </c>
      <c r="F1932" t="n">
        <v>0.3432</v>
      </c>
      <c r="G1932" s="3" t="inlineStr">
        <is>
          <t>label: SEDANG; kontradiksi 2/10 kalimat; uncertainty flag: False</t>
        </is>
      </c>
    </row>
    <row r="1933">
      <c r="A1933" t="n">
        <v>131</v>
      </c>
      <c r="B1933" t="inlineStr">
        <is>
          <t>B</t>
        </is>
      </c>
      <c r="C1933" t="inlineStr">
        <is>
          <t>Answer Accuracy (Pers. 20)</t>
        </is>
      </c>
      <c r="D1933" s="3" t="inlineStr">
        <is>
          <t>Correctᵢ ∈ {0,1} via LLM-as-Judge (HASIL: BENAR/SALAH)</t>
        </is>
      </c>
      <c r="E1933" s="3" t="inlineStr">
        <is>
          <t>BENAR</t>
        </is>
      </c>
      <c r="F1933" t="inlineStr">
        <is>
          <t>BENAR</t>
        </is>
      </c>
      <c r="G1933" s="3" t="inlineStr">
        <is>
          <t>evaluator: ollama/llama3</t>
        </is>
      </c>
    </row>
    <row r="1934">
      <c r="A1934" t="n">
        <v>132</v>
      </c>
      <c r="B1934" t="inlineStr">
        <is>
          <t>A</t>
        </is>
      </c>
      <c r="C1934" t="inlineStr">
        <is>
          <t>Precision@K (Pers. 2)</t>
        </is>
      </c>
      <c r="D1934" s="3" t="inlineStr">
        <is>
          <t>Precision@K = |{d ∈ TopK : sim(q,d) ≥ θ}| / K</t>
        </is>
      </c>
      <c r="E1934" s="3" t="inlineStr">
        <is>
          <t>skor = [0.8032, 0.7374, 0.7338, 0.7248, 0.724, 0.7234] → 6 / 6</t>
        </is>
      </c>
      <c r="F1934" t="n">
        <v>1</v>
      </c>
      <c r="G1934" s="3" t="inlineStr">
        <is>
          <t>basis: skor chunk nyata (sesuai contoh Pers. 2 skripsi)</t>
        </is>
      </c>
    </row>
    <row r="1935">
      <c r="A1935" t="n">
        <v>132</v>
      </c>
      <c r="B1935" t="inlineStr">
        <is>
          <t>A</t>
        </is>
      </c>
      <c r="C1935" t="inlineStr">
        <is>
          <t>Recall@K (Pers. 4)</t>
        </is>
      </c>
      <c r="D1935" s="3" t="inlineStr">
        <is>
          <t>Recall@K = |{kata kunci ditemukan : sim ≥ θ}| / |R|</t>
        </is>
      </c>
      <c r="E1935" s="3" t="inlineStr">
        <is>
          <t>skor = [0.7499, 0.6592, 0.5982, 0.5964, 0.5964, 0.5964] → 6 / 7</t>
        </is>
      </c>
      <c r="F1935" t="n">
        <v>0.8571</v>
      </c>
      <c r="G1935" s="3" t="inlineStr"/>
    </row>
    <row r="1936">
      <c r="A1936" t="n">
        <v>132</v>
      </c>
      <c r="B1936" t="inlineStr">
        <is>
          <t>A</t>
        </is>
      </c>
      <c r="C1936" t="inlineStr">
        <is>
          <t>Mean Similarity (Pers. 6)</t>
        </is>
      </c>
      <c r="D1936" s="3" t="inlineStr">
        <is>
          <t>MeanSim = (1/K) × Σ sim(q, dᵢ)</t>
        </is>
      </c>
      <c r="E1936" s="3" t="inlineStr">
        <is>
          <t>skor = [0.8032, 0.7374, 0.7338, 0.7248, 0.724, 0.7234] → (0.8032 + 0.7374 + 0.7338 + 0.7248 + 0.7240 + 0.7234) / 6</t>
        </is>
      </c>
      <c r="F1936" t="n">
        <v>0.7411</v>
      </c>
      <c r="G1936" s="3" t="inlineStr"/>
    </row>
    <row r="1937">
      <c r="A1937" t="n">
        <v>132</v>
      </c>
      <c r="B1937" t="inlineStr">
        <is>
          <t>A</t>
        </is>
      </c>
      <c r="C1937" t="inlineStr">
        <is>
          <t>Coverage (Pers. 8)</t>
        </is>
      </c>
      <c r="D1937" s="3" t="inlineStr">
        <is>
          <t>Coverage = |{dᵢ ∈ TopK : sim(q,dᵢ) ≥ θc}| / K</t>
        </is>
      </c>
      <c r="E1937" s="3" t="inlineStr">
        <is>
          <t>skor = [0.8032, 0.7374, 0.7338, 0.7248, 0.724, 0.7234] → 6 / 6</t>
        </is>
      </c>
      <c r="F1937" t="n">
        <v>1</v>
      </c>
      <c r="G1937" s="3" t="inlineStr"/>
    </row>
    <row r="1938">
      <c r="A1938" t="n">
        <v>132</v>
      </c>
      <c r="B1938" t="inlineStr">
        <is>
          <t>A</t>
        </is>
      </c>
      <c r="C1938" t="inlineStr">
        <is>
          <t>Source Diversity (Pers. 10)</t>
        </is>
      </c>
      <c r="D1938" s="3" t="inlineStr">
        <is>
          <t>Diversity = |sumber unik dalam TopK| / K</t>
        </is>
      </c>
      <c r="E1938" s="3" t="inlineStr">
        <is>
          <t>skor = ['GT_CT07.txt', 'GT_CT09.txt', 'GT_CT10.txt', 'GT_DETAIL_PT04_Abstraksi.txt', 'GT_SUBTOPIK_05_Pseudocode_Algoritme.txt'] → 5 / 6</t>
        </is>
      </c>
      <c r="F1938" t="n">
        <v>0.8333</v>
      </c>
      <c r="G1938" s="3" t="inlineStr">
        <is>
          <t>file unik: GT_CT07.txt, GT_CT09.txt, GT_CT10.txt, GT_DETAIL_PT04_Abstraksi.txt, GT_SUBTOPIK_05_Pseudocode_Algoritme.txt</t>
        </is>
      </c>
    </row>
    <row r="1939">
      <c r="A1939" t="n">
        <v>132</v>
      </c>
      <c r="B1939" t="inlineStr">
        <is>
          <t>A</t>
        </is>
      </c>
      <c r="C1939" t="inlineStr">
        <is>
          <t>Faithfulness (Pers. 15)</t>
        </is>
      </c>
      <c r="D1939" s="3" t="inlineStr">
        <is>
          <t>F = 0,70×Entailment + 0,30×KWoverlap</t>
        </is>
      </c>
      <c r="E1939" s="3" t="inlineStr">
        <is>
          <t>Faithfulness = 0,70×Entailment + 0,30×KWoverlap = 0,70×1.0000 + 0,30×0.2327 = 0.7698  (entailment: 6/6 klaim didukung; KWoverlap = (|∩|/|ctx|)^0,65 = (33/311)^0,65 = 0.1061^0,65 = 0.2327)</t>
        </is>
      </c>
      <c r="F1939" t="n">
        <v>0.7698</v>
      </c>
      <c r="G1939" s="3" t="inlineStr">
        <is>
          <t>metode: llm_entailment + keyword</t>
        </is>
      </c>
    </row>
    <row r="1940">
      <c r="A1940" t="n">
        <v>132</v>
      </c>
      <c r="B1940" t="inlineStr">
        <is>
          <t>A</t>
        </is>
      </c>
      <c r="C1940" t="inlineStr">
        <is>
          <t>— Entailment (Pers. 12-13)</t>
        </is>
      </c>
      <c r="D1940" s="3" t="inlineStr">
        <is>
          <t>Entailment = Σverdict(sᵢ)/m</t>
        </is>
      </c>
      <c r="E1940" s="3" t="inlineStr">
        <is>
          <t>6 klaim YA dari 6 klaim dievaluasi</t>
        </is>
      </c>
      <c r="F1940" t="n">
        <v>1</v>
      </c>
      <c r="G1940" s="3" t="inlineStr">
        <is>
          <t>verdict per klaim: sheet 'Entailment Detail'</t>
        </is>
      </c>
    </row>
    <row r="1941">
      <c r="A1941" t="n">
        <v>132</v>
      </c>
      <c r="B1941" t="inlineStr">
        <is>
          <t>A</t>
        </is>
      </c>
      <c r="C1941" t="inlineStr">
        <is>
          <t>— Keyword Overlap (Pers. 14)</t>
        </is>
      </c>
      <c r="D1941" s="3" t="inlineStr">
        <is>
          <t>KWoverlap = (|Stems(ans)∩Stems(ctx)| / |Stems(ctx)|)^0,65</t>
        </is>
      </c>
      <c r="E1941" s="3" t="inlineStr">
        <is>
          <t>KWoverlap = (|∩|/|ctx|)^0,65 = (33/311)^0,65 = 0.1061^0,65 = 0.2327</t>
        </is>
      </c>
      <c r="F1941" t="n">
        <v>0.2327</v>
      </c>
      <c r="G1941" s="3" t="inlineStr"/>
    </row>
    <row r="1942">
      <c r="A1942" t="n">
        <v>132</v>
      </c>
      <c r="B1942" t="inlineStr">
        <is>
          <t>A</t>
        </is>
      </c>
      <c r="C1942" t="inlineStr">
        <is>
          <t>Hallucination Risk (Pers. 18)</t>
        </is>
      </c>
      <c r="D1942" s="3" t="inlineStr">
        <is>
          <t>Risk = 0,65×(1-F) + 0,20×Contradiction + 0,15×Uncertainty</t>
        </is>
      </c>
      <c r="E1942" s="3" t="inlineStr">
        <is>
          <t>Risk = 0,65×OutOfContext + 0,20×Contradiction + 0,15×Uncertainty = 0,65×0.2302 + 0,20×0.0000 + 0,15×0.00 = 0.1496 [RENDAH]</t>
        </is>
      </c>
      <c r="F1942" t="n">
        <v>0.1496</v>
      </c>
      <c r="G1942" s="3" t="inlineStr">
        <is>
          <t>label: RENDAH; kontradiksi 0/27 kalimat; uncertainty flag: False</t>
        </is>
      </c>
    </row>
    <row r="1943">
      <c r="A1943" t="n">
        <v>132</v>
      </c>
      <c r="B1943" t="inlineStr">
        <is>
          <t>B</t>
        </is>
      </c>
      <c r="C1943" t="inlineStr">
        <is>
          <t>Faithfulness (Pers. 15)</t>
        </is>
      </c>
      <c r="D1943" s="3" t="inlineStr">
        <is>
          <t>F = 0,70×Entailment + 0,30×KWoverlap</t>
        </is>
      </c>
      <c r="E1943" s="3" t="inlineStr">
        <is>
          <t>Faithfulness = 0,70×Entailment + 0,30×KWoverlap = 0,70×1.0000 + 0,30×0.1993 = 0.7598  (entailment: 6/6 klaim didukung; KWoverlap = (|∩|/|ctx|)^0,65 = (26/311)^0,65 = 0.0836^0,65 = 0.1993)</t>
        </is>
      </c>
      <c r="F1943" t="n">
        <v>0.7598</v>
      </c>
      <c r="G1943" s="3" t="inlineStr">
        <is>
          <t>metode: llm_entailment + keyword</t>
        </is>
      </c>
    </row>
    <row r="1944">
      <c r="A1944" t="n">
        <v>132</v>
      </c>
      <c r="B1944" t="inlineStr">
        <is>
          <t>B</t>
        </is>
      </c>
      <c r="C1944" t="inlineStr">
        <is>
          <t>— Entailment (Pers. 12-13)</t>
        </is>
      </c>
      <c r="D1944" s="3" t="inlineStr">
        <is>
          <t>Entailment = Σverdict(sᵢ)/m</t>
        </is>
      </c>
      <c r="E1944" s="3" t="inlineStr">
        <is>
          <t>6 klaim YA dari 6 klaim dievaluasi</t>
        </is>
      </c>
      <c r="F1944" t="n">
        <v>1</v>
      </c>
      <c r="G1944" s="3" t="inlineStr">
        <is>
          <t>verdict per klaim: sheet 'Entailment Detail'</t>
        </is>
      </c>
    </row>
    <row r="1945">
      <c r="A1945" t="n">
        <v>132</v>
      </c>
      <c r="B1945" t="inlineStr">
        <is>
          <t>B</t>
        </is>
      </c>
      <c r="C1945" t="inlineStr">
        <is>
          <t>— Keyword Overlap (Pers. 14)</t>
        </is>
      </c>
      <c r="D1945" s="3" t="inlineStr">
        <is>
          <t>KWoverlap = (|Stems(ans)∩Stems(ctx)| / |Stems(ctx)|)^0,65</t>
        </is>
      </c>
      <c r="E1945" s="3" t="inlineStr">
        <is>
          <t>KWoverlap = (|∩|/|ctx|)^0,65 = (26/311)^0,65 = 0.0836^0,65 = 0.1993</t>
        </is>
      </c>
      <c r="F1945" t="n">
        <v>0.1993</v>
      </c>
      <c r="G1945" s="3" t="inlineStr"/>
    </row>
    <row r="1946">
      <c r="A1946" t="n">
        <v>132</v>
      </c>
      <c r="B1946" t="inlineStr">
        <is>
          <t>B</t>
        </is>
      </c>
      <c r="C1946" t="inlineStr">
        <is>
          <t>Hallucination Risk (Pers. 18)</t>
        </is>
      </c>
      <c r="D1946" s="3" t="inlineStr">
        <is>
          <t>Risk = 0,65×(1-F) + 0,20×Contradiction + 0,15×Uncertainty</t>
        </is>
      </c>
      <c r="E1946" s="3" t="inlineStr">
        <is>
          <t>Risk = 0,65×OutOfContext + 0,20×Contradiction + 0,15×Uncertainty = 0,65×0.2402 + 0,20×0.0000 + 0,15×0.00 = 0.1561 [RENDAH]</t>
        </is>
      </c>
      <c r="F1946" t="n">
        <v>0.1561</v>
      </c>
      <c r="G1946" s="3" t="inlineStr">
        <is>
          <t>label: RENDAH; kontradiksi 0/32 kalimat; uncertainty flag: False</t>
        </is>
      </c>
    </row>
    <row r="1947">
      <c r="A1947" t="n">
        <v>132</v>
      </c>
      <c r="B1947" t="inlineStr">
        <is>
          <t>B</t>
        </is>
      </c>
      <c r="C1947" t="inlineStr">
        <is>
          <t>Answer Accuracy (Pers. 20)</t>
        </is>
      </c>
      <c r="D1947" s="3" t="inlineStr">
        <is>
          <t>Correctᵢ ∈ {0,1} via LLM-as-Judge (HASIL: BENAR/SALAH)</t>
        </is>
      </c>
      <c r="E1947" s="3" t="inlineStr">
        <is>
          <t xml:space="preserve">Based on the provided reference and the given expression (A AND B) OR (A AND NOT B), let's create a truth table to determine the correct answer.
Here is the truth table:
| A | B | A AND B | A AND NOT B | (A AND B) OR (A AND NOT B) |
| --- | --- | --- | --- | --- |
| T | T | T | F | T |
| T | F | T | T | T |
| F | T | F | F | F |
| F | F | F | T | T |
Now, let's evaluate the expression for each </t>
        </is>
      </c>
      <c r="F1947" t="inlineStr">
        <is>
          <t>BENAR</t>
        </is>
      </c>
      <c r="G1947" s="3" t="inlineStr">
        <is>
          <t>evaluator: ollama/llama3</t>
        </is>
      </c>
    </row>
    <row r="1948">
      <c r="A1948" t="n">
        <v>133</v>
      </c>
      <c r="B1948" t="inlineStr">
        <is>
          <t>A</t>
        </is>
      </c>
      <c r="C1948" t="inlineStr">
        <is>
          <t>Precision@K (Pers. 2)</t>
        </is>
      </c>
      <c r="D1948" s="3" t="inlineStr">
        <is>
          <t>Precision@K = |{d ∈ TopK : sim(q,d) ≥ θ}| / K</t>
        </is>
      </c>
      <c r="E1948" s="3" t="inlineStr">
        <is>
          <t>skor = [0.7959, 0.7903, 0.7828, 0.7816, 0.7799, 0.7781] → 6 / 6</t>
        </is>
      </c>
      <c r="F1948" t="n">
        <v>1</v>
      </c>
      <c r="G1948" s="3" t="inlineStr">
        <is>
          <t>basis: skor chunk nyata (sesuai contoh Pers. 2 skripsi)</t>
        </is>
      </c>
    </row>
    <row r="1949">
      <c r="A1949" t="n">
        <v>133</v>
      </c>
      <c r="B1949" t="inlineStr">
        <is>
          <t>A</t>
        </is>
      </c>
      <c r="C1949" t="inlineStr">
        <is>
          <t>Recall@K (Pers. 4)</t>
        </is>
      </c>
      <c r="D1949" s="3" t="inlineStr">
        <is>
          <t>Recall@K = |{kata kunci ditemukan : sim ≥ θ}| / |R|</t>
        </is>
      </c>
      <c r="E1949" s="3" t="inlineStr">
        <is>
          <t>skor = [0.6697, 0.6262, 0.572, 0.5628, 0.4856, 0.4405] → 6 / 6</t>
        </is>
      </c>
      <c r="F1949" t="n">
        <v>1</v>
      </c>
      <c r="G1949" s="3" t="inlineStr"/>
    </row>
    <row r="1950">
      <c r="A1950" t="n">
        <v>133</v>
      </c>
      <c r="B1950" t="inlineStr">
        <is>
          <t>A</t>
        </is>
      </c>
      <c r="C1950" t="inlineStr">
        <is>
          <t>Mean Similarity (Pers. 6)</t>
        </is>
      </c>
      <c r="D1950" s="3" t="inlineStr">
        <is>
          <t>MeanSim = (1/K) × Σ sim(q, dᵢ)</t>
        </is>
      </c>
      <c r="E1950" s="3" t="inlineStr">
        <is>
          <t>skor = [0.7959, 0.7903, 0.7828, 0.7816, 0.7799, 0.7781] → (0.7959 + 0.7903 + 0.7828 + 0.7816 + 0.7799 + 0.7781) / 6</t>
        </is>
      </c>
      <c r="F1950" t="n">
        <v>0.7848000000000001</v>
      </c>
      <c r="G1950" s="3" t="inlineStr"/>
    </row>
    <row r="1951">
      <c r="A1951" t="n">
        <v>133</v>
      </c>
      <c r="B1951" t="inlineStr">
        <is>
          <t>A</t>
        </is>
      </c>
      <c r="C1951" t="inlineStr">
        <is>
          <t>Coverage (Pers. 8)</t>
        </is>
      </c>
      <c r="D1951" s="3" t="inlineStr">
        <is>
          <t>Coverage = |{dᵢ ∈ TopK : sim(q,dᵢ) ≥ θc}| / K</t>
        </is>
      </c>
      <c r="E1951" s="3" t="inlineStr">
        <is>
          <t>skor = [0.7959, 0.7903, 0.7828, 0.7816, 0.7799, 0.7781] → 6 / 6</t>
        </is>
      </c>
      <c r="F1951" t="n">
        <v>1</v>
      </c>
      <c r="G1951" s="3" t="inlineStr"/>
    </row>
    <row r="1952">
      <c r="A1952" t="n">
        <v>133</v>
      </c>
      <c r="B1952" t="inlineStr">
        <is>
          <t>A</t>
        </is>
      </c>
      <c r="C1952" t="inlineStr">
        <is>
          <t>Source Diversity (Pers. 10)</t>
        </is>
      </c>
      <c r="D1952" s="3" t="inlineStr">
        <is>
          <t>Diversity = |sumber unik dalam TopK| / K</t>
        </is>
      </c>
      <c r="E1952" s="3" t="inlineStr">
        <is>
          <t>skor = ['GT_DETAIL_PT07_Notasi_Algoritme.txt', 'GT_DETAIL_PT10_Percabangan.txt', 'GT_DETAIL_PT11_Perulangan.txt', 'GT_SUBTOPIK_04_Modulo_Siklus.txt', 'GT_SUBTOPIK_05_Pseudocode_Algoritme.txt', 'GT_SUBTOPIK_08_Perulangan_For_While.txt'] → 6 / 6</t>
        </is>
      </c>
      <c r="F1952" t="n">
        <v>1</v>
      </c>
      <c r="G1952" s="3" t="inlineStr">
        <is>
          <t>file unik: GT_DETAIL_PT07_Notasi_Algoritme.txt, GT_DETAIL_PT10_Percabangan.txt, GT_DETAIL_PT11_Perulangan.txt, GT_SUBTOPIK_04_Modulo_Siklus.txt, GT_SUBTOPIK_05_Pseudocode_Algoritme.txt, GT_SUBTOPIK_08_Perulangan_For_While.txt</t>
        </is>
      </c>
    </row>
    <row r="1953">
      <c r="A1953" t="n">
        <v>133</v>
      </c>
      <c r="B1953" t="inlineStr">
        <is>
          <t>A</t>
        </is>
      </c>
      <c r="C1953" t="inlineStr">
        <is>
          <t>Faithfulness (Pers. 15)</t>
        </is>
      </c>
      <c r="D1953" s="3" t="inlineStr">
        <is>
          <t>F = 0,70×Entailment + 0,30×KWoverlap</t>
        </is>
      </c>
      <c r="E1953" s="3" t="inlineStr">
        <is>
          <t>Faithfulness = 0,70×Entailment + 0,30×KWoverlap = 0,70×1.0000 + 0,30×0.1193 = 0.7358  (entailment: 6/6 klaim didukung; KWoverlap = (|∩|/|ctx|)^0,65 = (6/158)^0,65 = 0.0380^0,65 = 0.1193)</t>
        </is>
      </c>
      <c r="F1953" t="n">
        <v>0.7358</v>
      </c>
      <c r="G1953" s="3" t="inlineStr">
        <is>
          <t>metode: llm_entailment + keyword</t>
        </is>
      </c>
    </row>
    <row r="1954">
      <c r="A1954" t="n">
        <v>133</v>
      </c>
      <c r="B1954" t="inlineStr">
        <is>
          <t>A</t>
        </is>
      </c>
      <c r="C1954" t="inlineStr">
        <is>
          <t>— Entailment (Pers. 12-13)</t>
        </is>
      </c>
      <c r="D1954" s="3" t="inlineStr">
        <is>
          <t>Entailment = Σverdict(sᵢ)/m</t>
        </is>
      </c>
      <c r="E1954" s="3" t="inlineStr">
        <is>
          <t>6 klaim YA dari 6 klaim dievaluasi</t>
        </is>
      </c>
      <c r="F1954" t="n">
        <v>1</v>
      </c>
      <c r="G1954" s="3" t="inlineStr">
        <is>
          <t>verdict per klaim: sheet 'Entailment Detail'</t>
        </is>
      </c>
    </row>
    <row r="1955">
      <c r="A1955" t="n">
        <v>133</v>
      </c>
      <c r="B1955" t="inlineStr">
        <is>
          <t>A</t>
        </is>
      </c>
      <c r="C1955" t="inlineStr">
        <is>
          <t>— Keyword Overlap (Pers. 14)</t>
        </is>
      </c>
      <c r="D1955" s="3" t="inlineStr">
        <is>
          <t>KWoverlap = (|Stems(ans)∩Stems(ctx)| / |Stems(ctx)|)^0,65</t>
        </is>
      </c>
      <c r="E1955" s="3" t="inlineStr">
        <is>
          <t>KWoverlap = (|∩|/|ctx|)^0,65 = (6/158)^0,65 = 0.0380^0,65 = 0.1193</t>
        </is>
      </c>
      <c r="F1955" t="n">
        <v>0.1193</v>
      </c>
      <c r="G1955" s="3" t="inlineStr"/>
    </row>
    <row r="1956">
      <c r="A1956" t="n">
        <v>133</v>
      </c>
      <c r="B1956" t="inlineStr">
        <is>
          <t>A</t>
        </is>
      </c>
      <c r="C1956" t="inlineStr">
        <is>
          <t>Hallucination Risk (Pers. 18)</t>
        </is>
      </c>
      <c r="D1956" s="3" t="inlineStr">
        <is>
          <t>Risk = 0,65×(1-F) + 0,20×Contradiction + 0,15×Uncertainty</t>
        </is>
      </c>
      <c r="E1956" s="3" t="inlineStr">
        <is>
          <t>Risk = 0,65×OutOfContext + 0,20×Contradiction + 0,15×Uncertainty = 0,65×0.2642 + 0,20×0.0000 + 0,15×0.00 = 0.1717 [RENDAH]</t>
        </is>
      </c>
      <c r="F1956" t="n">
        <v>0.1717</v>
      </c>
      <c r="G1956" s="3" t="inlineStr">
        <is>
          <t>label: RENDAH; kontradiksi 0/18 kalimat; uncertainty flag: False</t>
        </is>
      </c>
    </row>
    <row r="1957">
      <c r="A1957" t="n">
        <v>133</v>
      </c>
      <c r="B1957" t="inlineStr">
        <is>
          <t>B</t>
        </is>
      </c>
      <c r="C1957" t="inlineStr">
        <is>
          <t>Faithfulness (Pers. 15)</t>
        </is>
      </c>
      <c r="D1957" s="3" t="inlineStr">
        <is>
          <t>F = 0,70×Entailment + 0,30×KWoverlap</t>
        </is>
      </c>
      <c r="E1957" s="3" t="inlineStr">
        <is>
          <t>Faithfulness = 0,70×Entailment + 0,30×KWoverlap = 0,70×1.0000 + 0,30×0.1319 = 0.7396  (entailment: 3/3 klaim didukung; KWoverlap = (|∩|/|ctx|)^0,65 = (7/158)^0,65 = 0.0443^0,65 = 0.1319)</t>
        </is>
      </c>
      <c r="F1957" t="n">
        <v>0.7396</v>
      </c>
      <c r="G1957" s="3" t="inlineStr">
        <is>
          <t>metode: llm_entailment + keyword</t>
        </is>
      </c>
    </row>
    <row r="1958">
      <c r="A1958" t="n">
        <v>133</v>
      </c>
      <c r="B1958" t="inlineStr">
        <is>
          <t>B</t>
        </is>
      </c>
      <c r="C1958" t="inlineStr">
        <is>
          <t>— Entailment (Pers. 12-13)</t>
        </is>
      </c>
      <c r="D1958" s="3" t="inlineStr">
        <is>
          <t>Entailment = Σverdict(sᵢ)/m</t>
        </is>
      </c>
      <c r="E1958" s="3" t="inlineStr">
        <is>
          <t>3 klaim YA dari 3 klaim dievaluasi</t>
        </is>
      </c>
      <c r="F1958" t="n">
        <v>1</v>
      </c>
      <c r="G1958" s="3" t="inlineStr">
        <is>
          <t>verdict per klaim: sheet 'Entailment Detail'</t>
        </is>
      </c>
    </row>
    <row r="1959">
      <c r="A1959" t="n">
        <v>133</v>
      </c>
      <c r="B1959" t="inlineStr">
        <is>
          <t>B</t>
        </is>
      </c>
      <c r="C1959" t="inlineStr">
        <is>
          <t>— Keyword Overlap (Pers. 14)</t>
        </is>
      </c>
      <c r="D1959" s="3" t="inlineStr">
        <is>
          <t>KWoverlap = (|Stems(ans)∩Stems(ctx)| / |Stems(ctx)|)^0,65</t>
        </is>
      </c>
      <c r="E1959" s="3" t="inlineStr">
        <is>
          <t>KWoverlap = (|∩|/|ctx|)^0,65 = (7/158)^0,65 = 0.0443^0,65 = 0.1319</t>
        </is>
      </c>
      <c r="F1959" t="n">
        <v>0.1319</v>
      </c>
      <c r="G1959" s="3" t="inlineStr"/>
    </row>
    <row r="1960">
      <c r="A1960" t="n">
        <v>133</v>
      </c>
      <c r="B1960" t="inlineStr">
        <is>
          <t>B</t>
        </is>
      </c>
      <c r="C1960" t="inlineStr">
        <is>
          <t>Hallucination Risk (Pers. 18)</t>
        </is>
      </c>
      <c r="D1960" s="3" t="inlineStr">
        <is>
          <t>Risk = 0,65×(1-F) + 0,20×Contradiction + 0,15×Uncertainty</t>
        </is>
      </c>
      <c r="E1960" s="3" t="inlineStr">
        <is>
          <t>Risk = 0,65×OutOfContext + 0,20×Contradiction + 0,15×Uncertainty = 0,65×0.2604 + 0,20×0.0000 + 0,15×0.00 = 0.1693 [RENDAH]</t>
        </is>
      </c>
      <c r="F1960" t="n">
        <v>0.1693</v>
      </c>
      <c r="G1960" s="3" t="inlineStr">
        <is>
          <t>label: RENDAH; kontradiksi 0/12 kalimat; uncertainty flag: False</t>
        </is>
      </c>
    </row>
    <row r="1961">
      <c r="A1961" t="n">
        <v>134</v>
      </c>
      <c r="B1961" t="inlineStr">
        <is>
          <t>A</t>
        </is>
      </c>
      <c r="C1961" t="inlineStr">
        <is>
          <t>Precision@K (Pers. 2)</t>
        </is>
      </c>
      <c r="D1961" s="3" t="inlineStr">
        <is>
          <t>Precision@K = |{d ∈ TopK : sim(q,d) ≥ θ}| / K</t>
        </is>
      </c>
      <c r="E1961" s="3" t="inlineStr">
        <is>
          <t>skor = [0.8331, 0.8231, 0.8136, 0.8089, 0.8033, 0.8027] → 6 / 6</t>
        </is>
      </c>
      <c r="F1961" t="n">
        <v>1</v>
      </c>
      <c r="G1961" s="3" t="inlineStr">
        <is>
          <t>basis: skor chunk nyata (sesuai contoh Pers. 2 skripsi)</t>
        </is>
      </c>
    </row>
    <row r="1962">
      <c r="A1962" t="n">
        <v>134</v>
      </c>
      <c r="B1962" t="inlineStr">
        <is>
          <t>A</t>
        </is>
      </c>
      <c r="C1962" t="inlineStr">
        <is>
          <t>Recall@K (Pers. 4)</t>
        </is>
      </c>
      <c r="D1962" s="3" t="inlineStr">
        <is>
          <t>Recall@K = |{kata kunci ditemukan : sim ≥ θ}| / |R|</t>
        </is>
      </c>
      <c r="E1962" s="3" t="inlineStr">
        <is>
          <t>skor = [0.6302, 0.621, 0.5556, 0.5556, 0.5139, 0.4816] → 6 / 7</t>
        </is>
      </c>
      <c r="F1962" t="n">
        <v>0.8571</v>
      </c>
      <c r="G1962" s="3" t="inlineStr"/>
    </row>
    <row r="1963">
      <c r="A1963" t="n">
        <v>134</v>
      </c>
      <c r="B1963" t="inlineStr">
        <is>
          <t>A</t>
        </is>
      </c>
      <c r="C1963" t="inlineStr">
        <is>
          <t>Mean Similarity (Pers. 6)</t>
        </is>
      </c>
      <c r="D1963" s="3" t="inlineStr">
        <is>
          <t>MeanSim = (1/K) × Σ sim(q, dᵢ)</t>
        </is>
      </c>
      <c r="E1963" s="3" t="inlineStr">
        <is>
          <t>skor = [0.8331, 0.8231, 0.8136, 0.8089, 0.8033, 0.8027] → (0.8331 + 0.8231 + 0.8136 + 0.8089 + 0.8033 + 0.8027) / 6</t>
        </is>
      </c>
      <c r="F1963" t="n">
        <v>0.8141</v>
      </c>
      <c r="G1963" s="3" t="inlineStr"/>
    </row>
    <row r="1964">
      <c r="A1964" t="n">
        <v>134</v>
      </c>
      <c r="B1964" t="inlineStr">
        <is>
          <t>A</t>
        </is>
      </c>
      <c r="C1964" t="inlineStr">
        <is>
          <t>Coverage (Pers. 8)</t>
        </is>
      </c>
      <c r="D1964" s="3" t="inlineStr">
        <is>
          <t>Coverage = |{dᵢ ∈ TopK : sim(q,dᵢ) ≥ θc}| / K</t>
        </is>
      </c>
      <c r="E1964" s="3" t="inlineStr">
        <is>
          <t>skor = [0.8331, 0.8231, 0.8136, 0.8089, 0.8033, 0.8027] → 6 / 6</t>
        </is>
      </c>
      <c r="F1964" t="n">
        <v>1</v>
      </c>
      <c r="G1964" s="3" t="inlineStr"/>
    </row>
    <row r="1965">
      <c r="A1965" t="n">
        <v>134</v>
      </c>
      <c r="B1965" t="inlineStr">
        <is>
          <t>A</t>
        </is>
      </c>
      <c r="C1965" t="inlineStr">
        <is>
          <t>Source Diversity (Pers. 10)</t>
        </is>
      </c>
      <c r="D1965" s="3" t="inlineStr">
        <is>
          <t>Diversity = |sumber unik dalam TopK| / K</t>
        </is>
      </c>
      <c r="E1965" s="3" t="inlineStr">
        <is>
          <t>skor = ['GT_DETAIL_PT10_Percabangan.txt', 'GT_DETAIL_PT11_Perulangan.txt', 'GT_SUBTOPIK_05_Pseudocode_Algoritme.txt', 'GT_SUBTOPIK_07_Percabangan_Trace.txt', 'GT_SUBTOPIK_08_Perulangan_For_While.txt'] → 5 / 6</t>
        </is>
      </c>
      <c r="F1965" t="n">
        <v>0.8333</v>
      </c>
      <c r="G1965" s="3" t="inlineStr">
        <is>
          <t>file unik: GT_DETAIL_PT10_Percabangan.txt, GT_DETAIL_PT11_Perulangan.txt, GT_SUBTOPIK_05_Pseudocode_Algoritme.txt, GT_SUBTOPIK_07_Percabangan_Trace.txt, GT_SUBTOPIK_08_Perulangan_For_While.txt</t>
        </is>
      </c>
    </row>
    <row r="1966">
      <c r="A1966" t="n">
        <v>134</v>
      </c>
      <c r="B1966" t="inlineStr">
        <is>
          <t>A</t>
        </is>
      </c>
      <c r="C1966" t="inlineStr">
        <is>
          <t>Faithfulness (Pers. 15)</t>
        </is>
      </c>
      <c r="D1966" s="3" t="inlineStr">
        <is>
          <t>F = 0,70×Entailment + 0,30×KWoverlap</t>
        </is>
      </c>
      <c r="E1966" s="3" t="inlineStr">
        <is>
          <t>Faithfulness = 0,70×Entailment + 0,30×KWoverlap = 0,70×1.0000 + 0,30×0.2035 = 0.7610  (entailment: 6/6 klaim didukung; KWoverlap = (|∩|/|ctx|)^0,65 = (12/139)^0,65 = 0.0863^0,65 = 0.2035)</t>
        </is>
      </c>
      <c r="F1966" t="n">
        <v>0.761</v>
      </c>
      <c r="G1966" s="3" t="inlineStr">
        <is>
          <t>metode: llm_entailment + keyword</t>
        </is>
      </c>
    </row>
    <row r="1967">
      <c r="A1967" t="n">
        <v>134</v>
      </c>
      <c r="B1967" t="inlineStr">
        <is>
          <t>A</t>
        </is>
      </c>
      <c r="C1967" t="inlineStr">
        <is>
          <t>— Entailment (Pers. 12-13)</t>
        </is>
      </c>
      <c r="D1967" s="3" t="inlineStr">
        <is>
          <t>Entailment = Σverdict(sᵢ)/m</t>
        </is>
      </c>
      <c r="E1967" s="3" t="inlineStr">
        <is>
          <t>6 klaim YA dari 6 klaim dievaluasi</t>
        </is>
      </c>
      <c r="F1967" t="n">
        <v>1</v>
      </c>
      <c r="G1967" s="3" t="inlineStr">
        <is>
          <t>verdict per klaim: sheet 'Entailment Detail'</t>
        </is>
      </c>
    </row>
    <row r="1968">
      <c r="A1968" t="n">
        <v>134</v>
      </c>
      <c r="B1968" t="inlineStr">
        <is>
          <t>A</t>
        </is>
      </c>
      <c r="C1968" t="inlineStr">
        <is>
          <t>— Keyword Overlap (Pers. 14)</t>
        </is>
      </c>
      <c r="D1968" s="3" t="inlineStr">
        <is>
          <t>KWoverlap = (|Stems(ans)∩Stems(ctx)| / |Stems(ctx)|)^0,65</t>
        </is>
      </c>
      <c r="E1968" s="3" t="inlineStr">
        <is>
          <t>KWoverlap = (|∩|/|ctx|)^0,65 = (12/139)^0,65 = 0.0863^0,65 = 0.2035</t>
        </is>
      </c>
      <c r="F1968" t="n">
        <v>0.2035</v>
      </c>
      <c r="G1968" s="3" t="inlineStr"/>
    </row>
    <row r="1969">
      <c r="A1969" t="n">
        <v>134</v>
      </c>
      <c r="B1969" t="inlineStr">
        <is>
          <t>A</t>
        </is>
      </c>
      <c r="C1969" t="inlineStr">
        <is>
          <t>Hallucination Risk (Pers. 18)</t>
        </is>
      </c>
      <c r="D1969" s="3" t="inlineStr">
        <is>
          <t>Risk = 0,65×(1-F) + 0,20×Contradiction + 0,15×Uncertainty</t>
        </is>
      </c>
      <c r="E1969" s="3" t="inlineStr">
        <is>
          <t>Risk = 0,65×OutOfContext + 0,20×Contradiction + 0,15×Uncertainty = 0,65×0.2390 + 0,20×0.0000 + 0,15×0.00 = 0.1553 [RENDAH]</t>
        </is>
      </c>
      <c r="F1969" t="n">
        <v>0.1553</v>
      </c>
      <c r="G1969" s="3" t="inlineStr">
        <is>
          <t>label: RENDAH; kontradiksi 0/19 kalimat; uncertainty flag: False</t>
        </is>
      </c>
    </row>
    <row r="1970">
      <c r="A1970" t="n">
        <v>134</v>
      </c>
      <c r="B1970" t="inlineStr">
        <is>
          <t>A</t>
        </is>
      </c>
      <c r="C1970" t="inlineStr">
        <is>
          <t>Answer Accuracy (Pers. 20)</t>
        </is>
      </c>
      <c r="D1970" s="3" t="inlineStr">
        <is>
          <t>Correctᵢ ∈ {0,1} via LLM-as-Judge (HASIL: BENAR/SALAH)</t>
        </is>
      </c>
      <c r="E1970" s="3" t="inlineStr"/>
      <c r="F1970" t="inlineStr">
        <is>
          <t>BENAR</t>
        </is>
      </c>
      <c r="G1970" s="3" t="inlineStr">
        <is>
          <t>evaluator: ollama/llama3</t>
        </is>
      </c>
    </row>
    <row r="1971">
      <c r="A1971" t="n">
        <v>134</v>
      </c>
      <c r="B1971" t="inlineStr">
        <is>
          <t>B</t>
        </is>
      </c>
      <c r="C1971" t="inlineStr">
        <is>
          <t>Faithfulness (Pers. 15)</t>
        </is>
      </c>
      <c r="D1971" s="3" t="inlineStr">
        <is>
          <t>F = 0,70×Entailment + 0,30×KWoverlap</t>
        </is>
      </c>
      <c r="E1971" s="3" t="inlineStr">
        <is>
          <t>Faithfulness = 0,70×Entailment + 0,30×KWoverlap = 0,70×1.0000 + 0,30×0.2035 = 0.7610  (entailment: 6/6 klaim didukung; KWoverlap = (|∩|/|ctx|)^0,65 = (12/139)^0,65 = 0.0863^0,65 = 0.2035)</t>
        </is>
      </c>
      <c r="F1971" t="n">
        <v>0.761</v>
      </c>
      <c r="G1971" s="3" t="inlineStr">
        <is>
          <t>metode: llm_entailment + keyword</t>
        </is>
      </c>
    </row>
    <row r="1972">
      <c r="A1972" t="n">
        <v>134</v>
      </c>
      <c r="B1972" t="inlineStr">
        <is>
          <t>B</t>
        </is>
      </c>
      <c r="C1972" t="inlineStr">
        <is>
          <t>— Entailment (Pers. 12-13)</t>
        </is>
      </c>
      <c r="D1972" s="3" t="inlineStr">
        <is>
          <t>Entailment = Σverdict(sᵢ)/m</t>
        </is>
      </c>
      <c r="E1972" s="3" t="inlineStr">
        <is>
          <t>6 klaim YA dari 6 klaim dievaluasi</t>
        </is>
      </c>
      <c r="F1972" t="n">
        <v>1</v>
      </c>
      <c r="G1972" s="3" t="inlineStr">
        <is>
          <t>verdict per klaim: sheet 'Entailment Detail'</t>
        </is>
      </c>
    </row>
    <row r="1973">
      <c r="A1973" t="n">
        <v>134</v>
      </c>
      <c r="B1973" t="inlineStr">
        <is>
          <t>B</t>
        </is>
      </c>
      <c r="C1973" t="inlineStr">
        <is>
          <t>— Keyword Overlap (Pers. 14)</t>
        </is>
      </c>
      <c r="D1973" s="3" t="inlineStr">
        <is>
          <t>KWoverlap = (|Stems(ans)∩Stems(ctx)| / |Stems(ctx)|)^0,65</t>
        </is>
      </c>
      <c r="E1973" s="3" t="inlineStr">
        <is>
          <t>KWoverlap = (|∩|/|ctx|)^0,65 = (12/139)^0,65 = 0.0863^0,65 = 0.2035</t>
        </is>
      </c>
      <c r="F1973" t="n">
        <v>0.2035</v>
      </c>
      <c r="G1973" s="3" t="inlineStr"/>
    </row>
    <row r="1974">
      <c r="A1974" t="n">
        <v>134</v>
      </c>
      <c r="B1974" t="inlineStr">
        <is>
          <t>B</t>
        </is>
      </c>
      <c r="C1974" t="inlineStr">
        <is>
          <t>Hallucination Risk (Pers. 18)</t>
        </is>
      </c>
      <c r="D1974" s="3" t="inlineStr">
        <is>
          <t>Risk = 0,65×(1-F) + 0,20×Contradiction + 0,15×Uncertainty</t>
        </is>
      </c>
      <c r="E1974" s="3" t="inlineStr">
        <is>
          <t>Risk = 0,65×OutOfContext + 0,20×Contradiction + 0,15×Uncertainty = 0,65×0.2390 + 0,20×0.0000 + 0,15×0.00 = 0.1553 [RENDAH]</t>
        </is>
      </c>
      <c r="F1974" t="n">
        <v>0.1553</v>
      </c>
      <c r="G1974" s="3" t="inlineStr">
        <is>
          <t>label: RENDAH; kontradiksi 0/19 kalimat; uncertainty flag: False</t>
        </is>
      </c>
    </row>
    <row r="1975">
      <c r="A1975" t="n">
        <v>134</v>
      </c>
      <c r="B1975" t="inlineStr">
        <is>
          <t>B</t>
        </is>
      </c>
      <c r="C1975" t="inlineStr">
        <is>
          <t>Answer Accuracy (Pers. 20)</t>
        </is>
      </c>
      <c r="D1975" s="3" t="inlineStr">
        <is>
          <t>Correctᵢ ∈ {0,1} via LLM-as-Judge (HASIL: BENAR/SALAH)</t>
        </is>
      </c>
      <c r="E1975" s="3" t="inlineStr">
        <is>
          <t>BENAR</t>
        </is>
      </c>
      <c r="F1975" t="inlineStr">
        <is>
          <t>BENAR</t>
        </is>
      </c>
      <c r="G1975" s="3" t="inlineStr">
        <is>
          <t>evaluator: ollama/llama3</t>
        </is>
      </c>
    </row>
    <row r="1976">
      <c r="A1976" t="n">
        <v>135</v>
      </c>
      <c r="B1976" t="inlineStr">
        <is>
          <t>A</t>
        </is>
      </c>
      <c r="C1976" t="inlineStr">
        <is>
          <t>Precision@K (Pers. 2)</t>
        </is>
      </c>
      <c r="D1976" s="3" t="inlineStr">
        <is>
          <t>Precision@K = |{d ∈ TopK : sim(q,d) ≥ θ}| / K</t>
        </is>
      </c>
      <c r="E1976" s="3" t="inlineStr">
        <is>
          <t>skor = [0.7986, 0.7884, 0.7725, 0.7574, 0.7573, 0.7525] → 6 / 6</t>
        </is>
      </c>
      <c r="F1976" t="n">
        <v>1</v>
      </c>
      <c r="G1976" s="3" t="inlineStr">
        <is>
          <t>basis: skor chunk nyata (sesuai contoh Pers. 2 skripsi)</t>
        </is>
      </c>
    </row>
    <row r="1977">
      <c r="A1977" t="n">
        <v>135</v>
      </c>
      <c r="B1977" t="inlineStr">
        <is>
          <t>A</t>
        </is>
      </c>
      <c r="C1977" t="inlineStr">
        <is>
          <t>Recall@K (Pers. 4)</t>
        </is>
      </c>
      <c r="D1977" s="3" t="inlineStr">
        <is>
          <t>Recall@K = |{kata kunci ditemukan : sim ≥ θ}| / |R|</t>
        </is>
      </c>
      <c r="E1977" s="3" t="inlineStr">
        <is>
          <t>skor = [0.6904, 0.58, 0.4993, 0.4897, 0.4856, 0.4313] → 6 / 7</t>
        </is>
      </c>
      <c r="F1977" t="n">
        <v>0.8571</v>
      </c>
      <c r="G1977" s="3" t="inlineStr"/>
    </row>
    <row r="1978">
      <c r="A1978" t="n">
        <v>135</v>
      </c>
      <c r="B1978" t="inlineStr">
        <is>
          <t>A</t>
        </is>
      </c>
      <c r="C1978" t="inlineStr">
        <is>
          <t>Mean Similarity (Pers. 6)</t>
        </is>
      </c>
      <c r="D1978" s="3" t="inlineStr">
        <is>
          <t>MeanSim = (1/K) × Σ sim(q, dᵢ)</t>
        </is>
      </c>
      <c r="E1978" s="3" t="inlineStr">
        <is>
          <t>skor = [0.7986, 0.7884, 0.7725, 0.7574, 0.7573, 0.7525] → (0.7986 + 0.7884 + 0.7725 + 0.7574 + 0.7573 + 0.7525) / 6</t>
        </is>
      </c>
      <c r="F1978" t="n">
        <v>0.7711</v>
      </c>
      <c r="G1978" s="3" t="inlineStr"/>
    </row>
    <row r="1979">
      <c r="A1979" t="n">
        <v>135</v>
      </c>
      <c r="B1979" t="inlineStr">
        <is>
          <t>A</t>
        </is>
      </c>
      <c r="C1979" t="inlineStr">
        <is>
          <t>Coverage (Pers. 8)</t>
        </is>
      </c>
      <c r="D1979" s="3" t="inlineStr">
        <is>
          <t>Coverage = |{dᵢ ∈ TopK : sim(q,dᵢ) ≥ θc}| / K</t>
        </is>
      </c>
      <c r="E1979" s="3" t="inlineStr">
        <is>
          <t>skor = [0.7986, 0.7884, 0.7725, 0.7574, 0.7573, 0.7525] → 6 / 6</t>
        </is>
      </c>
      <c r="F1979" t="n">
        <v>1</v>
      </c>
      <c r="G1979" s="3" t="inlineStr"/>
    </row>
    <row r="1980">
      <c r="A1980" t="n">
        <v>135</v>
      </c>
      <c r="B1980" t="inlineStr">
        <is>
          <t>A</t>
        </is>
      </c>
      <c r="C1980" t="inlineStr">
        <is>
          <t>Source Diversity (Pers. 10)</t>
        </is>
      </c>
      <c r="D1980" s="3" t="inlineStr">
        <is>
          <t>Diversity = |sumber unik dalam TopK| / K</t>
        </is>
      </c>
      <c r="E1980" s="3" t="inlineStr">
        <is>
          <t>skor = ['GT_CT07.txt', 'GT_CT10.txt', 'GT_DETAIL_PT07_Notasi_Algoritme.txt', 'GT_DETAIL_PT10_Percabangan.txt', 'GT_DETAIL_PT11_Perulangan.txt', 'GT_SUBTOPIK_05_Pseudocode_Algoritme.txt'] → 6 / 6</t>
        </is>
      </c>
      <c r="F1980" t="n">
        <v>1</v>
      </c>
      <c r="G1980" s="3" t="inlineStr">
        <is>
          <t>file unik: GT_CT07.txt, GT_CT10.txt, GT_DETAIL_PT07_Notasi_Algoritme.txt, GT_DETAIL_PT10_Percabangan.txt, GT_DETAIL_PT11_Perulangan.txt, GT_SUBTOPIK_05_Pseudocode_Algoritme.txt</t>
        </is>
      </c>
    </row>
    <row r="1981">
      <c r="A1981" t="n">
        <v>135</v>
      </c>
      <c r="B1981" t="inlineStr">
        <is>
          <t>A</t>
        </is>
      </c>
      <c r="C1981" t="inlineStr">
        <is>
          <t>Faithfulness (Pers. 15)</t>
        </is>
      </c>
      <c r="D1981" s="3" t="inlineStr">
        <is>
          <t>F = 0,70×Entailment + 0,30×KWoverlap</t>
        </is>
      </c>
      <c r="E1981" s="3" t="inlineStr">
        <is>
          <t>Faithfulness = 0,70×Entailment + 0,30×KWoverlap = 0,70×0.8333 + 0,30×0.0912 = 0.6107  (entailment: 5/6 klaim didukung; KWoverlap = (|∩|/|ctx|)^0,65 = (5/199)^0,65 = 0.0251^0,65 = 0.0912)</t>
        </is>
      </c>
      <c r="F1981" t="n">
        <v>0.6107</v>
      </c>
      <c r="G1981" s="3" t="inlineStr">
        <is>
          <t>metode: llm_entailment + keyword</t>
        </is>
      </c>
    </row>
    <row r="1982">
      <c r="A1982" t="n">
        <v>135</v>
      </c>
      <c r="B1982" t="inlineStr">
        <is>
          <t>A</t>
        </is>
      </c>
      <c r="C1982" t="inlineStr">
        <is>
          <t>— Entailment (Pers. 12-13)</t>
        </is>
      </c>
      <c r="D1982" s="3" t="inlineStr">
        <is>
          <t>Entailment = Σverdict(sᵢ)/m</t>
        </is>
      </c>
      <c r="E1982" s="3" t="inlineStr">
        <is>
          <t>5 klaim YA dari 6 klaim dievaluasi</t>
        </is>
      </c>
      <c r="F1982" t="n">
        <v>0.8333</v>
      </c>
      <c r="G1982" s="3" t="inlineStr">
        <is>
          <t>verdict per klaim: sheet 'Entailment Detail'</t>
        </is>
      </c>
    </row>
    <row r="1983">
      <c r="A1983" t="n">
        <v>135</v>
      </c>
      <c r="B1983" t="inlineStr">
        <is>
          <t>A</t>
        </is>
      </c>
      <c r="C1983" t="inlineStr">
        <is>
          <t>— Keyword Overlap (Pers. 14)</t>
        </is>
      </c>
      <c r="D1983" s="3" t="inlineStr">
        <is>
          <t>KWoverlap = (|Stems(ans)∩Stems(ctx)| / |Stems(ctx)|)^0,65</t>
        </is>
      </c>
      <c r="E1983" s="3" t="inlineStr">
        <is>
          <t>KWoverlap = (|∩|/|ctx|)^0,65 = (5/199)^0,65 = 0.0251^0,65 = 0.0912</t>
        </is>
      </c>
      <c r="F1983" t="n">
        <v>0.0912</v>
      </c>
      <c r="G1983" s="3" t="inlineStr"/>
    </row>
    <row r="1984">
      <c r="A1984" t="n">
        <v>135</v>
      </c>
      <c r="B1984" t="inlineStr">
        <is>
          <t>A</t>
        </is>
      </c>
      <c r="C1984" t="inlineStr">
        <is>
          <t>Hallucination Risk (Pers. 18)</t>
        </is>
      </c>
      <c r="D1984" s="3" t="inlineStr">
        <is>
          <t>Risk = 0,65×(1-F) + 0,20×Contradiction + 0,15×Uncertainty</t>
        </is>
      </c>
      <c r="E1984" s="3" t="inlineStr">
        <is>
          <t>Risk = 0,65×OutOfContext + 0,20×Contradiction + 0,15×Uncertainty = 0,65×0.3893 + 0,20×0.0000 + 0,15×0.00 = 0.2530 [RENDAH]</t>
        </is>
      </c>
      <c r="F1984" t="n">
        <v>0.253</v>
      </c>
      <c r="G1984" s="3" t="inlineStr">
        <is>
          <t>label: RENDAH; kontradiksi 0/22 kalimat; uncertainty flag: False</t>
        </is>
      </c>
    </row>
    <row r="1985">
      <c r="A1985" t="n">
        <v>135</v>
      </c>
      <c r="B1985" t="inlineStr">
        <is>
          <t>A</t>
        </is>
      </c>
      <c r="C1985" t="inlineStr">
        <is>
          <t>Answer Accuracy (Pers. 20)</t>
        </is>
      </c>
      <c r="D1985" s="3" t="inlineStr">
        <is>
          <t>Correctᵢ ∈ {0,1} via LLM-as-Judge (HASIL: BENAR/SALAH)</t>
        </is>
      </c>
      <c r="E1985" s="3" t="inlineStr">
        <is>
          <t>BENAR
Rujukan yang digunakan dalam jawaban sistem adalah referensi tentang pseudocode, sehingga menjawab pertanyaan dengan benar berdasarkan referensi.</t>
        </is>
      </c>
      <c r="F1985" t="inlineStr">
        <is>
          <t>BENAR</t>
        </is>
      </c>
      <c r="G1985" s="3" t="inlineStr">
        <is>
          <t>evaluator: ollama/llama3</t>
        </is>
      </c>
    </row>
    <row r="1986">
      <c r="A1986" t="n">
        <v>135</v>
      </c>
      <c r="B1986" t="inlineStr">
        <is>
          <t>B</t>
        </is>
      </c>
      <c r="C1986" t="inlineStr">
        <is>
          <t>Faithfulness (Pers. 15)</t>
        </is>
      </c>
      <c r="D1986" s="3" t="inlineStr">
        <is>
          <t>F = 0,70×Entailment + 0,30×KWoverlap</t>
        </is>
      </c>
      <c r="E1986" s="3" t="inlineStr">
        <is>
          <t>Faithfulness = 0,70×Entailment + 0,30×KWoverlap = 0,70×1.0000 + 0,30×0.1863 = 0.7559  (entailment: 5/5 klaim didukung; KWoverlap = (|∩|/|ctx|)^0,65 = (15/199)^0,65 = 0.0754^0,65 = 0.1863)</t>
        </is>
      </c>
      <c r="F1986" t="n">
        <v>0.7559</v>
      </c>
      <c r="G1986" s="3" t="inlineStr">
        <is>
          <t>metode: llm_entailment + keyword</t>
        </is>
      </c>
    </row>
    <row r="1987">
      <c r="A1987" t="n">
        <v>135</v>
      </c>
      <c r="B1987" t="inlineStr">
        <is>
          <t>B</t>
        </is>
      </c>
      <c r="C1987" t="inlineStr">
        <is>
          <t>— Entailment (Pers. 12-13)</t>
        </is>
      </c>
      <c r="D1987" s="3" t="inlineStr">
        <is>
          <t>Entailment = Σverdict(sᵢ)/m</t>
        </is>
      </c>
      <c r="E1987" s="3" t="inlineStr">
        <is>
          <t>5 klaim YA dari 5 klaim dievaluasi</t>
        </is>
      </c>
      <c r="F1987" t="n">
        <v>1</v>
      </c>
      <c r="G1987" s="3" t="inlineStr">
        <is>
          <t>verdict per klaim: sheet 'Entailment Detail'</t>
        </is>
      </c>
    </row>
    <row r="1988">
      <c r="A1988" t="n">
        <v>135</v>
      </c>
      <c r="B1988" t="inlineStr">
        <is>
          <t>B</t>
        </is>
      </c>
      <c r="C1988" t="inlineStr">
        <is>
          <t>— Keyword Overlap (Pers. 14)</t>
        </is>
      </c>
      <c r="D1988" s="3" t="inlineStr">
        <is>
          <t>KWoverlap = (|Stems(ans)∩Stems(ctx)| / |Stems(ctx)|)^0,65</t>
        </is>
      </c>
      <c r="E1988" s="3" t="inlineStr">
        <is>
          <t>KWoverlap = (|∩|/|ctx|)^0,65 = (15/199)^0,65 = 0.0754^0,65 = 0.1863</t>
        </is>
      </c>
      <c r="F1988" t="n">
        <v>0.1863</v>
      </c>
      <c r="G1988" s="3" t="inlineStr"/>
    </row>
    <row r="1989">
      <c r="A1989" t="n">
        <v>135</v>
      </c>
      <c r="B1989" t="inlineStr">
        <is>
          <t>B</t>
        </is>
      </c>
      <c r="C1989" t="inlineStr">
        <is>
          <t>Hallucination Risk (Pers. 18)</t>
        </is>
      </c>
      <c r="D1989" s="3" t="inlineStr">
        <is>
          <t>Risk = 0,65×(1-F) + 0,20×Contradiction + 0,15×Uncertainty</t>
        </is>
      </c>
      <c r="E1989" s="3" t="inlineStr">
        <is>
          <t>Risk = 0,65×OutOfContext + 0,20×Contradiction + 0,15×Uncertainty = 0,65×0.2441 + 0,20×0.0000 + 0,15×0.00 = 0.1587 [RENDAH]</t>
        </is>
      </c>
      <c r="F1989" t="n">
        <v>0.1587</v>
      </c>
      <c r="G1989" s="3" t="inlineStr">
        <is>
          <t>label: RENDAH; kontradiksi 0/21 kalimat; uncertainty flag: False</t>
        </is>
      </c>
    </row>
    <row r="1990">
      <c r="A1990" t="n">
        <v>135</v>
      </c>
      <c r="B1990" t="inlineStr">
        <is>
          <t>B</t>
        </is>
      </c>
      <c r="C1990" t="inlineStr">
        <is>
          <t>Answer Accuracy (Pers. 20)</t>
        </is>
      </c>
      <c r="D1990" s="3" t="inlineStr">
        <is>
          <t>Correctᵢ ∈ {0,1} via LLM-as-Judge (HASIL: BENAR/SALAH)</t>
        </is>
      </c>
      <c r="E1990" s="3" t="inlineStr">
        <is>
          <t>BENAR</t>
        </is>
      </c>
      <c r="F1990" t="inlineStr">
        <is>
          <t>BENAR</t>
        </is>
      </c>
      <c r="G1990" s="3" t="inlineStr">
        <is>
          <t>evaluator: ollama/llama3</t>
        </is>
      </c>
    </row>
    <row r="1991">
      <c r="A1991" t="n">
        <v>136</v>
      </c>
      <c r="B1991" t="inlineStr">
        <is>
          <t>A</t>
        </is>
      </c>
      <c r="C1991" t="inlineStr">
        <is>
          <t>Precision@K (Pers. 2)</t>
        </is>
      </c>
      <c r="D1991" s="3" t="inlineStr">
        <is>
          <t>Precision@K = |{d ∈ TopK : sim(q,d) ≥ θ}| / K</t>
        </is>
      </c>
      <c r="E1991" s="3" t="inlineStr">
        <is>
          <t>skor = [0.8477, 0.8427, 0.8137, 0.8115, 0.7968, 0.7963] → 6 / 6</t>
        </is>
      </c>
      <c r="F1991" t="n">
        <v>1</v>
      </c>
      <c r="G1991" s="3" t="inlineStr">
        <is>
          <t>basis: skor chunk nyata (sesuai contoh Pers. 2 skripsi)</t>
        </is>
      </c>
    </row>
    <row r="1992">
      <c r="A1992" t="n">
        <v>136</v>
      </c>
      <c r="B1992" t="inlineStr">
        <is>
          <t>A</t>
        </is>
      </c>
      <c r="C1992" t="inlineStr">
        <is>
          <t>Recall@K (Pers. 4)</t>
        </is>
      </c>
      <c r="D1992" s="3" t="inlineStr">
        <is>
          <t>Recall@K = |{kata kunci ditemukan : sim ≥ θ}| / |R|</t>
        </is>
      </c>
      <c r="E1992" s="3" t="inlineStr">
        <is>
          <t>skor = [0.5767, 0.5648, 0.5359, 0.5102, 0.4431, 0.4273] → 6 / 6</t>
        </is>
      </c>
      <c r="F1992" t="n">
        <v>1</v>
      </c>
      <c r="G1992" s="3" t="inlineStr"/>
    </row>
    <row r="1993">
      <c r="A1993" t="n">
        <v>136</v>
      </c>
      <c r="B1993" t="inlineStr">
        <is>
          <t>A</t>
        </is>
      </c>
      <c r="C1993" t="inlineStr">
        <is>
          <t>Mean Similarity (Pers. 6)</t>
        </is>
      </c>
      <c r="D1993" s="3" t="inlineStr">
        <is>
          <t>MeanSim = (1/K) × Σ sim(q, dᵢ)</t>
        </is>
      </c>
      <c r="E1993" s="3" t="inlineStr">
        <is>
          <t>skor = [0.8477, 0.8427, 0.8137, 0.8115, 0.7968, 0.7963] → (0.8477 + 0.8427 + 0.8137 + 0.8115 + 0.7968 + 0.7963) / 6</t>
        </is>
      </c>
      <c r="F1993" t="n">
        <v>0.8181</v>
      </c>
      <c r="G1993" s="3" t="inlineStr"/>
    </row>
    <row r="1994">
      <c r="A1994" t="n">
        <v>136</v>
      </c>
      <c r="B1994" t="inlineStr">
        <is>
          <t>A</t>
        </is>
      </c>
      <c r="C1994" t="inlineStr">
        <is>
          <t>Coverage (Pers. 8)</t>
        </is>
      </c>
      <c r="D1994" s="3" t="inlineStr">
        <is>
          <t>Coverage = |{dᵢ ∈ TopK : sim(q,dᵢ) ≥ θc}| / K</t>
        </is>
      </c>
      <c r="E1994" s="3" t="inlineStr">
        <is>
          <t>skor = [0.8477, 0.8427, 0.8137, 0.8115, 0.7968, 0.7963] → 6 / 6</t>
        </is>
      </c>
      <c r="F1994" t="n">
        <v>1</v>
      </c>
      <c r="G1994" s="3" t="inlineStr"/>
    </row>
    <row r="1995">
      <c r="A1995" t="n">
        <v>136</v>
      </c>
      <c r="B1995" t="inlineStr">
        <is>
          <t>A</t>
        </is>
      </c>
      <c r="C1995" t="inlineStr">
        <is>
          <t>Source Diversity (Pers. 10)</t>
        </is>
      </c>
      <c r="D1995" s="3" t="inlineStr">
        <is>
          <t>Diversity = |sumber unik dalam TopK| / K</t>
        </is>
      </c>
      <c r="E1995" s="3" t="inlineStr">
        <is>
          <t>skor = ['GT_CT10.txt', 'GT_DETAIL_PT10_Percabangan.txt', 'GT_DETAIL_PT11_Perulangan.txt', 'GT_SUBTOPIK_07_Percabangan_Trace.txt'] → 4 / 6</t>
        </is>
      </c>
      <c r="F1995" t="n">
        <v>0.6667</v>
      </c>
      <c r="G1995" s="3" t="inlineStr">
        <is>
          <t>file unik: GT_CT10.txt, GT_DETAIL_PT10_Percabangan.txt, GT_DETAIL_PT11_Perulangan.txt, GT_SUBTOPIK_07_Percabangan_Trace.txt</t>
        </is>
      </c>
    </row>
    <row r="1996">
      <c r="A1996" t="n">
        <v>136</v>
      </c>
      <c r="B1996" t="inlineStr">
        <is>
          <t>A</t>
        </is>
      </c>
      <c r="C1996" t="inlineStr">
        <is>
          <t>Faithfulness (Pers. 15)</t>
        </is>
      </c>
      <c r="D1996" s="3" t="inlineStr">
        <is>
          <t>F = 0,70×Entailment + 0,30×KWoverlap</t>
        </is>
      </c>
      <c r="E1996" s="3" t="inlineStr">
        <is>
          <t>Faithfulness = 0,70×Entailment + 0,30×KWoverlap = 0,70×1.0000 + 0,30×0.2823 = 0.7847  (entailment: 3/3 klaim didukung; KWoverlap = (|∩|/|ctx|)^0,65 = (21/147)^0,65 = 0.1429^0,65 = 0.2823)</t>
        </is>
      </c>
      <c r="F1996" t="n">
        <v>0.7847</v>
      </c>
      <c r="G1996" s="3" t="inlineStr">
        <is>
          <t>metode: llm_entailment + keyword</t>
        </is>
      </c>
    </row>
    <row r="1997">
      <c r="A1997" t="n">
        <v>136</v>
      </c>
      <c r="B1997" t="inlineStr">
        <is>
          <t>A</t>
        </is>
      </c>
      <c r="C1997" t="inlineStr">
        <is>
          <t>— Entailment (Pers. 12-13)</t>
        </is>
      </c>
      <c r="D1997" s="3" t="inlineStr">
        <is>
          <t>Entailment = Σverdict(sᵢ)/m</t>
        </is>
      </c>
      <c r="E1997" s="3" t="inlineStr">
        <is>
          <t>3 klaim YA dari 3 klaim dievaluasi</t>
        </is>
      </c>
      <c r="F1997" t="n">
        <v>1</v>
      </c>
      <c r="G1997" s="3" t="inlineStr">
        <is>
          <t>verdict per klaim: sheet 'Entailment Detail'</t>
        </is>
      </c>
    </row>
    <row r="1998">
      <c r="A1998" t="n">
        <v>136</v>
      </c>
      <c r="B1998" t="inlineStr">
        <is>
          <t>A</t>
        </is>
      </c>
      <c r="C1998" t="inlineStr">
        <is>
          <t>— Keyword Overlap (Pers. 14)</t>
        </is>
      </c>
      <c r="D1998" s="3" t="inlineStr">
        <is>
          <t>KWoverlap = (|Stems(ans)∩Stems(ctx)| / |Stems(ctx)|)^0,65</t>
        </is>
      </c>
      <c r="E1998" s="3" t="inlineStr">
        <is>
          <t>KWoverlap = (|∩|/|ctx|)^0,65 = (21/147)^0,65 = 0.1429^0,65 = 0.2823</t>
        </is>
      </c>
      <c r="F1998" t="n">
        <v>0.2823</v>
      </c>
      <c r="G1998" s="3" t="inlineStr"/>
    </row>
    <row r="1999">
      <c r="A1999" t="n">
        <v>136</v>
      </c>
      <c r="B1999" t="inlineStr">
        <is>
          <t>A</t>
        </is>
      </c>
      <c r="C1999" t="inlineStr">
        <is>
          <t>Hallucination Risk (Pers. 18)</t>
        </is>
      </c>
      <c r="D1999" s="3" t="inlineStr">
        <is>
          <t>Risk = 0,65×(1-F) + 0,20×Contradiction + 0,15×Uncertainty</t>
        </is>
      </c>
      <c r="E1999" s="3" t="inlineStr">
        <is>
          <t>Risk = 0,65×OutOfContext + 0,20×Contradiction + 0,15×Uncertainty = 0,65×0.2153 + 0,20×0.0000 + 0,15×0.00 = 0.1399 [RENDAH]</t>
        </is>
      </c>
      <c r="F1999" t="n">
        <v>0.1399</v>
      </c>
      <c r="G1999" s="3" t="inlineStr">
        <is>
          <t>label: RENDAH; kontradiksi 0/8 kalimat; uncertainty flag: False</t>
        </is>
      </c>
    </row>
    <row r="2000">
      <c r="A2000" t="n">
        <v>136</v>
      </c>
      <c r="B2000" t="inlineStr">
        <is>
          <t>A</t>
        </is>
      </c>
      <c r="C2000" t="inlineStr">
        <is>
          <t>Answer Accuracy (Pers. 20)</t>
        </is>
      </c>
      <c r="D2000" s="3" t="inlineStr">
        <is>
          <t>Correctᵢ ∈ {0,1} via LLM-as-Judge (HASIL: BENAR/SALAH)</t>
        </is>
      </c>
      <c r="E2000" s="3" t="inlineStr">
        <is>
          <t>Jawaban sistem:
BENAR</t>
        </is>
      </c>
      <c r="F2000" t="inlineStr">
        <is>
          <t>BENAR</t>
        </is>
      </c>
      <c r="G2000" s="3" t="inlineStr">
        <is>
          <t>evaluator: ollama/llama3</t>
        </is>
      </c>
    </row>
    <row r="2001">
      <c r="A2001" t="n">
        <v>136</v>
      </c>
      <c r="B2001" t="inlineStr">
        <is>
          <t>B</t>
        </is>
      </c>
      <c r="C2001" t="inlineStr">
        <is>
          <t>Faithfulness (Pers. 15)</t>
        </is>
      </c>
      <c r="D2001" s="3" t="inlineStr">
        <is>
          <t>F = 0,70×Entailment + 0,30×KWoverlap</t>
        </is>
      </c>
      <c r="E2001" s="3" t="inlineStr">
        <is>
          <t>Faithfulness = 0,70×Entailment + 0,30×KWoverlap = 0,70×0.6667 + 0,30×0.1854 = 0.5223  (entailment: 4/6 klaim didukung; KWoverlap = (|∩|/|ctx|)^0,65 = (11/147)^0,65 = 0.0748^0,65 = 0.1854)</t>
        </is>
      </c>
      <c r="F2001" t="n">
        <v>0.5223</v>
      </c>
      <c r="G2001" s="3" t="inlineStr">
        <is>
          <t>metode: llm_entailment + keyword</t>
        </is>
      </c>
    </row>
    <row r="2002">
      <c r="A2002" t="n">
        <v>136</v>
      </c>
      <c r="B2002" t="inlineStr">
        <is>
          <t>B</t>
        </is>
      </c>
      <c r="C2002" t="inlineStr">
        <is>
          <t>— Entailment (Pers. 12-13)</t>
        </is>
      </c>
      <c r="D2002" s="3" t="inlineStr">
        <is>
          <t>Entailment = Σverdict(sᵢ)/m</t>
        </is>
      </c>
      <c r="E2002" s="3" t="inlineStr">
        <is>
          <t>4 klaim YA dari 6 klaim dievaluasi</t>
        </is>
      </c>
      <c r="F2002" t="n">
        <v>0.6667</v>
      </c>
      <c r="G2002" s="3" t="inlineStr">
        <is>
          <t>verdict per klaim: sheet 'Entailment Detail'</t>
        </is>
      </c>
    </row>
    <row r="2003">
      <c r="A2003" t="n">
        <v>136</v>
      </c>
      <c r="B2003" t="inlineStr">
        <is>
          <t>B</t>
        </is>
      </c>
      <c r="C2003" t="inlineStr">
        <is>
          <t>— Keyword Overlap (Pers. 14)</t>
        </is>
      </c>
      <c r="D2003" s="3" t="inlineStr">
        <is>
          <t>KWoverlap = (|Stems(ans)∩Stems(ctx)| / |Stems(ctx)|)^0,65</t>
        </is>
      </c>
      <c r="E2003" s="3" t="inlineStr">
        <is>
          <t>KWoverlap = (|∩|/|ctx|)^0,65 = (11/147)^0,65 = 0.0748^0,65 = 0.1854</t>
        </is>
      </c>
      <c r="F2003" t="n">
        <v>0.1854</v>
      </c>
      <c r="G2003" s="3" t="inlineStr"/>
    </row>
    <row r="2004">
      <c r="A2004" t="n">
        <v>136</v>
      </c>
      <c r="B2004" t="inlineStr">
        <is>
          <t>B</t>
        </is>
      </c>
      <c r="C2004" t="inlineStr">
        <is>
          <t>Hallucination Risk (Pers. 18)</t>
        </is>
      </c>
      <c r="D2004" s="3" t="inlineStr">
        <is>
          <t>Risk = 0,65×(1-F) + 0,20×Contradiction + 0,15×Uncertainty</t>
        </is>
      </c>
      <c r="E2004" s="3" t="inlineStr">
        <is>
          <t>Risk = 0,65×OutOfContext + 0,20×Contradiction + 0,15×Uncertainty = 0,65×0.4777 + 0,20×0.0000 + 0,15×0.00 = 0.3105 [RENDAH]</t>
        </is>
      </c>
      <c r="F2004" t="n">
        <v>0.3105</v>
      </c>
      <c r="G2004" s="3" t="inlineStr">
        <is>
          <t>label: RENDAH; kontradiksi 0/12 kalimat; uncertainty flag: False</t>
        </is>
      </c>
    </row>
    <row r="2005">
      <c r="A2005" t="n">
        <v>136</v>
      </c>
      <c r="B2005" t="inlineStr">
        <is>
          <t>B</t>
        </is>
      </c>
      <c r="C2005" t="inlineStr">
        <is>
          <t>Answer Accuracy (Pers. 20)</t>
        </is>
      </c>
      <c r="D2005" s="3" t="inlineStr">
        <is>
          <t>Correctᵢ ∈ {0,1} via LLM-as-Judge (HASIL: BENAR/SALAH)</t>
        </is>
      </c>
      <c r="E2005" s="3" t="inlineStr"/>
      <c r="F2005" t="inlineStr">
        <is>
          <t>BENAR</t>
        </is>
      </c>
      <c r="G2005" s="3" t="inlineStr">
        <is>
          <t>evaluator: ollama/llama3</t>
        </is>
      </c>
    </row>
    <row r="2006">
      <c r="A2006" t="n">
        <v>137</v>
      </c>
      <c r="B2006" t="inlineStr">
        <is>
          <t>A</t>
        </is>
      </c>
      <c r="C2006" t="inlineStr">
        <is>
          <t>Precision@K (Pers. 2)</t>
        </is>
      </c>
      <c r="D2006" s="3" t="inlineStr">
        <is>
          <t>Precision@K = |{d ∈ TopK : sim(q,d) ≥ θ}| / K</t>
        </is>
      </c>
      <c r="E2006" s="3" t="inlineStr">
        <is>
          <t>skor = [0.765, 0.763, 0.759, 0.7567, 0.754, 0.7347] → 6 / 6</t>
        </is>
      </c>
      <c r="F2006" t="n">
        <v>1</v>
      </c>
      <c r="G2006" s="3" t="inlineStr">
        <is>
          <t>basis: skor chunk nyata (sesuai contoh Pers. 2 skripsi)</t>
        </is>
      </c>
    </row>
    <row r="2007">
      <c r="A2007" t="n">
        <v>137</v>
      </c>
      <c r="B2007" t="inlineStr">
        <is>
          <t>A</t>
        </is>
      </c>
      <c r="C2007" t="inlineStr">
        <is>
          <t>Recall@K (Pers. 4)</t>
        </is>
      </c>
      <c r="D2007" s="3" t="inlineStr">
        <is>
          <t>Recall@K = |{kata kunci ditemukan : sim ≥ θ}| / |R|</t>
        </is>
      </c>
      <c r="E2007" s="3" t="inlineStr">
        <is>
          <t>skor = [0.6223, 0.5881, 0.5669, 0.5405, 0.5405, 0.4851] → 6 / 7</t>
        </is>
      </c>
      <c r="F2007" t="n">
        <v>0.8571</v>
      </c>
      <c r="G2007" s="3" t="inlineStr"/>
    </row>
    <row r="2008">
      <c r="A2008" t="n">
        <v>137</v>
      </c>
      <c r="B2008" t="inlineStr">
        <is>
          <t>A</t>
        </is>
      </c>
      <c r="C2008" t="inlineStr">
        <is>
          <t>Mean Similarity (Pers. 6)</t>
        </is>
      </c>
      <c r="D2008" s="3" t="inlineStr">
        <is>
          <t>MeanSim = (1/K) × Σ sim(q, dᵢ)</t>
        </is>
      </c>
      <c r="E2008" s="3" t="inlineStr">
        <is>
          <t>skor = [0.765, 0.763, 0.759, 0.7567, 0.754, 0.7347] → (0.7650 + 0.7630 + 0.7590 + 0.7567 + 0.7540 + 0.7347) / 6</t>
        </is>
      </c>
      <c r="F2008" t="n">
        <v>0.7554</v>
      </c>
      <c r="G2008" s="3" t="inlineStr"/>
    </row>
    <row r="2009">
      <c r="A2009" t="n">
        <v>137</v>
      </c>
      <c r="B2009" t="inlineStr">
        <is>
          <t>A</t>
        </is>
      </c>
      <c r="C2009" t="inlineStr">
        <is>
          <t>Coverage (Pers. 8)</t>
        </is>
      </c>
      <c r="D2009" s="3" t="inlineStr">
        <is>
          <t>Coverage = |{dᵢ ∈ TopK : sim(q,dᵢ) ≥ θc}| / K</t>
        </is>
      </c>
      <c r="E2009" s="3" t="inlineStr">
        <is>
          <t>skor = [0.765, 0.763, 0.759, 0.7567, 0.754, 0.7347] → 6 / 6</t>
        </is>
      </c>
      <c r="F2009" t="n">
        <v>1</v>
      </c>
      <c r="G2009" s="3" t="inlineStr"/>
    </row>
    <row r="2010">
      <c r="A2010" t="n">
        <v>137</v>
      </c>
      <c r="B2010" t="inlineStr">
        <is>
          <t>A</t>
        </is>
      </c>
      <c r="C2010" t="inlineStr">
        <is>
          <t>Source Diversity (Pers. 10)</t>
        </is>
      </c>
      <c r="D2010" s="3" t="inlineStr">
        <is>
          <t>Diversity = |sumber unik dalam TopK| / K</t>
        </is>
      </c>
      <c r="E2010" s="3" t="inlineStr">
        <is>
          <t>skor = ['GT_CT07.txt', 'GT_CT09.txt', 'GT_CT10.txt', 'GT_DETAIL_PT10_Percabangan.txt', 'GT_DETAIL_PT11_Perulangan.txt', 'GT_SUBTOPIK_05_Pseudocode_Algoritme.txt'] → 6 / 6</t>
        </is>
      </c>
      <c r="F2010" t="n">
        <v>1</v>
      </c>
      <c r="G2010" s="3" t="inlineStr">
        <is>
          <t>file unik: GT_CT07.txt, GT_CT09.txt, GT_CT10.txt, GT_DETAIL_PT10_Percabangan.txt, GT_DETAIL_PT11_Perulangan.txt, GT_SUBTOPIK_05_Pseudocode_Algoritme.txt</t>
        </is>
      </c>
    </row>
    <row r="2011">
      <c r="A2011" t="n">
        <v>137</v>
      </c>
      <c r="B2011" t="inlineStr">
        <is>
          <t>A</t>
        </is>
      </c>
      <c r="C2011" t="inlineStr">
        <is>
          <t>Faithfulness (Pers. 15)</t>
        </is>
      </c>
      <c r="D2011" s="3" t="inlineStr">
        <is>
          <t>F = 0,70×Entailment + 0,30×KWoverlap</t>
        </is>
      </c>
      <c r="E2011" s="3" t="inlineStr">
        <is>
          <t>Faithfulness = 0,70×Entailment + 0,30×KWoverlap = 0,70×1.0000 + 0,30×0.3350 = 0.8005  (entailment: 6/6 klaim didukung; KWoverlap = (|∩|/|ctx|)^0,65 = (37/199)^0,65 = 0.1859^0,65 = 0.3350)</t>
        </is>
      </c>
      <c r="F2011" t="n">
        <v>0.8005</v>
      </c>
      <c r="G2011" s="3" t="inlineStr">
        <is>
          <t>metode: llm_entailment + keyword</t>
        </is>
      </c>
    </row>
    <row r="2012">
      <c r="A2012" t="n">
        <v>137</v>
      </c>
      <c r="B2012" t="inlineStr">
        <is>
          <t>A</t>
        </is>
      </c>
      <c r="C2012" t="inlineStr">
        <is>
          <t>— Entailment (Pers. 12-13)</t>
        </is>
      </c>
      <c r="D2012" s="3" t="inlineStr">
        <is>
          <t>Entailment = Σverdict(sᵢ)/m</t>
        </is>
      </c>
      <c r="E2012" s="3" t="inlineStr">
        <is>
          <t>6 klaim YA dari 6 klaim dievaluasi</t>
        </is>
      </c>
      <c r="F2012" t="n">
        <v>1</v>
      </c>
      <c r="G2012" s="3" t="inlineStr">
        <is>
          <t>verdict per klaim: sheet 'Entailment Detail'</t>
        </is>
      </c>
    </row>
    <row r="2013">
      <c r="A2013" t="n">
        <v>137</v>
      </c>
      <c r="B2013" t="inlineStr">
        <is>
          <t>A</t>
        </is>
      </c>
      <c r="C2013" t="inlineStr">
        <is>
          <t>— Keyword Overlap (Pers. 14)</t>
        </is>
      </c>
      <c r="D2013" s="3" t="inlineStr">
        <is>
          <t>KWoverlap = (|Stems(ans)∩Stems(ctx)| / |Stems(ctx)|)^0,65</t>
        </is>
      </c>
      <c r="E2013" s="3" t="inlineStr">
        <is>
          <t>KWoverlap = (|∩|/|ctx|)^0,65 = (37/199)^0,65 = 0.1859^0,65 = 0.3350</t>
        </is>
      </c>
      <c r="F2013" t="n">
        <v>0.335</v>
      </c>
      <c r="G2013" s="3" t="inlineStr"/>
    </row>
    <row r="2014">
      <c r="A2014" t="n">
        <v>137</v>
      </c>
      <c r="B2014" t="inlineStr">
        <is>
          <t>A</t>
        </is>
      </c>
      <c r="C2014" t="inlineStr">
        <is>
          <t>Hallucination Risk (Pers. 18)</t>
        </is>
      </c>
      <c r="D2014" s="3" t="inlineStr">
        <is>
          <t>Risk = 0,65×(1-F) + 0,20×Contradiction + 0,15×Uncertainty</t>
        </is>
      </c>
      <c r="E2014" s="3" t="inlineStr">
        <is>
          <t>Risk = 0,65×OutOfContext + 0,20×Contradiction + 0,15×Uncertainty = 0,65×0.1995 + 0,20×0.0000 + 0,15×0.00 = 0.1297 [RENDAH]</t>
        </is>
      </c>
      <c r="F2014" t="n">
        <v>0.1297</v>
      </c>
      <c r="G2014" s="3" t="inlineStr">
        <is>
          <t>label: RENDAH; kontradiksi 0/10 kalimat; uncertainty flag: False</t>
        </is>
      </c>
    </row>
    <row r="2015">
      <c r="A2015" t="n">
        <v>137</v>
      </c>
      <c r="B2015" t="inlineStr">
        <is>
          <t>A</t>
        </is>
      </c>
      <c r="C2015" t="inlineStr">
        <is>
          <t>Answer Accuracy (Pers. 20)</t>
        </is>
      </c>
      <c r="D2015" s="3" t="inlineStr">
        <is>
          <t>Correctᵢ ∈ {0,1} via LLM-as-Judge (HASIL: BENAR/SALAH)</t>
        </is>
      </c>
      <c r="E2015" s="3" t="inlineStr">
        <is>
          <t xml:space="preserve">Jawaban sistem: 
Rationale:
The reference material mentions that in the context of loop (n-Loop), the algorithm needs to repeat the instruction until a certain condition is met. This implies that all conditions must be evaluated to determine whether the loop should continue or not.
In contrast, the concept of "short-circuit evaluation" only applies to AND and OR expressions, where if the first </t>
        </is>
      </c>
      <c r="F2015" t="inlineStr">
        <is>
          <t>SALAH</t>
        </is>
      </c>
      <c r="G2015" s="3" t="inlineStr">
        <is>
          <t>evaluator: ollama/llama3</t>
        </is>
      </c>
    </row>
    <row r="2016">
      <c r="A2016" t="n">
        <v>137</v>
      </c>
      <c r="B2016" t="inlineStr">
        <is>
          <t>B</t>
        </is>
      </c>
      <c r="C2016" t="inlineStr">
        <is>
          <t>Faithfulness (Pers. 15)</t>
        </is>
      </c>
      <c r="D2016" s="3" t="inlineStr">
        <is>
          <t>F = 0,70×Entailment + 0,30×KWoverlap</t>
        </is>
      </c>
      <c r="E2016" s="3" t="inlineStr">
        <is>
          <t>Faithfulness = 0,70×Entailment + 0,30×KWoverlap = 0,70×1.0000 + 0,30×0.2246 = 0.7674  (entailment: 6/6 klaim didukung; KWoverlap = (|∩|/|ctx|)^0,65 = (20/199)^0,65 = 0.1005^0,65 = 0.2246)</t>
        </is>
      </c>
      <c r="F2016" t="n">
        <v>0.7674</v>
      </c>
      <c r="G2016" s="3" t="inlineStr">
        <is>
          <t>metode: llm_entailment + keyword</t>
        </is>
      </c>
    </row>
    <row r="2017">
      <c r="A2017" t="n">
        <v>137</v>
      </c>
      <c r="B2017" t="inlineStr">
        <is>
          <t>B</t>
        </is>
      </c>
      <c r="C2017" t="inlineStr">
        <is>
          <t>— Entailment (Pers. 12-13)</t>
        </is>
      </c>
      <c r="D2017" s="3" t="inlineStr">
        <is>
          <t>Entailment = Σverdict(sᵢ)/m</t>
        </is>
      </c>
      <c r="E2017" s="3" t="inlineStr">
        <is>
          <t>6 klaim YA dari 6 klaim dievaluasi</t>
        </is>
      </c>
      <c r="F2017" t="n">
        <v>1</v>
      </c>
      <c r="G2017" s="3" t="inlineStr">
        <is>
          <t>verdict per klaim: sheet 'Entailment Detail'</t>
        </is>
      </c>
    </row>
    <row r="2018">
      <c r="A2018" t="n">
        <v>137</v>
      </c>
      <c r="B2018" t="inlineStr">
        <is>
          <t>B</t>
        </is>
      </c>
      <c r="C2018" t="inlineStr">
        <is>
          <t>— Keyword Overlap (Pers. 14)</t>
        </is>
      </c>
      <c r="D2018" s="3" t="inlineStr">
        <is>
          <t>KWoverlap = (|Stems(ans)∩Stems(ctx)| / |Stems(ctx)|)^0,65</t>
        </is>
      </c>
      <c r="E2018" s="3" t="inlineStr">
        <is>
          <t>KWoverlap = (|∩|/|ctx|)^0,65 = (20/199)^0,65 = 0.1005^0,65 = 0.2246</t>
        </is>
      </c>
      <c r="F2018" t="n">
        <v>0.2246</v>
      </c>
      <c r="G2018" s="3" t="inlineStr"/>
    </row>
    <row r="2019">
      <c r="A2019" t="n">
        <v>137</v>
      </c>
      <c r="B2019" t="inlineStr">
        <is>
          <t>B</t>
        </is>
      </c>
      <c r="C2019" t="inlineStr">
        <is>
          <t>Hallucination Risk (Pers. 18)</t>
        </is>
      </c>
      <c r="D2019" s="3" t="inlineStr">
        <is>
          <t>Risk = 0,65×(1-F) + 0,20×Contradiction + 0,15×Uncertainty</t>
        </is>
      </c>
      <c r="E2019" s="3" t="inlineStr">
        <is>
          <t>Risk = 0,65×OutOfContext + 0,20×Contradiction + 0,15×Uncertainty = 0,65×0.2326 + 0,20×0.0000 + 0,15×0.00 = 0.1512 [RENDAH]</t>
        </is>
      </c>
      <c r="F2019" t="n">
        <v>0.1512</v>
      </c>
      <c r="G2019" s="3" t="inlineStr">
        <is>
          <t>label: RENDAH; kontradiksi 0/11 kalimat; uncertainty flag: False</t>
        </is>
      </c>
    </row>
    <row r="2020">
      <c r="A2020" t="n">
        <v>138</v>
      </c>
      <c r="B2020" t="inlineStr">
        <is>
          <t>A</t>
        </is>
      </c>
      <c r="C2020" t="inlineStr">
        <is>
          <t>Precision@K (Pers. 2)</t>
        </is>
      </c>
      <c r="D2020" s="3" t="inlineStr">
        <is>
          <t>Precision@K = |{d ∈ TopK : sim(q,d) ≥ θ}| / K</t>
        </is>
      </c>
      <c r="E2020" s="3" t="inlineStr">
        <is>
          <t>skor = [0.7988, 0.7969, 0.776, 0.7727, 0.7512, 0.7489] → 6 / 6</t>
        </is>
      </c>
      <c r="F2020" t="n">
        <v>1</v>
      </c>
      <c r="G2020" s="3" t="inlineStr">
        <is>
          <t>basis: skor chunk nyata (sesuai contoh Pers. 2 skripsi)</t>
        </is>
      </c>
    </row>
    <row r="2021">
      <c r="A2021" t="n">
        <v>138</v>
      </c>
      <c r="B2021" t="inlineStr">
        <is>
          <t>A</t>
        </is>
      </c>
      <c r="C2021" t="inlineStr">
        <is>
          <t>Recall@K (Pers. 4)</t>
        </is>
      </c>
      <c r="D2021" s="3" t="inlineStr">
        <is>
          <t>Recall@K = |{kata kunci ditemukan : sim ≥ θ}| / |R|</t>
        </is>
      </c>
      <c r="E2021" s="3" t="inlineStr">
        <is>
          <t>skor = [0.72, 0.6354, 0.5698, 0.5639, 0.4857, 0.4473] → 6 / 6</t>
        </is>
      </c>
      <c r="F2021" t="n">
        <v>1</v>
      </c>
      <c r="G2021" s="3" t="inlineStr"/>
    </row>
    <row r="2022">
      <c r="A2022" t="n">
        <v>138</v>
      </c>
      <c r="B2022" t="inlineStr">
        <is>
          <t>A</t>
        </is>
      </c>
      <c r="C2022" t="inlineStr">
        <is>
          <t>Mean Similarity (Pers. 6)</t>
        </is>
      </c>
      <c r="D2022" s="3" t="inlineStr">
        <is>
          <t>MeanSim = (1/K) × Σ sim(q, dᵢ)</t>
        </is>
      </c>
      <c r="E2022" s="3" t="inlineStr">
        <is>
          <t>skor = [0.7988, 0.7969, 0.776, 0.7727, 0.7512, 0.7489] → (0.7988 + 0.7969 + 0.7760 + 0.7727 + 0.7512 + 0.7489) / 6</t>
        </is>
      </c>
      <c r="F2022" t="n">
        <v>0.7741</v>
      </c>
      <c r="G2022" s="3" t="inlineStr"/>
    </row>
    <row r="2023">
      <c r="A2023" t="n">
        <v>138</v>
      </c>
      <c r="B2023" t="inlineStr">
        <is>
          <t>A</t>
        </is>
      </c>
      <c r="C2023" t="inlineStr">
        <is>
          <t>Coverage (Pers. 8)</t>
        </is>
      </c>
      <c r="D2023" s="3" t="inlineStr">
        <is>
          <t>Coverage = |{dᵢ ∈ TopK : sim(q,dᵢ) ≥ θc}| / K</t>
        </is>
      </c>
      <c r="E2023" s="3" t="inlineStr">
        <is>
          <t>skor = [0.7988, 0.7969, 0.776, 0.7727, 0.7512, 0.7489] → 6 / 6</t>
        </is>
      </c>
      <c r="F2023" t="n">
        <v>1</v>
      </c>
      <c r="G2023" s="3" t="inlineStr"/>
    </row>
    <row r="2024">
      <c r="A2024" t="n">
        <v>138</v>
      </c>
      <c r="B2024" t="inlineStr">
        <is>
          <t>A</t>
        </is>
      </c>
      <c r="C2024" t="inlineStr">
        <is>
          <t>Source Diversity (Pers. 10)</t>
        </is>
      </c>
      <c r="D2024" s="3" t="inlineStr">
        <is>
          <t>Diversity = |sumber unik dalam TopK| / K</t>
        </is>
      </c>
      <c r="E2024" s="3" t="inlineStr">
        <is>
          <t>skor = ['GT_CT07.txt', 'GT_CT10.txt', 'GT_CT11.txt', 'GT_DETAIL_PT07_Notasi_Algoritme.txt', 'GT_DETAIL_PT10_Percabangan.txt', 'GT_SUBTOPIK_05_Pseudocode_Algoritme.txt'] → 6 / 6</t>
        </is>
      </c>
      <c r="F2024" t="n">
        <v>1</v>
      </c>
      <c r="G2024" s="3" t="inlineStr">
        <is>
          <t>file unik: GT_CT07.txt, GT_CT10.txt, GT_CT11.txt, GT_DETAIL_PT07_Notasi_Algoritme.txt, GT_DETAIL_PT10_Percabangan.txt, GT_SUBTOPIK_05_Pseudocode_Algoritme.txt</t>
        </is>
      </c>
    </row>
    <row r="2025">
      <c r="A2025" t="n">
        <v>138</v>
      </c>
      <c r="B2025" t="inlineStr">
        <is>
          <t>A</t>
        </is>
      </c>
      <c r="C2025" t="inlineStr">
        <is>
          <t>Faithfulness (Pers. 15)</t>
        </is>
      </c>
      <c r="D2025" s="3" t="inlineStr">
        <is>
          <t>F = 0,70×Entailment + 0,30×KWoverlap</t>
        </is>
      </c>
      <c r="E2025" s="3" t="inlineStr">
        <is>
          <t>Faithfulness = 0,70×Entailment + 0,30×KWoverlap = 0,70×0.8333 + 0,30×0.3235 = 0.6804  (entailment: 5/6 klaim didukung; KWoverlap = (|∩|/|ctx|)^0,65 = (37/210)^0,65 = 0.1762^0,65 = 0.3235)</t>
        </is>
      </c>
      <c r="F2025" t="n">
        <v>0.6804</v>
      </c>
      <c r="G2025" s="3" t="inlineStr">
        <is>
          <t>metode: llm_entailment + keyword</t>
        </is>
      </c>
    </row>
    <row r="2026">
      <c r="A2026" t="n">
        <v>138</v>
      </c>
      <c r="B2026" t="inlineStr">
        <is>
          <t>A</t>
        </is>
      </c>
      <c r="C2026" t="inlineStr">
        <is>
          <t>— Entailment (Pers. 12-13)</t>
        </is>
      </c>
      <c r="D2026" s="3" t="inlineStr">
        <is>
          <t>Entailment = Σverdict(sᵢ)/m</t>
        </is>
      </c>
      <c r="E2026" s="3" t="inlineStr">
        <is>
          <t>5 klaim YA dari 6 klaim dievaluasi</t>
        </is>
      </c>
      <c r="F2026" t="n">
        <v>0.8333</v>
      </c>
      <c r="G2026" s="3" t="inlineStr">
        <is>
          <t>verdict per klaim: sheet 'Entailment Detail'</t>
        </is>
      </c>
    </row>
    <row r="2027">
      <c r="A2027" t="n">
        <v>138</v>
      </c>
      <c r="B2027" t="inlineStr">
        <is>
          <t>A</t>
        </is>
      </c>
      <c r="C2027" t="inlineStr">
        <is>
          <t>— Keyword Overlap (Pers. 14)</t>
        </is>
      </c>
      <c r="D2027" s="3" t="inlineStr">
        <is>
          <t>KWoverlap = (|Stems(ans)∩Stems(ctx)| / |Stems(ctx)|)^0,65</t>
        </is>
      </c>
      <c r="E2027" s="3" t="inlineStr">
        <is>
          <t>KWoverlap = (|∩|/|ctx|)^0,65 = (37/210)^0,65 = 0.1762^0,65 = 0.3235</t>
        </is>
      </c>
      <c r="F2027" t="n">
        <v>0.3235</v>
      </c>
      <c r="G2027" s="3" t="inlineStr"/>
    </row>
    <row r="2028">
      <c r="A2028" t="n">
        <v>138</v>
      </c>
      <c r="B2028" t="inlineStr">
        <is>
          <t>A</t>
        </is>
      </c>
      <c r="C2028" t="inlineStr">
        <is>
          <t>Hallucination Risk (Pers. 18)</t>
        </is>
      </c>
      <c r="D2028" s="3" t="inlineStr">
        <is>
          <t>Risk = 0,65×(1-F) + 0,20×Contradiction + 0,15×Uncertainty</t>
        </is>
      </c>
      <c r="E2028" s="3" t="inlineStr">
        <is>
          <t>Risk = 0,65×OutOfContext + 0,20×Contradiction + 0,15×Uncertainty = 0,65×0.3196 + 0,20×0.0000 + 0,15×0.00 = 0.2077 [RENDAH]</t>
        </is>
      </c>
      <c r="F2028" t="n">
        <v>0.2077</v>
      </c>
      <c r="G2028" s="3" t="inlineStr">
        <is>
          <t>label: RENDAH; kontradiksi 0/20 kalimat; uncertainty flag: False</t>
        </is>
      </c>
    </row>
    <row r="2029">
      <c r="A2029" t="n">
        <v>138</v>
      </c>
      <c r="B2029" t="inlineStr">
        <is>
          <t>A</t>
        </is>
      </c>
      <c r="C2029" t="inlineStr">
        <is>
          <t>Answer Accuracy (Pers. 20)</t>
        </is>
      </c>
      <c r="D2029" s="3" t="inlineStr">
        <is>
          <t>Correctᵢ ∈ {0,1} via LLM-as-Judge (HASIL: BENAR/SALAH)</t>
        </is>
      </c>
      <c r="E2029" s="3" t="inlineStr">
        <is>
          <t>JAWABAN: BENAR
Rujukan:
* Dosen menginginkan pseudocode menggunakan while loop, bukan rekursi.
* Perbedaan struktur antara for dan while disebutkan dalam materi GT (MATERI 3: Iterasi Berdasarkan Kondisi).
* Jawaban sistem menjelaskan perbedaan struktur antara for dan while dengan contoh yang sesuai untuk kasus soal CT.
Jadi, jawaban sistem sudah menjawab pertanyaan dengan benar berdasarkan refe</t>
        </is>
      </c>
      <c r="F2029" t="inlineStr">
        <is>
          <t>BENAR</t>
        </is>
      </c>
      <c r="G2029" s="3" t="inlineStr">
        <is>
          <t>evaluator: ollama/llama3</t>
        </is>
      </c>
    </row>
    <row r="2030">
      <c r="A2030" t="n">
        <v>138</v>
      </c>
      <c r="B2030" t="inlineStr">
        <is>
          <t>B</t>
        </is>
      </c>
      <c r="C2030" t="inlineStr">
        <is>
          <t>Faithfulness (Pers. 15)</t>
        </is>
      </c>
      <c r="D2030" s="3" t="inlineStr">
        <is>
          <t>F = 0,70×Entailment + 0,30×KWoverlap</t>
        </is>
      </c>
      <c r="E2030" s="3" t="inlineStr">
        <is>
          <t>Faithfulness = 0,70×Entailment + 0,30×KWoverlap = 0,70×0.6667 + 0,30×0.2442 = 0.5399  (entailment: 4/6 klaim didukung; KWoverlap = (|∩|/|ctx|)^0,65 = (24/210)^0,65 = 0.1143^0,65 = 0.2442)</t>
        </is>
      </c>
      <c r="F2030" t="n">
        <v>0.5399</v>
      </c>
      <c r="G2030" s="3" t="inlineStr">
        <is>
          <t>metode: llm_entailment + keyword</t>
        </is>
      </c>
    </row>
    <row r="2031">
      <c r="A2031" t="n">
        <v>138</v>
      </c>
      <c r="B2031" t="inlineStr">
        <is>
          <t>B</t>
        </is>
      </c>
      <c r="C2031" t="inlineStr">
        <is>
          <t>— Entailment (Pers. 12-13)</t>
        </is>
      </c>
      <c r="D2031" s="3" t="inlineStr">
        <is>
          <t>Entailment = Σverdict(sᵢ)/m</t>
        </is>
      </c>
      <c r="E2031" s="3" t="inlineStr">
        <is>
          <t>4 klaim YA dari 6 klaim dievaluasi</t>
        </is>
      </c>
      <c r="F2031" t="n">
        <v>0.6667</v>
      </c>
      <c r="G2031" s="3" t="inlineStr">
        <is>
          <t>verdict per klaim: sheet 'Entailment Detail'</t>
        </is>
      </c>
    </row>
    <row r="2032">
      <c r="A2032" t="n">
        <v>138</v>
      </c>
      <c r="B2032" t="inlineStr">
        <is>
          <t>B</t>
        </is>
      </c>
      <c r="C2032" t="inlineStr">
        <is>
          <t>— Keyword Overlap (Pers. 14)</t>
        </is>
      </c>
      <c r="D2032" s="3" t="inlineStr">
        <is>
          <t>KWoverlap = (|Stems(ans)∩Stems(ctx)| / |Stems(ctx)|)^0,65</t>
        </is>
      </c>
      <c r="E2032" s="3" t="inlineStr">
        <is>
          <t>KWoverlap = (|∩|/|ctx|)^0,65 = (24/210)^0,65 = 0.1143^0,65 = 0.2442</t>
        </is>
      </c>
      <c r="F2032" t="n">
        <v>0.2442</v>
      </c>
      <c r="G2032" s="3" t="inlineStr"/>
    </row>
    <row r="2033">
      <c r="A2033" t="n">
        <v>138</v>
      </c>
      <c r="B2033" t="inlineStr">
        <is>
          <t>B</t>
        </is>
      </c>
      <c r="C2033" t="inlineStr">
        <is>
          <t>Hallucination Risk (Pers. 18)</t>
        </is>
      </c>
      <c r="D2033" s="3" t="inlineStr">
        <is>
          <t>Risk = 0,65×(1-F) + 0,20×Contradiction + 0,15×Uncertainty</t>
        </is>
      </c>
      <c r="E2033" s="3" t="inlineStr">
        <is>
          <t>Risk = 0,65×OutOfContext + 0,20×Contradiction + 0,15×Uncertainty = 0,65×0.4601 + 0,20×0.0000 + 0,15×0.00 = 0.2991 [RENDAH]</t>
        </is>
      </c>
      <c r="F2033" t="n">
        <v>0.2991</v>
      </c>
      <c r="G2033" s="3" t="inlineStr">
        <is>
          <t>label: RENDAH; kontradiksi 0/19 kalimat; uncertainty flag: False</t>
        </is>
      </c>
    </row>
    <row r="2034">
      <c r="A2034" t="n">
        <v>138</v>
      </c>
      <c r="B2034" t="inlineStr">
        <is>
          <t>B</t>
        </is>
      </c>
      <c r="C2034" t="inlineStr">
        <is>
          <t>Answer Accuracy (Pers. 20)</t>
        </is>
      </c>
      <c r="D2034" s="3" t="inlineStr">
        <is>
          <t>Correctᵢ ∈ {0,1} via LLM-as-Judge (HASIL: BENAR/SALAH)</t>
        </is>
      </c>
      <c r="E2034" s="3" t="inlineStr">
        <is>
          <t>Jawaban sistem:</t>
        </is>
      </c>
      <c r="F2034" t="inlineStr">
        <is>
          <t>BENAR</t>
        </is>
      </c>
      <c r="G2034" s="3" t="inlineStr">
        <is>
          <t>evaluator: ollama/llama3</t>
        </is>
      </c>
    </row>
    <row r="2035">
      <c r="A2035" t="n">
        <v>139</v>
      </c>
      <c r="B2035" t="inlineStr">
        <is>
          <t>A</t>
        </is>
      </c>
      <c r="C2035" t="inlineStr">
        <is>
          <t>Precision@K (Pers. 2)</t>
        </is>
      </c>
      <c r="D2035" s="3" t="inlineStr">
        <is>
          <t>Precision@K = |{d ∈ TopK : sim(q,d) ≥ θ}| / K</t>
        </is>
      </c>
      <c r="E2035" s="3" t="inlineStr">
        <is>
          <t>skor = [0.7977, 0.7831, 0.7575, 0.7405, 0.7396, 0.7374] → 6 / 6</t>
        </is>
      </c>
      <c r="F2035" t="n">
        <v>1</v>
      </c>
      <c r="G2035" s="3" t="inlineStr">
        <is>
          <t>basis: skor chunk nyata (sesuai contoh Pers. 2 skripsi)</t>
        </is>
      </c>
    </row>
    <row r="2036">
      <c r="A2036" t="n">
        <v>139</v>
      </c>
      <c r="B2036" t="inlineStr">
        <is>
          <t>A</t>
        </is>
      </c>
      <c r="C2036" t="inlineStr">
        <is>
          <t>Recall@K (Pers. 4)</t>
        </is>
      </c>
      <c r="D2036" s="3" t="inlineStr">
        <is>
          <t>Recall@K = |{kata kunci ditemukan : sim ≥ θ}| / |R|</t>
        </is>
      </c>
      <c r="E2036" s="3" t="inlineStr">
        <is>
          <t>skor = [0.6372, 0.6213, 0.5628, 0.4587, 0.4563, 0.4507] → 6 / 6</t>
        </is>
      </c>
      <c r="F2036" t="n">
        <v>1</v>
      </c>
      <c r="G2036" s="3" t="inlineStr"/>
    </row>
    <row r="2037">
      <c r="A2037" t="n">
        <v>139</v>
      </c>
      <c r="B2037" t="inlineStr">
        <is>
          <t>A</t>
        </is>
      </c>
      <c r="C2037" t="inlineStr">
        <is>
          <t>Mean Similarity (Pers. 6)</t>
        </is>
      </c>
      <c r="D2037" s="3" t="inlineStr">
        <is>
          <t>MeanSim = (1/K) × Σ sim(q, dᵢ)</t>
        </is>
      </c>
      <c r="E2037" s="3" t="inlineStr">
        <is>
          <t>skor = [0.7977, 0.7831, 0.7575, 0.7405, 0.7396, 0.7374] → (0.7977 + 0.7831 + 0.7575 + 0.7405 + 0.7396 + 0.7374) / 6</t>
        </is>
      </c>
      <c r="F2037" t="n">
        <v>0.7593</v>
      </c>
      <c r="G2037" s="3" t="inlineStr"/>
    </row>
    <row r="2038">
      <c r="A2038" t="n">
        <v>139</v>
      </c>
      <c r="B2038" t="inlineStr">
        <is>
          <t>A</t>
        </is>
      </c>
      <c r="C2038" t="inlineStr">
        <is>
          <t>Coverage (Pers. 8)</t>
        </is>
      </c>
      <c r="D2038" s="3" t="inlineStr">
        <is>
          <t>Coverage = |{dᵢ ∈ TopK : sim(q,dᵢ) ≥ θc}| / K</t>
        </is>
      </c>
      <c r="E2038" s="3" t="inlineStr">
        <is>
          <t>skor = [0.7977, 0.7831, 0.7575, 0.7405, 0.7396, 0.7374] → 6 / 6</t>
        </is>
      </c>
      <c r="F2038" t="n">
        <v>1</v>
      </c>
      <c r="G2038" s="3" t="inlineStr"/>
    </row>
    <row r="2039">
      <c r="A2039" t="n">
        <v>139</v>
      </c>
      <c r="B2039" t="inlineStr">
        <is>
          <t>A</t>
        </is>
      </c>
      <c r="C2039" t="inlineStr">
        <is>
          <t>Source Diversity (Pers. 10)</t>
        </is>
      </c>
      <c r="D2039" s="3" t="inlineStr">
        <is>
          <t>Diversity = |sumber unik dalam TopK| / K</t>
        </is>
      </c>
      <c r="E2039" s="3" t="inlineStr">
        <is>
          <t>skor = ['GT_CT11.txt', 'GT_DETAIL_PT11_Perulangan.txt', 'GT_SUBTOPIK_09_Nested_Loop.txt', 'GT_SUBTOPIK_14_Kompleksitas_BigO.txt'] → 4 / 6</t>
        </is>
      </c>
      <c r="F2039" t="n">
        <v>0.6667</v>
      </c>
      <c r="G2039" s="3" t="inlineStr">
        <is>
          <t>file unik: GT_CT11.txt, GT_DETAIL_PT11_Perulangan.txt, GT_SUBTOPIK_09_Nested_Loop.txt, GT_SUBTOPIK_14_Kompleksitas_BigO.txt</t>
        </is>
      </c>
    </row>
    <row r="2040">
      <c r="A2040" t="n">
        <v>139</v>
      </c>
      <c r="B2040" t="inlineStr">
        <is>
          <t>A</t>
        </is>
      </c>
      <c r="C2040" t="inlineStr">
        <is>
          <t>Faithfulness (Pers. 15)</t>
        </is>
      </c>
      <c r="D2040" s="3" t="inlineStr">
        <is>
          <t>F = 0,70×Entailment + 0,30×KWoverlap</t>
        </is>
      </c>
      <c r="E2040" s="3" t="inlineStr">
        <is>
          <t>Faithfulness = 0,70×Entailment + 0,30×KWoverlap = 0,70×0.5000 + 0,30×0.2620 = 0.4286  (entailment: 3/6 klaim didukung; KWoverlap = (|∩|/|ctx|)^0,65 = (20/157)^0,65 = 0.1274^0,65 = 0.2620)</t>
        </is>
      </c>
      <c r="F2040" t="n">
        <v>0.4286</v>
      </c>
      <c r="G2040" s="3" t="inlineStr">
        <is>
          <t>metode: llm_entailment + keyword</t>
        </is>
      </c>
    </row>
    <row r="2041">
      <c r="A2041" t="n">
        <v>139</v>
      </c>
      <c r="B2041" t="inlineStr">
        <is>
          <t>A</t>
        </is>
      </c>
      <c r="C2041" t="inlineStr">
        <is>
          <t>— Entailment (Pers. 12-13)</t>
        </is>
      </c>
      <c r="D2041" s="3" t="inlineStr">
        <is>
          <t>Entailment = Σverdict(sᵢ)/m</t>
        </is>
      </c>
      <c r="E2041" s="3" t="inlineStr">
        <is>
          <t>3 klaim YA dari 6 klaim dievaluasi</t>
        </is>
      </c>
      <c r="F2041" t="n">
        <v>0.5</v>
      </c>
      <c r="G2041" s="3" t="inlineStr">
        <is>
          <t>verdict per klaim: sheet 'Entailment Detail'</t>
        </is>
      </c>
    </row>
    <row r="2042">
      <c r="A2042" t="n">
        <v>139</v>
      </c>
      <c r="B2042" t="inlineStr">
        <is>
          <t>A</t>
        </is>
      </c>
      <c r="C2042" t="inlineStr">
        <is>
          <t>— Keyword Overlap (Pers. 14)</t>
        </is>
      </c>
      <c r="D2042" s="3" t="inlineStr">
        <is>
          <t>KWoverlap = (|Stems(ans)∩Stems(ctx)| / |Stems(ctx)|)^0,65</t>
        </is>
      </c>
      <c r="E2042" s="3" t="inlineStr">
        <is>
          <t>KWoverlap = (|∩|/|ctx|)^0,65 = (20/157)^0,65 = 0.1274^0,65 = 0.2620</t>
        </is>
      </c>
      <c r="F2042" t="n">
        <v>0.262</v>
      </c>
      <c r="G2042" s="3" t="inlineStr"/>
    </row>
    <row r="2043">
      <c r="A2043" t="n">
        <v>139</v>
      </c>
      <c r="B2043" t="inlineStr">
        <is>
          <t>A</t>
        </is>
      </c>
      <c r="C2043" t="inlineStr">
        <is>
          <t>Hallucination Risk (Pers. 18)</t>
        </is>
      </c>
      <c r="D2043" s="3" t="inlineStr">
        <is>
          <t>Risk = 0,65×(1-F) + 0,20×Contradiction + 0,15×Uncertainty</t>
        </is>
      </c>
      <c r="E2043" s="3" t="inlineStr">
        <is>
          <t>Risk = 0,65×OutOfContext + 0,20×Contradiction + 0,15×Uncertainty = 0,65×0.5714 + 0,20×0.0385 + 0,15×0.00 = 0.3791 [SEDANG]</t>
        </is>
      </c>
      <c r="F2043" t="n">
        <v>0.3791</v>
      </c>
      <c r="G2043" s="3" t="inlineStr">
        <is>
          <t>label: SEDANG; kontradiksi 1/26 kalimat; uncertainty flag: False</t>
        </is>
      </c>
    </row>
    <row r="2044">
      <c r="A2044" t="n">
        <v>139</v>
      </c>
      <c r="B2044" t="inlineStr">
        <is>
          <t>A</t>
        </is>
      </c>
      <c r="C2044" t="inlineStr">
        <is>
          <t>Answer Accuracy (Pers. 20)</t>
        </is>
      </c>
      <c r="D2044" s="3" t="inlineStr">
        <is>
          <t>Correctᵢ ∈ {0,1} via LLM-as-Judge (HASIL: BENAR/SALAH)</t>
        </is>
      </c>
      <c r="E2044" s="3" t="inlineStr">
        <is>
          <t>Berdasarkan referensi, jawaban sistem yang diberikan adalah:
Jawab: 
Karena, dalam while loop, kondisi `x &lt;= 5` dievaluasi sebelum body dijalankan, maka loop akan berhenti ketika x melebihi 5. Dalam kasus ini, hasilnya adalah 55.
Sistem jawaban karena analisis yang tepat dan memahami konsep while loop, yaitu kondisi dievaluasi sebelum body dijalankan dan body harus mengubah sesuatu yang mempeng</t>
        </is>
      </c>
      <c r="F2044" t="inlineStr">
        <is>
          <t>BENAR</t>
        </is>
      </c>
      <c r="G2044" s="3" t="inlineStr">
        <is>
          <t>evaluator: ollama/llama3</t>
        </is>
      </c>
    </row>
    <row r="2045">
      <c r="A2045" t="n">
        <v>139</v>
      </c>
      <c r="B2045" t="inlineStr">
        <is>
          <t>B</t>
        </is>
      </c>
      <c r="C2045" t="inlineStr">
        <is>
          <t>Faithfulness (Pers. 15)</t>
        </is>
      </c>
      <c r="D2045" s="3" t="inlineStr">
        <is>
          <t>F = 0,70×Entailment + 0,30×KWoverlap</t>
        </is>
      </c>
      <c r="E2045" s="3" t="inlineStr">
        <is>
          <t>Faithfulness = 0,70×Entailment + 0,30×KWoverlap = 0,70×0.3333 + 0,30×0.2534 = 0.3093  (entailment: 2/6 klaim didukung; KWoverlap = (|∩|/|ctx|)^0,65 = (19/157)^0,65 = 0.1210^0,65 = 0.2534)</t>
        </is>
      </c>
      <c r="F2045" t="n">
        <v>0.3093</v>
      </c>
      <c r="G2045" s="3" t="inlineStr">
        <is>
          <t>metode: llm_entailment + keyword</t>
        </is>
      </c>
    </row>
    <row r="2046">
      <c r="A2046" t="n">
        <v>139</v>
      </c>
      <c r="B2046" t="inlineStr">
        <is>
          <t>B</t>
        </is>
      </c>
      <c r="C2046" t="inlineStr">
        <is>
          <t>— Entailment (Pers. 12-13)</t>
        </is>
      </c>
      <c r="D2046" s="3" t="inlineStr">
        <is>
          <t>Entailment = Σverdict(sᵢ)/m</t>
        </is>
      </c>
      <c r="E2046" s="3" t="inlineStr">
        <is>
          <t>2 klaim YA dari 6 klaim dievaluasi</t>
        </is>
      </c>
      <c r="F2046" t="n">
        <v>0.3333</v>
      </c>
      <c r="G2046" s="3" t="inlineStr">
        <is>
          <t>verdict per klaim: sheet 'Entailment Detail'</t>
        </is>
      </c>
    </row>
    <row r="2047">
      <c r="A2047" t="n">
        <v>139</v>
      </c>
      <c r="B2047" t="inlineStr">
        <is>
          <t>B</t>
        </is>
      </c>
      <c r="C2047" t="inlineStr">
        <is>
          <t>— Keyword Overlap (Pers. 14)</t>
        </is>
      </c>
      <c r="D2047" s="3" t="inlineStr">
        <is>
          <t>KWoverlap = (|Stems(ans)∩Stems(ctx)| / |Stems(ctx)|)^0,65</t>
        </is>
      </c>
      <c r="E2047" s="3" t="inlineStr">
        <is>
          <t>KWoverlap = (|∩|/|ctx|)^0,65 = (19/157)^0,65 = 0.1210^0,65 = 0.2534</t>
        </is>
      </c>
      <c r="F2047" t="n">
        <v>0.2534</v>
      </c>
      <c r="G2047" s="3" t="inlineStr"/>
    </row>
    <row r="2048">
      <c r="A2048" t="n">
        <v>139</v>
      </c>
      <c r="B2048" t="inlineStr">
        <is>
          <t>B</t>
        </is>
      </c>
      <c r="C2048" t="inlineStr">
        <is>
          <t>Hallucination Risk (Pers. 18)</t>
        </is>
      </c>
      <c r="D2048" s="3" t="inlineStr">
        <is>
          <t>Risk = 0,65×(1-F) + 0,20×Contradiction + 0,15×Uncertainty</t>
        </is>
      </c>
      <c r="E2048" s="3" t="inlineStr">
        <is>
          <t>Risk = 0,65×OutOfContext + 0,20×Contradiction + 0,15×Uncertainty = 0,65×0.6907 + 0,20×0.0000 + 0,15×0.00 = 0.4490 [SEDANG]</t>
        </is>
      </c>
      <c r="F2048" t="n">
        <v>0.449</v>
      </c>
      <c r="G2048" s="3" t="inlineStr">
        <is>
          <t>label: SEDANG; kontradiksi 0/21 kalimat; uncertainty flag: False</t>
        </is>
      </c>
    </row>
    <row r="2049">
      <c r="A2049" t="n">
        <v>139</v>
      </c>
      <c r="B2049" t="inlineStr">
        <is>
          <t>B</t>
        </is>
      </c>
      <c r="C2049" t="inlineStr">
        <is>
          <t>Answer Accuracy (Pers. 20)</t>
        </is>
      </c>
      <c r="D2049" s="3" t="inlineStr">
        <is>
          <t>Correctᵢ ∈ {0,1} via LLM-as-Judge (HASIL: BENAR/SALAH)</t>
        </is>
      </c>
      <c r="E2049" s="3" t="inlineStr">
        <is>
          <t>Menurut referensi (dokumen materi GT), jawaban yang benar adalah:
Jawab: BENAR
Karena dalam contoh soal, `x` awalnya bernilai 1 dan while loop dijalankan sehingga `x` mencapai nilai 5. Kemudian, hasil akhir dari `jumlah` diketikkan, yang hasilnya sebenarnya adalah 55, bukan 15.
Jadi, jawaban sistem "Teman Anda yang mendapatkan hasil 15 memiliki kesalahan logika" benar.</t>
        </is>
      </c>
      <c r="F2049" t="inlineStr">
        <is>
          <t>BENAR</t>
        </is>
      </c>
      <c r="G2049" s="3" t="inlineStr">
        <is>
          <t>evaluator: ollama/llama3</t>
        </is>
      </c>
    </row>
    <row r="2050">
      <c r="A2050" t="n">
        <v>140</v>
      </c>
      <c r="B2050" t="inlineStr">
        <is>
          <t>A</t>
        </is>
      </c>
      <c r="C2050" t="inlineStr">
        <is>
          <t>Precision@K (Pers. 2)</t>
        </is>
      </c>
      <c r="D2050" s="3" t="inlineStr">
        <is>
          <t>Precision@K = |{d ∈ TopK : sim(q,d) ≥ θ}| / K</t>
        </is>
      </c>
      <c r="E2050" s="3" t="inlineStr">
        <is>
          <t>skor = [0.7858, 0.7784, 0.7685, 0.7589, 0.757, 0.7566] → 6 / 6</t>
        </is>
      </c>
      <c r="F2050" t="n">
        <v>1</v>
      </c>
      <c r="G2050" s="3" t="inlineStr">
        <is>
          <t>basis: skor chunk nyata (sesuai contoh Pers. 2 skripsi)</t>
        </is>
      </c>
    </row>
    <row r="2051">
      <c r="A2051" t="n">
        <v>140</v>
      </c>
      <c r="B2051" t="inlineStr">
        <is>
          <t>A</t>
        </is>
      </c>
      <c r="C2051" t="inlineStr">
        <is>
          <t>Recall@K (Pers. 4)</t>
        </is>
      </c>
      <c r="D2051" s="3" t="inlineStr">
        <is>
          <t>Recall@K = |{kata kunci ditemukan : sim ≥ θ}| / |R|</t>
        </is>
      </c>
      <c r="E2051" s="3" t="inlineStr">
        <is>
          <t>skor = [0.5446, 0.5446, 0.4747, 0.465, 0.4553, 0.4465] → 6 / 7</t>
        </is>
      </c>
      <c r="F2051" t="n">
        <v>0.8571</v>
      </c>
      <c r="G2051" s="3" t="inlineStr"/>
    </row>
    <row r="2052">
      <c r="A2052" t="n">
        <v>140</v>
      </c>
      <c r="B2052" t="inlineStr">
        <is>
          <t>A</t>
        </is>
      </c>
      <c r="C2052" t="inlineStr">
        <is>
          <t>Mean Similarity (Pers. 6)</t>
        </is>
      </c>
      <c r="D2052" s="3" t="inlineStr">
        <is>
          <t>MeanSim = (1/K) × Σ sim(q, dᵢ)</t>
        </is>
      </c>
      <c r="E2052" s="3" t="inlineStr">
        <is>
          <t>skor = [0.7858, 0.7784, 0.7685, 0.7589, 0.757, 0.7566] → (0.7858 + 0.7784 + 0.7685 + 0.7589 + 0.7570 + 0.7566) / 6</t>
        </is>
      </c>
      <c r="F2052" t="n">
        <v>0.7675</v>
      </c>
      <c r="G2052" s="3" t="inlineStr"/>
    </row>
    <row r="2053">
      <c r="A2053" t="n">
        <v>140</v>
      </c>
      <c r="B2053" t="inlineStr">
        <is>
          <t>A</t>
        </is>
      </c>
      <c r="C2053" t="inlineStr">
        <is>
          <t>Coverage (Pers. 8)</t>
        </is>
      </c>
      <c r="D2053" s="3" t="inlineStr">
        <is>
          <t>Coverage = |{dᵢ ∈ TopK : sim(q,dᵢ) ≥ θc}| / K</t>
        </is>
      </c>
      <c r="E2053" s="3" t="inlineStr">
        <is>
          <t>skor = [0.7858, 0.7784, 0.7685, 0.7589, 0.757, 0.7566] → 6 / 6</t>
        </is>
      </c>
      <c r="F2053" t="n">
        <v>1</v>
      </c>
      <c r="G2053" s="3" t="inlineStr"/>
    </row>
    <row r="2054">
      <c r="A2054" t="n">
        <v>140</v>
      </c>
      <c r="B2054" t="inlineStr">
        <is>
          <t>A</t>
        </is>
      </c>
      <c r="C2054" t="inlineStr">
        <is>
          <t>Source Diversity (Pers. 10)</t>
        </is>
      </c>
      <c r="D2054" s="3" t="inlineStr">
        <is>
          <t>Diversity = |sumber unik dalam TopK| / K</t>
        </is>
      </c>
      <c r="E2054" s="3" t="inlineStr">
        <is>
          <t>skor = ['GT_CT07.txt', 'GT_DETAIL_PT07_Notasi_Algoritme.txt', 'GT_DETAIL_PT10_Percabangan.txt', 'GT_DETAIL_PT11_Perulangan.txt', 'GT_SUBTOPIK_05_Pseudocode_Algoritme.txt'] → 5 / 6</t>
        </is>
      </c>
      <c r="F2054" t="n">
        <v>0.8333</v>
      </c>
      <c r="G2054" s="3" t="inlineStr">
        <is>
          <t>file unik: GT_CT07.txt, GT_DETAIL_PT07_Notasi_Algoritme.txt, GT_DETAIL_PT10_Percabangan.txt, GT_DETAIL_PT11_Perulangan.txt, GT_SUBTOPIK_05_Pseudocode_Algoritme.txt</t>
        </is>
      </c>
    </row>
    <row r="2055">
      <c r="A2055" t="n">
        <v>140</v>
      </c>
      <c r="B2055" t="inlineStr">
        <is>
          <t>A</t>
        </is>
      </c>
      <c r="C2055" t="inlineStr">
        <is>
          <t>Faithfulness (Pers. 15)</t>
        </is>
      </c>
      <c r="D2055" s="3" t="inlineStr">
        <is>
          <t>F = 0,70×Entailment + 0,30×KWoverlap</t>
        </is>
      </c>
      <c r="E2055" s="3" t="inlineStr">
        <is>
          <t>Faithfulness = 0,70×Entailment + 0,30×KWoverlap = 0,70×1.0000 + 0,30×0.2814 = 0.7844  (entailment: 6/6 klaim didukung; KWoverlap = (|∩|/|ctx|)^0,65 = (30/211)^0,65 = 0.1422^0,65 = 0.2814)</t>
        </is>
      </c>
      <c r="F2055" t="n">
        <v>0.7844</v>
      </c>
      <c r="G2055" s="3" t="inlineStr">
        <is>
          <t>metode: llm_entailment + keyword</t>
        </is>
      </c>
    </row>
    <row r="2056">
      <c r="A2056" t="n">
        <v>140</v>
      </c>
      <c r="B2056" t="inlineStr">
        <is>
          <t>A</t>
        </is>
      </c>
      <c r="C2056" t="inlineStr">
        <is>
          <t>— Entailment (Pers. 12-13)</t>
        </is>
      </c>
      <c r="D2056" s="3" t="inlineStr">
        <is>
          <t>Entailment = Σverdict(sᵢ)/m</t>
        </is>
      </c>
      <c r="E2056" s="3" t="inlineStr">
        <is>
          <t>6 klaim YA dari 6 klaim dievaluasi</t>
        </is>
      </c>
      <c r="F2056" t="n">
        <v>1</v>
      </c>
      <c r="G2056" s="3" t="inlineStr">
        <is>
          <t>verdict per klaim: sheet 'Entailment Detail'</t>
        </is>
      </c>
    </row>
    <row r="2057">
      <c r="A2057" t="n">
        <v>140</v>
      </c>
      <c r="B2057" t="inlineStr">
        <is>
          <t>A</t>
        </is>
      </c>
      <c r="C2057" t="inlineStr">
        <is>
          <t>— Keyword Overlap (Pers. 14)</t>
        </is>
      </c>
      <c r="D2057" s="3" t="inlineStr">
        <is>
          <t>KWoverlap = (|Stems(ans)∩Stems(ctx)| / |Stems(ctx)|)^0,65</t>
        </is>
      </c>
      <c r="E2057" s="3" t="inlineStr">
        <is>
          <t>KWoverlap = (|∩|/|ctx|)^0,65 = (30/211)^0,65 = 0.1422^0,65 = 0.2814</t>
        </is>
      </c>
      <c r="F2057" t="n">
        <v>0.2814</v>
      </c>
      <c r="G2057" s="3" t="inlineStr"/>
    </row>
    <row r="2058">
      <c r="A2058" t="n">
        <v>140</v>
      </c>
      <c r="B2058" t="inlineStr">
        <is>
          <t>A</t>
        </is>
      </c>
      <c r="C2058" t="inlineStr">
        <is>
          <t>Hallucination Risk (Pers. 18)</t>
        </is>
      </c>
      <c r="D2058" s="3" t="inlineStr">
        <is>
          <t>Risk = 0,65×(1-F) + 0,20×Contradiction + 0,15×Uncertainty</t>
        </is>
      </c>
      <c r="E2058" s="3" t="inlineStr">
        <is>
          <t>Risk = 0,65×OutOfContext + 0,20×Contradiction + 0,15×Uncertainty = 0,65×0.2156 + 0,20×0.0000 + 0,15×0.00 = 0.1401 [RENDAH]</t>
        </is>
      </c>
      <c r="F2058" t="n">
        <v>0.1401</v>
      </c>
      <c r="G2058" s="3" t="inlineStr">
        <is>
          <t>label: RENDAH; kontradiksi 0/23 kalimat; uncertainty flag: False</t>
        </is>
      </c>
    </row>
    <row r="2059">
      <c r="A2059" t="n">
        <v>140</v>
      </c>
      <c r="B2059" t="inlineStr">
        <is>
          <t>A</t>
        </is>
      </c>
      <c r="C2059" t="inlineStr">
        <is>
          <t>Answer Accuracy (Pers. 20)</t>
        </is>
      </c>
      <c r="D2059" s="3" t="inlineStr">
        <is>
          <t>Correctᵢ ∈ {0,1} via LLM-as-Judge (HASIL: BENAR/SALAH)</t>
        </is>
      </c>
      <c r="E2059" s="3" t="inlineStr">
        <is>
          <t>Jawaban sistem:</t>
        </is>
      </c>
      <c r="F2059" t="inlineStr">
        <is>
          <t>BENAR</t>
        </is>
      </c>
      <c r="G2059" s="3" t="inlineStr">
        <is>
          <t>evaluator: ollama/llama3</t>
        </is>
      </c>
    </row>
    <row r="2060">
      <c r="A2060" t="n">
        <v>140</v>
      </c>
      <c r="B2060" t="inlineStr">
        <is>
          <t>B</t>
        </is>
      </c>
      <c r="C2060" t="inlineStr">
        <is>
          <t>Faithfulness (Pers. 15)</t>
        </is>
      </c>
      <c r="D2060" s="3" t="inlineStr">
        <is>
          <t>F = 0,70×Entailment + 0,30×KWoverlap</t>
        </is>
      </c>
      <c r="E2060" s="3" t="inlineStr">
        <is>
          <t>Faithfulness = 0,70×Entailment + 0,30×KWoverlap = 0,70×1.0000 + 0,30×0.1715 = 0.7514  (entailment: 6/6 klaim didukung; KWoverlap = (|∩|/|ctx|)^0,65 = (14/211)^0,65 = 0.0664^0,65 = 0.1715)</t>
        </is>
      </c>
      <c r="F2060" t="n">
        <v>0.7514</v>
      </c>
      <c r="G2060" s="3" t="inlineStr">
        <is>
          <t>metode: llm_entailment + keyword</t>
        </is>
      </c>
    </row>
    <row r="2061">
      <c r="A2061" t="n">
        <v>140</v>
      </c>
      <c r="B2061" t="inlineStr">
        <is>
          <t>B</t>
        </is>
      </c>
      <c r="C2061" t="inlineStr">
        <is>
          <t>— Entailment (Pers. 12-13)</t>
        </is>
      </c>
      <c r="D2061" s="3" t="inlineStr">
        <is>
          <t>Entailment = Σverdict(sᵢ)/m</t>
        </is>
      </c>
      <c r="E2061" s="3" t="inlineStr">
        <is>
          <t>6 klaim YA dari 6 klaim dievaluasi</t>
        </is>
      </c>
      <c r="F2061" t="n">
        <v>1</v>
      </c>
      <c r="G2061" s="3" t="inlineStr">
        <is>
          <t>verdict per klaim: sheet 'Entailment Detail'</t>
        </is>
      </c>
    </row>
    <row r="2062">
      <c r="A2062" t="n">
        <v>140</v>
      </c>
      <c r="B2062" t="inlineStr">
        <is>
          <t>B</t>
        </is>
      </c>
      <c r="C2062" t="inlineStr">
        <is>
          <t>— Keyword Overlap (Pers. 14)</t>
        </is>
      </c>
      <c r="D2062" s="3" t="inlineStr">
        <is>
          <t>KWoverlap = (|Stems(ans)∩Stems(ctx)| / |Stems(ctx)|)^0,65</t>
        </is>
      </c>
      <c r="E2062" s="3" t="inlineStr">
        <is>
          <t>KWoverlap = (|∩|/|ctx|)^0,65 = (14/211)^0,65 = 0.0664^0,65 = 0.1715</t>
        </is>
      </c>
      <c r="F2062" t="n">
        <v>0.1715</v>
      </c>
      <c r="G2062" s="3" t="inlineStr"/>
    </row>
    <row r="2063">
      <c r="A2063" t="n">
        <v>140</v>
      </c>
      <c r="B2063" t="inlineStr">
        <is>
          <t>B</t>
        </is>
      </c>
      <c r="C2063" t="inlineStr">
        <is>
          <t>Hallucination Risk (Pers. 18)</t>
        </is>
      </c>
      <c r="D2063" s="3" t="inlineStr">
        <is>
          <t>Risk = 0,65×(1-F) + 0,20×Contradiction + 0,15×Uncertainty</t>
        </is>
      </c>
      <c r="E2063" s="3" t="inlineStr">
        <is>
          <t>Risk = 0,65×OutOfContext + 0,20×Contradiction + 0,15×Uncertainty = 0,65×0.2486 + 0,20×0.0000 + 0,15×0.00 = 0.1616 [RENDAH]</t>
        </is>
      </c>
      <c r="F2063" t="n">
        <v>0.1616</v>
      </c>
      <c r="G2063" s="3" t="inlineStr">
        <is>
          <t>label: RENDAH; kontradiksi 0/18 kalimat; uncertainty flag: False</t>
        </is>
      </c>
    </row>
    <row r="2064">
      <c r="A2064" t="n">
        <v>140</v>
      </c>
      <c r="B2064" t="inlineStr">
        <is>
          <t>B</t>
        </is>
      </c>
      <c r="C2064" t="inlineStr">
        <is>
          <t>Answer Accuracy (Pers. 20)</t>
        </is>
      </c>
      <c r="D2064" s="3" t="inlineStr">
        <is>
          <t>Correctᵢ ∈ {0,1} via LLM-as-Judge (HASIL: BENAR/SALAH)</t>
        </is>
      </c>
      <c r="E2064" s="3" t="inlineStr">
        <is>
          <t>Jawaban sistem:</t>
        </is>
      </c>
      <c r="F2064" t="inlineStr">
        <is>
          <t>BENAR</t>
        </is>
      </c>
      <c r="G2064" s="3" t="inlineStr">
        <is>
          <t>evaluator: ollama/llama3</t>
        </is>
      </c>
    </row>
    <row r="2065">
      <c r="A2065" t="n">
        <v>141</v>
      </c>
      <c r="B2065" t="inlineStr">
        <is>
          <t>A</t>
        </is>
      </c>
      <c r="C2065" t="inlineStr">
        <is>
          <t>Precision@K (Pers. 2)</t>
        </is>
      </c>
      <c r="D2065" s="3" t="inlineStr">
        <is>
          <t>Precision@K = |{d ∈ TopK : sim(q,d) ≥ θ}| / K</t>
        </is>
      </c>
      <c r="E2065" s="3" t="inlineStr">
        <is>
          <t>skor = [0.8079, 0.8047, 0.7932, 0.7913, 0.78, 0.7795] → 6 / 6</t>
        </is>
      </c>
      <c r="F2065" t="n">
        <v>1</v>
      </c>
      <c r="G2065" s="3" t="inlineStr">
        <is>
          <t>basis: skor chunk nyata (sesuai contoh Pers. 2 skripsi)</t>
        </is>
      </c>
    </row>
    <row r="2066">
      <c r="A2066" t="n">
        <v>141</v>
      </c>
      <c r="B2066" t="inlineStr">
        <is>
          <t>A</t>
        </is>
      </c>
      <c r="C2066" t="inlineStr">
        <is>
          <t>Recall@K (Pers. 4)</t>
        </is>
      </c>
      <c r="D2066" s="3" t="inlineStr">
        <is>
          <t>Recall@K = |{kata kunci ditemukan : sim ≥ θ}| / |R|</t>
        </is>
      </c>
      <c r="E2066" s="3" t="inlineStr">
        <is>
          <t>skor = [0.5935, 0.5437, 0.4854, 0.4764, 0.4601, 0.4252] → 6 / 7</t>
        </is>
      </c>
      <c r="F2066" t="n">
        <v>0.8571</v>
      </c>
      <c r="G2066" s="3" t="inlineStr"/>
    </row>
    <row r="2067">
      <c r="A2067" t="n">
        <v>141</v>
      </c>
      <c r="B2067" t="inlineStr">
        <is>
          <t>A</t>
        </is>
      </c>
      <c r="C2067" t="inlineStr">
        <is>
          <t>Mean Similarity (Pers. 6)</t>
        </is>
      </c>
      <c r="D2067" s="3" t="inlineStr">
        <is>
          <t>MeanSim = (1/K) × Σ sim(q, dᵢ)</t>
        </is>
      </c>
      <c r="E2067" s="3" t="inlineStr">
        <is>
          <t>skor = [0.8079, 0.8047, 0.7932, 0.7913, 0.78, 0.7795] → (0.8079 + 0.8047 + 0.7932 + 0.7913 + 0.7800 + 0.7795) / 6</t>
        </is>
      </c>
      <c r="F2067" t="n">
        <v>0.7927999999999999</v>
      </c>
      <c r="G2067" s="3" t="inlineStr"/>
    </row>
    <row r="2068">
      <c r="A2068" t="n">
        <v>141</v>
      </c>
      <c r="B2068" t="inlineStr">
        <is>
          <t>A</t>
        </is>
      </c>
      <c r="C2068" t="inlineStr">
        <is>
          <t>Coverage (Pers. 8)</t>
        </is>
      </c>
      <c r="D2068" s="3" t="inlineStr">
        <is>
          <t>Coverage = |{dᵢ ∈ TopK : sim(q,dᵢ) ≥ θc}| / K</t>
        </is>
      </c>
      <c r="E2068" s="3" t="inlineStr">
        <is>
          <t>skor = [0.8079, 0.8047, 0.7932, 0.7913, 0.78, 0.7795] → 6 / 6</t>
        </is>
      </c>
      <c r="F2068" t="n">
        <v>1</v>
      </c>
      <c r="G2068" s="3" t="inlineStr"/>
    </row>
    <row r="2069">
      <c r="A2069" t="n">
        <v>141</v>
      </c>
      <c r="B2069" t="inlineStr">
        <is>
          <t>A</t>
        </is>
      </c>
      <c r="C2069" t="inlineStr">
        <is>
          <t>Source Diversity (Pers. 10)</t>
        </is>
      </c>
      <c r="D2069" s="3" t="inlineStr">
        <is>
          <t>Diversity = |sumber unik dalam TopK| / K</t>
        </is>
      </c>
      <c r="E2069" s="3" t="inlineStr">
        <is>
          <t>skor = ['GT_CT07.txt', 'GT_CT10.txt', 'GT_DETAIL_PT07_Notasi_Algoritme.txt', 'GT_DETAIL_PT10_Percabangan.txt', 'GT_DETAIL_PT11_Perulangan.txt', 'GT_SUBTOPIK_05_Pseudocode_Algoritme.txt'] → 6 / 6</t>
        </is>
      </c>
      <c r="F2069" t="n">
        <v>1</v>
      </c>
      <c r="G2069" s="3" t="inlineStr">
        <is>
          <t>file unik: GT_CT07.txt, GT_CT10.txt, GT_DETAIL_PT07_Notasi_Algoritme.txt, GT_DETAIL_PT10_Percabangan.txt, GT_DETAIL_PT11_Perulangan.txt, GT_SUBTOPIK_05_Pseudocode_Algoritme.txt</t>
        </is>
      </c>
    </row>
    <row r="2070">
      <c r="A2070" t="n">
        <v>141</v>
      </c>
      <c r="B2070" t="inlineStr">
        <is>
          <t>A</t>
        </is>
      </c>
      <c r="C2070" t="inlineStr">
        <is>
          <t>Faithfulness (Pers. 15)</t>
        </is>
      </c>
      <c r="D2070" s="3" t="inlineStr">
        <is>
          <t>F = 0,70×Entailment + 0,30×KWoverlap</t>
        </is>
      </c>
      <c r="E2070" s="3" t="inlineStr">
        <is>
          <t>Faithfulness = 0,70×Entailment + 0,30×KWoverlap = 0,70×0.8333 + 0,30×0.3215 = 0.6798  (entailment: 5/6 klaim didukung; KWoverlap = (|∩|/|ctx|)^0,65 = (37/212)^0,65 = 0.1745^0,65 = 0.3215)</t>
        </is>
      </c>
      <c r="F2070" t="n">
        <v>0.6798</v>
      </c>
      <c r="G2070" s="3" t="inlineStr">
        <is>
          <t>metode: llm_entailment + keyword</t>
        </is>
      </c>
    </row>
    <row r="2071">
      <c r="A2071" t="n">
        <v>141</v>
      </c>
      <c r="B2071" t="inlineStr">
        <is>
          <t>A</t>
        </is>
      </c>
      <c r="C2071" t="inlineStr">
        <is>
          <t>— Entailment (Pers. 12-13)</t>
        </is>
      </c>
      <c r="D2071" s="3" t="inlineStr">
        <is>
          <t>Entailment = Σverdict(sᵢ)/m</t>
        </is>
      </c>
      <c r="E2071" s="3" t="inlineStr">
        <is>
          <t>5 klaim YA dari 6 klaim dievaluasi</t>
        </is>
      </c>
      <c r="F2071" t="n">
        <v>0.8333</v>
      </c>
      <c r="G2071" s="3" t="inlineStr">
        <is>
          <t>verdict per klaim: sheet 'Entailment Detail'</t>
        </is>
      </c>
    </row>
    <row r="2072">
      <c r="A2072" t="n">
        <v>141</v>
      </c>
      <c r="B2072" t="inlineStr">
        <is>
          <t>A</t>
        </is>
      </c>
      <c r="C2072" t="inlineStr">
        <is>
          <t>— Keyword Overlap (Pers. 14)</t>
        </is>
      </c>
      <c r="D2072" s="3" t="inlineStr">
        <is>
          <t>KWoverlap = (|Stems(ans)∩Stems(ctx)| / |Stems(ctx)|)^0,65</t>
        </is>
      </c>
      <c r="E2072" s="3" t="inlineStr">
        <is>
          <t>KWoverlap = (|∩|/|ctx|)^0,65 = (37/212)^0,65 = 0.1745^0,65 = 0.3215</t>
        </is>
      </c>
      <c r="F2072" t="n">
        <v>0.3215</v>
      </c>
      <c r="G2072" s="3" t="inlineStr"/>
    </row>
    <row r="2073">
      <c r="A2073" t="n">
        <v>141</v>
      </c>
      <c r="B2073" t="inlineStr">
        <is>
          <t>A</t>
        </is>
      </c>
      <c r="C2073" t="inlineStr">
        <is>
          <t>Hallucination Risk (Pers. 18)</t>
        </is>
      </c>
      <c r="D2073" s="3" t="inlineStr">
        <is>
          <t>Risk = 0,65×(1-F) + 0,20×Contradiction + 0,15×Uncertainty</t>
        </is>
      </c>
      <c r="E2073" s="3" t="inlineStr">
        <is>
          <t>Risk = 0,65×OutOfContext + 0,20×Contradiction + 0,15×Uncertainty = 0,65×0.3202 + 0,20×0.0000 + 0,15×0.20 = 0.2381 [RENDAH]</t>
        </is>
      </c>
      <c r="F2073" t="n">
        <v>0.2381</v>
      </c>
      <c r="G2073" s="3" t="inlineStr">
        <is>
          <t>label: RENDAH; kontradiksi 0/31 kalimat; uncertainty flag: True</t>
        </is>
      </c>
    </row>
    <row r="2074">
      <c r="A2074" t="n">
        <v>141</v>
      </c>
      <c r="B2074" t="inlineStr">
        <is>
          <t>A</t>
        </is>
      </c>
      <c r="C2074" t="inlineStr">
        <is>
          <t>Answer Accuracy (Pers. 20)</t>
        </is>
      </c>
      <c r="D2074" s="3" t="inlineStr">
        <is>
          <t>Correctᵢ ∈ {0,1} via LLM-as-Judge (HASIL: BENAR/SALAH)</t>
        </is>
      </c>
      <c r="E2074" s="3" t="inlineStr">
        <is>
          <t>Jawaban sistem:</t>
        </is>
      </c>
      <c r="F2074" t="inlineStr">
        <is>
          <t>BENAR</t>
        </is>
      </c>
      <c r="G2074" s="3" t="inlineStr">
        <is>
          <t>evaluator: ollama/llama3</t>
        </is>
      </c>
    </row>
    <row r="2075">
      <c r="A2075" t="n">
        <v>141</v>
      </c>
      <c r="B2075" t="inlineStr">
        <is>
          <t>B</t>
        </is>
      </c>
      <c r="C2075" t="inlineStr">
        <is>
          <t>Faithfulness (Pers. 15)</t>
        </is>
      </c>
      <c r="D2075" s="3" t="inlineStr">
        <is>
          <t>F = 0,70×Entailment + 0,30×KWoverlap</t>
        </is>
      </c>
      <c r="E2075" s="3" t="inlineStr">
        <is>
          <t>Faithfulness = 0,70×Entailment + 0,30×KWoverlap = 0,70×0.8333 + 0,30×0.2620 = 0.6619  (entailment: 5/6 klaim didukung; KWoverlap = (|∩|/|ctx|)^0,65 = (27/212)^0,65 = 0.1274^0,65 = 0.2620)</t>
        </is>
      </c>
      <c r="F2075" t="n">
        <v>0.6619</v>
      </c>
      <c r="G2075" s="3" t="inlineStr">
        <is>
          <t>metode: llm_entailment + keyword</t>
        </is>
      </c>
    </row>
    <row r="2076">
      <c r="A2076" t="n">
        <v>141</v>
      </c>
      <c r="B2076" t="inlineStr">
        <is>
          <t>B</t>
        </is>
      </c>
      <c r="C2076" t="inlineStr">
        <is>
          <t>— Entailment (Pers. 12-13)</t>
        </is>
      </c>
      <c r="D2076" s="3" t="inlineStr">
        <is>
          <t>Entailment = Σverdict(sᵢ)/m</t>
        </is>
      </c>
      <c r="E2076" s="3" t="inlineStr">
        <is>
          <t>5 klaim YA dari 6 klaim dievaluasi</t>
        </is>
      </c>
      <c r="F2076" t="n">
        <v>0.8333</v>
      </c>
      <c r="G2076" s="3" t="inlineStr">
        <is>
          <t>verdict per klaim: sheet 'Entailment Detail'</t>
        </is>
      </c>
    </row>
    <row r="2077">
      <c r="A2077" t="n">
        <v>141</v>
      </c>
      <c r="B2077" t="inlineStr">
        <is>
          <t>B</t>
        </is>
      </c>
      <c r="C2077" t="inlineStr">
        <is>
          <t>— Keyword Overlap (Pers. 14)</t>
        </is>
      </c>
      <c r="D2077" s="3" t="inlineStr">
        <is>
          <t>KWoverlap = (|Stems(ans)∩Stems(ctx)| / |Stems(ctx)|)^0,65</t>
        </is>
      </c>
      <c r="E2077" s="3" t="inlineStr">
        <is>
          <t>KWoverlap = (|∩|/|ctx|)^0,65 = (27/212)^0,65 = 0.1274^0,65 = 0.2620</t>
        </is>
      </c>
      <c r="F2077" t="n">
        <v>0.262</v>
      </c>
      <c r="G2077" s="3" t="inlineStr"/>
    </row>
    <row r="2078">
      <c r="A2078" t="n">
        <v>141</v>
      </c>
      <c r="B2078" t="inlineStr">
        <is>
          <t>B</t>
        </is>
      </c>
      <c r="C2078" t="inlineStr">
        <is>
          <t>Hallucination Risk (Pers. 18)</t>
        </is>
      </c>
      <c r="D2078" s="3" t="inlineStr">
        <is>
          <t>Risk = 0,65×(1-F) + 0,20×Contradiction + 0,15×Uncertainty</t>
        </is>
      </c>
      <c r="E2078" s="3" t="inlineStr">
        <is>
          <t>Risk = 0,65×OutOfContext + 0,20×Contradiction + 0,15×Uncertainty = 0,65×0.3381 + 0,20×0.0000 + 0,15×0.00 = 0.2198 [RENDAH]</t>
        </is>
      </c>
      <c r="F2078" t="n">
        <v>0.2198</v>
      </c>
      <c r="G2078" s="3" t="inlineStr">
        <is>
          <t>label: RENDAH; kontradiksi 0/20 kalimat; uncertainty flag: False</t>
        </is>
      </c>
    </row>
    <row r="2079">
      <c r="A2079" t="n">
        <v>141</v>
      </c>
      <c r="B2079" t="inlineStr">
        <is>
          <t>B</t>
        </is>
      </c>
      <c r="C2079" t="inlineStr">
        <is>
          <t>Answer Accuracy (Pers. 20)</t>
        </is>
      </c>
      <c r="D2079" s="3" t="inlineStr">
        <is>
          <t>Correctᵢ ∈ {0,1} via LLM-as-Judge (HASIL: BENAR/SALAH)</t>
        </is>
      </c>
      <c r="E2079" s="3" t="inlineStr">
        <is>
          <t>Jawaban sistem:</t>
        </is>
      </c>
      <c r="F2079" t="inlineStr">
        <is>
          <t>BENAR</t>
        </is>
      </c>
      <c r="G2079" s="3" t="inlineStr">
        <is>
          <t>evaluator: ollama/llama3</t>
        </is>
      </c>
    </row>
    <row r="2080">
      <c r="A2080" t="n">
        <v>142</v>
      </c>
      <c r="B2080" t="inlineStr">
        <is>
          <t>A</t>
        </is>
      </c>
      <c r="C2080" t="inlineStr">
        <is>
          <t>Precision@K (Pers. 2)</t>
        </is>
      </c>
      <c r="D2080" s="3" t="inlineStr">
        <is>
          <t>Precision@K = |{d ∈ TopK : sim(q,d) ≥ θ}| / K</t>
        </is>
      </c>
      <c r="E2080" s="3" t="inlineStr">
        <is>
          <t>skor = [0.8308, 0.8219, 0.8175, 0.8159, 0.8141, 0.813] → 6 / 6</t>
        </is>
      </c>
      <c r="F2080" t="n">
        <v>1</v>
      </c>
      <c r="G2080" s="3" t="inlineStr">
        <is>
          <t>basis: skor chunk nyata (sesuai contoh Pers. 2 skripsi)</t>
        </is>
      </c>
    </row>
    <row r="2081">
      <c r="A2081" t="n">
        <v>142</v>
      </c>
      <c r="B2081" t="inlineStr">
        <is>
          <t>A</t>
        </is>
      </c>
      <c r="C2081" t="inlineStr">
        <is>
          <t>Recall@K (Pers. 4)</t>
        </is>
      </c>
      <c r="D2081" s="3" t="inlineStr">
        <is>
          <t>Recall@K = |{kata kunci ditemukan : sim ≥ θ}| / |R|</t>
        </is>
      </c>
      <c r="E2081" s="3" t="inlineStr">
        <is>
          <t>skor = [0.5909, 0.5887, 0.5863, 0.5765, 0.5416, 0.5067] → 6 / 6</t>
        </is>
      </c>
      <c r="F2081" t="n">
        <v>1</v>
      </c>
      <c r="G2081" s="3" t="inlineStr"/>
    </row>
    <row r="2082">
      <c r="A2082" t="n">
        <v>142</v>
      </c>
      <c r="B2082" t="inlineStr">
        <is>
          <t>A</t>
        </is>
      </c>
      <c r="C2082" t="inlineStr">
        <is>
          <t>Mean Similarity (Pers. 6)</t>
        </is>
      </c>
      <c r="D2082" s="3" t="inlineStr">
        <is>
          <t>MeanSim = (1/K) × Σ sim(q, dᵢ)</t>
        </is>
      </c>
      <c r="E2082" s="3" t="inlineStr">
        <is>
          <t>skor = [0.8308, 0.8219, 0.8175, 0.8159, 0.8141, 0.813] → (0.8308 + 0.8219 + 0.8175 + 0.8159 + 0.8141 + 0.8130) / 6</t>
        </is>
      </c>
      <c r="F2082" t="n">
        <v>0.8189</v>
      </c>
      <c r="G2082" s="3" t="inlineStr"/>
    </row>
    <row r="2083">
      <c r="A2083" t="n">
        <v>142</v>
      </c>
      <c r="B2083" t="inlineStr">
        <is>
          <t>A</t>
        </is>
      </c>
      <c r="C2083" t="inlineStr">
        <is>
          <t>Coverage (Pers. 8)</t>
        </is>
      </c>
      <c r="D2083" s="3" t="inlineStr">
        <is>
          <t>Coverage = |{dᵢ ∈ TopK : sim(q,dᵢ) ≥ θc}| / K</t>
        </is>
      </c>
      <c r="E2083" s="3" t="inlineStr">
        <is>
          <t>skor = [0.8308, 0.8219, 0.8175, 0.8159, 0.8141, 0.813] → 6 / 6</t>
        </is>
      </c>
      <c r="F2083" t="n">
        <v>1</v>
      </c>
      <c r="G2083" s="3" t="inlineStr"/>
    </row>
    <row r="2084">
      <c r="A2084" t="n">
        <v>142</v>
      </c>
      <c r="B2084" t="inlineStr">
        <is>
          <t>A</t>
        </is>
      </c>
      <c r="C2084" t="inlineStr">
        <is>
          <t>Source Diversity (Pers. 10)</t>
        </is>
      </c>
      <c r="D2084" s="3" t="inlineStr">
        <is>
          <t>Diversity = |sumber unik dalam TopK| / K</t>
        </is>
      </c>
      <c r="E2084" s="3" t="inlineStr">
        <is>
          <t>skor = ['GT_CT11.txt', 'GT_DETAIL_PT11_Perulangan.txt', 'GT_SUBTOPIK_01_Dekomposisi_Optimasi.txt', 'GT_SUBTOPIK_04_Modulo_Siklus.txt', 'GT_SUBTOPIK_05_Pseudocode_Algoritme.txt'] → 5 / 6</t>
        </is>
      </c>
      <c r="F2084" t="n">
        <v>0.8333</v>
      </c>
      <c r="G2084" s="3" t="inlineStr">
        <is>
          <t>file unik: GT_CT11.txt, GT_DETAIL_PT11_Perulangan.txt, GT_SUBTOPIK_01_Dekomposisi_Optimasi.txt, GT_SUBTOPIK_04_Modulo_Siklus.txt, GT_SUBTOPIK_05_Pseudocode_Algoritme.txt</t>
        </is>
      </c>
    </row>
    <row r="2085">
      <c r="A2085" t="n">
        <v>142</v>
      </c>
      <c r="B2085" t="inlineStr">
        <is>
          <t>A</t>
        </is>
      </c>
      <c r="C2085" t="inlineStr">
        <is>
          <t>Faithfulness (Pers. 15)</t>
        </is>
      </c>
      <c r="D2085" s="3" t="inlineStr">
        <is>
          <t>F = 0,70×Entailment + 0,30×KWoverlap</t>
        </is>
      </c>
      <c r="E2085" s="3" t="inlineStr">
        <is>
          <t>Faithfulness = 0,70×Entailment + 0,30×KWoverlap = 0,70×1.0000 + 0,30×0.2979 = 0.7894  (entailment: 6/6 klaim didukung; KWoverlap = (|∩|/|ctx|)^0,65 = (27/174)^0,65 = 0.1552^0,65 = 0.2979)</t>
        </is>
      </c>
      <c r="F2085" t="n">
        <v>0.7894</v>
      </c>
      <c r="G2085" s="3" t="inlineStr">
        <is>
          <t>metode: llm_entailment + keyword</t>
        </is>
      </c>
    </row>
    <row r="2086">
      <c r="A2086" t="n">
        <v>142</v>
      </c>
      <c r="B2086" t="inlineStr">
        <is>
          <t>A</t>
        </is>
      </c>
      <c r="C2086" t="inlineStr">
        <is>
          <t>— Entailment (Pers. 12-13)</t>
        </is>
      </c>
      <c r="D2086" s="3" t="inlineStr">
        <is>
          <t>Entailment = Σverdict(sᵢ)/m</t>
        </is>
      </c>
      <c r="E2086" s="3" t="inlineStr">
        <is>
          <t>6 klaim YA dari 6 klaim dievaluasi</t>
        </is>
      </c>
      <c r="F2086" t="n">
        <v>1</v>
      </c>
      <c r="G2086" s="3" t="inlineStr">
        <is>
          <t>verdict per klaim: sheet 'Entailment Detail'</t>
        </is>
      </c>
    </row>
    <row r="2087">
      <c r="A2087" t="n">
        <v>142</v>
      </c>
      <c r="B2087" t="inlineStr">
        <is>
          <t>A</t>
        </is>
      </c>
      <c r="C2087" t="inlineStr">
        <is>
          <t>— Keyword Overlap (Pers. 14)</t>
        </is>
      </c>
      <c r="D2087" s="3" t="inlineStr">
        <is>
          <t>KWoverlap = (|Stems(ans)∩Stems(ctx)| / |Stems(ctx)|)^0,65</t>
        </is>
      </c>
      <c r="E2087" s="3" t="inlineStr">
        <is>
          <t>KWoverlap = (|∩|/|ctx|)^0,65 = (27/174)^0,65 = 0.1552^0,65 = 0.2979</t>
        </is>
      </c>
      <c r="F2087" t="n">
        <v>0.2979</v>
      </c>
      <c r="G2087" s="3" t="inlineStr"/>
    </row>
    <row r="2088">
      <c r="A2088" t="n">
        <v>142</v>
      </c>
      <c r="B2088" t="inlineStr">
        <is>
          <t>A</t>
        </is>
      </c>
      <c r="C2088" t="inlineStr">
        <is>
          <t>Hallucination Risk (Pers. 18)</t>
        </is>
      </c>
      <c r="D2088" s="3" t="inlineStr">
        <is>
          <t>Risk = 0,65×(1-F) + 0,20×Contradiction + 0,15×Uncertainty</t>
        </is>
      </c>
      <c r="E2088" s="3" t="inlineStr">
        <is>
          <t>Risk = 0,65×OutOfContext + 0,20×Contradiction + 0,15×Uncertainty = 0,65×0.2106 + 0,20×0.0526 + 0,15×0.00 = 0.1474 [RENDAH]</t>
        </is>
      </c>
      <c r="F2088" t="n">
        <v>0.1474</v>
      </c>
      <c r="G2088" s="3" t="inlineStr">
        <is>
          <t>label: RENDAH; kontradiksi 1/19 kalimat; uncertainty flag: False</t>
        </is>
      </c>
    </row>
    <row r="2089">
      <c r="A2089" t="n">
        <v>142</v>
      </c>
      <c r="B2089" t="inlineStr">
        <is>
          <t>A</t>
        </is>
      </c>
      <c r="C2089" t="inlineStr">
        <is>
          <t>Answer Accuracy (Pers. 20)</t>
        </is>
      </c>
      <c r="D2089" s="3" t="inlineStr">
        <is>
          <t>Correctᵢ ∈ {0,1} via LLM-as-Judge (HASIL: BENAR/SALAH)</t>
        </is>
      </c>
      <c r="E2089" s="3" t="inlineStr">
        <is>
          <t>Menurut referensi, nilai `&lt;langkah&gt;` diasumsikan sebesar 1. Dalam pseudocode tersebut, terdapat dua perulangan bersarang, yaitu luar dan dalam.
Perulangan luar berlangsung dari i = 1 to n, sehingga total iterasi luar adalah n.
Perulangan dalam berlangsung dari j = i to n, dan karena j mulai dari i, maka total iterasi dalam untuk setiap iterasi luar adalah n - i + 1.
Jadi, total iterasi yang die</t>
        </is>
      </c>
      <c r="F2089" t="inlineStr">
        <is>
          <t>BENAR</t>
        </is>
      </c>
      <c r="G2089" s="3" t="inlineStr">
        <is>
          <t>evaluator: ollama/llama3</t>
        </is>
      </c>
    </row>
    <row r="2090">
      <c r="A2090" t="n">
        <v>142</v>
      </c>
      <c r="B2090" t="inlineStr">
        <is>
          <t>B</t>
        </is>
      </c>
      <c r="C2090" t="inlineStr">
        <is>
          <t>Faithfulness (Pers. 15)</t>
        </is>
      </c>
      <c r="D2090" s="3" t="inlineStr">
        <is>
          <t>F = 0,70×Entailment + 0,30×KWoverlap</t>
        </is>
      </c>
      <c r="E2090" s="3" t="inlineStr">
        <is>
          <t>Faithfulness = 0,70×Entailment + 0,30×KWoverlap = 0,70×1.0000 + 0,30×0.1758 = 0.7528  (entailment: 6/6 klaim didukung; KWoverlap = (|∩|/|ctx|)^0,65 = (12/174)^0,65 = 0.0690^0,65 = 0.1758)</t>
        </is>
      </c>
      <c r="F2090" t="n">
        <v>0.7528</v>
      </c>
      <c r="G2090" s="3" t="inlineStr">
        <is>
          <t>metode: llm_entailment + keyword</t>
        </is>
      </c>
    </row>
    <row r="2091">
      <c r="A2091" t="n">
        <v>142</v>
      </c>
      <c r="B2091" t="inlineStr">
        <is>
          <t>B</t>
        </is>
      </c>
      <c r="C2091" t="inlineStr">
        <is>
          <t>— Entailment (Pers. 12-13)</t>
        </is>
      </c>
      <c r="D2091" s="3" t="inlineStr">
        <is>
          <t>Entailment = Σverdict(sᵢ)/m</t>
        </is>
      </c>
      <c r="E2091" s="3" t="inlineStr">
        <is>
          <t>6 klaim YA dari 6 klaim dievaluasi</t>
        </is>
      </c>
      <c r="F2091" t="n">
        <v>1</v>
      </c>
      <c r="G2091" s="3" t="inlineStr">
        <is>
          <t>verdict per klaim: sheet 'Entailment Detail'</t>
        </is>
      </c>
    </row>
    <row r="2092">
      <c r="A2092" t="n">
        <v>142</v>
      </c>
      <c r="B2092" t="inlineStr">
        <is>
          <t>B</t>
        </is>
      </c>
      <c r="C2092" t="inlineStr">
        <is>
          <t>— Keyword Overlap (Pers. 14)</t>
        </is>
      </c>
      <c r="D2092" s="3" t="inlineStr">
        <is>
          <t>KWoverlap = (|Stems(ans)∩Stems(ctx)| / |Stems(ctx)|)^0,65</t>
        </is>
      </c>
      <c r="E2092" s="3" t="inlineStr">
        <is>
          <t>KWoverlap = (|∩|/|ctx|)^0,65 = (12/174)^0,65 = 0.0690^0,65 = 0.1758</t>
        </is>
      </c>
      <c r="F2092" t="n">
        <v>0.1758</v>
      </c>
      <c r="G2092" s="3" t="inlineStr"/>
    </row>
    <row r="2093">
      <c r="A2093" t="n">
        <v>142</v>
      </c>
      <c r="B2093" t="inlineStr">
        <is>
          <t>B</t>
        </is>
      </c>
      <c r="C2093" t="inlineStr">
        <is>
          <t>Hallucination Risk (Pers. 18)</t>
        </is>
      </c>
      <c r="D2093" s="3" t="inlineStr">
        <is>
          <t>Risk = 0,65×(1-F) + 0,20×Contradiction + 0,15×Uncertainty</t>
        </is>
      </c>
      <c r="E2093" s="3" t="inlineStr">
        <is>
          <t>Risk = 0,65×OutOfContext + 0,20×Contradiction + 0,15×Uncertainty = 0,65×0.2472 + 0,20×0.0667 + 0,15×0.00 = 0.1740 [RENDAH]</t>
        </is>
      </c>
      <c r="F2093" t="n">
        <v>0.174</v>
      </c>
      <c r="G2093" s="3" t="inlineStr">
        <is>
          <t>label: RENDAH; kontradiksi 1/15 kalimat; uncertainty flag: False</t>
        </is>
      </c>
    </row>
    <row r="2094">
      <c r="A2094" t="n">
        <v>142</v>
      </c>
      <c r="B2094" t="inlineStr">
        <is>
          <t>B</t>
        </is>
      </c>
      <c r="C2094" t="inlineStr">
        <is>
          <t>Answer Accuracy (Pers. 20)</t>
        </is>
      </c>
      <c r="D2094" s="3" t="inlineStr">
        <is>
          <t>Correctᵢ ∈ {0,1} via LLM-as-Judge (HASIL: BENAR/SALAH)</t>
        </is>
      </c>
      <c r="E2094" s="3" t="inlineStr">
        <is>
          <t>JAWABAN:</t>
        </is>
      </c>
      <c r="F2094" t="inlineStr">
        <is>
          <t>BENAR</t>
        </is>
      </c>
      <c r="G2094" s="3" t="inlineStr">
        <is>
          <t>evaluator: ollama/llama3</t>
        </is>
      </c>
    </row>
    <row r="2095">
      <c r="A2095" t="n">
        <v>143</v>
      </c>
      <c r="B2095" t="inlineStr">
        <is>
          <t>A</t>
        </is>
      </c>
      <c r="C2095" t="inlineStr">
        <is>
          <t>Precision@K (Pers. 2)</t>
        </is>
      </c>
      <c r="D2095" s="3" t="inlineStr">
        <is>
          <t>Precision@K = |{d ∈ TopK : sim(q,d) ≥ θ}| / K</t>
        </is>
      </c>
      <c r="E2095" s="3" t="inlineStr">
        <is>
          <t>skor = [0.7991, 0.7944, 0.7859, 0.7608, 0.7579, 0.753] → 6 / 6</t>
        </is>
      </c>
      <c r="F2095" t="n">
        <v>1</v>
      </c>
      <c r="G2095" s="3" t="inlineStr">
        <is>
          <t>basis: skor chunk nyata (sesuai contoh Pers. 2 skripsi)</t>
        </is>
      </c>
    </row>
    <row r="2096">
      <c r="A2096" t="n">
        <v>143</v>
      </c>
      <c r="B2096" t="inlineStr">
        <is>
          <t>A</t>
        </is>
      </c>
      <c r="C2096" t="inlineStr">
        <is>
          <t>Recall@K (Pers. 4)</t>
        </is>
      </c>
      <c r="D2096" s="3" t="inlineStr">
        <is>
          <t>Recall@K = |{kata kunci ditemukan : sim ≥ θ}| / |R|</t>
        </is>
      </c>
      <c r="E2096" s="3" t="inlineStr">
        <is>
          <t>skor = [0.7223, 0.6663, 0.6152, 0.4993, 0.4754, 0.4516] → 6 / 7</t>
        </is>
      </c>
      <c r="F2096" t="n">
        <v>0.8571</v>
      </c>
      <c r="G2096" s="3" t="inlineStr"/>
    </row>
    <row r="2097">
      <c r="A2097" t="n">
        <v>143</v>
      </c>
      <c r="B2097" t="inlineStr">
        <is>
          <t>A</t>
        </is>
      </c>
      <c r="C2097" t="inlineStr">
        <is>
          <t>Mean Similarity (Pers. 6)</t>
        </is>
      </c>
      <c r="D2097" s="3" t="inlineStr">
        <is>
          <t>MeanSim = (1/K) × Σ sim(q, dᵢ)</t>
        </is>
      </c>
      <c r="E2097" s="3" t="inlineStr">
        <is>
          <t>skor = [0.7991, 0.7944, 0.7859, 0.7608, 0.7579, 0.753] → (0.7991 + 0.7944 + 0.7859 + 0.7608 + 0.7579 + 0.7530) / 6</t>
        </is>
      </c>
      <c r="F2097" t="n">
        <v>0.7752</v>
      </c>
      <c r="G2097" s="3" t="inlineStr"/>
    </row>
    <row r="2098">
      <c r="A2098" t="n">
        <v>143</v>
      </c>
      <c r="B2098" t="inlineStr">
        <is>
          <t>A</t>
        </is>
      </c>
      <c r="C2098" t="inlineStr">
        <is>
          <t>Coverage (Pers. 8)</t>
        </is>
      </c>
      <c r="D2098" s="3" t="inlineStr">
        <is>
          <t>Coverage = |{dᵢ ∈ TopK : sim(q,dᵢ) ≥ θc}| / K</t>
        </is>
      </c>
      <c r="E2098" s="3" t="inlineStr">
        <is>
          <t>skor = [0.7991, 0.7944, 0.7859, 0.7608, 0.7579, 0.753] → 6 / 6</t>
        </is>
      </c>
      <c r="F2098" t="n">
        <v>1</v>
      </c>
      <c r="G2098" s="3" t="inlineStr"/>
    </row>
    <row r="2099">
      <c r="A2099" t="n">
        <v>143</v>
      </c>
      <c r="B2099" t="inlineStr">
        <is>
          <t>A</t>
        </is>
      </c>
      <c r="C2099" t="inlineStr">
        <is>
          <t>Source Diversity (Pers. 10)</t>
        </is>
      </c>
      <c r="D2099" s="3" t="inlineStr">
        <is>
          <t>Diversity = |sumber unik dalam TopK| / K</t>
        </is>
      </c>
      <c r="E2099" s="3" t="inlineStr">
        <is>
          <t>skor = ['GT_CT07.txt', 'GT_CT10.txt', 'GT_DETAIL_PT07_Notasi_Algoritme.txt', 'GT_DETAIL_PT10_Percabangan.txt', 'GT_DETAIL_PT12_Fungsi.txt', 'GT_SUBTOPIK_05_Pseudocode_Algoritme.txt'] → 6 / 6</t>
        </is>
      </c>
      <c r="F2099" t="n">
        <v>1</v>
      </c>
      <c r="G2099" s="3" t="inlineStr">
        <is>
          <t>file unik: GT_CT07.txt, GT_CT10.txt, GT_DETAIL_PT07_Notasi_Algoritme.txt, GT_DETAIL_PT10_Percabangan.txt, GT_DETAIL_PT12_Fungsi.txt, GT_SUBTOPIK_05_Pseudocode_Algoritme.txt</t>
        </is>
      </c>
    </row>
    <row r="2100">
      <c r="A2100" t="n">
        <v>143</v>
      </c>
      <c r="B2100" t="inlineStr">
        <is>
          <t>A</t>
        </is>
      </c>
      <c r="C2100" t="inlineStr">
        <is>
          <t>Faithfulness (Pers. 15)</t>
        </is>
      </c>
      <c r="D2100" s="3" t="inlineStr">
        <is>
          <t>F = 0,70×Entailment + 0,30×KWoverlap</t>
        </is>
      </c>
      <c r="E2100" s="3" t="inlineStr">
        <is>
          <t>Faithfulness = 0,70×Entailment + 0,30×KWoverlap = 0,70×0.8333 + 0,30×0.2971 = 0.6724  (entailment: 5/6 klaim didukung; KWoverlap = (|∩|/|ctx|)^0,65 = (34/220)^0,65 = 0.1545^0,65 = 0.2971)</t>
        </is>
      </c>
      <c r="F2100" t="n">
        <v>0.6724</v>
      </c>
      <c r="G2100" s="3" t="inlineStr">
        <is>
          <t>metode: llm_entailment + keyword</t>
        </is>
      </c>
    </row>
    <row r="2101">
      <c r="A2101" t="n">
        <v>143</v>
      </c>
      <c r="B2101" t="inlineStr">
        <is>
          <t>A</t>
        </is>
      </c>
      <c r="C2101" t="inlineStr">
        <is>
          <t>— Entailment (Pers. 12-13)</t>
        </is>
      </c>
      <c r="D2101" s="3" t="inlineStr">
        <is>
          <t>Entailment = Σverdict(sᵢ)/m</t>
        </is>
      </c>
      <c r="E2101" s="3" t="inlineStr">
        <is>
          <t>5 klaim YA dari 6 klaim dievaluasi</t>
        </is>
      </c>
      <c r="F2101" t="n">
        <v>0.8333</v>
      </c>
      <c r="G2101" s="3" t="inlineStr">
        <is>
          <t>verdict per klaim: sheet 'Entailment Detail'</t>
        </is>
      </c>
    </row>
    <row r="2102">
      <c r="A2102" t="n">
        <v>143</v>
      </c>
      <c r="B2102" t="inlineStr">
        <is>
          <t>A</t>
        </is>
      </c>
      <c r="C2102" t="inlineStr">
        <is>
          <t>— Keyword Overlap (Pers. 14)</t>
        </is>
      </c>
      <c r="D2102" s="3" t="inlineStr">
        <is>
          <t>KWoverlap = (|Stems(ans)∩Stems(ctx)| / |Stems(ctx)|)^0,65</t>
        </is>
      </c>
      <c r="E2102" s="3" t="inlineStr">
        <is>
          <t>KWoverlap = (|∩|/|ctx|)^0,65 = (34/220)^0,65 = 0.1545^0,65 = 0.2971</t>
        </is>
      </c>
      <c r="F2102" t="n">
        <v>0.2971</v>
      </c>
      <c r="G2102" s="3" t="inlineStr"/>
    </row>
    <row r="2103">
      <c r="A2103" t="n">
        <v>143</v>
      </c>
      <c r="B2103" t="inlineStr">
        <is>
          <t>A</t>
        </is>
      </c>
      <c r="C2103" t="inlineStr">
        <is>
          <t>Hallucination Risk (Pers. 18)</t>
        </is>
      </c>
      <c r="D2103" s="3" t="inlineStr">
        <is>
          <t>Risk = 0,65×(1-F) + 0,20×Contradiction + 0,15×Uncertainty</t>
        </is>
      </c>
      <c r="E2103" s="3" t="inlineStr">
        <is>
          <t>Risk = 0,65×OutOfContext + 0,20×Contradiction + 0,15×Uncertainty = 0,65×0.3276 + 0,20×0.0000 + 0,15×0.00 = 0.2129 [RENDAH]</t>
        </is>
      </c>
      <c r="F2103" t="n">
        <v>0.2129</v>
      </c>
      <c r="G2103" s="3" t="inlineStr">
        <is>
          <t>label: RENDAH; kontradiksi 0/27 kalimat; uncertainty flag: False</t>
        </is>
      </c>
    </row>
    <row r="2104">
      <c r="A2104" t="n">
        <v>143</v>
      </c>
      <c r="B2104" t="inlineStr">
        <is>
          <t>B</t>
        </is>
      </c>
      <c r="C2104" t="inlineStr">
        <is>
          <t>Faithfulness (Pers. 15)</t>
        </is>
      </c>
      <c r="D2104" s="3" t="inlineStr">
        <is>
          <t>F = 0,70×Entailment + 0,30×KWoverlap</t>
        </is>
      </c>
      <c r="E2104" s="3" t="inlineStr">
        <is>
          <t>Faithfulness = 0,70×Entailment + 0,30×KWoverlap = 0,70×0.6667 + 0,30×0.2239 = 0.5339  (entailment: 4/6 klaim didukung; KWoverlap = (|∩|/|ctx|)^0,65 = (22/220)^0,65 = 0.1000^0,65 = 0.2239)</t>
        </is>
      </c>
      <c r="F2104" t="n">
        <v>0.5339</v>
      </c>
      <c r="G2104" s="3" t="inlineStr">
        <is>
          <t>metode: llm_entailment + keyword</t>
        </is>
      </c>
    </row>
    <row r="2105">
      <c r="A2105" t="n">
        <v>143</v>
      </c>
      <c r="B2105" t="inlineStr">
        <is>
          <t>B</t>
        </is>
      </c>
      <c r="C2105" t="inlineStr">
        <is>
          <t>— Entailment (Pers. 12-13)</t>
        </is>
      </c>
      <c r="D2105" s="3" t="inlineStr">
        <is>
          <t>Entailment = Σverdict(sᵢ)/m</t>
        </is>
      </c>
      <c r="E2105" s="3" t="inlineStr">
        <is>
          <t>4 klaim YA dari 6 klaim dievaluasi</t>
        </is>
      </c>
      <c r="F2105" t="n">
        <v>0.6667</v>
      </c>
      <c r="G2105" s="3" t="inlineStr">
        <is>
          <t>verdict per klaim: sheet 'Entailment Detail'</t>
        </is>
      </c>
    </row>
    <row r="2106">
      <c r="A2106" t="n">
        <v>143</v>
      </c>
      <c r="B2106" t="inlineStr">
        <is>
          <t>B</t>
        </is>
      </c>
      <c r="C2106" t="inlineStr">
        <is>
          <t>— Keyword Overlap (Pers. 14)</t>
        </is>
      </c>
      <c r="D2106" s="3" t="inlineStr">
        <is>
          <t>KWoverlap = (|Stems(ans)∩Stems(ctx)| / |Stems(ctx)|)^0,65</t>
        </is>
      </c>
      <c r="E2106" s="3" t="inlineStr">
        <is>
          <t>KWoverlap = (|∩|/|ctx|)^0,65 = (22/220)^0,65 = 0.1000^0,65 = 0.2239</t>
        </is>
      </c>
      <c r="F2106" t="n">
        <v>0.2239</v>
      </c>
      <c r="G2106" s="3" t="inlineStr"/>
    </row>
    <row r="2107">
      <c r="A2107" t="n">
        <v>143</v>
      </c>
      <c r="B2107" t="inlineStr">
        <is>
          <t>B</t>
        </is>
      </c>
      <c r="C2107" t="inlineStr">
        <is>
          <t>Hallucination Risk (Pers. 18)</t>
        </is>
      </c>
      <c r="D2107" s="3" t="inlineStr">
        <is>
          <t>Risk = 0,65×(1-F) + 0,20×Contradiction + 0,15×Uncertainty</t>
        </is>
      </c>
      <c r="E2107" s="3" t="inlineStr">
        <is>
          <t>Risk = 0,65×OutOfContext + 0,20×Contradiction + 0,15×Uncertainty = 0,65×0.4661 + 0,20×0.0000 + 0,15×0.00 = 0.3030 [RENDAH]</t>
        </is>
      </c>
      <c r="F2107" t="n">
        <v>0.303</v>
      </c>
      <c r="G2107" s="3" t="inlineStr">
        <is>
          <t>label: RENDAH; kontradiksi 0/21 kalimat; uncertainty flag: False</t>
        </is>
      </c>
    </row>
    <row r="2108">
      <c r="A2108" t="n">
        <v>143</v>
      </c>
      <c r="B2108" t="inlineStr">
        <is>
          <t>B</t>
        </is>
      </c>
      <c r="C2108" t="inlineStr">
        <is>
          <t>Answer Accuracy (Pers. 20)</t>
        </is>
      </c>
      <c r="D2108" s="3" t="inlineStr">
        <is>
          <t>Correctᵢ ∈ {0,1} via LLM-as-Judge (HASIL: BENAR/SALAH)</t>
        </is>
      </c>
      <c r="E2108" s="3" t="inlineStr">
        <is>
          <t>BENAR
Rationale:
1. The reference mentions that the function should return three values (rata-rata, nilai tertinggi, and nilai terendah) which is indeed done in the provided pseudocode.
2. The use of tuple data structure to return multiple values from a single function is a valid approach, as mentioned in the reference.
3. The provided pseudocode also calculates the rata-rata correctly using the</t>
        </is>
      </c>
      <c r="F2108" t="inlineStr">
        <is>
          <t>BENAR</t>
        </is>
      </c>
      <c r="G2108" s="3" t="inlineStr">
        <is>
          <t>evaluator: ollama/llama3</t>
        </is>
      </c>
    </row>
    <row r="2109">
      <c r="A2109" t="n">
        <v>144</v>
      </c>
      <c r="B2109" t="inlineStr">
        <is>
          <t>A</t>
        </is>
      </c>
      <c r="C2109" t="inlineStr">
        <is>
          <t>Precision@K (Pers. 2)</t>
        </is>
      </c>
      <c r="D2109" s="3" t="inlineStr">
        <is>
          <t>Precision@K = |{d ∈ TopK : sim(q,d) ≥ θ}| / K</t>
        </is>
      </c>
      <c r="E2109" s="3" t="inlineStr">
        <is>
          <t>skor = [0.81, 0.7993, 0.7788, 0.7779, 0.7721, 0.7676] → 6 / 6</t>
        </is>
      </c>
      <c r="F2109" t="n">
        <v>1</v>
      </c>
      <c r="G2109" s="3" t="inlineStr">
        <is>
          <t>basis: skor chunk nyata (sesuai contoh Pers. 2 skripsi)</t>
        </is>
      </c>
    </row>
    <row r="2110">
      <c r="A2110" t="n">
        <v>144</v>
      </c>
      <c r="B2110" t="inlineStr">
        <is>
          <t>A</t>
        </is>
      </c>
      <c r="C2110" t="inlineStr">
        <is>
          <t>Recall@K (Pers. 4)</t>
        </is>
      </c>
      <c r="D2110" s="3" t="inlineStr">
        <is>
          <t>Recall@K = |{kata kunci ditemukan : sim ≥ θ}| / |R|</t>
        </is>
      </c>
      <c r="E2110" s="3" t="inlineStr">
        <is>
          <t>skor = [0.6192, 0.6192, 0.6192, 0.5999, 0.5755, 0.5405] → 6 / 7</t>
        </is>
      </c>
      <c r="F2110" t="n">
        <v>0.8571</v>
      </c>
      <c r="G2110" s="3" t="inlineStr"/>
    </row>
    <row r="2111">
      <c r="A2111" t="n">
        <v>144</v>
      </c>
      <c r="B2111" t="inlineStr">
        <is>
          <t>A</t>
        </is>
      </c>
      <c r="C2111" t="inlineStr">
        <is>
          <t>Mean Similarity (Pers. 6)</t>
        </is>
      </c>
      <c r="D2111" s="3" t="inlineStr">
        <is>
          <t>MeanSim = (1/K) × Σ sim(q, dᵢ)</t>
        </is>
      </c>
      <c r="E2111" s="3" t="inlineStr">
        <is>
          <t>skor = [0.81, 0.7993, 0.7788, 0.7779, 0.7721, 0.7676] → (0.8100 + 0.7993 + 0.7788 + 0.7779 + 0.7721 + 0.7676) / 6</t>
        </is>
      </c>
      <c r="F2111" t="n">
        <v>0.7843</v>
      </c>
      <c r="G2111" s="3" t="inlineStr"/>
    </row>
    <row r="2112">
      <c r="A2112" t="n">
        <v>144</v>
      </c>
      <c r="B2112" t="inlineStr">
        <is>
          <t>A</t>
        </is>
      </c>
      <c r="C2112" t="inlineStr">
        <is>
          <t>Coverage (Pers. 8)</t>
        </is>
      </c>
      <c r="D2112" s="3" t="inlineStr">
        <is>
          <t>Coverage = |{dᵢ ∈ TopK : sim(q,dᵢ) ≥ θc}| / K</t>
        </is>
      </c>
      <c r="E2112" s="3" t="inlineStr">
        <is>
          <t>skor = [0.81, 0.7993, 0.7788, 0.7779, 0.7721, 0.7676] → 6 / 6</t>
        </is>
      </c>
      <c r="F2112" t="n">
        <v>1</v>
      </c>
      <c r="G2112" s="3" t="inlineStr"/>
    </row>
    <row r="2113">
      <c r="A2113" t="n">
        <v>144</v>
      </c>
      <c r="B2113" t="inlineStr">
        <is>
          <t>A</t>
        </is>
      </c>
      <c r="C2113" t="inlineStr">
        <is>
          <t>Source Diversity (Pers. 10)</t>
        </is>
      </c>
      <c r="D2113" s="3" t="inlineStr">
        <is>
          <t>Diversity = |sumber unik dalam TopK| / K</t>
        </is>
      </c>
      <c r="E2113" s="3" t="inlineStr">
        <is>
          <t>skor = ['GT_CT07.txt', 'GT_CT10.txt', 'GT_DETAIL_PT07_Notasi_Algoritme.txt', 'GT_DETAIL_PT10_Percabangan.txt', 'GT_SUBTOPIK_05_Pseudocode_Algoritme.txt'] → 5 / 6</t>
        </is>
      </c>
      <c r="F2113" t="n">
        <v>0.8333</v>
      </c>
      <c r="G2113" s="3" t="inlineStr">
        <is>
          <t>file unik: GT_CT07.txt, GT_CT10.txt, GT_DETAIL_PT07_Notasi_Algoritme.txt, GT_DETAIL_PT10_Percabangan.txt, GT_SUBTOPIK_05_Pseudocode_Algoritme.txt</t>
        </is>
      </c>
    </row>
    <row r="2114">
      <c r="A2114" t="n">
        <v>144</v>
      </c>
      <c r="B2114" t="inlineStr">
        <is>
          <t>A</t>
        </is>
      </c>
      <c r="C2114" t="inlineStr">
        <is>
          <t>Faithfulness (Pers. 15)</t>
        </is>
      </c>
      <c r="D2114" s="3" t="inlineStr">
        <is>
          <t>F = 0,70×Entailment + 0,30×KWoverlap</t>
        </is>
      </c>
      <c r="E2114" s="3" t="inlineStr">
        <is>
          <t>Faithfulness = 0,70×Entailment + 0,30×KWoverlap = 0,70×1.0000 + 0,30×0.2187 = 0.7656  (entailment: 6/6 klaim didukung; KWoverlap = (|∩|/|ctx|)^0,65 = (19/197)^0,65 = 0.0964^0,65 = 0.2187)</t>
        </is>
      </c>
      <c r="F2114" t="n">
        <v>0.7655999999999999</v>
      </c>
      <c r="G2114" s="3" t="inlineStr">
        <is>
          <t>metode: llm_entailment + keyword</t>
        </is>
      </c>
    </row>
    <row r="2115">
      <c r="A2115" t="n">
        <v>144</v>
      </c>
      <c r="B2115" t="inlineStr">
        <is>
          <t>A</t>
        </is>
      </c>
      <c r="C2115" t="inlineStr">
        <is>
          <t>— Entailment (Pers. 12-13)</t>
        </is>
      </c>
      <c r="D2115" s="3" t="inlineStr">
        <is>
          <t>Entailment = Σverdict(sᵢ)/m</t>
        </is>
      </c>
      <c r="E2115" s="3" t="inlineStr">
        <is>
          <t>6 klaim YA dari 6 klaim dievaluasi</t>
        </is>
      </c>
      <c r="F2115" t="n">
        <v>1</v>
      </c>
      <c r="G2115" s="3" t="inlineStr">
        <is>
          <t>verdict per klaim: sheet 'Entailment Detail'</t>
        </is>
      </c>
    </row>
    <row r="2116">
      <c r="A2116" t="n">
        <v>144</v>
      </c>
      <c r="B2116" t="inlineStr">
        <is>
          <t>A</t>
        </is>
      </c>
      <c r="C2116" t="inlineStr">
        <is>
          <t>— Keyword Overlap (Pers. 14)</t>
        </is>
      </c>
      <c r="D2116" s="3" t="inlineStr">
        <is>
          <t>KWoverlap = (|Stems(ans)∩Stems(ctx)| / |Stems(ctx)|)^0,65</t>
        </is>
      </c>
      <c r="E2116" s="3" t="inlineStr">
        <is>
          <t>KWoverlap = (|∩|/|ctx|)^0,65 = (19/197)^0,65 = 0.0964^0,65 = 0.2187</t>
        </is>
      </c>
      <c r="F2116" t="n">
        <v>0.2187</v>
      </c>
      <c r="G2116" s="3" t="inlineStr"/>
    </row>
    <row r="2117">
      <c r="A2117" t="n">
        <v>144</v>
      </c>
      <c r="B2117" t="inlineStr">
        <is>
          <t>A</t>
        </is>
      </c>
      <c r="C2117" t="inlineStr">
        <is>
          <t>Hallucination Risk (Pers. 18)</t>
        </is>
      </c>
      <c r="D2117" s="3" t="inlineStr">
        <is>
          <t>Risk = 0,65×(1-F) + 0,20×Contradiction + 0,15×Uncertainty</t>
        </is>
      </c>
      <c r="E2117" s="3" t="inlineStr">
        <is>
          <t>Risk = 0,65×OutOfContext + 0,20×Contradiction + 0,15×Uncertainty = 0,65×0.2344 + 0,20×0.0000 + 0,15×0.00 = 0.1524 [RENDAH]</t>
        </is>
      </c>
      <c r="F2117" t="n">
        <v>0.1524</v>
      </c>
      <c r="G2117" s="3" t="inlineStr">
        <is>
          <t>label: RENDAH; kontradiksi 0/16 kalimat; uncertainty flag: False</t>
        </is>
      </c>
    </row>
    <row r="2118">
      <c r="A2118" t="n">
        <v>144</v>
      </c>
      <c r="B2118" t="inlineStr">
        <is>
          <t>A</t>
        </is>
      </c>
      <c r="C2118" t="inlineStr">
        <is>
          <t>Answer Accuracy (Pers. 20)</t>
        </is>
      </c>
      <c r="D2118" s="3" t="inlineStr">
        <is>
          <t>Correctᵢ ∈ {0,1} via LLM-as-Judge (HASIL: BENAR/SALAH)</t>
        </is>
      </c>
      <c r="E2118" s="3" t="inlineStr">
        <is>
          <t>BENAR.
Referensi SOAL 1 — Pseudocode: FPB (Algoritme Euclidean) didapat dari dokumen materi GT, sehingga jawaban sistem yang menjelaskan cara memanggil fungsi FPB dari dalam fungsi KPK dengan sintaks "KPK(a, b)" adalah benar berdasarkan referensi.</t>
        </is>
      </c>
      <c r="F2118" t="inlineStr">
        <is>
          <t>BENAR</t>
        </is>
      </c>
      <c r="G2118" s="3" t="inlineStr">
        <is>
          <t>evaluator: ollama/llama3</t>
        </is>
      </c>
    </row>
    <row r="2119">
      <c r="A2119" t="n">
        <v>144</v>
      </c>
      <c r="B2119" t="inlineStr">
        <is>
          <t>B</t>
        </is>
      </c>
      <c r="C2119" t="inlineStr">
        <is>
          <t>Faithfulness (Pers. 15)</t>
        </is>
      </c>
      <c r="D2119" s="3" t="inlineStr">
        <is>
          <t>F = 0,70×Entailment + 0,30×KWoverlap</t>
        </is>
      </c>
      <c r="E2119" s="3" t="inlineStr">
        <is>
          <t>Faithfulness = 0,70×Entailment + 0,30×KWoverlap = 0,70×0.7500 + 0,30×0.1246 = 0.5624  (entailment: 3/4 klaim didukung; KWoverlap = (|∩|/|ctx|)^0,65 = (8/197)^0,65 = 0.0406^0,65 = 0.1246)</t>
        </is>
      </c>
      <c r="F2119" t="n">
        <v>0.5624</v>
      </c>
      <c r="G2119" s="3" t="inlineStr">
        <is>
          <t>metode: llm_entailment + keyword</t>
        </is>
      </c>
    </row>
    <row r="2120">
      <c r="A2120" t="n">
        <v>144</v>
      </c>
      <c r="B2120" t="inlineStr">
        <is>
          <t>B</t>
        </is>
      </c>
      <c r="C2120" t="inlineStr">
        <is>
          <t>— Entailment (Pers. 12-13)</t>
        </is>
      </c>
      <c r="D2120" s="3" t="inlineStr">
        <is>
          <t>Entailment = Σverdict(sᵢ)/m</t>
        </is>
      </c>
      <c r="E2120" s="3" t="inlineStr">
        <is>
          <t>3 klaim YA dari 4 klaim dievaluasi</t>
        </is>
      </c>
      <c r="F2120" t="n">
        <v>0.75</v>
      </c>
      <c r="G2120" s="3" t="inlineStr">
        <is>
          <t>verdict per klaim: sheet 'Entailment Detail'</t>
        </is>
      </c>
    </row>
    <row r="2121">
      <c r="A2121" t="n">
        <v>144</v>
      </c>
      <c r="B2121" t="inlineStr">
        <is>
          <t>B</t>
        </is>
      </c>
      <c r="C2121" t="inlineStr">
        <is>
          <t>— Keyword Overlap (Pers. 14)</t>
        </is>
      </c>
      <c r="D2121" s="3" t="inlineStr">
        <is>
          <t>KWoverlap = (|Stems(ans)∩Stems(ctx)| / |Stems(ctx)|)^0,65</t>
        </is>
      </c>
      <c r="E2121" s="3" t="inlineStr">
        <is>
          <t>KWoverlap = (|∩|/|ctx|)^0,65 = (8/197)^0,65 = 0.0406^0,65 = 0.1246</t>
        </is>
      </c>
      <c r="F2121" t="n">
        <v>0.1246</v>
      </c>
      <c r="G2121" s="3" t="inlineStr"/>
    </row>
    <row r="2122">
      <c r="A2122" t="n">
        <v>144</v>
      </c>
      <c r="B2122" t="inlineStr">
        <is>
          <t>B</t>
        </is>
      </c>
      <c r="C2122" t="inlineStr">
        <is>
          <t>Hallucination Risk (Pers. 18)</t>
        </is>
      </c>
      <c r="D2122" s="3" t="inlineStr">
        <is>
          <t>Risk = 0,65×(1-F) + 0,20×Contradiction + 0,15×Uncertainty</t>
        </is>
      </c>
      <c r="E2122" s="3" t="inlineStr">
        <is>
          <t>Risk = 0,65×OutOfContext + 0,20×Contradiction + 0,15×Uncertainty = 0,65×0.4376 + 0,20×0.0000 + 0,15×0.00 = 0.2844 [RENDAH]</t>
        </is>
      </c>
      <c r="F2122" t="n">
        <v>0.2844</v>
      </c>
      <c r="G2122" s="3" t="inlineStr">
        <is>
          <t>label: RENDAH; kontradiksi 0/24 kalimat; uncertainty flag: False</t>
        </is>
      </c>
    </row>
    <row r="2123">
      <c r="A2123" t="n">
        <v>144</v>
      </c>
      <c r="B2123" t="inlineStr">
        <is>
          <t>B</t>
        </is>
      </c>
      <c r="C2123" t="inlineStr">
        <is>
          <t>Answer Accuracy (Pers. 20)</t>
        </is>
      </c>
      <c r="D2123" s="3" t="inlineStr">
        <is>
          <t>Correctᵢ ∈ {0,1} via LLM-as-Judge (HASIL: BENAR/SALAH)</t>
        </is>
      </c>
      <c r="E2123" s="3" t="inlineStr">
        <is>
          <t>BENAR</t>
        </is>
      </c>
      <c r="F2123" t="inlineStr">
        <is>
          <t>BENAR</t>
        </is>
      </c>
      <c r="G2123" s="3" t="inlineStr">
        <is>
          <t>evaluator: ollama/llama3</t>
        </is>
      </c>
    </row>
    <row r="2124">
      <c r="A2124" t="n">
        <v>145</v>
      </c>
      <c r="B2124" t="inlineStr">
        <is>
          <t>A</t>
        </is>
      </c>
      <c r="C2124" t="inlineStr">
        <is>
          <t>Precision@K (Pers. 2)</t>
        </is>
      </c>
      <c r="D2124" s="3" t="inlineStr">
        <is>
          <t>Precision@K = |{d ∈ TopK : sim(q,d) ≥ θ}| / K</t>
        </is>
      </c>
      <c r="E2124" s="3" t="inlineStr">
        <is>
          <t>skor = [0.7441, 0.741, 0.7388, 0.736, 0.7345, 0.7325] → 6 / 6</t>
        </is>
      </c>
      <c r="F2124" t="n">
        <v>1</v>
      </c>
      <c r="G2124" s="3" t="inlineStr">
        <is>
          <t>basis: skor chunk nyata (sesuai contoh Pers. 2 skripsi)</t>
        </is>
      </c>
    </row>
    <row r="2125">
      <c r="A2125" t="n">
        <v>145</v>
      </c>
      <c r="B2125" t="inlineStr">
        <is>
          <t>A</t>
        </is>
      </c>
      <c r="C2125" t="inlineStr">
        <is>
          <t>Recall@K (Pers. 4)</t>
        </is>
      </c>
      <c r="D2125" s="3" t="inlineStr">
        <is>
          <t>Recall@K = |{kata kunci ditemukan : sim ≥ θ}| / |R|</t>
        </is>
      </c>
      <c r="E2125" s="3" t="inlineStr">
        <is>
          <t>skor = [0.6416, 0.6084, 0.5247, 0.4163, 0.4089, 0.4035] → 6 / 6</t>
        </is>
      </c>
      <c r="F2125" t="n">
        <v>1</v>
      </c>
      <c r="G2125" s="3" t="inlineStr"/>
    </row>
    <row r="2126">
      <c r="A2126" t="n">
        <v>145</v>
      </c>
      <c r="B2126" t="inlineStr">
        <is>
          <t>A</t>
        </is>
      </c>
      <c r="C2126" t="inlineStr">
        <is>
          <t>Mean Similarity (Pers. 6)</t>
        </is>
      </c>
      <c r="D2126" s="3" t="inlineStr">
        <is>
          <t>MeanSim = (1/K) × Σ sim(q, dᵢ)</t>
        </is>
      </c>
      <c r="E2126" s="3" t="inlineStr">
        <is>
          <t>skor = [0.7441, 0.741, 0.7388, 0.736, 0.7345, 0.7325] → (0.7441 + 0.7410 + 0.7388 + 0.7360 + 0.7345 + 0.7325) / 6</t>
        </is>
      </c>
      <c r="F2126" t="n">
        <v>0.7378</v>
      </c>
      <c r="G2126" s="3" t="inlineStr"/>
    </row>
    <row r="2127">
      <c r="A2127" t="n">
        <v>145</v>
      </c>
      <c r="B2127" t="inlineStr">
        <is>
          <t>A</t>
        </is>
      </c>
      <c r="C2127" t="inlineStr">
        <is>
          <t>Coverage (Pers. 8)</t>
        </is>
      </c>
      <c r="D2127" s="3" t="inlineStr">
        <is>
          <t>Coverage = |{dᵢ ∈ TopK : sim(q,dᵢ) ≥ θc}| / K</t>
        </is>
      </c>
      <c r="E2127" s="3" t="inlineStr">
        <is>
          <t>skor = [0.7441, 0.741, 0.7388, 0.736, 0.7345, 0.7325] → 6 / 6</t>
        </is>
      </c>
      <c r="F2127" t="n">
        <v>1</v>
      </c>
      <c r="G2127" s="3" t="inlineStr"/>
    </row>
    <row r="2128">
      <c r="A2128" t="n">
        <v>145</v>
      </c>
      <c r="B2128" t="inlineStr">
        <is>
          <t>A</t>
        </is>
      </c>
      <c r="C2128" t="inlineStr">
        <is>
          <t>Source Diversity (Pers. 10)</t>
        </is>
      </c>
      <c r="D2128" s="3" t="inlineStr">
        <is>
          <t>Diversity = |sumber unik dalam TopK| / K</t>
        </is>
      </c>
      <c r="E2128" s="3" t="inlineStr">
        <is>
          <t>skor = ['GT_CT09.txt', 'GT_DETAIL_PT04_Abstraksi.txt', 'GT_DETAIL_PT11_Perulangan.txt', 'GT_DETAIL_PT12_Fungsi.txt', 'GT_SUBTOPIK_02_Abstraksi_Formulasi.txt'] → 5 / 6</t>
        </is>
      </c>
      <c r="F2128" t="n">
        <v>0.8333</v>
      </c>
      <c r="G2128" s="3" t="inlineStr">
        <is>
          <t>file unik: GT_CT09.txt, GT_DETAIL_PT04_Abstraksi.txt, GT_DETAIL_PT11_Perulangan.txt, GT_DETAIL_PT12_Fungsi.txt, GT_SUBTOPIK_02_Abstraksi_Formulasi.txt</t>
        </is>
      </c>
    </row>
    <row r="2129">
      <c r="A2129" t="n">
        <v>145</v>
      </c>
      <c r="B2129" t="inlineStr">
        <is>
          <t>A</t>
        </is>
      </c>
      <c r="C2129" t="inlineStr">
        <is>
          <t>Faithfulness (Pers. 15)</t>
        </is>
      </c>
      <c r="D2129" s="3" t="inlineStr">
        <is>
          <t>F = 0,70×Entailment + 0,30×KWoverlap</t>
        </is>
      </c>
      <c r="E2129" s="3" t="inlineStr">
        <is>
          <t>Faithfulness = 0,70×Entailment + 0,30×KWoverlap = 0,70×0.8333 + 0,30×0.1860 = 0.6391  (entailment: 5/6 klaim didukung; KWoverlap = (|∩|/|ctx|)^0,65 = (23/306)^0,65 = 0.0752^0,65 = 0.1860)</t>
        </is>
      </c>
      <c r="F2129" t="n">
        <v>0.6391</v>
      </c>
      <c r="G2129" s="3" t="inlineStr">
        <is>
          <t>metode: llm_entailment + keyword</t>
        </is>
      </c>
    </row>
    <row r="2130">
      <c r="A2130" t="n">
        <v>145</v>
      </c>
      <c r="B2130" t="inlineStr">
        <is>
          <t>A</t>
        </is>
      </c>
      <c r="C2130" t="inlineStr">
        <is>
          <t>— Entailment (Pers. 12-13)</t>
        </is>
      </c>
      <c r="D2130" s="3" t="inlineStr">
        <is>
          <t>Entailment = Σverdict(sᵢ)/m</t>
        </is>
      </c>
      <c r="E2130" s="3" t="inlineStr">
        <is>
          <t>5 klaim YA dari 6 klaim dievaluasi</t>
        </is>
      </c>
      <c r="F2130" t="n">
        <v>0.8333</v>
      </c>
      <c r="G2130" s="3" t="inlineStr">
        <is>
          <t>verdict per klaim: sheet 'Entailment Detail'</t>
        </is>
      </c>
    </row>
    <row r="2131">
      <c r="A2131" t="n">
        <v>145</v>
      </c>
      <c r="B2131" t="inlineStr">
        <is>
          <t>A</t>
        </is>
      </c>
      <c r="C2131" t="inlineStr">
        <is>
          <t>— Keyword Overlap (Pers. 14)</t>
        </is>
      </c>
      <c r="D2131" s="3" t="inlineStr">
        <is>
          <t>KWoverlap = (|Stems(ans)∩Stems(ctx)| / |Stems(ctx)|)^0,65</t>
        </is>
      </c>
      <c r="E2131" s="3" t="inlineStr">
        <is>
          <t>KWoverlap = (|∩|/|ctx|)^0,65 = (23/306)^0,65 = 0.0752^0,65 = 0.1860</t>
        </is>
      </c>
      <c r="F2131" t="n">
        <v>0.186</v>
      </c>
      <c r="G2131" s="3" t="inlineStr"/>
    </row>
    <row r="2132">
      <c r="A2132" t="n">
        <v>145</v>
      </c>
      <c r="B2132" t="inlineStr">
        <is>
          <t>A</t>
        </is>
      </c>
      <c r="C2132" t="inlineStr">
        <is>
          <t>Hallucination Risk (Pers. 18)</t>
        </is>
      </c>
      <c r="D2132" s="3" t="inlineStr">
        <is>
          <t>Risk = 0,65×(1-F) + 0,20×Contradiction + 0,15×Uncertainty</t>
        </is>
      </c>
      <c r="E2132" s="3" t="inlineStr">
        <is>
          <t>Risk = 0,65×OutOfContext + 0,20×Contradiction + 0,15×Uncertainty = 0,65×0.3609 + 0,20×0.0000 + 0,15×0.00 = 0.2346 [RENDAH]</t>
        </is>
      </c>
      <c r="F2132" t="n">
        <v>0.2346</v>
      </c>
      <c r="G2132" s="3" t="inlineStr">
        <is>
          <t>label: RENDAH; kontradiksi 0/13 kalimat; uncertainty flag: False</t>
        </is>
      </c>
    </row>
    <row r="2133">
      <c r="A2133" t="n">
        <v>145</v>
      </c>
      <c r="B2133" t="inlineStr">
        <is>
          <t>A</t>
        </is>
      </c>
      <c r="C2133" t="inlineStr">
        <is>
          <t>Answer Accuracy (Pers. 20)</t>
        </is>
      </c>
      <c r="D2133" s="3" t="inlineStr">
        <is>
          <t>Correctᵢ ∈ {0,1} via LLM-as-Judge (HASIL: BENAR/SALAH)</t>
        </is>
      </c>
      <c r="E2133" s="3" t="inlineStr">
        <is>
          <t>BENAR</t>
        </is>
      </c>
      <c r="F2133" t="inlineStr">
        <is>
          <t>BENAR</t>
        </is>
      </c>
      <c r="G2133" s="3" t="inlineStr">
        <is>
          <t>evaluator: ollama/llama3</t>
        </is>
      </c>
    </row>
    <row r="2134">
      <c r="A2134" t="n">
        <v>145</v>
      </c>
      <c r="B2134" t="inlineStr">
        <is>
          <t>B</t>
        </is>
      </c>
      <c r="C2134" t="inlineStr">
        <is>
          <t>Faithfulness (Pers. 15)</t>
        </is>
      </c>
      <c r="D2134" s="3" t="inlineStr">
        <is>
          <t>F = 0,70×Entailment + 0,30×KWoverlap</t>
        </is>
      </c>
      <c r="E2134" s="3" t="inlineStr">
        <is>
          <t>Faithfulness = 0,70×Entailment + 0,30×KWoverlap = 0,70×0.4000 + 0,30×0.1912 = 0.3374  (entailment: 2/5 klaim didukung; KWoverlap = (|∩|/|ctx|)^0,65 = (24/306)^0,65 = 0.0784^0,65 = 0.1912)</t>
        </is>
      </c>
      <c r="F2134" t="n">
        <v>0.3374</v>
      </c>
      <c r="G2134" s="3" t="inlineStr">
        <is>
          <t>metode: llm_entailment + keyword</t>
        </is>
      </c>
    </row>
    <row r="2135">
      <c r="A2135" t="n">
        <v>145</v>
      </c>
      <c r="B2135" t="inlineStr">
        <is>
          <t>B</t>
        </is>
      </c>
      <c r="C2135" t="inlineStr">
        <is>
          <t>— Entailment (Pers. 12-13)</t>
        </is>
      </c>
      <c r="D2135" s="3" t="inlineStr">
        <is>
          <t>Entailment = Σverdict(sᵢ)/m</t>
        </is>
      </c>
      <c r="E2135" s="3" t="inlineStr">
        <is>
          <t>2 klaim YA dari 5 klaim dievaluasi</t>
        </is>
      </c>
      <c r="F2135" t="n">
        <v>0.4</v>
      </c>
      <c r="G2135" s="3" t="inlineStr">
        <is>
          <t>verdict per klaim: sheet 'Entailment Detail'</t>
        </is>
      </c>
    </row>
    <row r="2136">
      <c r="A2136" t="n">
        <v>145</v>
      </c>
      <c r="B2136" t="inlineStr">
        <is>
          <t>B</t>
        </is>
      </c>
      <c r="C2136" t="inlineStr">
        <is>
          <t>— Keyword Overlap (Pers. 14)</t>
        </is>
      </c>
      <c r="D2136" s="3" t="inlineStr">
        <is>
          <t>KWoverlap = (|Stems(ans)∩Stems(ctx)| / |Stems(ctx)|)^0,65</t>
        </is>
      </c>
      <c r="E2136" s="3" t="inlineStr">
        <is>
          <t>KWoverlap = (|∩|/|ctx|)^0,65 = (24/306)^0,65 = 0.0784^0,65 = 0.1912</t>
        </is>
      </c>
      <c r="F2136" t="n">
        <v>0.1912</v>
      </c>
      <c r="G2136" s="3" t="inlineStr"/>
    </row>
    <row r="2137">
      <c r="A2137" t="n">
        <v>145</v>
      </c>
      <c r="B2137" t="inlineStr">
        <is>
          <t>B</t>
        </is>
      </c>
      <c r="C2137" t="inlineStr">
        <is>
          <t>Hallucination Risk (Pers. 18)</t>
        </is>
      </c>
      <c r="D2137" s="3" t="inlineStr">
        <is>
          <t>Risk = 0,65×(1-F) + 0,20×Contradiction + 0,15×Uncertainty</t>
        </is>
      </c>
      <c r="E2137" s="3" t="inlineStr">
        <is>
          <t>Risk = 0,65×OutOfContext + 0,20×Contradiction + 0,15×Uncertainty = 0,65×0.6626 + 0,20×0.0000 + 0,15×0.00 = 0.4307 [SEDANG]</t>
        </is>
      </c>
      <c r="F2137" t="n">
        <v>0.4307</v>
      </c>
      <c r="G2137" s="3" t="inlineStr">
        <is>
          <t>label: SEDANG; kontradiksi 0/22 kalimat; uncertainty flag: False</t>
        </is>
      </c>
    </row>
    <row r="2138">
      <c r="A2138" t="n">
        <v>145</v>
      </c>
      <c r="B2138" t="inlineStr">
        <is>
          <t>B</t>
        </is>
      </c>
      <c r="C2138" t="inlineStr">
        <is>
          <t>Answer Accuracy (Pers. 20)</t>
        </is>
      </c>
      <c r="D2138" s="3" t="inlineStr">
        <is>
          <t>Correctᵢ ∈ {0,1} via LLM-as-Judge (HASIL: BENAR/SALAH)</t>
        </is>
      </c>
      <c r="E2138" s="3" t="inlineStr">
        <is>
          <t>BENAR</t>
        </is>
      </c>
      <c r="F2138" t="inlineStr">
        <is>
          <t>BENAR</t>
        </is>
      </c>
      <c r="G2138" s="3" t="inlineStr">
        <is>
          <t>evaluator: ollama/llama3</t>
        </is>
      </c>
    </row>
    <row r="2139">
      <c r="A2139" t="n">
        <v>146</v>
      </c>
      <c r="B2139" t="inlineStr">
        <is>
          <t>A</t>
        </is>
      </c>
      <c r="C2139" t="inlineStr">
        <is>
          <t>Precision@K (Pers. 2)</t>
        </is>
      </c>
      <c r="D2139" s="3" t="inlineStr">
        <is>
          <t>Precision@K = |{d ∈ TopK : sim(q,d) ≥ θ}| / K</t>
        </is>
      </c>
      <c r="E2139" s="3" t="inlineStr">
        <is>
          <t>skor = [0.759, 0.749, 0.742, 0.7389, 0.7361, 0.7355] → 6 / 6</t>
        </is>
      </c>
      <c r="F2139" t="n">
        <v>1</v>
      </c>
      <c r="G2139" s="3" t="inlineStr">
        <is>
          <t>basis: skor chunk nyata (sesuai contoh Pers. 2 skripsi)</t>
        </is>
      </c>
    </row>
    <row r="2140">
      <c r="A2140" t="n">
        <v>146</v>
      </c>
      <c r="B2140" t="inlineStr">
        <is>
          <t>A</t>
        </is>
      </c>
      <c r="C2140" t="inlineStr">
        <is>
          <t>Recall@K (Pers. 4)</t>
        </is>
      </c>
      <c r="D2140" s="3" t="inlineStr">
        <is>
          <t>Recall@K = |{kata kunci ditemukan : sim ≥ θ}| / |R|</t>
        </is>
      </c>
      <c r="E2140" s="3" t="inlineStr">
        <is>
          <t>skor = [0.6576, 0.6013, 0.5941, 0.5668, 0.5321, 0.4993] → 6 / 7</t>
        </is>
      </c>
      <c r="F2140" t="n">
        <v>0.8571</v>
      </c>
      <c r="G2140" s="3" t="inlineStr"/>
    </row>
    <row r="2141">
      <c r="A2141" t="n">
        <v>146</v>
      </c>
      <c r="B2141" t="inlineStr">
        <is>
          <t>A</t>
        </is>
      </c>
      <c r="C2141" t="inlineStr">
        <is>
          <t>Mean Similarity (Pers. 6)</t>
        </is>
      </c>
      <c r="D2141" s="3" t="inlineStr">
        <is>
          <t>MeanSim = (1/K) × Σ sim(q, dᵢ)</t>
        </is>
      </c>
      <c r="E2141" s="3" t="inlineStr">
        <is>
          <t>skor = [0.759, 0.749, 0.742, 0.7389, 0.7361, 0.7355] → (0.7590 + 0.7490 + 0.7420 + 0.7389 + 0.7361 + 0.7355) / 6</t>
        </is>
      </c>
      <c r="F2141" t="n">
        <v>0.7433999999999999</v>
      </c>
      <c r="G2141" s="3" t="inlineStr"/>
    </row>
    <row r="2142">
      <c r="A2142" t="n">
        <v>146</v>
      </c>
      <c r="B2142" t="inlineStr">
        <is>
          <t>A</t>
        </is>
      </c>
      <c r="C2142" t="inlineStr">
        <is>
          <t>Coverage (Pers. 8)</t>
        </is>
      </c>
      <c r="D2142" s="3" t="inlineStr">
        <is>
          <t>Coverage = |{dᵢ ∈ TopK : sim(q,dᵢ) ≥ θc}| / K</t>
        </is>
      </c>
      <c r="E2142" s="3" t="inlineStr">
        <is>
          <t>skor = [0.759, 0.749, 0.742, 0.7389, 0.7361, 0.7355] → 6 / 6</t>
        </is>
      </c>
      <c r="F2142" t="n">
        <v>1</v>
      </c>
      <c r="G2142" s="3" t="inlineStr"/>
    </row>
    <row r="2143">
      <c r="A2143" t="n">
        <v>146</v>
      </c>
      <c r="B2143" t="inlineStr">
        <is>
          <t>A</t>
        </is>
      </c>
      <c r="C2143" t="inlineStr">
        <is>
          <t>Source Diversity (Pers. 10)</t>
        </is>
      </c>
      <c r="D2143" s="3" t="inlineStr">
        <is>
          <t>Diversity = |sumber unik dalam TopK| / K</t>
        </is>
      </c>
      <c r="E2143" s="3" t="inlineStr">
        <is>
          <t>skor = ['GT_CT07.txt', 'GT_CT09.txt', 'GT_DETAIL_PT01_Pendahuluan.txt', 'GT_SUBTOPIK_03_Pola_Bilangan_Deret.txt', 'GT_SUBTOPIK_13_Graph_Tree.txt', 'GT_SUBTOPIK_14_Kompleksitas_BigO.txt'] → 6 / 6</t>
        </is>
      </c>
      <c r="F2143" t="n">
        <v>1</v>
      </c>
      <c r="G2143" s="3" t="inlineStr">
        <is>
          <t>file unik: GT_CT07.txt, GT_CT09.txt, GT_DETAIL_PT01_Pendahuluan.txt, GT_SUBTOPIK_03_Pola_Bilangan_Deret.txt, GT_SUBTOPIK_13_Graph_Tree.txt, GT_SUBTOPIK_14_Kompleksitas_BigO.txt</t>
        </is>
      </c>
    </row>
    <row r="2144">
      <c r="A2144" t="n">
        <v>146</v>
      </c>
      <c r="B2144" t="inlineStr">
        <is>
          <t>A</t>
        </is>
      </c>
      <c r="C2144" t="inlineStr">
        <is>
          <t>Faithfulness (Pers. 15)</t>
        </is>
      </c>
      <c r="D2144" s="3" t="inlineStr">
        <is>
          <t>F = 0,70×Entailment + 0,30×KWoverlap</t>
        </is>
      </c>
      <c r="E2144" s="3" t="inlineStr">
        <is>
          <t>Faithfulness = 0,70×Entailment + 0,30×KWoverlap = 0,70×0.5000 + 0,30×0.1203 = 0.3861  (entailment: 3/6 klaim didukung; KWoverlap = (|∩|/|ctx|)^0,65 = (10/260)^0,65 = 0.0385^0,65 = 0.1203)</t>
        </is>
      </c>
      <c r="F2144" t="n">
        <v>0.3861</v>
      </c>
      <c r="G2144" s="3" t="inlineStr">
        <is>
          <t>metode: llm_entailment + keyword</t>
        </is>
      </c>
    </row>
    <row r="2145">
      <c r="A2145" t="n">
        <v>146</v>
      </c>
      <c r="B2145" t="inlineStr">
        <is>
          <t>A</t>
        </is>
      </c>
      <c r="C2145" t="inlineStr">
        <is>
          <t>— Entailment (Pers. 12-13)</t>
        </is>
      </c>
      <c r="D2145" s="3" t="inlineStr">
        <is>
          <t>Entailment = Σverdict(sᵢ)/m</t>
        </is>
      </c>
      <c r="E2145" s="3" t="inlineStr">
        <is>
          <t>3 klaim YA dari 6 klaim dievaluasi</t>
        </is>
      </c>
      <c r="F2145" t="n">
        <v>0.5</v>
      </c>
      <c r="G2145" s="3" t="inlineStr">
        <is>
          <t>verdict per klaim: sheet 'Entailment Detail'</t>
        </is>
      </c>
    </row>
    <row r="2146">
      <c r="A2146" t="n">
        <v>146</v>
      </c>
      <c r="B2146" t="inlineStr">
        <is>
          <t>A</t>
        </is>
      </c>
      <c r="C2146" t="inlineStr">
        <is>
          <t>— Keyword Overlap (Pers. 14)</t>
        </is>
      </c>
      <c r="D2146" s="3" t="inlineStr">
        <is>
          <t>KWoverlap = (|Stems(ans)∩Stems(ctx)| / |Stems(ctx)|)^0,65</t>
        </is>
      </c>
      <c r="E2146" s="3" t="inlineStr">
        <is>
          <t>KWoverlap = (|∩|/|ctx|)^0,65 = (10/260)^0,65 = 0.0385^0,65 = 0.1203</t>
        </is>
      </c>
      <c r="F2146" t="n">
        <v>0.1203</v>
      </c>
      <c r="G2146" s="3" t="inlineStr"/>
    </row>
    <row r="2147">
      <c r="A2147" t="n">
        <v>146</v>
      </c>
      <c r="B2147" t="inlineStr">
        <is>
          <t>A</t>
        </is>
      </c>
      <c r="C2147" t="inlineStr">
        <is>
          <t>Hallucination Risk (Pers. 18)</t>
        </is>
      </c>
      <c r="D2147" s="3" t="inlineStr">
        <is>
          <t>Risk = 0,65×(1-F) + 0,20×Contradiction + 0,15×Uncertainty</t>
        </is>
      </c>
      <c r="E2147" s="3" t="inlineStr">
        <is>
          <t>Risk = 0,65×OutOfContext + 0,20×Contradiction + 0,15×Uncertainty = 0,65×0.6139 + 0,20×0.0000 + 0,15×0.00 = 0.3990 [SEDANG]</t>
        </is>
      </c>
      <c r="F2147" t="n">
        <v>0.399</v>
      </c>
      <c r="G2147" s="3" t="inlineStr">
        <is>
          <t>label: SEDANG; kontradiksi 0/41 kalimat; uncertainty flag: False</t>
        </is>
      </c>
    </row>
    <row r="2148">
      <c r="A2148" t="n">
        <v>146</v>
      </c>
      <c r="B2148" t="inlineStr">
        <is>
          <t>A</t>
        </is>
      </c>
      <c r="C2148" t="inlineStr">
        <is>
          <t>Answer Accuracy (Pers. 20)</t>
        </is>
      </c>
      <c r="D2148" s="3" t="inlineStr">
        <is>
          <t>Correctᵢ ∈ {0,1} via LLM-as-Judge (HASIL: BENAR/SALAH)</t>
        </is>
      </c>
      <c r="E2148" s="3" t="inlineStr">
        <is>
          <t>BENAR</t>
        </is>
      </c>
      <c r="F2148" t="inlineStr">
        <is>
          <t>BENAR</t>
        </is>
      </c>
      <c r="G2148" s="3" t="inlineStr">
        <is>
          <t>evaluator: ollama/llama3</t>
        </is>
      </c>
    </row>
    <row r="2149">
      <c r="A2149" t="n">
        <v>146</v>
      </c>
      <c r="B2149" t="inlineStr">
        <is>
          <t>B</t>
        </is>
      </c>
      <c r="C2149" t="inlineStr">
        <is>
          <t>Faithfulness (Pers. 15)</t>
        </is>
      </c>
      <c r="D2149" s="3" t="inlineStr">
        <is>
          <t>F = 0,70×Entailment + 0,30×KWoverlap</t>
        </is>
      </c>
      <c r="E2149" s="3" t="inlineStr">
        <is>
          <t>Faithfulness = 0,70×Entailment + 0,30×KWoverlap = 0,70×1.0000 + 0,30×0.1566 = 0.7470  (entailment: 6/6 klaim didukung; KWoverlap = (|∩|/|ctx|)^0,65 = (15/260)^0,65 = 0.0577^0,65 = 0.1566)</t>
        </is>
      </c>
      <c r="F2149" t="n">
        <v>0.747</v>
      </c>
      <c r="G2149" s="3" t="inlineStr">
        <is>
          <t>metode: llm_entailment + keyword</t>
        </is>
      </c>
    </row>
    <row r="2150">
      <c r="A2150" t="n">
        <v>146</v>
      </c>
      <c r="B2150" t="inlineStr">
        <is>
          <t>B</t>
        </is>
      </c>
      <c r="C2150" t="inlineStr">
        <is>
          <t>— Entailment (Pers. 12-13)</t>
        </is>
      </c>
      <c r="D2150" s="3" t="inlineStr">
        <is>
          <t>Entailment = Σverdict(sᵢ)/m</t>
        </is>
      </c>
      <c r="E2150" s="3" t="inlineStr">
        <is>
          <t>6 klaim YA dari 6 klaim dievaluasi</t>
        </is>
      </c>
      <c r="F2150" t="n">
        <v>1</v>
      </c>
      <c r="G2150" s="3" t="inlineStr">
        <is>
          <t>verdict per klaim: sheet 'Entailment Detail'</t>
        </is>
      </c>
    </row>
    <row r="2151">
      <c r="A2151" t="n">
        <v>146</v>
      </c>
      <c r="B2151" t="inlineStr">
        <is>
          <t>B</t>
        </is>
      </c>
      <c r="C2151" t="inlineStr">
        <is>
          <t>— Keyword Overlap (Pers. 14)</t>
        </is>
      </c>
      <c r="D2151" s="3" t="inlineStr">
        <is>
          <t>KWoverlap = (|Stems(ans)∩Stems(ctx)| / |Stems(ctx)|)^0,65</t>
        </is>
      </c>
      <c r="E2151" s="3" t="inlineStr">
        <is>
          <t>KWoverlap = (|∩|/|ctx|)^0,65 = (15/260)^0,65 = 0.0577^0,65 = 0.1566</t>
        </is>
      </c>
      <c r="F2151" t="n">
        <v>0.1566</v>
      </c>
      <c r="G2151" s="3" t="inlineStr"/>
    </row>
    <row r="2152">
      <c r="A2152" t="n">
        <v>146</v>
      </c>
      <c r="B2152" t="inlineStr">
        <is>
          <t>B</t>
        </is>
      </c>
      <c r="C2152" t="inlineStr">
        <is>
          <t>Hallucination Risk (Pers. 18)</t>
        </is>
      </c>
      <c r="D2152" s="3" t="inlineStr">
        <is>
          <t>Risk = 0,65×(1-F) + 0,20×Contradiction + 0,15×Uncertainty</t>
        </is>
      </c>
      <c r="E2152" s="3" t="inlineStr">
        <is>
          <t>Risk = 0,65×OutOfContext + 0,20×Contradiction + 0,15×Uncertainty = 0,65×0.2530 + 0,20×0.0000 + 0,15×0.00 = 0.1645 [RENDAH]</t>
        </is>
      </c>
      <c r="F2152" t="n">
        <v>0.1645</v>
      </c>
      <c r="G2152" s="3" t="inlineStr">
        <is>
          <t>label: RENDAH; kontradiksi 0/48 kalimat; uncertainty flag: False</t>
        </is>
      </c>
    </row>
    <row r="2153">
      <c r="A2153" t="n">
        <v>146</v>
      </c>
      <c r="B2153" t="inlineStr">
        <is>
          <t>B</t>
        </is>
      </c>
      <c r="C2153" t="inlineStr">
        <is>
          <t>Answer Accuracy (Pers. 20)</t>
        </is>
      </c>
      <c r="D2153" s="3" t="inlineStr">
        <is>
          <t>Correctᵢ ∈ {0,1} via LLM-as-Judge (HASIL: BENAR/SALAH)</t>
        </is>
      </c>
      <c r="E2153" s="3" t="inlineStr">
        <is>
          <t>BENAR
Alasan: Jawaban sistem menjawab pertanyaan dengan benar berdasarkan referensi. Sistem menjelaskan tentang membuat dua versi algoritma, yaitu versi rekursif dan versi iteratif, untuk mencari jumlah semua bilangan bulat dari 1 sampai n. Fungsi rekursif `sumUpToN(n)` juga didefinisikan dengan benar berdasarkan referensi.</t>
        </is>
      </c>
      <c r="F2153" t="inlineStr">
        <is>
          <t>BENAR</t>
        </is>
      </c>
      <c r="G2153" s="3" t="inlineStr">
        <is>
          <t>evaluator: ollama/llama3</t>
        </is>
      </c>
    </row>
    <row r="2154">
      <c r="A2154" t="n">
        <v>147</v>
      </c>
      <c r="B2154" t="inlineStr">
        <is>
          <t>A</t>
        </is>
      </c>
      <c r="C2154" t="inlineStr">
        <is>
          <t>Precision@K (Pers. 2)</t>
        </is>
      </c>
      <c r="D2154" s="3" t="inlineStr">
        <is>
          <t>Precision@K = |{d ∈ TopK : sim(q,d) ≥ θ}| / K</t>
        </is>
      </c>
      <c r="E2154" s="3" t="inlineStr">
        <is>
          <t>skor = [0.7956, 0.7794, 0.7729, 0.7729, 0.7728, 0.7707] → 6 / 6</t>
        </is>
      </c>
      <c r="F2154" t="n">
        <v>1</v>
      </c>
      <c r="G2154" s="3" t="inlineStr">
        <is>
          <t>basis: skor chunk nyata (sesuai contoh Pers. 2 skripsi)</t>
        </is>
      </c>
    </row>
    <row r="2155">
      <c r="A2155" t="n">
        <v>147</v>
      </c>
      <c r="B2155" t="inlineStr">
        <is>
          <t>A</t>
        </is>
      </c>
      <c r="C2155" t="inlineStr">
        <is>
          <t>Recall@K (Pers. 4)</t>
        </is>
      </c>
      <c r="D2155" s="3" t="inlineStr">
        <is>
          <t>Recall@K = |{kata kunci ditemukan : sim ≥ θ}| / |R|</t>
        </is>
      </c>
      <c r="E2155" s="3" t="inlineStr">
        <is>
          <t>skor = [0.5915, 0.5386, 0.526, 0.5151, 0.5087, 0.4574] → 6 / 7</t>
        </is>
      </c>
      <c r="F2155" t="n">
        <v>0.8571</v>
      </c>
      <c r="G2155" s="3" t="inlineStr"/>
    </row>
    <row r="2156">
      <c r="A2156" t="n">
        <v>147</v>
      </c>
      <c r="B2156" t="inlineStr">
        <is>
          <t>A</t>
        </is>
      </c>
      <c r="C2156" t="inlineStr">
        <is>
          <t>Mean Similarity (Pers. 6)</t>
        </is>
      </c>
      <c r="D2156" s="3" t="inlineStr">
        <is>
          <t>MeanSim = (1/K) × Σ sim(q, dᵢ)</t>
        </is>
      </c>
      <c r="E2156" s="3" t="inlineStr">
        <is>
          <t>skor = [0.7956, 0.7794, 0.7729, 0.7729, 0.7728, 0.7707] → (0.7956 + 0.7794 + 0.7729 + 0.7729 + 0.7728 + 0.7707) / 6</t>
        </is>
      </c>
      <c r="F2156" t="n">
        <v>0.7774</v>
      </c>
      <c r="G2156" s="3" t="inlineStr"/>
    </row>
    <row r="2157">
      <c r="A2157" t="n">
        <v>147</v>
      </c>
      <c r="B2157" t="inlineStr">
        <is>
          <t>A</t>
        </is>
      </c>
      <c r="C2157" t="inlineStr">
        <is>
          <t>Coverage (Pers. 8)</t>
        </is>
      </c>
      <c r="D2157" s="3" t="inlineStr">
        <is>
          <t>Coverage = |{dᵢ ∈ TopK : sim(q,dᵢ) ≥ θc}| / K</t>
        </is>
      </c>
      <c r="E2157" s="3" t="inlineStr">
        <is>
          <t>skor = [0.7956, 0.7794, 0.7729, 0.7729, 0.7728, 0.7707] → 6 / 6</t>
        </is>
      </c>
      <c r="F2157" t="n">
        <v>1</v>
      </c>
      <c r="G2157" s="3" t="inlineStr"/>
    </row>
    <row r="2158">
      <c r="A2158" t="n">
        <v>147</v>
      </c>
      <c r="B2158" t="inlineStr">
        <is>
          <t>A</t>
        </is>
      </c>
      <c r="C2158" t="inlineStr">
        <is>
          <t>Source Diversity (Pers. 10)</t>
        </is>
      </c>
      <c r="D2158" s="3" t="inlineStr">
        <is>
          <t>Diversity = |sumber unik dalam TopK| / K</t>
        </is>
      </c>
      <c r="E2158" s="3" t="inlineStr">
        <is>
          <t>skor = ['GT_DETAIL_PT05_Pattern_Recognition.txt', 'GT_DETAIL_PT09_Variabel_TipeData_Operator_List.txt', 'GT_SUBTOPIK_03_Pola_Bilangan_Deret.txt', 'GT_SUBTOPIK_08_Perulangan_For_While.txt'] → 4 / 6</t>
        </is>
      </c>
      <c r="F2158" t="n">
        <v>0.6667</v>
      </c>
      <c r="G2158" s="3" t="inlineStr">
        <is>
          <t>file unik: GT_DETAIL_PT05_Pattern_Recognition.txt, GT_DETAIL_PT09_Variabel_TipeData_Operator_List.txt, GT_SUBTOPIK_03_Pola_Bilangan_Deret.txt, GT_SUBTOPIK_08_Perulangan_For_While.txt</t>
        </is>
      </c>
    </row>
    <row r="2159">
      <c r="A2159" t="n">
        <v>147</v>
      </c>
      <c r="B2159" t="inlineStr">
        <is>
          <t>A</t>
        </is>
      </c>
      <c r="C2159" t="inlineStr">
        <is>
          <t>Faithfulness (Pers. 15)</t>
        </is>
      </c>
      <c r="D2159" s="3" t="inlineStr">
        <is>
          <t>F = 0,70×Entailment + 0,30×KWoverlap</t>
        </is>
      </c>
      <c r="E2159" s="3" t="inlineStr">
        <is>
          <t>Faithfulness = 0,70×Entailment + 0,30×KWoverlap = 0,70×0.8333 + 0,30×0.0892 = 0.6101  (entailment: 5/6 klaim didukung; KWoverlap = (|∩|/|ctx|)^0,65 = (5/206)^0,65 = 0.0243^0,65 = 0.0892)</t>
        </is>
      </c>
      <c r="F2159" t="n">
        <v>0.6101</v>
      </c>
      <c r="G2159" s="3" t="inlineStr">
        <is>
          <t>metode: llm_entailment + keyword</t>
        </is>
      </c>
    </row>
    <row r="2160">
      <c r="A2160" t="n">
        <v>147</v>
      </c>
      <c r="B2160" t="inlineStr">
        <is>
          <t>A</t>
        </is>
      </c>
      <c r="C2160" t="inlineStr">
        <is>
          <t>— Entailment (Pers. 12-13)</t>
        </is>
      </c>
      <c r="D2160" s="3" t="inlineStr">
        <is>
          <t>Entailment = Σverdict(sᵢ)/m</t>
        </is>
      </c>
      <c r="E2160" s="3" t="inlineStr">
        <is>
          <t>5 klaim YA dari 6 klaim dievaluasi</t>
        </is>
      </c>
      <c r="F2160" t="n">
        <v>0.8333</v>
      </c>
      <c r="G2160" s="3" t="inlineStr">
        <is>
          <t>verdict per klaim: sheet 'Entailment Detail'</t>
        </is>
      </c>
    </row>
    <row r="2161">
      <c r="A2161" t="n">
        <v>147</v>
      </c>
      <c r="B2161" t="inlineStr">
        <is>
          <t>A</t>
        </is>
      </c>
      <c r="C2161" t="inlineStr">
        <is>
          <t>— Keyword Overlap (Pers. 14)</t>
        </is>
      </c>
      <c r="D2161" s="3" t="inlineStr">
        <is>
          <t>KWoverlap = (|Stems(ans)∩Stems(ctx)| / |Stems(ctx)|)^0,65</t>
        </is>
      </c>
      <c r="E2161" s="3" t="inlineStr">
        <is>
          <t>KWoverlap = (|∩|/|ctx|)^0,65 = (5/206)^0,65 = 0.0243^0,65 = 0.0892</t>
        </is>
      </c>
      <c r="F2161" t="n">
        <v>0.0892</v>
      </c>
      <c r="G2161" s="3" t="inlineStr"/>
    </row>
    <row r="2162">
      <c r="A2162" t="n">
        <v>147</v>
      </c>
      <c r="B2162" t="inlineStr">
        <is>
          <t>A</t>
        </is>
      </c>
      <c r="C2162" t="inlineStr">
        <is>
          <t>Hallucination Risk (Pers. 18)</t>
        </is>
      </c>
      <c r="D2162" s="3" t="inlineStr">
        <is>
          <t>Risk = 0,65×(1-F) + 0,20×Contradiction + 0,15×Uncertainty</t>
        </is>
      </c>
      <c r="E2162" s="3" t="inlineStr">
        <is>
          <t>Risk = 0,65×OutOfContext + 0,20×Contradiction + 0,15×Uncertainty = 0,65×0.3899 + 0,20×0.0000 + 0,15×0.00 = 0.2534 [RENDAH]</t>
        </is>
      </c>
      <c r="F2162" t="n">
        <v>0.2534</v>
      </c>
      <c r="G2162" s="3" t="inlineStr">
        <is>
          <t>label: RENDAH; kontradiksi 0/33 kalimat; uncertainty flag: False</t>
        </is>
      </c>
    </row>
    <row r="2163">
      <c r="A2163" t="n">
        <v>147</v>
      </c>
      <c r="B2163" t="inlineStr">
        <is>
          <t>A</t>
        </is>
      </c>
      <c r="C2163" t="inlineStr">
        <is>
          <t>Answer Accuracy (Pers. 20)</t>
        </is>
      </c>
      <c r="D2163" s="3" t="inlineStr">
        <is>
          <t>Correctᵢ ∈ {0,1} via LLM-as-Judge (HASIL: BENAR/SALAH)</t>
        </is>
      </c>
      <c r="E2163" s="3" t="inlineStr">
        <is>
          <t>BENAR
Rationale: The system's answer correctly identifies the recursive formula for myFunc(n) and applies it iteratively to compute myFunc(5). The tracing of the computation is accurate, and the result matches the expected value. Although the system's answer does not provide an explicit calculation, the underlying mathematical thinking is sound.</t>
        </is>
      </c>
      <c r="F2163" t="inlineStr">
        <is>
          <t>BENAR</t>
        </is>
      </c>
      <c r="G2163" s="3" t="inlineStr">
        <is>
          <t>evaluator: ollama/llama3</t>
        </is>
      </c>
    </row>
    <row r="2164">
      <c r="A2164" t="n">
        <v>147</v>
      </c>
      <c r="B2164" t="inlineStr">
        <is>
          <t>B</t>
        </is>
      </c>
      <c r="C2164" t="inlineStr">
        <is>
          <t>Faithfulness (Pers. 15)</t>
        </is>
      </c>
      <c r="D2164" s="3" t="inlineStr">
        <is>
          <t>F = 0,70×Entailment + 0,30×KWoverlap</t>
        </is>
      </c>
      <c r="E2164" s="3" t="inlineStr">
        <is>
          <t>Faithfulness = 0,70×Entailment + 0,30×KWoverlap = 0,70×0.8333 + 0,30×0.1576 = 0.6306  (entailment: 5/6 klaim didukung; KWoverlap = (|∩|/|ctx|)^0,65 = (12/206)^0,65 = 0.0583^0,65 = 0.1576)</t>
        </is>
      </c>
      <c r="F2164" t="n">
        <v>0.6306</v>
      </c>
      <c r="G2164" s="3" t="inlineStr">
        <is>
          <t>metode: llm_entailment + keyword</t>
        </is>
      </c>
    </row>
    <row r="2165">
      <c r="A2165" t="n">
        <v>147</v>
      </c>
      <c r="B2165" t="inlineStr">
        <is>
          <t>B</t>
        </is>
      </c>
      <c r="C2165" t="inlineStr">
        <is>
          <t>— Entailment (Pers. 12-13)</t>
        </is>
      </c>
      <c r="D2165" s="3" t="inlineStr">
        <is>
          <t>Entailment = Σverdict(sᵢ)/m</t>
        </is>
      </c>
      <c r="E2165" s="3" t="inlineStr">
        <is>
          <t>5 klaim YA dari 6 klaim dievaluasi</t>
        </is>
      </c>
      <c r="F2165" t="n">
        <v>0.8333</v>
      </c>
      <c r="G2165" s="3" t="inlineStr">
        <is>
          <t>verdict per klaim: sheet 'Entailment Detail'</t>
        </is>
      </c>
    </row>
    <row r="2166">
      <c r="A2166" t="n">
        <v>147</v>
      </c>
      <c r="B2166" t="inlineStr">
        <is>
          <t>B</t>
        </is>
      </c>
      <c r="C2166" t="inlineStr">
        <is>
          <t>— Keyword Overlap (Pers. 14)</t>
        </is>
      </c>
      <c r="D2166" s="3" t="inlineStr">
        <is>
          <t>KWoverlap = (|Stems(ans)∩Stems(ctx)| / |Stems(ctx)|)^0,65</t>
        </is>
      </c>
      <c r="E2166" s="3" t="inlineStr">
        <is>
          <t>KWoverlap = (|∩|/|ctx|)^0,65 = (12/206)^0,65 = 0.0583^0,65 = 0.1576</t>
        </is>
      </c>
      <c r="F2166" t="n">
        <v>0.1576</v>
      </c>
      <c r="G2166" s="3" t="inlineStr"/>
    </row>
    <row r="2167">
      <c r="A2167" t="n">
        <v>147</v>
      </c>
      <c r="B2167" t="inlineStr">
        <is>
          <t>B</t>
        </is>
      </c>
      <c r="C2167" t="inlineStr">
        <is>
          <t>Hallucination Risk (Pers. 18)</t>
        </is>
      </c>
      <c r="D2167" s="3" t="inlineStr">
        <is>
          <t>Risk = 0,65×(1-F) + 0,20×Contradiction + 0,15×Uncertainty</t>
        </is>
      </c>
      <c r="E2167" s="3" t="inlineStr">
        <is>
          <t>Risk = 0,65×OutOfContext + 0,20×Contradiction + 0,15×Uncertainty = 0,65×0.3694 + 0,20×0.0000 + 0,15×0.00 = 0.2401 [RENDAH]</t>
        </is>
      </c>
      <c r="F2167" t="n">
        <v>0.2401</v>
      </c>
      <c r="G2167" s="3" t="inlineStr">
        <is>
          <t>label: RENDAH; kontradiksi 0/10 kalimat; uncertainty flag: False</t>
        </is>
      </c>
    </row>
    <row r="2168">
      <c r="A2168" t="n">
        <v>147</v>
      </c>
      <c r="B2168" t="inlineStr">
        <is>
          <t>B</t>
        </is>
      </c>
      <c r="C2168" t="inlineStr">
        <is>
          <t>Answer Accuracy (Pers. 20)</t>
        </is>
      </c>
      <c r="D2168" s="3" t="inlineStr">
        <is>
          <t>Correctᵢ ∈ {0,1} via LLM-as-Judge (HASIL: BENAR/SALAH)</t>
        </is>
      </c>
      <c r="E2168" s="3" t="inlineStr">
        <is>
          <t>Jawaban sistem:</t>
        </is>
      </c>
      <c r="F2168" t="inlineStr">
        <is>
          <t>BENAR</t>
        </is>
      </c>
      <c r="G2168" s="3" t="inlineStr">
        <is>
          <t>evaluator: ollama/llama3</t>
        </is>
      </c>
    </row>
    <row r="2169">
      <c r="A2169" t="n">
        <v>148</v>
      </c>
      <c r="B2169" t="inlineStr">
        <is>
          <t>A</t>
        </is>
      </c>
      <c r="C2169" t="inlineStr">
        <is>
          <t>Precision@K (Pers. 2)</t>
        </is>
      </c>
      <c r="D2169" s="3" t="inlineStr">
        <is>
          <t>Precision@K = |{d ∈ TopK : sim(q,d) ≥ θ}| / K</t>
        </is>
      </c>
      <c r="E2169" s="3" t="inlineStr">
        <is>
          <t>skor = [0.7735, 0.7637, 0.7388, 0.7375, 0.7319, 0.7312] → 6 / 6</t>
        </is>
      </c>
      <c r="F2169" t="n">
        <v>1</v>
      </c>
      <c r="G2169" s="3" t="inlineStr">
        <is>
          <t>basis: skor chunk nyata (sesuai contoh Pers. 2 skripsi)</t>
        </is>
      </c>
    </row>
    <row r="2170">
      <c r="A2170" t="n">
        <v>148</v>
      </c>
      <c r="B2170" t="inlineStr">
        <is>
          <t>A</t>
        </is>
      </c>
      <c r="C2170" t="inlineStr">
        <is>
          <t>Recall@K (Pers. 4)</t>
        </is>
      </c>
      <c r="D2170" s="3" t="inlineStr">
        <is>
          <t>Recall@K = |{kata kunci ditemukan : sim ≥ θ}| / |R|</t>
        </is>
      </c>
      <c r="E2170" s="3" t="inlineStr">
        <is>
          <t>skor = [0.7348, 0.5969, 0.5275, 0.4736, 0.4248, 0.4165] → 6 / 6</t>
        </is>
      </c>
      <c r="F2170" t="n">
        <v>1</v>
      </c>
      <c r="G2170" s="3" t="inlineStr"/>
    </row>
    <row r="2171">
      <c r="A2171" t="n">
        <v>148</v>
      </c>
      <c r="B2171" t="inlineStr">
        <is>
          <t>A</t>
        </is>
      </c>
      <c r="C2171" t="inlineStr">
        <is>
          <t>Mean Similarity (Pers. 6)</t>
        </is>
      </c>
      <c r="D2171" s="3" t="inlineStr">
        <is>
          <t>MeanSim = (1/K) × Σ sim(q, dᵢ)</t>
        </is>
      </c>
      <c r="E2171" s="3" t="inlineStr">
        <is>
          <t>skor = [0.7735, 0.7637, 0.7388, 0.7375, 0.7319, 0.7312] → (0.7735 + 0.7637 + 0.7388 + 0.7375 + 0.7319 + 0.7312) / 6</t>
        </is>
      </c>
      <c r="F2171" t="n">
        <v>0.7461</v>
      </c>
      <c r="G2171" s="3" t="inlineStr"/>
    </row>
    <row r="2172">
      <c r="A2172" t="n">
        <v>148</v>
      </c>
      <c r="B2172" t="inlineStr">
        <is>
          <t>A</t>
        </is>
      </c>
      <c r="C2172" t="inlineStr">
        <is>
          <t>Coverage (Pers. 8)</t>
        </is>
      </c>
      <c r="D2172" s="3" t="inlineStr">
        <is>
          <t>Coverage = |{dᵢ ∈ TopK : sim(q,dᵢ) ≥ θc}| / K</t>
        </is>
      </c>
      <c r="E2172" s="3" t="inlineStr">
        <is>
          <t>skor = [0.7735, 0.7637, 0.7388, 0.7375, 0.7319, 0.7312] → 6 / 6</t>
        </is>
      </c>
      <c r="F2172" t="n">
        <v>1</v>
      </c>
      <c r="G2172" s="3" t="inlineStr"/>
    </row>
    <row r="2173">
      <c r="A2173" t="n">
        <v>148</v>
      </c>
      <c r="B2173" t="inlineStr">
        <is>
          <t>A</t>
        </is>
      </c>
      <c r="C2173" t="inlineStr">
        <is>
          <t>Source Diversity (Pers. 10)</t>
        </is>
      </c>
      <c r="D2173" s="3" t="inlineStr">
        <is>
          <t>Diversity = |sumber unik dalam TopK| / K</t>
        </is>
      </c>
      <c r="E2173" s="3" t="inlineStr">
        <is>
          <t>skor = ['GT_CT07.txt', 'GT_DETAIL_PT07_Notasi_Algoritme.txt', 'GT_DETAIL_PT10_Percabangan.txt', 'GT_DETAIL_PT11_Perulangan.txt', 'GT_SUBTOPIK_05_Pseudocode_Algoritme.txt'] → 5 / 6</t>
        </is>
      </c>
      <c r="F2173" t="n">
        <v>0.8333</v>
      </c>
      <c r="G2173" s="3" t="inlineStr">
        <is>
          <t>file unik: GT_CT07.txt, GT_DETAIL_PT07_Notasi_Algoritme.txt, GT_DETAIL_PT10_Percabangan.txt, GT_DETAIL_PT11_Perulangan.txt, GT_SUBTOPIK_05_Pseudocode_Algoritme.txt</t>
        </is>
      </c>
    </row>
    <row r="2174">
      <c r="A2174" t="n">
        <v>148</v>
      </c>
      <c r="B2174" t="inlineStr">
        <is>
          <t>A</t>
        </is>
      </c>
      <c r="C2174" t="inlineStr">
        <is>
          <t>Faithfulness (Pers. 15)</t>
        </is>
      </c>
      <c r="D2174" s="3" t="inlineStr">
        <is>
          <t>F = 0,70×Entailment + 0,30×KWoverlap</t>
        </is>
      </c>
      <c r="E2174" s="3" t="inlineStr">
        <is>
          <t>Faithfulness = 0,70×Entailment + 0,30×KWoverlap = 0,70×1.0000 + 0,30×0.2370 = 0.7711  (entailment: 6/6 klaim didukung; KWoverlap = (|∩|/|ctx|)^0,65 = (19/174)^0,65 = 0.1092^0,65 = 0.2370)</t>
        </is>
      </c>
      <c r="F2174" t="n">
        <v>0.7711</v>
      </c>
      <c r="G2174" s="3" t="inlineStr">
        <is>
          <t>metode: llm_entailment + keyword</t>
        </is>
      </c>
    </row>
    <row r="2175">
      <c r="A2175" t="n">
        <v>148</v>
      </c>
      <c r="B2175" t="inlineStr">
        <is>
          <t>A</t>
        </is>
      </c>
      <c r="C2175" t="inlineStr">
        <is>
          <t>— Entailment (Pers. 12-13)</t>
        </is>
      </c>
      <c r="D2175" s="3" t="inlineStr">
        <is>
          <t>Entailment = Σverdict(sᵢ)/m</t>
        </is>
      </c>
      <c r="E2175" s="3" t="inlineStr">
        <is>
          <t>6 klaim YA dari 6 klaim dievaluasi</t>
        </is>
      </c>
      <c r="F2175" t="n">
        <v>1</v>
      </c>
      <c r="G2175" s="3" t="inlineStr">
        <is>
          <t>verdict per klaim: sheet 'Entailment Detail'</t>
        </is>
      </c>
    </row>
    <row r="2176">
      <c r="A2176" t="n">
        <v>148</v>
      </c>
      <c r="B2176" t="inlineStr">
        <is>
          <t>A</t>
        </is>
      </c>
      <c r="C2176" t="inlineStr">
        <is>
          <t>— Keyword Overlap (Pers. 14)</t>
        </is>
      </c>
      <c r="D2176" s="3" t="inlineStr">
        <is>
          <t>KWoverlap = (|Stems(ans)∩Stems(ctx)| / |Stems(ctx)|)^0,65</t>
        </is>
      </c>
      <c r="E2176" s="3" t="inlineStr">
        <is>
          <t>KWoverlap = (|∩|/|ctx|)^0,65 = (19/174)^0,65 = 0.1092^0,65 = 0.2370</t>
        </is>
      </c>
      <c r="F2176" t="n">
        <v>0.237</v>
      </c>
      <c r="G2176" s="3" t="inlineStr"/>
    </row>
    <row r="2177">
      <c r="A2177" t="n">
        <v>148</v>
      </c>
      <c r="B2177" t="inlineStr">
        <is>
          <t>A</t>
        </is>
      </c>
      <c r="C2177" t="inlineStr">
        <is>
          <t>Hallucination Risk (Pers. 18)</t>
        </is>
      </c>
      <c r="D2177" s="3" t="inlineStr">
        <is>
          <t>Risk = 0,65×(1-F) + 0,20×Contradiction + 0,15×Uncertainty</t>
        </is>
      </c>
      <c r="E2177" s="3" t="inlineStr">
        <is>
          <t>Risk = 0,65×OutOfContext + 0,20×Contradiction + 0,15×Uncertainty = 0,65×0.2289 + 0,20×0.0000 + 0,15×0.00 = 0.1488 [RENDAH]</t>
        </is>
      </c>
      <c r="F2177" t="n">
        <v>0.1488</v>
      </c>
      <c r="G2177" s="3" t="inlineStr">
        <is>
          <t>label: RENDAH; kontradiksi 0/11 kalimat; uncertainty flag: False</t>
        </is>
      </c>
    </row>
    <row r="2178">
      <c r="A2178" t="n">
        <v>148</v>
      </c>
      <c r="B2178" t="inlineStr">
        <is>
          <t>B</t>
        </is>
      </c>
      <c r="C2178" t="inlineStr">
        <is>
          <t>Faithfulness (Pers. 15)</t>
        </is>
      </c>
      <c r="D2178" s="3" t="inlineStr">
        <is>
          <t>F = 0,70×Entailment + 0,30×KWoverlap</t>
        </is>
      </c>
      <c r="E2178" s="3" t="inlineStr">
        <is>
          <t>Faithfulness = 0,70×Entailment + 0,30×KWoverlap = 0,70×0.8333 + 0,30×0.2370 = 0.6544  (entailment: 5/6 klaim didukung; KWoverlap = (|∩|/|ctx|)^0,65 = (19/174)^0,65 = 0.1092^0,65 = 0.2370)</t>
        </is>
      </c>
      <c r="F2178" t="n">
        <v>0.6544</v>
      </c>
      <c r="G2178" s="3" t="inlineStr">
        <is>
          <t>metode: llm_entailment + keyword</t>
        </is>
      </c>
    </row>
    <row r="2179">
      <c r="A2179" t="n">
        <v>148</v>
      </c>
      <c r="B2179" t="inlineStr">
        <is>
          <t>B</t>
        </is>
      </c>
      <c r="C2179" t="inlineStr">
        <is>
          <t>— Entailment (Pers. 12-13)</t>
        </is>
      </c>
      <c r="D2179" s="3" t="inlineStr">
        <is>
          <t>Entailment = Σverdict(sᵢ)/m</t>
        </is>
      </c>
      <c r="E2179" s="3" t="inlineStr">
        <is>
          <t>5 klaim YA dari 6 klaim dievaluasi</t>
        </is>
      </c>
      <c r="F2179" t="n">
        <v>0.8333</v>
      </c>
      <c r="G2179" s="3" t="inlineStr">
        <is>
          <t>verdict per klaim: sheet 'Entailment Detail'</t>
        </is>
      </c>
    </row>
    <row r="2180">
      <c r="A2180" t="n">
        <v>148</v>
      </c>
      <c r="B2180" t="inlineStr">
        <is>
          <t>B</t>
        </is>
      </c>
      <c r="C2180" t="inlineStr">
        <is>
          <t>— Keyword Overlap (Pers. 14)</t>
        </is>
      </c>
      <c r="D2180" s="3" t="inlineStr">
        <is>
          <t>KWoverlap = (|Stems(ans)∩Stems(ctx)| / |Stems(ctx)|)^0,65</t>
        </is>
      </c>
      <c r="E2180" s="3" t="inlineStr">
        <is>
          <t>KWoverlap = (|∩|/|ctx|)^0,65 = (19/174)^0,65 = 0.1092^0,65 = 0.2370</t>
        </is>
      </c>
      <c r="F2180" t="n">
        <v>0.237</v>
      </c>
      <c r="G2180" s="3" t="inlineStr"/>
    </row>
    <row r="2181">
      <c r="A2181" t="n">
        <v>148</v>
      </c>
      <c r="B2181" t="inlineStr">
        <is>
          <t>B</t>
        </is>
      </c>
      <c r="C2181" t="inlineStr">
        <is>
          <t>Hallucination Risk (Pers. 18)</t>
        </is>
      </c>
      <c r="D2181" s="3" t="inlineStr">
        <is>
          <t>Risk = 0,65×(1-F) + 0,20×Contradiction + 0,15×Uncertainty</t>
        </is>
      </c>
      <c r="E2181" s="3" t="inlineStr">
        <is>
          <t>Risk = 0,65×OutOfContext + 0,20×Contradiction + 0,15×Uncertainty = 0,65×0.3456 + 0,20×0.0000 + 0,15×0.00 = 0.2246 [RENDAH]</t>
        </is>
      </c>
      <c r="F2181" t="n">
        <v>0.2246</v>
      </c>
      <c r="G2181" s="3" t="inlineStr">
        <is>
          <t>label: RENDAH; kontradiksi 0/22 kalimat; uncertainty flag: False</t>
        </is>
      </c>
    </row>
    <row r="2182">
      <c r="A2182" t="n">
        <v>149</v>
      </c>
      <c r="B2182" t="inlineStr">
        <is>
          <t>A</t>
        </is>
      </c>
      <c r="C2182" t="inlineStr">
        <is>
          <t>Precision@K (Pers. 2)</t>
        </is>
      </c>
      <c r="D2182" s="3" t="inlineStr">
        <is>
          <t>Precision@K = |{d ∈ TopK : sim(q,d) ≥ θ}| / K</t>
        </is>
      </c>
      <c r="E2182" s="3" t="inlineStr">
        <is>
          <t>skor = [0.7989, 0.7843, 0.7823, 0.7815, 0.7782, 0.759] → 6 / 6</t>
        </is>
      </c>
      <c r="F2182" t="n">
        <v>1</v>
      </c>
      <c r="G2182" s="3" t="inlineStr">
        <is>
          <t>basis: skor chunk nyata (sesuai contoh Pers. 2 skripsi)</t>
        </is>
      </c>
    </row>
    <row r="2183">
      <c r="A2183" t="n">
        <v>149</v>
      </c>
      <c r="B2183" t="inlineStr">
        <is>
          <t>A</t>
        </is>
      </c>
      <c r="C2183" t="inlineStr">
        <is>
          <t>Recall@K (Pers. 4)</t>
        </is>
      </c>
      <c r="D2183" s="3" t="inlineStr">
        <is>
          <t>Recall@K = |{kata kunci ditemukan : sim ≥ θ}| / |R|</t>
        </is>
      </c>
      <c r="E2183" s="3" t="inlineStr">
        <is>
          <t>skor = [0.6112, 0.5607, 0.5448, 0.4972, 0.478, 0.4517] → 6 / 7</t>
        </is>
      </c>
      <c r="F2183" t="n">
        <v>0.8571</v>
      </c>
      <c r="G2183" s="3" t="inlineStr"/>
    </row>
    <row r="2184">
      <c r="A2184" t="n">
        <v>149</v>
      </c>
      <c r="B2184" t="inlineStr">
        <is>
          <t>A</t>
        </is>
      </c>
      <c r="C2184" t="inlineStr">
        <is>
          <t>Mean Similarity (Pers. 6)</t>
        </is>
      </c>
      <c r="D2184" s="3" t="inlineStr">
        <is>
          <t>MeanSim = (1/K) × Σ sim(q, dᵢ)</t>
        </is>
      </c>
      <c r="E2184" s="3" t="inlineStr">
        <is>
          <t>skor = [0.7989, 0.7843, 0.7823, 0.7815, 0.7782, 0.759] → (0.7989 + 0.7843 + 0.7823 + 0.7815 + 0.7782 + 0.7590) / 6</t>
        </is>
      </c>
      <c r="F2184" t="n">
        <v>0.7806999999999999</v>
      </c>
      <c r="G2184" s="3" t="inlineStr"/>
    </row>
    <row r="2185">
      <c r="A2185" t="n">
        <v>149</v>
      </c>
      <c r="B2185" t="inlineStr">
        <is>
          <t>A</t>
        </is>
      </c>
      <c r="C2185" t="inlineStr">
        <is>
          <t>Coverage (Pers. 8)</t>
        </is>
      </c>
      <c r="D2185" s="3" t="inlineStr">
        <is>
          <t>Coverage = |{dᵢ ∈ TopK : sim(q,dᵢ) ≥ θc}| / K</t>
        </is>
      </c>
      <c r="E2185" s="3" t="inlineStr">
        <is>
          <t>skor = [0.7989, 0.7843, 0.7823, 0.7815, 0.7782, 0.759] → 6 / 6</t>
        </is>
      </c>
      <c r="F2185" t="n">
        <v>1</v>
      </c>
      <c r="G2185" s="3" t="inlineStr"/>
    </row>
    <row r="2186">
      <c r="A2186" t="n">
        <v>149</v>
      </c>
      <c r="B2186" t="inlineStr">
        <is>
          <t>A</t>
        </is>
      </c>
      <c r="C2186" t="inlineStr">
        <is>
          <t>Source Diversity (Pers. 10)</t>
        </is>
      </c>
      <c r="D2186" s="3" t="inlineStr">
        <is>
          <t>Diversity = |sumber unik dalam TopK| / K</t>
        </is>
      </c>
      <c r="E2186" s="3" t="inlineStr">
        <is>
          <t>skor = ['GT_CT07.txt', 'GT_CT10.txt', 'GT_DETAIL_PT07_Notasi_Algoritme.txt', 'GT_DETAIL_PT10_Percabangan.txt', 'GT_SUBTOPIK_04_Modulo_Siklus.txt', 'GT_SUBTOPIK_05_Pseudocode_Algoritme.txt'] → 6 / 6</t>
        </is>
      </c>
      <c r="F2186" t="n">
        <v>1</v>
      </c>
      <c r="G2186" s="3" t="inlineStr">
        <is>
          <t>file unik: GT_CT07.txt, GT_CT10.txt, GT_DETAIL_PT07_Notasi_Algoritme.txt, GT_DETAIL_PT10_Percabangan.txt, GT_SUBTOPIK_04_Modulo_Siklus.txt, GT_SUBTOPIK_05_Pseudocode_Algoritme.txt</t>
        </is>
      </c>
    </row>
    <row r="2187">
      <c r="A2187" t="n">
        <v>149</v>
      </c>
      <c r="B2187" t="inlineStr">
        <is>
          <t>A</t>
        </is>
      </c>
      <c r="C2187" t="inlineStr">
        <is>
          <t>Faithfulness (Pers. 15)</t>
        </is>
      </c>
      <c r="D2187" s="3" t="inlineStr">
        <is>
          <t>F = 0,70×Entailment + 0,30×KWoverlap</t>
        </is>
      </c>
      <c r="E2187" s="3" t="inlineStr">
        <is>
          <t>Faithfulness = 0,70×Entailment + 0,30×KWoverlap = 0,70×0.5000 + 0,30×0.2085 = 0.4125  (entailment: 3/6 klaim didukung; KWoverlap = (|∩|/|ctx|)^0,65 = (19/212)^0,65 = 0.0896^0,65 = 0.2085)</t>
        </is>
      </c>
      <c r="F2187" t="n">
        <v>0.4125</v>
      </c>
      <c r="G2187" s="3" t="inlineStr">
        <is>
          <t>metode: llm_entailment + keyword</t>
        </is>
      </c>
    </row>
    <row r="2188">
      <c r="A2188" t="n">
        <v>149</v>
      </c>
      <c r="B2188" t="inlineStr">
        <is>
          <t>A</t>
        </is>
      </c>
      <c r="C2188" t="inlineStr">
        <is>
          <t>— Entailment (Pers. 12-13)</t>
        </is>
      </c>
      <c r="D2188" s="3" t="inlineStr">
        <is>
          <t>Entailment = Σverdict(sᵢ)/m</t>
        </is>
      </c>
      <c r="E2188" s="3" t="inlineStr">
        <is>
          <t>3 klaim YA dari 6 klaim dievaluasi</t>
        </is>
      </c>
      <c r="F2188" t="n">
        <v>0.5</v>
      </c>
      <c r="G2188" s="3" t="inlineStr">
        <is>
          <t>verdict per klaim: sheet 'Entailment Detail'</t>
        </is>
      </c>
    </row>
    <row r="2189">
      <c r="A2189" t="n">
        <v>149</v>
      </c>
      <c r="B2189" t="inlineStr">
        <is>
          <t>A</t>
        </is>
      </c>
      <c r="C2189" t="inlineStr">
        <is>
          <t>— Keyword Overlap (Pers. 14)</t>
        </is>
      </c>
      <c r="D2189" s="3" t="inlineStr">
        <is>
          <t>KWoverlap = (|Stems(ans)∩Stems(ctx)| / |Stems(ctx)|)^0,65</t>
        </is>
      </c>
      <c r="E2189" s="3" t="inlineStr">
        <is>
          <t>KWoverlap = (|∩|/|ctx|)^0,65 = (19/212)^0,65 = 0.0896^0,65 = 0.2085</t>
        </is>
      </c>
      <c r="F2189" t="n">
        <v>0.2085</v>
      </c>
      <c r="G2189" s="3" t="inlineStr"/>
    </row>
    <row r="2190">
      <c r="A2190" t="n">
        <v>149</v>
      </c>
      <c r="B2190" t="inlineStr">
        <is>
          <t>A</t>
        </is>
      </c>
      <c r="C2190" t="inlineStr">
        <is>
          <t>Hallucination Risk (Pers. 18)</t>
        </is>
      </c>
      <c r="D2190" s="3" t="inlineStr">
        <is>
          <t>Risk = 0,65×(1-F) + 0,20×Contradiction + 0,15×Uncertainty</t>
        </is>
      </c>
      <c r="E2190" s="3" t="inlineStr">
        <is>
          <t>Risk = 0,65×OutOfContext + 0,20×Contradiction + 0,15×Uncertainty = 0,65×0.5875 + 0,20×0.0000 + 0,15×0.00 = 0.3819 [SEDANG]</t>
        </is>
      </c>
      <c r="F2190" t="n">
        <v>0.3819</v>
      </c>
      <c r="G2190" s="3" t="inlineStr">
        <is>
          <t>label: SEDANG; kontradiksi 0/18 kalimat; uncertainty flag: False</t>
        </is>
      </c>
    </row>
    <row r="2191">
      <c r="A2191" t="n">
        <v>149</v>
      </c>
      <c r="B2191" t="inlineStr">
        <is>
          <t>A</t>
        </is>
      </c>
      <c r="C2191" t="inlineStr">
        <is>
          <t>Answer Accuracy (Pers. 20)</t>
        </is>
      </c>
      <c r="D2191" s="3" t="inlineStr">
        <is>
          <t>Correctᵢ ∈ {0,1} via LLM-as-Judge (HASIL: BENAR/SALAH)</t>
        </is>
      </c>
      <c r="E2191" s="3" t="inlineStr">
        <is>
          <t>JAWABAN:</t>
        </is>
      </c>
      <c r="F2191" t="inlineStr">
        <is>
          <t>BENAR</t>
        </is>
      </c>
      <c r="G2191" s="3" t="inlineStr">
        <is>
          <t>evaluator: ollama/llama3</t>
        </is>
      </c>
    </row>
    <row r="2192">
      <c r="A2192" t="n">
        <v>149</v>
      </c>
      <c r="B2192" t="inlineStr">
        <is>
          <t>B</t>
        </is>
      </c>
      <c r="C2192" t="inlineStr">
        <is>
          <t>Faithfulness (Pers. 15)</t>
        </is>
      </c>
      <c r="D2192" s="3" t="inlineStr">
        <is>
          <t>F = 0,70×Entailment + 0,30×KWoverlap</t>
        </is>
      </c>
      <c r="E2192" s="3" t="inlineStr">
        <is>
          <t>Faithfulness = 0,70×Entailment + 0,30×KWoverlap = 0,70×0.3333 + 0,30×0.2225 = 0.3001  (entailment: 2/6 klaim didukung; KWoverlap = (|∩|/|ctx|)^0,65 = (21/212)^0,65 = 0.0991^0,65 = 0.2225)</t>
        </is>
      </c>
      <c r="F2192" t="n">
        <v>0.3001</v>
      </c>
      <c r="G2192" s="3" t="inlineStr">
        <is>
          <t>metode: llm_entailment + keyword</t>
        </is>
      </c>
    </row>
    <row r="2193">
      <c r="A2193" t="n">
        <v>149</v>
      </c>
      <c r="B2193" t="inlineStr">
        <is>
          <t>B</t>
        </is>
      </c>
      <c r="C2193" t="inlineStr">
        <is>
          <t>— Entailment (Pers. 12-13)</t>
        </is>
      </c>
      <c r="D2193" s="3" t="inlineStr">
        <is>
          <t>Entailment = Σverdict(sᵢ)/m</t>
        </is>
      </c>
      <c r="E2193" s="3" t="inlineStr">
        <is>
          <t>2 klaim YA dari 6 klaim dievaluasi</t>
        </is>
      </c>
      <c r="F2193" t="n">
        <v>0.3333</v>
      </c>
      <c r="G2193" s="3" t="inlineStr">
        <is>
          <t>verdict per klaim: sheet 'Entailment Detail'</t>
        </is>
      </c>
    </row>
    <row r="2194">
      <c r="A2194" t="n">
        <v>149</v>
      </c>
      <c r="B2194" t="inlineStr">
        <is>
          <t>B</t>
        </is>
      </c>
      <c r="C2194" t="inlineStr">
        <is>
          <t>— Keyword Overlap (Pers. 14)</t>
        </is>
      </c>
      <c r="D2194" s="3" t="inlineStr">
        <is>
          <t>KWoverlap = (|Stems(ans)∩Stems(ctx)| / |Stems(ctx)|)^0,65</t>
        </is>
      </c>
      <c r="E2194" s="3" t="inlineStr">
        <is>
          <t>KWoverlap = (|∩|/|ctx|)^0,65 = (21/212)^0,65 = 0.0991^0,65 = 0.2225</t>
        </is>
      </c>
      <c r="F2194" t="n">
        <v>0.2225</v>
      </c>
      <c r="G2194" s="3" t="inlineStr"/>
    </row>
    <row r="2195">
      <c r="A2195" t="n">
        <v>149</v>
      </c>
      <c r="B2195" t="inlineStr">
        <is>
          <t>B</t>
        </is>
      </c>
      <c r="C2195" t="inlineStr">
        <is>
          <t>Hallucination Risk (Pers. 18)</t>
        </is>
      </c>
      <c r="D2195" s="3" t="inlineStr">
        <is>
          <t>Risk = 0,65×(1-F) + 0,20×Contradiction + 0,15×Uncertainty</t>
        </is>
      </c>
      <c r="E2195" s="3" t="inlineStr">
        <is>
          <t>Risk = 0,65×OutOfContext + 0,20×Contradiction + 0,15×Uncertainty = 0,65×0.6999 + 0,20×0.0000 + 0,15×0.00 = 0.4549 [SEDANG]</t>
        </is>
      </c>
      <c r="F2195" t="n">
        <v>0.4549</v>
      </c>
      <c r="G2195" s="3" t="inlineStr">
        <is>
          <t>label: SEDANG; kontradiksi 0/57 kalimat; uncertainty flag: False</t>
        </is>
      </c>
    </row>
    <row r="2196">
      <c r="A2196" t="n">
        <v>149</v>
      </c>
      <c r="B2196" t="inlineStr">
        <is>
          <t>B</t>
        </is>
      </c>
      <c r="C2196" t="inlineStr">
        <is>
          <t>Answer Accuracy (Pers. 20)</t>
        </is>
      </c>
      <c r="D2196" s="3" t="inlineStr">
        <is>
          <t>Correctᵢ ∈ {0,1} via LLM-as-Judge (HASIL: BENAR/SALAH)</t>
        </is>
      </c>
      <c r="E2196" s="3" t="inlineStr">
        <is>
          <t>JAWABAN: 
Rumus 2^n - 1 dapat dibuktikan dengan menggunakan pseudocode rekursif untuk Menara Hanoi, seperti yang diterangkan sebelumnya. Pseudocode tersebut menunjukkan bahwa minimum perpindahan yang diperlukan adalah 2^n - 1, karena perpindahan cakram dilakukan secara rekursif dengan cara memindahkan n-1 cakram dari asal ke tujuan, kemudian mengulangi proses yang sama untuk sisanya.</t>
        </is>
      </c>
      <c r="F2196" t="inlineStr">
        <is>
          <t>BENAR</t>
        </is>
      </c>
      <c r="G2196" s="3" t="inlineStr">
        <is>
          <t>evaluator: ollama/llama3</t>
        </is>
      </c>
    </row>
    <row r="2197">
      <c r="A2197" t="n">
        <v>150</v>
      </c>
      <c r="B2197" t="inlineStr">
        <is>
          <t>A</t>
        </is>
      </c>
      <c r="C2197" t="inlineStr">
        <is>
          <t>Precision@K (Pers. 2)</t>
        </is>
      </c>
      <c r="D2197" s="3" t="inlineStr">
        <is>
          <t>Precision@K = |{d ∈ TopK : sim(q,d) ≥ θ}| / K</t>
        </is>
      </c>
      <c r="E2197" s="3" t="inlineStr">
        <is>
          <t>skor = [0.7323, 0.7318, 0.7233, 0.7194, 0.7191, 0.7173] → 6 / 6</t>
        </is>
      </c>
      <c r="F2197" t="n">
        <v>1</v>
      </c>
      <c r="G2197" s="3" t="inlineStr">
        <is>
          <t>basis: skor chunk nyata (sesuai contoh Pers. 2 skripsi)</t>
        </is>
      </c>
    </row>
    <row r="2198">
      <c r="A2198" t="n">
        <v>150</v>
      </c>
      <c r="B2198" t="inlineStr">
        <is>
          <t>A</t>
        </is>
      </c>
      <c r="C2198" t="inlineStr">
        <is>
          <t>Recall@K (Pers. 4)</t>
        </is>
      </c>
      <c r="D2198" s="3" t="inlineStr">
        <is>
          <t>Recall@K = |{kata kunci ditemukan : sim ≥ θ}| / |R|</t>
        </is>
      </c>
      <c r="E2198" s="3" t="inlineStr">
        <is>
          <t>skor = [0.6045, 0.5979, 0.5502, 0.5248, 0.4969, 0.4936] → 6 / 7</t>
        </is>
      </c>
      <c r="F2198" t="n">
        <v>0.8571</v>
      </c>
      <c r="G2198" s="3" t="inlineStr"/>
    </row>
    <row r="2199">
      <c r="A2199" t="n">
        <v>150</v>
      </c>
      <c r="B2199" t="inlineStr">
        <is>
          <t>A</t>
        </is>
      </c>
      <c r="C2199" t="inlineStr">
        <is>
          <t>Mean Similarity (Pers. 6)</t>
        </is>
      </c>
      <c r="D2199" s="3" t="inlineStr">
        <is>
          <t>MeanSim = (1/K) × Σ sim(q, dᵢ)</t>
        </is>
      </c>
      <c r="E2199" s="3" t="inlineStr">
        <is>
          <t>skor = [0.7323, 0.7318, 0.7233, 0.7194, 0.7191, 0.7173] → (0.7323 + 0.7318 + 0.7233 + 0.7194 + 0.7191 + 0.7173) / 6</t>
        </is>
      </c>
      <c r="F2199" t="n">
        <v>0.7239</v>
      </c>
      <c r="G2199" s="3" t="inlineStr"/>
    </row>
    <row r="2200">
      <c r="A2200" t="n">
        <v>150</v>
      </c>
      <c r="B2200" t="inlineStr">
        <is>
          <t>A</t>
        </is>
      </c>
      <c r="C2200" t="inlineStr">
        <is>
          <t>Coverage (Pers. 8)</t>
        </is>
      </c>
      <c r="D2200" s="3" t="inlineStr">
        <is>
          <t>Coverage = |{dᵢ ∈ TopK : sim(q,dᵢ) ≥ θc}| / K</t>
        </is>
      </c>
      <c r="E2200" s="3" t="inlineStr">
        <is>
          <t>skor = [0.7323, 0.7318, 0.7233, 0.7194, 0.7191, 0.7173] → 6 / 6</t>
        </is>
      </c>
      <c r="F2200" t="n">
        <v>1</v>
      </c>
      <c r="G2200" s="3" t="inlineStr"/>
    </row>
    <row r="2201">
      <c r="A2201" t="n">
        <v>150</v>
      </c>
      <c r="B2201" t="inlineStr">
        <is>
          <t>A</t>
        </is>
      </c>
      <c r="C2201" t="inlineStr">
        <is>
          <t>Source Diversity (Pers. 10)</t>
        </is>
      </c>
      <c r="D2201" s="3" t="inlineStr">
        <is>
          <t>Diversity = |sumber unik dalam TopK| / K</t>
        </is>
      </c>
      <c r="E2201" s="3" t="inlineStr">
        <is>
          <t>skor = ['GT_CT09.txt', 'GT_CT13.txt', 'GT_DETAIL_PT01_Pendahuluan.txt', 'GT_DETAIL_PT13_Struktur_Data.txt'] → 4 / 6</t>
        </is>
      </c>
      <c r="F2201" t="n">
        <v>0.6667</v>
      </c>
      <c r="G2201" s="3" t="inlineStr">
        <is>
          <t>file unik: GT_CT09.txt, GT_CT13.txt, GT_DETAIL_PT01_Pendahuluan.txt, GT_DETAIL_PT13_Struktur_Data.txt</t>
        </is>
      </c>
    </row>
    <row r="2202">
      <c r="A2202" t="n">
        <v>150</v>
      </c>
      <c r="B2202" t="inlineStr">
        <is>
          <t>A</t>
        </is>
      </c>
      <c r="C2202" t="inlineStr">
        <is>
          <t>Faithfulness (Pers. 15)</t>
        </is>
      </c>
      <c r="D2202" s="3" t="inlineStr">
        <is>
          <t>F = 0,70×Entailment + 0,30×KWoverlap</t>
        </is>
      </c>
      <c r="E2202" s="3" t="inlineStr">
        <is>
          <t>Faithfulness = 0,70×Entailment + 0,30×KWoverlap = 0,70×1.0000 + 0,30×0.1675 = 0.7502  (entailment: 6/6 klaim didukung; KWoverlap = (|∩|/|ctx|)^0,65 = (19/297)^0,65 = 0.0640^0,65 = 0.1675)</t>
        </is>
      </c>
      <c r="F2202" t="n">
        <v>0.7502</v>
      </c>
      <c r="G2202" s="3" t="inlineStr">
        <is>
          <t>metode: llm_entailment + keyword</t>
        </is>
      </c>
    </row>
    <row r="2203">
      <c r="A2203" t="n">
        <v>150</v>
      </c>
      <c r="B2203" t="inlineStr">
        <is>
          <t>A</t>
        </is>
      </c>
      <c r="C2203" t="inlineStr">
        <is>
          <t>— Entailment (Pers. 12-13)</t>
        </is>
      </c>
      <c r="D2203" s="3" t="inlineStr">
        <is>
          <t>Entailment = Σverdict(sᵢ)/m</t>
        </is>
      </c>
      <c r="E2203" s="3" t="inlineStr">
        <is>
          <t>6 klaim YA dari 6 klaim dievaluasi</t>
        </is>
      </c>
      <c r="F2203" t="n">
        <v>1</v>
      </c>
      <c r="G2203" s="3" t="inlineStr">
        <is>
          <t>verdict per klaim: sheet 'Entailment Detail'</t>
        </is>
      </c>
    </row>
    <row r="2204">
      <c r="A2204" t="n">
        <v>150</v>
      </c>
      <c r="B2204" t="inlineStr">
        <is>
          <t>A</t>
        </is>
      </c>
      <c r="C2204" t="inlineStr">
        <is>
          <t>— Keyword Overlap (Pers. 14)</t>
        </is>
      </c>
      <c r="D2204" s="3" t="inlineStr">
        <is>
          <t>KWoverlap = (|Stems(ans)∩Stems(ctx)| / |Stems(ctx)|)^0,65</t>
        </is>
      </c>
      <c r="E2204" s="3" t="inlineStr">
        <is>
          <t>KWoverlap = (|∩|/|ctx|)^0,65 = (19/297)^0,65 = 0.0640^0,65 = 0.1675</t>
        </is>
      </c>
      <c r="F2204" t="n">
        <v>0.1675</v>
      </c>
      <c r="G2204" s="3" t="inlineStr"/>
    </row>
    <row r="2205">
      <c r="A2205" t="n">
        <v>150</v>
      </c>
      <c r="B2205" t="inlineStr">
        <is>
          <t>A</t>
        </is>
      </c>
      <c r="C2205" t="inlineStr">
        <is>
          <t>Hallucination Risk (Pers. 18)</t>
        </is>
      </c>
      <c r="D2205" s="3" t="inlineStr">
        <is>
          <t>Risk = 0,65×(1-F) + 0,20×Contradiction + 0,15×Uncertainty</t>
        </is>
      </c>
      <c r="E2205" s="3" t="inlineStr">
        <is>
          <t>Risk = 0,65×OutOfContext + 0,20×Contradiction + 0,15×Uncertainty = 0,65×0.2498 + 0,20×0.0000 + 0,15×0.00 = 0.1624 [RENDAH]</t>
        </is>
      </c>
      <c r="F2205" t="n">
        <v>0.1624</v>
      </c>
      <c r="G2205" s="3" t="inlineStr">
        <is>
          <t>label: RENDAH; kontradiksi 0/22 kalimat; uncertainty flag: False</t>
        </is>
      </c>
    </row>
    <row r="2206">
      <c r="A2206" t="n">
        <v>150</v>
      </c>
      <c r="B2206" t="inlineStr">
        <is>
          <t>A</t>
        </is>
      </c>
      <c r="C2206" t="inlineStr">
        <is>
          <t>Answer Accuracy (Pers. 20)</t>
        </is>
      </c>
      <c r="D2206" s="3" t="inlineStr">
        <is>
          <t>Correctᵢ ∈ {0,1} via LLM-as-Judge (HASIL: BENAR/SALAH)</t>
        </is>
      </c>
      <c r="E2206" s="3" t="inlineStr"/>
      <c r="F2206" t="inlineStr">
        <is>
          <t>BENAR</t>
        </is>
      </c>
      <c r="G2206" s="3" t="inlineStr">
        <is>
          <t>evaluator: ollama/llama3</t>
        </is>
      </c>
    </row>
    <row r="2207">
      <c r="A2207" t="n">
        <v>150</v>
      </c>
      <c r="B2207" t="inlineStr">
        <is>
          <t>B</t>
        </is>
      </c>
      <c r="C2207" t="inlineStr">
        <is>
          <t>Faithfulness (Pers. 15)</t>
        </is>
      </c>
      <c r="D2207" s="3" t="inlineStr">
        <is>
          <t>F = 0,70×Entailment + 0,30×KWoverlap</t>
        </is>
      </c>
      <c r="E2207" s="3" t="inlineStr">
        <is>
          <t>Faithfulness = 0,70×Entailment + 0,30×KWoverlap = 0,70×0.8333 + 0,30×0.1174 = 0.6185  (entailment: 5/6 klaim didukung; KWoverlap = (|∩|/|ctx|)^0,65 = (11/297)^0,65 = 0.0370^0,65 = 0.1174)</t>
        </is>
      </c>
      <c r="F2207" t="n">
        <v>0.6185</v>
      </c>
      <c r="G2207" s="3" t="inlineStr">
        <is>
          <t>metode: llm_entailment + keyword</t>
        </is>
      </c>
    </row>
    <row r="2208">
      <c r="A2208" t="n">
        <v>150</v>
      </c>
      <c r="B2208" t="inlineStr">
        <is>
          <t>B</t>
        </is>
      </c>
      <c r="C2208" t="inlineStr">
        <is>
          <t>— Entailment (Pers. 12-13)</t>
        </is>
      </c>
      <c r="D2208" s="3" t="inlineStr">
        <is>
          <t>Entailment = Σverdict(sᵢ)/m</t>
        </is>
      </c>
      <c r="E2208" s="3" t="inlineStr">
        <is>
          <t>5 klaim YA dari 6 klaim dievaluasi</t>
        </is>
      </c>
      <c r="F2208" t="n">
        <v>0.8333</v>
      </c>
      <c r="G2208" s="3" t="inlineStr">
        <is>
          <t>verdict per klaim: sheet 'Entailment Detail'</t>
        </is>
      </c>
    </row>
    <row r="2209">
      <c r="A2209" t="n">
        <v>150</v>
      </c>
      <c r="B2209" t="inlineStr">
        <is>
          <t>B</t>
        </is>
      </c>
      <c r="C2209" t="inlineStr">
        <is>
          <t>— Keyword Overlap (Pers. 14)</t>
        </is>
      </c>
      <c r="D2209" s="3" t="inlineStr">
        <is>
          <t>KWoverlap = (|Stems(ans)∩Stems(ctx)| / |Stems(ctx)|)^0,65</t>
        </is>
      </c>
      <c r="E2209" s="3" t="inlineStr">
        <is>
          <t>KWoverlap = (|∩|/|ctx|)^0,65 = (11/297)^0,65 = 0.0370^0,65 = 0.1174</t>
        </is>
      </c>
      <c r="F2209" t="n">
        <v>0.1174</v>
      </c>
      <c r="G2209" s="3" t="inlineStr"/>
    </row>
    <row r="2210">
      <c r="A2210" t="n">
        <v>150</v>
      </c>
      <c r="B2210" t="inlineStr">
        <is>
          <t>B</t>
        </is>
      </c>
      <c r="C2210" t="inlineStr">
        <is>
          <t>Hallucination Risk (Pers. 18)</t>
        </is>
      </c>
      <c r="D2210" s="3" t="inlineStr">
        <is>
          <t>Risk = 0,65×(1-F) + 0,20×Contradiction + 0,15×Uncertainty</t>
        </is>
      </c>
      <c r="E2210" s="3" t="inlineStr">
        <is>
          <t>Risk = 0,65×OutOfContext + 0,20×Contradiction + 0,15×Uncertainty = 0,65×0.3815 + 0,20×0.0000 + 0,15×0.00 = 0.2480 [RENDAH]</t>
        </is>
      </c>
      <c r="F2210" t="n">
        <v>0.248</v>
      </c>
      <c r="G2210" s="3" t="inlineStr">
        <is>
          <t>label: RENDAH; kontradiksi 0/20 kalimat; uncertainty flag: False</t>
        </is>
      </c>
    </row>
    <row r="2211">
      <c r="A2211" t="n">
        <v>150</v>
      </c>
      <c r="B2211" t="inlineStr">
        <is>
          <t>B</t>
        </is>
      </c>
      <c r="C2211" t="inlineStr">
        <is>
          <t>Answer Accuracy (Pers. 20)</t>
        </is>
      </c>
      <c r="D2211" s="3" t="inlineStr">
        <is>
          <t>Correctᵢ ∈ {0,1} via LLM-as-Judge (HASIL: BENAR/SALAH)</t>
        </is>
      </c>
      <c r="E2211" s="3" t="inlineStr">
        <is>
          <t>BENAR</t>
        </is>
      </c>
      <c r="F2211" t="inlineStr">
        <is>
          <t>BENAR</t>
        </is>
      </c>
      <c r="G2211" s="3" t="inlineStr">
        <is>
          <t>evaluator: ollama/llama3</t>
        </is>
      </c>
    </row>
    <row r="2212">
      <c r="A2212" t="n">
        <v>151</v>
      </c>
      <c r="B2212" t="inlineStr">
        <is>
          <t>A</t>
        </is>
      </c>
      <c r="C2212" t="inlineStr">
        <is>
          <t>Precision@K (Pers. 2)</t>
        </is>
      </c>
      <c r="D2212" s="3" t="inlineStr">
        <is>
          <t>Precision@K = |{d ∈ TopK : sim(q,d) ≥ θ}| / K</t>
        </is>
      </c>
      <c r="E2212" s="3" t="inlineStr">
        <is>
          <t>skor = [0.7998, 0.789, 0.7652, 0.7574, 0.7571, 0.7512] → 6 / 6</t>
        </is>
      </c>
      <c r="F2212" t="n">
        <v>1</v>
      </c>
      <c r="G2212" s="3" t="inlineStr">
        <is>
          <t>basis: skor chunk nyata (sesuai contoh Pers. 2 skripsi)</t>
        </is>
      </c>
    </row>
    <row r="2213">
      <c r="A2213" t="n">
        <v>151</v>
      </c>
      <c r="B2213" t="inlineStr">
        <is>
          <t>A</t>
        </is>
      </c>
      <c r="C2213" t="inlineStr">
        <is>
          <t>Recall@K (Pers. 4)</t>
        </is>
      </c>
      <c r="D2213" s="3" t="inlineStr">
        <is>
          <t>Recall@K = |{kata kunci ditemukan : sim ≥ θ}| / |R|</t>
        </is>
      </c>
      <c r="E2213" s="3" t="inlineStr">
        <is>
          <t>skor = [0.6455, 0.634, 0.6093, 0.5844, 0.5326, 0.5326] → 6 / 7</t>
        </is>
      </c>
      <c r="F2213" t="n">
        <v>0.8571</v>
      </c>
      <c r="G2213" s="3" t="inlineStr"/>
    </row>
    <row r="2214">
      <c r="A2214" t="n">
        <v>151</v>
      </c>
      <c r="B2214" t="inlineStr">
        <is>
          <t>A</t>
        </is>
      </c>
      <c r="C2214" t="inlineStr">
        <is>
          <t>Mean Similarity (Pers. 6)</t>
        </is>
      </c>
      <c r="D2214" s="3" t="inlineStr">
        <is>
          <t>MeanSim = (1/K) × Σ sim(q, dᵢ)</t>
        </is>
      </c>
      <c r="E2214" s="3" t="inlineStr">
        <is>
          <t>skor = [0.7998, 0.789, 0.7652, 0.7574, 0.7571, 0.7512] → (0.7998 + 0.7890 + 0.7652 + 0.7574 + 0.7571 + 0.7512) / 6</t>
        </is>
      </c>
      <c r="F2214" t="n">
        <v>0.77</v>
      </c>
      <c r="G2214" s="3" t="inlineStr"/>
    </row>
    <row r="2215">
      <c r="A2215" t="n">
        <v>151</v>
      </c>
      <c r="B2215" t="inlineStr">
        <is>
          <t>A</t>
        </is>
      </c>
      <c r="C2215" t="inlineStr">
        <is>
          <t>Coverage (Pers. 8)</t>
        </is>
      </c>
      <c r="D2215" s="3" t="inlineStr">
        <is>
          <t>Coverage = |{dᵢ ∈ TopK : sim(q,dᵢ) ≥ θc}| / K</t>
        </is>
      </c>
      <c r="E2215" s="3" t="inlineStr">
        <is>
          <t>skor = [0.7998, 0.789, 0.7652, 0.7574, 0.7571, 0.7512] → 6 / 6</t>
        </is>
      </c>
      <c r="F2215" t="n">
        <v>1</v>
      </c>
      <c r="G2215" s="3" t="inlineStr"/>
    </row>
    <row r="2216">
      <c r="A2216" t="n">
        <v>151</v>
      </c>
      <c r="B2216" t="inlineStr">
        <is>
          <t>A</t>
        </is>
      </c>
      <c r="C2216" t="inlineStr">
        <is>
          <t>Source Diversity (Pers. 10)</t>
        </is>
      </c>
      <c r="D2216" s="3" t="inlineStr">
        <is>
          <t>Diversity = |sumber unik dalam TopK| / K</t>
        </is>
      </c>
      <c r="E2216" s="3" t="inlineStr">
        <is>
          <t>skor = ['GT_CT13.txt', 'GT_DETAIL_PT13_Struktur_Data.txt', 'GT_SUBTOPIK_12_Stack_Queue.txt'] → 3 / 6</t>
        </is>
      </c>
      <c r="F2216" t="n">
        <v>0.5</v>
      </c>
      <c r="G2216" s="3" t="inlineStr">
        <is>
          <t>file unik: GT_CT13.txt, GT_DETAIL_PT13_Struktur_Data.txt, GT_SUBTOPIK_12_Stack_Queue.txt</t>
        </is>
      </c>
    </row>
    <row r="2217">
      <c r="A2217" t="n">
        <v>151</v>
      </c>
      <c r="B2217" t="inlineStr">
        <is>
          <t>A</t>
        </is>
      </c>
      <c r="C2217" t="inlineStr">
        <is>
          <t>Faithfulness (Pers. 15)</t>
        </is>
      </c>
      <c r="D2217" s="3" t="inlineStr">
        <is>
          <t>F = 0,70×Entailment + 0,30×KWoverlap</t>
        </is>
      </c>
      <c r="E2217" s="3" t="inlineStr">
        <is>
          <t>Faithfulness = 0,70×Entailment + 0,30×KWoverlap = 0,70×1.0000 + 0,30×0.3366 = 0.8010  (entailment: 6/6 klaim didukung; KWoverlap = (|∩|/|ctx|)^0,65 = (44/235)^0,65 = 0.1872^0,65 = 0.3366)</t>
        </is>
      </c>
      <c r="F2217" t="n">
        <v>0.801</v>
      </c>
      <c r="G2217" s="3" t="inlineStr">
        <is>
          <t>metode: llm_entailment + keyword</t>
        </is>
      </c>
    </row>
    <row r="2218">
      <c r="A2218" t="n">
        <v>151</v>
      </c>
      <c r="B2218" t="inlineStr">
        <is>
          <t>A</t>
        </is>
      </c>
      <c r="C2218" t="inlineStr">
        <is>
          <t>— Entailment (Pers. 12-13)</t>
        </is>
      </c>
      <c r="D2218" s="3" t="inlineStr">
        <is>
          <t>Entailment = Σverdict(sᵢ)/m</t>
        </is>
      </c>
      <c r="E2218" s="3" t="inlineStr">
        <is>
          <t>6 klaim YA dari 6 klaim dievaluasi</t>
        </is>
      </c>
      <c r="F2218" t="n">
        <v>1</v>
      </c>
      <c r="G2218" s="3" t="inlineStr">
        <is>
          <t>verdict per klaim: sheet 'Entailment Detail'</t>
        </is>
      </c>
    </row>
    <row r="2219">
      <c r="A2219" t="n">
        <v>151</v>
      </c>
      <c r="B2219" t="inlineStr">
        <is>
          <t>A</t>
        </is>
      </c>
      <c r="C2219" t="inlineStr">
        <is>
          <t>— Keyword Overlap (Pers. 14)</t>
        </is>
      </c>
      <c r="D2219" s="3" t="inlineStr">
        <is>
          <t>KWoverlap = (|Stems(ans)∩Stems(ctx)| / |Stems(ctx)|)^0,65</t>
        </is>
      </c>
      <c r="E2219" s="3" t="inlineStr">
        <is>
          <t>KWoverlap = (|∩|/|ctx|)^0,65 = (44/235)^0,65 = 0.1872^0,65 = 0.3366</t>
        </is>
      </c>
      <c r="F2219" t="n">
        <v>0.3366</v>
      </c>
      <c r="G2219" s="3" t="inlineStr"/>
    </row>
    <row r="2220">
      <c r="A2220" t="n">
        <v>151</v>
      </c>
      <c r="B2220" t="inlineStr">
        <is>
          <t>A</t>
        </is>
      </c>
      <c r="C2220" t="inlineStr">
        <is>
          <t>Hallucination Risk (Pers. 18)</t>
        </is>
      </c>
      <c r="D2220" s="3" t="inlineStr">
        <is>
          <t>Risk = 0,65×(1-F) + 0,20×Contradiction + 0,15×Uncertainty</t>
        </is>
      </c>
      <c r="E2220" s="3" t="inlineStr">
        <is>
          <t>Risk = 0,65×OutOfContext + 0,20×Contradiction + 0,15×Uncertainty = 0,65×0.1990 + 0,20×0.0000 + 0,15×0.20 = 0.1593 [RENDAH]</t>
        </is>
      </c>
      <c r="F2220" t="n">
        <v>0.1593</v>
      </c>
      <c r="G2220" s="3" t="inlineStr">
        <is>
          <t>label: RENDAH; kontradiksi 0/13 kalimat; uncertainty flag: True</t>
        </is>
      </c>
    </row>
    <row r="2221">
      <c r="A2221" t="n">
        <v>151</v>
      </c>
      <c r="B2221" t="inlineStr">
        <is>
          <t>A</t>
        </is>
      </c>
      <c r="C2221" t="inlineStr">
        <is>
          <t>Answer Accuracy (Pers. 20)</t>
        </is>
      </c>
      <c r="D2221" s="3" t="inlineStr">
        <is>
          <t>Correctᵢ ∈ {0,1} via LLM-as-Judge (HASIL: BENAR/SALAH)</t>
        </is>
      </c>
      <c r="E2221" s="3" t="inlineStr">
        <is>
          <t>BENAR
Reasoning: The system's answer acknowledges that a list can be used to implement both stack and queue data structures, but emphasizes their distinct characteristics (LIFO for stack and FIFO for queue). This is in line with the provided reference from the GT document, which highlights the difference between stack and queue operations. Therefore, the system's answer accurately addresses the s</t>
        </is>
      </c>
      <c r="F2221" t="inlineStr">
        <is>
          <t>BENAR</t>
        </is>
      </c>
      <c r="G2221" s="3" t="inlineStr">
        <is>
          <t>evaluator: ollama/llama3</t>
        </is>
      </c>
    </row>
    <row r="2222">
      <c r="A2222" t="n">
        <v>151</v>
      </c>
      <c r="B2222" t="inlineStr">
        <is>
          <t>B</t>
        </is>
      </c>
      <c r="C2222" t="inlineStr">
        <is>
          <t>Faithfulness (Pers. 15)</t>
        </is>
      </c>
      <c r="D2222" s="3" t="inlineStr">
        <is>
          <t>F = 0,70×Entailment + 0,30×KWoverlap</t>
        </is>
      </c>
      <c r="E2222" s="3" t="inlineStr">
        <is>
          <t>Faithfulness = 0,70×Entailment + 0,30×KWoverlap = 0,70×1.0000 + 0,30×0.2567 = 0.7770  (entailment: 6/6 klaim didukung; KWoverlap = (|∩|/|ctx|)^0,65 = (29/235)^0,65 = 0.1234^0,65 = 0.2567)</t>
        </is>
      </c>
      <c r="F2222" t="n">
        <v>0.777</v>
      </c>
      <c r="G2222" s="3" t="inlineStr">
        <is>
          <t>metode: llm_entailment + keyword</t>
        </is>
      </c>
    </row>
    <row r="2223">
      <c r="A2223" t="n">
        <v>151</v>
      </c>
      <c r="B2223" t="inlineStr">
        <is>
          <t>B</t>
        </is>
      </c>
      <c r="C2223" t="inlineStr">
        <is>
          <t>— Entailment (Pers. 12-13)</t>
        </is>
      </c>
      <c r="D2223" s="3" t="inlineStr">
        <is>
          <t>Entailment = Σverdict(sᵢ)/m</t>
        </is>
      </c>
      <c r="E2223" s="3" t="inlineStr">
        <is>
          <t>6 klaim YA dari 6 klaim dievaluasi</t>
        </is>
      </c>
      <c r="F2223" t="n">
        <v>1</v>
      </c>
      <c r="G2223" s="3" t="inlineStr">
        <is>
          <t>verdict per klaim: sheet 'Entailment Detail'</t>
        </is>
      </c>
    </row>
    <row r="2224">
      <c r="A2224" t="n">
        <v>151</v>
      </c>
      <c r="B2224" t="inlineStr">
        <is>
          <t>B</t>
        </is>
      </c>
      <c r="C2224" t="inlineStr">
        <is>
          <t>— Keyword Overlap (Pers. 14)</t>
        </is>
      </c>
      <c r="D2224" s="3" t="inlineStr">
        <is>
          <t>KWoverlap = (|Stems(ans)∩Stems(ctx)| / |Stems(ctx)|)^0,65</t>
        </is>
      </c>
      <c r="E2224" s="3" t="inlineStr">
        <is>
          <t>KWoverlap = (|∩|/|ctx|)^0,65 = (29/235)^0,65 = 0.1234^0,65 = 0.2567</t>
        </is>
      </c>
      <c r="F2224" t="n">
        <v>0.2567</v>
      </c>
      <c r="G2224" s="3" t="inlineStr"/>
    </row>
    <row r="2225">
      <c r="A2225" t="n">
        <v>151</v>
      </c>
      <c r="B2225" t="inlineStr">
        <is>
          <t>B</t>
        </is>
      </c>
      <c r="C2225" t="inlineStr">
        <is>
          <t>Hallucination Risk (Pers. 18)</t>
        </is>
      </c>
      <c r="D2225" s="3" t="inlineStr">
        <is>
          <t>Risk = 0,65×(1-F) + 0,20×Contradiction + 0,15×Uncertainty</t>
        </is>
      </c>
      <c r="E2225" s="3" t="inlineStr">
        <is>
          <t>Risk = 0,65×OutOfContext + 0,20×Contradiction + 0,15×Uncertainty = 0,65×0.2230 + 0,20×0.0000 + 0,15×0.00 = 0.1449 [RENDAH]</t>
        </is>
      </c>
      <c r="F2225" t="n">
        <v>0.1449</v>
      </c>
      <c r="G2225" s="3" t="inlineStr">
        <is>
          <t>label: RENDAH; kontradiksi 0/14 kalimat; uncertainty flag: False</t>
        </is>
      </c>
    </row>
    <row r="2226">
      <c r="A2226" t="n">
        <v>151</v>
      </c>
      <c r="B2226" t="inlineStr">
        <is>
          <t>B</t>
        </is>
      </c>
      <c r="C2226" t="inlineStr">
        <is>
          <t>Answer Accuracy (Pers. 20)</t>
        </is>
      </c>
      <c r="D2226" s="3" t="inlineStr">
        <is>
          <t>Correctᵢ ∈ {0,1} via LLM-as-Judge (HASIL: BENAR/SALAH)</t>
        </is>
      </c>
      <c r="E2226" s="3" t="inlineStr">
        <is>
          <t xml:space="preserve">BENAR
Rationale:
The system's answer acknowledges that a list can be used as an implementation of both stack and queue, but emphasizes the importance of learning the concepts of stack and queue separately. This aligns with the reference provided, which states that a stack maintains data until it is popped, whereas a queue follows the order of arrival. The system's answer highlights the distinct </t>
        </is>
      </c>
      <c r="F2226" t="inlineStr">
        <is>
          <t>BENAR</t>
        </is>
      </c>
      <c r="G2226" s="3" t="inlineStr">
        <is>
          <t>evaluator: ollama/llama3</t>
        </is>
      </c>
    </row>
    <row r="2227">
      <c r="A2227" t="n">
        <v>152</v>
      </c>
      <c r="B2227" t="inlineStr">
        <is>
          <t>A</t>
        </is>
      </c>
      <c r="C2227" t="inlineStr">
        <is>
          <t>Precision@K (Pers. 2)</t>
        </is>
      </c>
      <c r="D2227" s="3" t="inlineStr">
        <is>
          <t>Precision@K = |{d ∈ TopK : sim(q,d) ≥ θ}| / K</t>
        </is>
      </c>
      <c r="E2227" s="3" t="inlineStr">
        <is>
          <t>skor = [0.7314, 0.7262, 0.7227, 0.7197, 0.7197, 0.7191] → 6 / 6</t>
        </is>
      </c>
      <c r="F2227" t="n">
        <v>1</v>
      </c>
      <c r="G2227" s="3" t="inlineStr">
        <is>
          <t>basis: skor chunk nyata (sesuai contoh Pers. 2 skripsi)</t>
        </is>
      </c>
    </row>
    <row r="2228">
      <c r="A2228" t="n">
        <v>152</v>
      </c>
      <c r="B2228" t="inlineStr">
        <is>
          <t>A</t>
        </is>
      </c>
      <c r="C2228" t="inlineStr">
        <is>
          <t>Recall@K (Pers. 4)</t>
        </is>
      </c>
      <c r="D2228" s="3" t="inlineStr">
        <is>
          <t>Recall@K = |{kata kunci ditemukan : sim ≥ θ}| / |R|</t>
        </is>
      </c>
      <c r="E2228" s="3" t="inlineStr">
        <is>
          <t>skor = [0.6886, 0.6421, 0.5259, 0.5138, 0.5136, 0.4642] → 6 / 7</t>
        </is>
      </c>
      <c r="F2228" t="n">
        <v>0.8571</v>
      </c>
      <c r="G2228" s="3" t="inlineStr"/>
    </row>
    <row r="2229">
      <c r="A2229" t="n">
        <v>152</v>
      </c>
      <c r="B2229" t="inlineStr">
        <is>
          <t>A</t>
        </is>
      </c>
      <c r="C2229" t="inlineStr">
        <is>
          <t>Mean Similarity (Pers. 6)</t>
        </is>
      </c>
      <c r="D2229" s="3" t="inlineStr">
        <is>
          <t>MeanSim = (1/K) × Σ sim(q, dᵢ)</t>
        </is>
      </c>
      <c r="E2229" s="3" t="inlineStr">
        <is>
          <t>skor = [0.7314, 0.7262, 0.7227, 0.7197, 0.7197, 0.7191] → (0.7314 + 0.7262 + 0.7227 + 0.7197 + 0.7197 + 0.7191) / 6</t>
        </is>
      </c>
      <c r="F2229" t="n">
        <v>0.7231</v>
      </c>
      <c r="G2229" s="3" t="inlineStr"/>
    </row>
    <row r="2230">
      <c r="A2230" t="n">
        <v>152</v>
      </c>
      <c r="B2230" t="inlineStr">
        <is>
          <t>A</t>
        </is>
      </c>
      <c r="C2230" t="inlineStr">
        <is>
          <t>Coverage (Pers. 8)</t>
        </is>
      </c>
      <c r="D2230" s="3" t="inlineStr">
        <is>
          <t>Coverage = |{dᵢ ∈ TopK : sim(q,dᵢ) ≥ θc}| / K</t>
        </is>
      </c>
      <c r="E2230" s="3" t="inlineStr">
        <is>
          <t>skor = [0.7314, 0.7262, 0.7227, 0.7197, 0.7197, 0.7191] → 6 / 6</t>
        </is>
      </c>
      <c r="F2230" t="n">
        <v>1</v>
      </c>
      <c r="G2230" s="3" t="inlineStr"/>
    </row>
    <row r="2231">
      <c r="A2231" t="n">
        <v>152</v>
      </c>
      <c r="B2231" t="inlineStr">
        <is>
          <t>A</t>
        </is>
      </c>
      <c r="C2231" t="inlineStr">
        <is>
          <t>Source Diversity (Pers. 10)</t>
        </is>
      </c>
      <c r="D2231" s="3" t="inlineStr">
        <is>
          <t>Diversity = |sumber unik dalam TopK| / K</t>
        </is>
      </c>
      <c r="E2231" s="3" t="inlineStr">
        <is>
          <t>skor = ['GT_CT07.txt', 'GT_CT10.txt', 'GT_DETAIL_PT07_Notasi_Algoritme.txt', 'GT_DETAIL_PT10_Percabangan.txt', 'GT_DETAIL_PT11_Perulangan.txt', 'GT_SUBTOPIK_05_Pseudocode_Algoritme.txt'] → 6 / 6</t>
        </is>
      </c>
      <c r="F2231" t="n">
        <v>1</v>
      </c>
      <c r="G2231" s="3" t="inlineStr">
        <is>
          <t>file unik: GT_CT07.txt, GT_CT10.txt, GT_DETAIL_PT07_Notasi_Algoritme.txt, GT_DETAIL_PT10_Percabangan.txt, GT_DETAIL_PT11_Perulangan.txt, GT_SUBTOPIK_05_Pseudocode_Algoritme.txt</t>
        </is>
      </c>
    </row>
    <row r="2232">
      <c r="A2232" t="n">
        <v>152</v>
      </c>
      <c r="B2232" t="inlineStr">
        <is>
          <t>A</t>
        </is>
      </c>
      <c r="C2232" t="inlineStr">
        <is>
          <t>Faithfulness (Pers. 15)</t>
        </is>
      </c>
      <c r="D2232" s="3" t="inlineStr">
        <is>
          <t>F = 0,70×Entailment + 0,30×KWoverlap</t>
        </is>
      </c>
      <c r="E2232" s="3" t="inlineStr">
        <is>
          <t>Faithfulness = 0,70×Entailment + 0,30×KWoverlap = 0,70×0.8333 + 0,30×0.2549 = 0.6598  (entailment: 5/6 klaim didukung; KWoverlap = (|∩|/|ctx|)^0,65 = (26/213)^0,65 = 0.1221^0,65 = 0.2549)</t>
        </is>
      </c>
      <c r="F2232" t="n">
        <v>0.6598000000000001</v>
      </c>
      <c r="G2232" s="3" t="inlineStr">
        <is>
          <t>metode: llm_entailment + keyword</t>
        </is>
      </c>
    </row>
    <row r="2233">
      <c r="A2233" t="n">
        <v>152</v>
      </c>
      <c r="B2233" t="inlineStr">
        <is>
          <t>A</t>
        </is>
      </c>
      <c r="C2233" t="inlineStr">
        <is>
          <t>— Entailment (Pers. 12-13)</t>
        </is>
      </c>
      <c r="D2233" s="3" t="inlineStr">
        <is>
          <t>Entailment = Σverdict(sᵢ)/m</t>
        </is>
      </c>
      <c r="E2233" s="3" t="inlineStr">
        <is>
          <t>5 klaim YA dari 6 klaim dievaluasi</t>
        </is>
      </c>
      <c r="F2233" t="n">
        <v>0.8333</v>
      </c>
      <c r="G2233" s="3" t="inlineStr">
        <is>
          <t>verdict per klaim: sheet 'Entailment Detail'</t>
        </is>
      </c>
    </row>
    <row r="2234">
      <c r="A2234" t="n">
        <v>152</v>
      </c>
      <c r="B2234" t="inlineStr">
        <is>
          <t>A</t>
        </is>
      </c>
      <c r="C2234" t="inlineStr">
        <is>
          <t>— Keyword Overlap (Pers. 14)</t>
        </is>
      </c>
      <c r="D2234" s="3" t="inlineStr">
        <is>
          <t>KWoverlap = (|Stems(ans)∩Stems(ctx)| / |Stems(ctx)|)^0,65</t>
        </is>
      </c>
      <c r="E2234" s="3" t="inlineStr">
        <is>
          <t>KWoverlap = (|∩|/|ctx|)^0,65 = (26/213)^0,65 = 0.1221^0,65 = 0.2549</t>
        </is>
      </c>
      <c r="F2234" t="n">
        <v>0.2549</v>
      </c>
      <c r="G2234" s="3" t="inlineStr"/>
    </row>
    <row r="2235">
      <c r="A2235" t="n">
        <v>152</v>
      </c>
      <c r="B2235" t="inlineStr">
        <is>
          <t>A</t>
        </is>
      </c>
      <c r="C2235" t="inlineStr">
        <is>
          <t>Hallucination Risk (Pers. 18)</t>
        </is>
      </c>
      <c r="D2235" s="3" t="inlineStr">
        <is>
          <t>Risk = 0,65×(1-F) + 0,20×Contradiction + 0,15×Uncertainty</t>
        </is>
      </c>
      <c r="E2235" s="3" t="inlineStr">
        <is>
          <t>Risk = 0,65×OutOfContext + 0,20×Contradiction + 0,15×Uncertainty = 0,65×0.3402 + 0,20×0.0000 + 0,15×0.00 = 0.2211 [RENDAH]</t>
        </is>
      </c>
      <c r="F2235" t="n">
        <v>0.2211</v>
      </c>
      <c r="G2235" s="3" t="inlineStr">
        <is>
          <t>label: RENDAH; kontradiksi 0/22 kalimat; uncertainty flag: False</t>
        </is>
      </c>
    </row>
    <row r="2236">
      <c r="A2236" t="n">
        <v>152</v>
      </c>
      <c r="B2236" t="inlineStr">
        <is>
          <t>A</t>
        </is>
      </c>
      <c r="C2236" t="inlineStr">
        <is>
          <t>Answer Accuracy (Pers. 20)</t>
        </is>
      </c>
      <c r="D2236" s="3" t="inlineStr">
        <is>
          <t>Correctᵢ ∈ {0,1} via LLM-as-Judge (HASIL: BENAR/SALAH)</t>
        </is>
      </c>
      <c r="E2236" s="3" t="inlineStr"/>
      <c r="F2236" t="inlineStr">
        <is>
          <t>BENAR</t>
        </is>
      </c>
      <c r="G2236" s="3" t="inlineStr">
        <is>
          <t>evaluator: ollama/llama3</t>
        </is>
      </c>
    </row>
    <row r="2237">
      <c r="A2237" t="n">
        <v>152</v>
      </c>
      <c r="B2237" t="inlineStr">
        <is>
          <t>B</t>
        </is>
      </c>
      <c r="C2237" t="inlineStr">
        <is>
          <t>Faithfulness (Pers. 15)</t>
        </is>
      </c>
      <c r="D2237" s="3" t="inlineStr">
        <is>
          <t>F = 0,70×Entailment + 0,30×KWoverlap</t>
        </is>
      </c>
      <c r="E2237" s="3" t="inlineStr">
        <is>
          <t>Faithfulness = 0,70×Entailment + 0,30×KWoverlap = 0,70×0.6667 + 0,30×0.1934 = 0.5247  (entailment: 4/6 klaim didukung; KWoverlap = (|∩|/|ctx|)^0,65 = (17/213)^0,65 = 0.0798^0,65 = 0.1934)</t>
        </is>
      </c>
      <c r="F2237" t="n">
        <v>0.5247000000000001</v>
      </c>
      <c r="G2237" s="3" t="inlineStr">
        <is>
          <t>metode: llm_entailment + keyword</t>
        </is>
      </c>
    </row>
    <row r="2238">
      <c r="A2238" t="n">
        <v>152</v>
      </c>
      <c r="B2238" t="inlineStr">
        <is>
          <t>B</t>
        </is>
      </c>
      <c r="C2238" t="inlineStr">
        <is>
          <t>— Entailment (Pers. 12-13)</t>
        </is>
      </c>
      <c r="D2238" s="3" t="inlineStr">
        <is>
          <t>Entailment = Σverdict(sᵢ)/m</t>
        </is>
      </c>
      <c r="E2238" s="3" t="inlineStr">
        <is>
          <t>4 klaim YA dari 6 klaim dievaluasi</t>
        </is>
      </c>
      <c r="F2238" t="n">
        <v>0.6667</v>
      </c>
      <c r="G2238" s="3" t="inlineStr">
        <is>
          <t>verdict per klaim: sheet 'Entailment Detail'</t>
        </is>
      </c>
    </row>
    <row r="2239">
      <c r="A2239" t="n">
        <v>152</v>
      </c>
      <c r="B2239" t="inlineStr">
        <is>
          <t>B</t>
        </is>
      </c>
      <c r="C2239" t="inlineStr">
        <is>
          <t>— Keyword Overlap (Pers. 14)</t>
        </is>
      </c>
      <c r="D2239" s="3" t="inlineStr">
        <is>
          <t>KWoverlap = (|Stems(ans)∩Stems(ctx)| / |Stems(ctx)|)^0,65</t>
        </is>
      </c>
      <c r="E2239" s="3" t="inlineStr">
        <is>
          <t>KWoverlap = (|∩|/|ctx|)^0,65 = (17/213)^0,65 = 0.0798^0,65 = 0.1934</t>
        </is>
      </c>
      <c r="F2239" t="n">
        <v>0.1934</v>
      </c>
      <c r="G2239" s="3" t="inlineStr"/>
    </row>
    <row r="2240">
      <c r="A2240" t="n">
        <v>152</v>
      </c>
      <c r="B2240" t="inlineStr">
        <is>
          <t>B</t>
        </is>
      </c>
      <c r="C2240" t="inlineStr">
        <is>
          <t>Hallucination Risk (Pers. 18)</t>
        </is>
      </c>
      <c r="D2240" s="3" t="inlineStr">
        <is>
          <t>Risk = 0,65×(1-F) + 0,20×Contradiction + 0,15×Uncertainty</t>
        </is>
      </c>
      <c r="E2240" s="3" t="inlineStr">
        <is>
          <t>Risk = 0,65×OutOfContext + 0,20×Contradiction + 0,15×Uncertainty = 0,65×0.4753 + 0,20×0.0000 + 0,15×0.00 = 0.3089 [RENDAH]</t>
        </is>
      </c>
      <c r="F2240" t="n">
        <v>0.3089</v>
      </c>
      <c r="G2240" s="3" t="inlineStr">
        <is>
          <t>label: RENDAH; kontradiksi 0/32 kalimat; uncertainty flag: False</t>
        </is>
      </c>
    </row>
    <row r="2241">
      <c r="A2241" t="n">
        <v>152</v>
      </c>
      <c r="B2241" t="inlineStr">
        <is>
          <t>B</t>
        </is>
      </c>
      <c r="C2241" t="inlineStr">
        <is>
          <t>Answer Accuracy (Pers. 20)</t>
        </is>
      </c>
      <c r="D2241" s="3" t="inlineStr">
        <is>
          <t>Correctᵢ ∈ {0,1} via LLM-as-Judge (HASIL: BENAR/SALAH)</t>
        </is>
      </c>
      <c r="E2241" s="3" t="inlineStr">
        <is>
          <t>BENAR
Pembahasan:
1. Pseudocode sistem memperlihatkan bahwa operasi "rotate" dilakukan dengan menggeser semua elemen ke kiri sebanyak k posisi.
2. Kondisi `k = k mod Panjang(A)` digunakan untuk menentukan apakah k lebih besar dari panjang list. Jika benar, maka geser elemen ke kiri sebanyak k mod panjang list.
3. Elemen terakhir dalam list disimpan sebagai tempat tumpukan dan kemudian di-tumpukk</t>
        </is>
      </c>
      <c r="F2241" t="inlineStr">
        <is>
          <t>BENAR</t>
        </is>
      </c>
      <c r="G2241" s="3" t="inlineStr">
        <is>
          <t>evaluator: ollama/llama3</t>
        </is>
      </c>
    </row>
    <row r="2242">
      <c r="A2242" t="n">
        <v>153</v>
      </c>
      <c r="B2242" t="inlineStr">
        <is>
          <t>A</t>
        </is>
      </c>
      <c r="C2242" t="inlineStr">
        <is>
          <t>Precision@K (Pers. 2)</t>
        </is>
      </c>
      <c r="D2242" s="3" t="inlineStr">
        <is>
          <t>Precision@K = |{d ∈ TopK : sim(q,d) ≥ θ}| / K</t>
        </is>
      </c>
      <c r="E2242" s="3" t="inlineStr">
        <is>
          <t>skor = [0.8513, 0.8483, 0.8152, 0.8144, 0.7999, 0.7741] → 6 / 6</t>
        </is>
      </c>
      <c r="F2242" t="n">
        <v>1</v>
      </c>
      <c r="G2242" s="3" t="inlineStr">
        <is>
          <t>basis: skor chunk nyata (sesuai contoh Pers. 2 skripsi)</t>
        </is>
      </c>
    </row>
    <row r="2243">
      <c r="A2243" t="n">
        <v>153</v>
      </c>
      <c r="B2243" t="inlineStr">
        <is>
          <t>A</t>
        </is>
      </c>
      <c r="C2243" t="inlineStr">
        <is>
          <t>Recall@K (Pers. 4)</t>
        </is>
      </c>
      <c r="D2243" s="3" t="inlineStr">
        <is>
          <t>Recall@K = |{kata kunci ditemukan : sim ≥ θ}| / |R|</t>
        </is>
      </c>
      <c r="E2243" s="3" t="inlineStr">
        <is>
          <t>skor = [0.6965, 0.6846, 0.6547, 0.5474, 0.5474, 0.5474] → 6 / 8</t>
        </is>
      </c>
      <c r="F2243" t="n">
        <v>0.75</v>
      </c>
      <c r="G2243" s="3" t="inlineStr"/>
    </row>
    <row r="2244">
      <c r="A2244" t="n">
        <v>153</v>
      </c>
      <c r="B2244" t="inlineStr">
        <is>
          <t>A</t>
        </is>
      </c>
      <c r="C2244" t="inlineStr">
        <is>
          <t>Mean Similarity (Pers. 6)</t>
        </is>
      </c>
      <c r="D2244" s="3" t="inlineStr">
        <is>
          <t>MeanSim = (1/K) × Σ sim(q, dᵢ)</t>
        </is>
      </c>
      <c r="E2244" s="3" t="inlineStr">
        <is>
          <t>skor = [0.8513, 0.8483, 0.8152, 0.8144, 0.7999, 0.7741] → (0.8513 + 0.8483 + 0.8152 + 0.8144 + 0.7999 + 0.7741) / 6</t>
        </is>
      </c>
      <c r="F2244" t="n">
        <v>0.8172</v>
      </c>
      <c r="G2244" s="3" t="inlineStr"/>
    </row>
    <row r="2245">
      <c r="A2245" t="n">
        <v>153</v>
      </c>
      <c r="B2245" t="inlineStr">
        <is>
          <t>A</t>
        </is>
      </c>
      <c r="C2245" t="inlineStr">
        <is>
          <t>Coverage (Pers. 8)</t>
        </is>
      </c>
      <c r="D2245" s="3" t="inlineStr">
        <is>
          <t>Coverage = |{dᵢ ∈ TopK : sim(q,dᵢ) ≥ θc}| / K</t>
        </is>
      </c>
      <c r="E2245" s="3" t="inlineStr">
        <is>
          <t>skor = [0.8513, 0.8483, 0.8152, 0.8144, 0.7999, 0.7741] → 6 / 6</t>
        </is>
      </c>
      <c r="F2245" t="n">
        <v>1</v>
      </c>
      <c r="G2245" s="3" t="inlineStr"/>
    </row>
    <row r="2246">
      <c r="A2246" t="n">
        <v>153</v>
      </c>
      <c r="B2246" t="inlineStr">
        <is>
          <t>A</t>
        </is>
      </c>
      <c r="C2246" t="inlineStr">
        <is>
          <t>Source Diversity (Pers. 10)</t>
        </is>
      </c>
      <c r="D2246" s="3" t="inlineStr">
        <is>
          <t>Diversity = |sumber unik dalam TopK| / K</t>
        </is>
      </c>
      <c r="E2246" s="3" t="inlineStr">
        <is>
          <t>skor = ['GT_CT13.txt', 'GT_DETAIL_PT13_Struktur_Data.txt', 'GT_SUBTOPIK_12_Stack_Queue.txt'] → 3 / 6</t>
        </is>
      </c>
      <c r="F2246" t="n">
        <v>0.5</v>
      </c>
      <c r="G2246" s="3" t="inlineStr">
        <is>
          <t>file unik: GT_CT13.txt, GT_DETAIL_PT13_Struktur_Data.txt, GT_SUBTOPIK_12_Stack_Queue.txt</t>
        </is>
      </c>
    </row>
    <row r="2247">
      <c r="A2247" t="n">
        <v>153</v>
      </c>
      <c r="B2247" t="inlineStr">
        <is>
          <t>A</t>
        </is>
      </c>
      <c r="C2247" t="inlineStr">
        <is>
          <t>Faithfulness (Pers. 15)</t>
        </is>
      </c>
      <c r="D2247" s="3" t="inlineStr">
        <is>
          <t>F = 0,70×Entailment + 0,30×KWoverlap</t>
        </is>
      </c>
      <c r="E2247" s="3" t="inlineStr">
        <is>
          <t>Faithfulness = 0,70×Entailment + 0,30×KWoverlap = 0,70×0.8333 + 0,30×0.2555 = 0.6600  (entailment: 5/6 klaim didukung; KWoverlap = (|∩|/|ctx|)^0,65 = (25/204)^0,65 = 0.1225^0,65 = 0.2555)</t>
        </is>
      </c>
      <c r="F2247" t="n">
        <v>0.66</v>
      </c>
      <c r="G2247" s="3" t="inlineStr">
        <is>
          <t>metode: llm_entailment + keyword</t>
        </is>
      </c>
    </row>
    <row r="2248">
      <c r="A2248" t="n">
        <v>153</v>
      </c>
      <c r="B2248" t="inlineStr">
        <is>
          <t>A</t>
        </is>
      </c>
      <c r="C2248" t="inlineStr">
        <is>
          <t>— Entailment (Pers. 12-13)</t>
        </is>
      </c>
      <c r="D2248" s="3" t="inlineStr">
        <is>
          <t>Entailment = Σverdict(sᵢ)/m</t>
        </is>
      </c>
      <c r="E2248" s="3" t="inlineStr">
        <is>
          <t>5 klaim YA dari 6 klaim dievaluasi</t>
        </is>
      </c>
      <c r="F2248" t="n">
        <v>0.8333</v>
      </c>
      <c r="G2248" s="3" t="inlineStr">
        <is>
          <t>verdict per klaim: sheet 'Entailment Detail'</t>
        </is>
      </c>
    </row>
    <row r="2249">
      <c r="A2249" t="n">
        <v>153</v>
      </c>
      <c r="B2249" t="inlineStr">
        <is>
          <t>A</t>
        </is>
      </c>
      <c r="C2249" t="inlineStr">
        <is>
          <t>— Keyword Overlap (Pers. 14)</t>
        </is>
      </c>
      <c r="D2249" s="3" t="inlineStr">
        <is>
          <t>KWoverlap = (|Stems(ans)∩Stems(ctx)| / |Stems(ctx)|)^0,65</t>
        </is>
      </c>
      <c r="E2249" s="3" t="inlineStr">
        <is>
          <t>KWoverlap = (|∩|/|ctx|)^0,65 = (25/204)^0,65 = 0.1225^0,65 = 0.2555</t>
        </is>
      </c>
      <c r="F2249" t="n">
        <v>0.2555</v>
      </c>
      <c r="G2249" s="3" t="inlineStr"/>
    </row>
    <row r="2250">
      <c r="A2250" t="n">
        <v>153</v>
      </c>
      <c r="B2250" t="inlineStr">
        <is>
          <t>A</t>
        </is>
      </c>
      <c r="C2250" t="inlineStr">
        <is>
          <t>Hallucination Risk (Pers. 18)</t>
        </is>
      </c>
      <c r="D2250" s="3" t="inlineStr">
        <is>
          <t>Risk = 0,65×(1-F) + 0,20×Contradiction + 0,15×Uncertainty</t>
        </is>
      </c>
      <c r="E2250" s="3" t="inlineStr">
        <is>
          <t>Risk = 0,65×OutOfContext + 0,20×Contradiction + 0,15×Uncertainty = 0,65×0.3400 + 0,20×0.0000 + 0,15×0.00 = 0.2210 [RENDAH]</t>
        </is>
      </c>
      <c r="F2250" t="n">
        <v>0.221</v>
      </c>
      <c r="G2250" s="3" t="inlineStr">
        <is>
          <t>label: RENDAH; kontradiksi 0/21 kalimat; uncertainty flag: False</t>
        </is>
      </c>
    </row>
    <row r="2251">
      <c r="A2251" t="n">
        <v>153</v>
      </c>
      <c r="B2251" t="inlineStr">
        <is>
          <t>A</t>
        </is>
      </c>
      <c r="C2251" t="inlineStr">
        <is>
          <t>Answer Accuracy (Pers. 20)</t>
        </is>
      </c>
      <c r="D2251" s="3" t="inlineStr">
        <is>
          <t>Correctᵢ ∈ {0,1} via LLM-as-Judge (HASIL: BENAR/SALAH)</t>
        </is>
      </c>
      <c r="E2251" s="3" t="inlineStr">
        <is>
          <t>BENAR
Alasan: Jawaban sistem memahami konsep queue sebagai antrian dengan prinsip FIFO, dan menjelaskan bagaimana dua stack dapat digunakan untuk mensimulasikan queue melalui proses enqueue dan dequeue yang sesuai dengan referensi dokumen materi GT.</t>
        </is>
      </c>
      <c r="F2251" t="inlineStr">
        <is>
          <t>BENAR</t>
        </is>
      </c>
      <c r="G2251" s="3" t="inlineStr">
        <is>
          <t>evaluator: ollama/llama3</t>
        </is>
      </c>
    </row>
    <row r="2252">
      <c r="A2252" t="n">
        <v>153</v>
      </c>
      <c r="B2252" t="inlineStr">
        <is>
          <t>B</t>
        </is>
      </c>
      <c r="C2252" t="inlineStr">
        <is>
          <t>Faithfulness (Pers. 15)</t>
        </is>
      </c>
      <c r="D2252" s="3" t="inlineStr">
        <is>
          <t>F = 0,70×Entailment + 0,30×KWoverlap</t>
        </is>
      </c>
      <c r="E2252" s="3" t="inlineStr">
        <is>
          <t>Faithfulness = 0,70×Entailment + 0,30×KWoverlap = 0,70×1.0000 + 0,30×0.2555 = 0.7767  (entailment: 6/6 klaim didukung; KWoverlap = (|∩|/|ctx|)^0,65 = (25/204)^0,65 = 0.1225^0,65 = 0.2555)</t>
        </is>
      </c>
      <c r="F2252" t="n">
        <v>0.7766999999999999</v>
      </c>
      <c r="G2252" s="3" t="inlineStr">
        <is>
          <t>metode: llm_entailment + keyword</t>
        </is>
      </c>
    </row>
    <row r="2253">
      <c r="A2253" t="n">
        <v>153</v>
      </c>
      <c r="B2253" t="inlineStr">
        <is>
          <t>B</t>
        </is>
      </c>
      <c r="C2253" t="inlineStr">
        <is>
          <t>— Entailment (Pers. 12-13)</t>
        </is>
      </c>
      <c r="D2253" s="3" t="inlineStr">
        <is>
          <t>Entailment = Σverdict(sᵢ)/m</t>
        </is>
      </c>
      <c r="E2253" s="3" t="inlineStr">
        <is>
          <t>6 klaim YA dari 6 klaim dievaluasi</t>
        </is>
      </c>
      <c r="F2253" t="n">
        <v>1</v>
      </c>
      <c r="G2253" s="3" t="inlineStr">
        <is>
          <t>verdict per klaim: sheet 'Entailment Detail'</t>
        </is>
      </c>
    </row>
    <row r="2254">
      <c r="A2254" t="n">
        <v>153</v>
      </c>
      <c r="B2254" t="inlineStr">
        <is>
          <t>B</t>
        </is>
      </c>
      <c r="C2254" t="inlineStr">
        <is>
          <t>— Keyword Overlap (Pers. 14)</t>
        </is>
      </c>
      <c r="D2254" s="3" t="inlineStr">
        <is>
          <t>KWoverlap = (|Stems(ans)∩Stems(ctx)| / |Stems(ctx)|)^0,65</t>
        </is>
      </c>
      <c r="E2254" s="3" t="inlineStr">
        <is>
          <t>KWoverlap = (|∩|/|ctx|)^0,65 = (25/204)^0,65 = 0.1225^0,65 = 0.2555</t>
        </is>
      </c>
      <c r="F2254" t="n">
        <v>0.2555</v>
      </c>
      <c r="G2254" s="3" t="inlineStr"/>
    </row>
    <row r="2255">
      <c r="A2255" t="n">
        <v>153</v>
      </c>
      <c r="B2255" t="inlineStr">
        <is>
          <t>B</t>
        </is>
      </c>
      <c r="C2255" t="inlineStr">
        <is>
          <t>Hallucination Risk (Pers. 18)</t>
        </is>
      </c>
      <c r="D2255" s="3" t="inlineStr">
        <is>
          <t>Risk = 0,65×(1-F) + 0,20×Contradiction + 0,15×Uncertainty</t>
        </is>
      </c>
      <c r="E2255" s="3" t="inlineStr">
        <is>
          <t>Risk = 0,65×OutOfContext + 0,20×Contradiction + 0,15×Uncertainty = 0,65×0.2233 + 0,20×0.0000 + 0,15×0.00 = 0.1451 [RENDAH]</t>
        </is>
      </c>
      <c r="F2255" t="n">
        <v>0.1451</v>
      </c>
      <c r="G2255" s="3" t="inlineStr">
        <is>
          <t>label: RENDAH; kontradiksi 0/27 kalimat; uncertainty flag: False</t>
        </is>
      </c>
    </row>
    <row r="2256">
      <c r="A2256" t="n">
        <v>153</v>
      </c>
      <c r="B2256" t="inlineStr">
        <is>
          <t>B</t>
        </is>
      </c>
      <c r="C2256" t="inlineStr">
        <is>
          <t>Answer Accuracy (Pers. 20)</t>
        </is>
      </c>
      <c r="D2256" s="3" t="inlineStr">
        <is>
          <t>Correctᵢ ∈ {0,1} via LLM-as-Judge (HASIL: BENAR/SALAH)</t>
        </is>
      </c>
      <c r="E2256" s="3" t="inlineStr">
        <is>
          <t>JAWABAN SISTEM:</t>
        </is>
      </c>
      <c r="F2256" t="inlineStr">
        <is>
          <t>BENAR</t>
        </is>
      </c>
      <c r="G2256" s="3" t="inlineStr">
        <is>
          <t>evaluator: ollama/llama3</t>
        </is>
      </c>
    </row>
    <row r="2257">
      <c r="A2257" t="n">
        <v>154</v>
      </c>
      <c r="B2257" t="inlineStr">
        <is>
          <t>A</t>
        </is>
      </c>
      <c r="C2257" t="inlineStr">
        <is>
          <t>Precision@K (Pers. 2)</t>
        </is>
      </c>
      <c r="D2257" s="3" t="inlineStr">
        <is>
          <t>Precision@K = |{d ∈ TopK : sim(q,d) ≥ θ}| / K</t>
        </is>
      </c>
      <c r="E2257" s="3" t="inlineStr">
        <is>
          <t>skor = [0.7863, 0.7764, 0.7751, 0.7497, 0.7318, 0.7207] → 6 / 6</t>
        </is>
      </c>
      <c r="F2257" t="n">
        <v>1</v>
      </c>
      <c r="G2257" s="3" t="inlineStr">
        <is>
          <t>basis: skor chunk nyata (sesuai contoh Pers. 2 skripsi)</t>
        </is>
      </c>
    </row>
    <row r="2258">
      <c r="A2258" t="n">
        <v>154</v>
      </c>
      <c r="B2258" t="inlineStr">
        <is>
          <t>A</t>
        </is>
      </c>
      <c r="C2258" t="inlineStr">
        <is>
          <t>Recall@K (Pers. 4)</t>
        </is>
      </c>
      <c r="D2258" s="3" t="inlineStr">
        <is>
          <t>Recall@K = |{kata kunci ditemukan : sim ≥ θ}| / |R|</t>
        </is>
      </c>
      <c r="E2258" s="3" t="inlineStr">
        <is>
          <t>skor = [0.7008, 0.6439, 0.5302, 0.5146, 0.5146, 0.481] → 6 / 7</t>
        </is>
      </c>
      <c r="F2258" t="n">
        <v>0.8571</v>
      </c>
      <c r="G2258" s="3" t="inlineStr"/>
    </row>
    <row r="2259">
      <c r="A2259" t="n">
        <v>154</v>
      </c>
      <c r="B2259" t="inlineStr">
        <is>
          <t>A</t>
        </is>
      </c>
      <c r="C2259" t="inlineStr">
        <is>
          <t>Mean Similarity (Pers. 6)</t>
        </is>
      </c>
      <c r="D2259" s="3" t="inlineStr">
        <is>
          <t>MeanSim = (1/K) × Σ sim(q, dᵢ)</t>
        </is>
      </c>
      <c r="E2259" s="3" t="inlineStr">
        <is>
          <t>skor = [0.7863, 0.7764, 0.7751, 0.7497, 0.7318, 0.7207] → (0.7863 + 0.7764 + 0.7751 + 0.7497 + 0.7318 + 0.7207) / 6</t>
        </is>
      </c>
      <c r="F2259" t="n">
        <v>0.7567</v>
      </c>
      <c r="G2259" s="3" t="inlineStr"/>
    </row>
    <row r="2260">
      <c r="A2260" t="n">
        <v>154</v>
      </c>
      <c r="B2260" t="inlineStr">
        <is>
          <t>A</t>
        </is>
      </c>
      <c r="C2260" t="inlineStr">
        <is>
          <t>Coverage (Pers. 8)</t>
        </is>
      </c>
      <c r="D2260" s="3" t="inlineStr">
        <is>
          <t>Coverage = |{dᵢ ∈ TopK : sim(q,dᵢ) ≥ θc}| / K</t>
        </is>
      </c>
      <c r="E2260" s="3" t="inlineStr">
        <is>
          <t>skor = [0.7863, 0.7764, 0.7751, 0.7497, 0.7318, 0.7207] → 6 / 6</t>
        </is>
      </c>
      <c r="F2260" t="n">
        <v>1</v>
      </c>
      <c r="G2260" s="3" t="inlineStr"/>
    </row>
    <row r="2261">
      <c r="A2261" t="n">
        <v>154</v>
      </c>
      <c r="B2261" t="inlineStr">
        <is>
          <t>A</t>
        </is>
      </c>
      <c r="C2261" t="inlineStr">
        <is>
          <t>Source Diversity (Pers. 10)</t>
        </is>
      </c>
      <c r="D2261" s="3" t="inlineStr">
        <is>
          <t>Diversity = |sumber unik dalam TopK| / K</t>
        </is>
      </c>
      <c r="E2261" s="3" t="inlineStr">
        <is>
          <t>skor = ['GT_CT13.txt', 'GT_SUBTOPIK_12_Stack_Queue.txt', 'GT_SUBTOPIK_14_Kompleksitas_BigO.txt'] → 3 / 6</t>
        </is>
      </c>
      <c r="F2261" t="n">
        <v>0.5</v>
      </c>
      <c r="G2261" s="3" t="inlineStr">
        <is>
          <t>file unik: GT_CT13.txt, GT_SUBTOPIK_12_Stack_Queue.txt, GT_SUBTOPIK_14_Kompleksitas_BigO.txt</t>
        </is>
      </c>
    </row>
    <row r="2262">
      <c r="A2262" t="n">
        <v>154</v>
      </c>
      <c r="B2262" t="inlineStr">
        <is>
          <t>A</t>
        </is>
      </c>
      <c r="C2262" t="inlineStr">
        <is>
          <t>Faithfulness (Pers. 15)</t>
        </is>
      </c>
      <c r="D2262" s="3" t="inlineStr">
        <is>
          <t>F = 0,70×Entailment + 0,30×KWoverlap</t>
        </is>
      </c>
      <c r="E2262" s="3" t="inlineStr">
        <is>
          <t>Faithfulness = 0,70×Entailment + 0,30×KWoverlap = 0,70×0.8333 + 0,30×0.2897 = 0.6702  (entailment: 5/6 klaim didukung; KWoverlap = (|∩|/|ctx|)^0,65 = (33/222)^0,65 = 0.1486^0,65 = 0.2897)</t>
        </is>
      </c>
      <c r="F2262" t="n">
        <v>0.6702</v>
      </c>
      <c r="G2262" s="3" t="inlineStr">
        <is>
          <t>metode: llm_entailment + keyword</t>
        </is>
      </c>
    </row>
    <row r="2263">
      <c r="A2263" t="n">
        <v>154</v>
      </c>
      <c r="B2263" t="inlineStr">
        <is>
          <t>A</t>
        </is>
      </c>
      <c r="C2263" t="inlineStr">
        <is>
          <t>— Entailment (Pers. 12-13)</t>
        </is>
      </c>
      <c r="D2263" s="3" t="inlineStr">
        <is>
          <t>Entailment = Σverdict(sᵢ)/m</t>
        </is>
      </c>
      <c r="E2263" s="3" t="inlineStr">
        <is>
          <t>5 klaim YA dari 6 klaim dievaluasi</t>
        </is>
      </c>
      <c r="F2263" t="n">
        <v>0.8333</v>
      </c>
      <c r="G2263" s="3" t="inlineStr">
        <is>
          <t>verdict per klaim: sheet 'Entailment Detail'</t>
        </is>
      </c>
    </row>
    <row r="2264">
      <c r="A2264" t="n">
        <v>154</v>
      </c>
      <c r="B2264" t="inlineStr">
        <is>
          <t>A</t>
        </is>
      </c>
      <c r="C2264" t="inlineStr">
        <is>
          <t>— Keyword Overlap (Pers. 14)</t>
        </is>
      </c>
      <c r="D2264" s="3" t="inlineStr">
        <is>
          <t>KWoverlap = (|Stems(ans)∩Stems(ctx)| / |Stems(ctx)|)^0,65</t>
        </is>
      </c>
      <c r="E2264" s="3" t="inlineStr">
        <is>
          <t>KWoverlap = (|∩|/|ctx|)^0,65 = (33/222)^0,65 = 0.1486^0,65 = 0.2897</t>
        </is>
      </c>
      <c r="F2264" t="n">
        <v>0.2897</v>
      </c>
      <c r="G2264" s="3" t="inlineStr"/>
    </row>
    <row r="2265">
      <c r="A2265" t="n">
        <v>154</v>
      </c>
      <c r="B2265" t="inlineStr">
        <is>
          <t>A</t>
        </is>
      </c>
      <c r="C2265" t="inlineStr">
        <is>
          <t>Hallucination Risk (Pers. 18)</t>
        </is>
      </c>
      <c r="D2265" s="3" t="inlineStr">
        <is>
          <t>Risk = 0,65×(1-F) + 0,20×Contradiction + 0,15×Uncertainty</t>
        </is>
      </c>
      <c r="E2265" s="3" t="inlineStr">
        <is>
          <t>Risk = 0,65×OutOfContext + 0,20×Contradiction + 0,15×Uncertainty = 0,65×0.3298 + 0,20×0.0000 + 0,15×0.00 = 0.2144 [RENDAH]</t>
        </is>
      </c>
      <c r="F2265" t="n">
        <v>0.2144</v>
      </c>
      <c r="G2265" s="3" t="inlineStr">
        <is>
          <t>label: RENDAH; kontradiksi 0/28 kalimat; uncertainty flag: False</t>
        </is>
      </c>
    </row>
    <row r="2266">
      <c r="A2266" t="n">
        <v>154</v>
      </c>
      <c r="B2266" t="inlineStr">
        <is>
          <t>A</t>
        </is>
      </c>
      <c r="C2266" t="inlineStr">
        <is>
          <t>Answer Accuracy (Pers. 20)</t>
        </is>
      </c>
      <c r="D2266" s="3" t="inlineStr">
        <is>
          <t>Correctᵢ ∈ {0,1} via LLM-as-Judge (HASIL: BENAR/SALAH)</t>
        </is>
      </c>
      <c r="E2266" s="3" t="inlineStr">
        <is>
          <t>Jawaban sistem:</t>
        </is>
      </c>
      <c r="F2266" t="inlineStr">
        <is>
          <t>BENAR</t>
        </is>
      </c>
      <c r="G2266" s="3" t="inlineStr">
        <is>
          <t>evaluator: ollama/llama3</t>
        </is>
      </c>
    </row>
    <row r="2267">
      <c r="A2267" t="n">
        <v>154</v>
      </c>
      <c r="B2267" t="inlineStr">
        <is>
          <t>B</t>
        </is>
      </c>
      <c r="C2267" t="inlineStr">
        <is>
          <t>Faithfulness (Pers. 15)</t>
        </is>
      </c>
      <c r="D2267" s="3" t="inlineStr">
        <is>
          <t>F = 0,70×Entailment + 0,30×KWoverlap</t>
        </is>
      </c>
      <c r="E2267" s="3" t="inlineStr">
        <is>
          <t>Faithfulness = 0,70×Entailment + 0,30×KWoverlap = 0,70×1.0000 + 0,30×0.1659 = 0.7498  (entailment: 6/6 klaim didukung; KWoverlap = (|∩|/|ctx|)^0,65 = (14/222)^0,65 = 0.0631^0,65 = 0.1659)</t>
        </is>
      </c>
      <c r="F2267" t="n">
        <v>0.7498</v>
      </c>
      <c r="G2267" s="3" t="inlineStr">
        <is>
          <t>metode: llm_entailment + keyword</t>
        </is>
      </c>
    </row>
    <row r="2268">
      <c r="A2268" t="n">
        <v>154</v>
      </c>
      <c r="B2268" t="inlineStr">
        <is>
          <t>B</t>
        </is>
      </c>
      <c r="C2268" t="inlineStr">
        <is>
          <t>— Entailment (Pers. 12-13)</t>
        </is>
      </c>
      <c r="D2268" s="3" t="inlineStr">
        <is>
          <t>Entailment = Σverdict(sᵢ)/m</t>
        </is>
      </c>
      <c r="E2268" s="3" t="inlineStr">
        <is>
          <t>6 klaim YA dari 6 klaim dievaluasi</t>
        </is>
      </c>
      <c r="F2268" t="n">
        <v>1</v>
      </c>
      <c r="G2268" s="3" t="inlineStr">
        <is>
          <t>verdict per klaim: sheet 'Entailment Detail'</t>
        </is>
      </c>
    </row>
    <row r="2269">
      <c r="A2269" t="n">
        <v>154</v>
      </c>
      <c r="B2269" t="inlineStr">
        <is>
          <t>B</t>
        </is>
      </c>
      <c r="C2269" t="inlineStr">
        <is>
          <t>— Keyword Overlap (Pers. 14)</t>
        </is>
      </c>
      <c r="D2269" s="3" t="inlineStr">
        <is>
          <t>KWoverlap = (|Stems(ans)∩Stems(ctx)| / |Stems(ctx)|)^0,65</t>
        </is>
      </c>
      <c r="E2269" s="3" t="inlineStr">
        <is>
          <t>KWoverlap = (|∩|/|ctx|)^0,65 = (14/222)^0,65 = 0.0631^0,65 = 0.1659</t>
        </is>
      </c>
      <c r="F2269" t="n">
        <v>0.1659</v>
      </c>
      <c r="G2269" s="3" t="inlineStr"/>
    </row>
    <row r="2270">
      <c r="A2270" t="n">
        <v>154</v>
      </c>
      <c r="B2270" t="inlineStr">
        <is>
          <t>B</t>
        </is>
      </c>
      <c r="C2270" t="inlineStr">
        <is>
          <t>Hallucination Risk (Pers. 18)</t>
        </is>
      </c>
      <c r="D2270" s="3" t="inlineStr">
        <is>
          <t>Risk = 0,65×(1-F) + 0,20×Contradiction + 0,15×Uncertainty</t>
        </is>
      </c>
      <c r="E2270" s="3" t="inlineStr">
        <is>
          <t>Risk = 0,65×OutOfContext + 0,20×Contradiction + 0,15×Uncertainty = 0,65×0.2502 + 0,20×0.0000 + 0,15×0.00 = 0.1626 [RENDAH]</t>
        </is>
      </c>
      <c r="F2270" t="n">
        <v>0.1626</v>
      </c>
      <c r="G2270" s="3" t="inlineStr">
        <is>
          <t>label: RENDAH; kontradiksi 0/35 kalimat; uncertainty flag: False</t>
        </is>
      </c>
    </row>
    <row r="2271">
      <c r="A2271" t="n">
        <v>154</v>
      </c>
      <c r="B2271" t="inlineStr">
        <is>
          <t>B</t>
        </is>
      </c>
      <c r="C2271" t="inlineStr">
        <is>
          <t>Answer Accuracy (Pers. 20)</t>
        </is>
      </c>
      <c r="D2271" s="3" t="inlineStr">
        <is>
          <t>Correctᵢ ∈ {0,1} via LLM-as-Judge (HASIL: BENAR/SALAH)</t>
        </is>
      </c>
      <c r="E2271" s="3" t="inlineStr">
        <is>
          <t>Jawaban sistem:</t>
        </is>
      </c>
      <c r="F2271" t="inlineStr">
        <is>
          <t>BENAR</t>
        </is>
      </c>
      <c r="G2271" s="3" t="inlineStr">
        <is>
          <t>evaluator: ollama/llama3</t>
        </is>
      </c>
    </row>
    <row r="2272">
      <c r="A2272" t="n">
        <v>155</v>
      </c>
      <c r="B2272" t="inlineStr">
        <is>
          <t>A</t>
        </is>
      </c>
      <c r="C2272" t="inlineStr">
        <is>
          <t>Precision@K (Pers. 2)</t>
        </is>
      </c>
      <c r="D2272" s="3" t="inlineStr">
        <is>
          <t>Precision@K = |{d ∈ TopK : sim(q,d) ≥ θ}| / K</t>
        </is>
      </c>
      <c r="E2272" s="3" t="inlineStr">
        <is>
          <t>skor = [0.8028, 0.7565, 0.7512, 0.7504, 0.7214, 0.7092] → 6 / 6</t>
        </is>
      </c>
      <c r="F2272" t="n">
        <v>1</v>
      </c>
      <c r="G2272" s="3" t="inlineStr">
        <is>
          <t>basis: skor chunk nyata (sesuai contoh Pers. 2 skripsi)</t>
        </is>
      </c>
    </row>
    <row r="2273">
      <c r="A2273" t="n">
        <v>155</v>
      </c>
      <c r="B2273" t="inlineStr">
        <is>
          <t>A</t>
        </is>
      </c>
      <c r="C2273" t="inlineStr">
        <is>
          <t>Recall@K (Pers. 4)</t>
        </is>
      </c>
      <c r="D2273" s="3" t="inlineStr">
        <is>
          <t>Recall@K = |{kata kunci ditemukan : sim ≥ θ}| / |R|</t>
        </is>
      </c>
      <c r="E2273" s="3" t="inlineStr">
        <is>
          <t>skor = [0.6711, 0.5108, 0.5096, 0.5054, 0.4975, 0.4919] → 6 / 7</t>
        </is>
      </c>
      <c r="F2273" t="n">
        <v>0.8571</v>
      </c>
      <c r="G2273" s="3" t="inlineStr"/>
    </row>
    <row r="2274">
      <c r="A2274" t="n">
        <v>155</v>
      </c>
      <c r="B2274" t="inlineStr">
        <is>
          <t>A</t>
        </is>
      </c>
      <c r="C2274" t="inlineStr">
        <is>
          <t>Mean Similarity (Pers. 6)</t>
        </is>
      </c>
      <c r="D2274" s="3" t="inlineStr">
        <is>
          <t>MeanSim = (1/K) × Σ sim(q, dᵢ)</t>
        </is>
      </c>
      <c r="E2274" s="3" t="inlineStr">
        <is>
          <t>skor = [0.8028, 0.7565, 0.7512, 0.7504, 0.7214, 0.7092] → (0.8028 + 0.7565 + 0.7512 + 0.7504 + 0.7214 + 0.7092) / 6</t>
        </is>
      </c>
      <c r="F2274" t="n">
        <v>0.7486</v>
      </c>
      <c r="G2274" s="3" t="inlineStr"/>
    </row>
    <row r="2275">
      <c r="A2275" t="n">
        <v>155</v>
      </c>
      <c r="B2275" t="inlineStr">
        <is>
          <t>A</t>
        </is>
      </c>
      <c r="C2275" t="inlineStr">
        <is>
          <t>Coverage (Pers. 8)</t>
        </is>
      </c>
      <c r="D2275" s="3" t="inlineStr">
        <is>
          <t>Coverage = |{dᵢ ∈ TopK : sim(q,dᵢ) ≥ θc}| / K</t>
        </is>
      </c>
      <c r="E2275" s="3" t="inlineStr">
        <is>
          <t>skor = [0.8028, 0.7565, 0.7512, 0.7504, 0.7214, 0.7092] → 6 / 6</t>
        </is>
      </c>
      <c r="F2275" t="n">
        <v>1</v>
      </c>
      <c r="G2275" s="3" t="inlineStr"/>
    </row>
    <row r="2276">
      <c r="A2276" t="n">
        <v>155</v>
      </c>
      <c r="B2276" t="inlineStr">
        <is>
          <t>A</t>
        </is>
      </c>
      <c r="C2276" t="inlineStr">
        <is>
          <t>Source Diversity (Pers. 10)</t>
        </is>
      </c>
      <c r="D2276" s="3" t="inlineStr">
        <is>
          <t>Diversity = |sumber unik dalam TopK| / K</t>
        </is>
      </c>
      <c r="E2276" s="3" t="inlineStr">
        <is>
          <t>skor = ['GT_CT13.txt', 'GT_DETAIL_PT13_Struktur_Data.txt', 'GT_SUBTOPIK_02_Abstraksi_Formulasi.txt'] → 3 / 6</t>
        </is>
      </c>
      <c r="F2276" t="n">
        <v>0.5</v>
      </c>
      <c r="G2276" s="3" t="inlineStr">
        <is>
          <t>file unik: GT_CT13.txt, GT_DETAIL_PT13_Struktur_Data.txt, GT_SUBTOPIK_02_Abstraksi_Formulasi.txt</t>
        </is>
      </c>
    </row>
    <row r="2277">
      <c r="A2277" t="n">
        <v>155</v>
      </c>
      <c r="B2277" t="inlineStr">
        <is>
          <t>A</t>
        </is>
      </c>
      <c r="C2277" t="inlineStr">
        <is>
          <t>Faithfulness (Pers. 15)</t>
        </is>
      </c>
      <c r="D2277" s="3" t="inlineStr">
        <is>
          <t>F = 0,70×Entailment + 0,30×KWoverlap</t>
        </is>
      </c>
      <c r="E2277" s="3" t="inlineStr">
        <is>
          <t>Faithfulness = 0,70×Entailment + 0,30×KWoverlap = 0,70×1.0000 + 0,30×0.2253 = 0.7676  (entailment: 6/6 klaim didukung; KWoverlap = (|∩|/|ctx|)^0,65 = (30/297)^0,65 = 0.1010^0,65 = 0.2253)</t>
        </is>
      </c>
      <c r="F2277" t="n">
        <v>0.7675999999999999</v>
      </c>
      <c r="G2277" s="3" t="inlineStr">
        <is>
          <t>metode: llm_entailment + keyword</t>
        </is>
      </c>
    </row>
    <row r="2278">
      <c r="A2278" t="n">
        <v>155</v>
      </c>
      <c r="B2278" t="inlineStr">
        <is>
          <t>A</t>
        </is>
      </c>
      <c r="C2278" t="inlineStr">
        <is>
          <t>— Entailment (Pers. 12-13)</t>
        </is>
      </c>
      <c r="D2278" s="3" t="inlineStr">
        <is>
          <t>Entailment = Σverdict(sᵢ)/m</t>
        </is>
      </c>
      <c r="E2278" s="3" t="inlineStr">
        <is>
          <t>6 klaim YA dari 6 klaim dievaluasi</t>
        </is>
      </c>
      <c r="F2278" t="n">
        <v>1</v>
      </c>
      <c r="G2278" s="3" t="inlineStr">
        <is>
          <t>verdict per klaim: sheet 'Entailment Detail'</t>
        </is>
      </c>
    </row>
    <row r="2279">
      <c r="A2279" t="n">
        <v>155</v>
      </c>
      <c r="B2279" t="inlineStr">
        <is>
          <t>A</t>
        </is>
      </c>
      <c r="C2279" t="inlineStr">
        <is>
          <t>— Keyword Overlap (Pers. 14)</t>
        </is>
      </c>
      <c r="D2279" s="3" t="inlineStr">
        <is>
          <t>KWoverlap = (|Stems(ans)∩Stems(ctx)| / |Stems(ctx)|)^0,65</t>
        </is>
      </c>
      <c r="E2279" s="3" t="inlineStr">
        <is>
          <t>KWoverlap = (|∩|/|ctx|)^0,65 = (30/297)^0,65 = 0.1010^0,65 = 0.2253</t>
        </is>
      </c>
      <c r="F2279" t="n">
        <v>0.2253</v>
      </c>
      <c r="G2279" s="3" t="inlineStr"/>
    </row>
    <row r="2280">
      <c r="A2280" t="n">
        <v>155</v>
      </c>
      <c r="B2280" t="inlineStr">
        <is>
          <t>A</t>
        </is>
      </c>
      <c r="C2280" t="inlineStr">
        <is>
          <t>Hallucination Risk (Pers. 18)</t>
        </is>
      </c>
      <c r="D2280" s="3" t="inlineStr">
        <is>
          <t>Risk = 0,65×(1-F) + 0,20×Contradiction + 0,15×Uncertainty</t>
        </is>
      </c>
      <c r="E2280" s="3" t="inlineStr">
        <is>
          <t>Risk = 0,65×OutOfContext + 0,20×Contradiction + 0,15×Uncertainty = 0,65×0.2324 + 0,20×0.0000 + 0,15×0.00 = 0.1511 [RENDAH]</t>
        </is>
      </c>
      <c r="F2280" t="n">
        <v>0.1511</v>
      </c>
      <c r="G2280" s="3" t="inlineStr">
        <is>
          <t>label: RENDAH; kontradiksi 0/10 kalimat; uncertainty flag: False</t>
        </is>
      </c>
    </row>
    <row r="2281">
      <c r="A2281" t="n">
        <v>155</v>
      </c>
      <c r="B2281" t="inlineStr">
        <is>
          <t>A</t>
        </is>
      </c>
      <c r="C2281" t="inlineStr">
        <is>
          <t>Answer Accuracy (Pers. 20)</t>
        </is>
      </c>
      <c r="D2281" s="3" t="inlineStr">
        <is>
          <t>Correctᵢ ∈ {0,1} via LLM-as-Judge (HASIL: BENAR/SALAH)</t>
        </is>
      </c>
      <c r="E2281" s="3" t="inlineStr">
        <is>
          <t>Jawaban sistem:</t>
        </is>
      </c>
      <c r="F2281" t="inlineStr">
        <is>
          <t>BENAR</t>
        </is>
      </c>
      <c r="G2281" s="3" t="inlineStr">
        <is>
          <t>evaluator: ollama/llama3</t>
        </is>
      </c>
    </row>
    <row r="2282">
      <c r="A2282" t="n">
        <v>155</v>
      </c>
      <c r="B2282" t="inlineStr">
        <is>
          <t>B</t>
        </is>
      </c>
      <c r="C2282" t="inlineStr">
        <is>
          <t>Faithfulness (Pers. 15)</t>
        </is>
      </c>
      <c r="D2282" s="3" t="inlineStr">
        <is>
          <t>F = 0,70×Entailment + 0,30×KWoverlap</t>
        </is>
      </c>
      <c r="E2282" s="3" t="inlineStr">
        <is>
          <t>Faithfulness = 0,70×Entailment + 0,30×KWoverlap = 0,70×1.0000 + 0,30×0.2104 = 0.7631  (entailment: 6/6 klaim didukung; KWoverlap = (|∩|/|ctx|)^0,65 = (27/297)^0,65 = 0.0909^0,65 = 0.2104)</t>
        </is>
      </c>
      <c r="F2282" t="n">
        <v>0.7631</v>
      </c>
      <c r="G2282" s="3" t="inlineStr">
        <is>
          <t>metode: llm_entailment + keyword</t>
        </is>
      </c>
    </row>
    <row r="2283">
      <c r="A2283" t="n">
        <v>155</v>
      </c>
      <c r="B2283" t="inlineStr">
        <is>
          <t>B</t>
        </is>
      </c>
      <c r="C2283" t="inlineStr">
        <is>
          <t>— Entailment (Pers. 12-13)</t>
        </is>
      </c>
      <c r="D2283" s="3" t="inlineStr">
        <is>
          <t>Entailment = Σverdict(sᵢ)/m</t>
        </is>
      </c>
      <c r="E2283" s="3" t="inlineStr">
        <is>
          <t>6 klaim YA dari 6 klaim dievaluasi</t>
        </is>
      </c>
      <c r="F2283" t="n">
        <v>1</v>
      </c>
      <c r="G2283" s="3" t="inlineStr">
        <is>
          <t>verdict per klaim: sheet 'Entailment Detail'</t>
        </is>
      </c>
    </row>
    <row r="2284">
      <c r="A2284" t="n">
        <v>155</v>
      </c>
      <c r="B2284" t="inlineStr">
        <is>
          <t>B</t>
        </is>
      </c>
      <c r="C2284" t="inlineStr">
        <is>
          <t>— Keyword Overlap (Pers. 14)</t>
        </is>
      </c>
      <c r="D2284" s="3" t="inlineStr">
        <is>
          <t>KWoverlap = (|Stems(ans)∩Stems(ctx)| / |Stems(ctx)|)^0,65</t>
        </is>
      </c>
      <c r="E2284" s="3" t="inlineStr">
        <is>
          <t>KWoverlap = (|∩|/|ctx|)^0,65 = (27/297)^0,65 = 0.0909^0,65 = 0.2104</t>
        </is>
      </c>
      <c r="F2284" t="n">
        <v>0.2104</v>
      </c>
      <c r="G2284" s="3" t="inlineStr"/>
    </row>
    <row r="2285">
      <c r="A2285" t="n">
        <v>155</v>
      </c>
      <c r="B2285" t="inlineStr">
        <is>
          <t>B</t>
        </is>
      </c>
      <c r="C2285" t="inlineStr">
        <is>
          <t>Hallucination Risk (Pers. 18)</t>
        </is>
      </c>
      <c r="D2285" s="3" t="inlineStr">
        <is>
          <t>Risk = 0,65×(1-F) + 0,20×Contradiction + 0,15×Uncertainty</t>
        </is>
      </c>
      <c r="E2285" s="3" t="inlineStr">
        <is>
          <t>Risk = 0,65×OutOfContext + 0,20×Contradiction + 0,15×Uncertainty = 0,65×0.2369 + 0,20×0.0000 + 0,15×0.00 = 0.1540 [RENDAH]</t>
        </is>
      </c>
      <c r="F2285" t="n">
        <v>0.154</v>
      </c>
      <c r="G2285" s="3" t="inlineStr">
        <is>
          <t>label: RENDAH; kontradiksi 0/10 kalimat; uncertainty flag: False</t>
        </is>
      </c>
    </row>
    <row r="2286">
      <c r="A2286" t="n">
        <v>155</v>
      </c>
      <c r="B2286" t="inlineStr">
        <is>
          <t>B</t>
        </is>
      </c>
      <c r="C2286" t="inlineStr">
        <is>
          <t>Answer Accuracy (Pers. 20)</t>
        </is>
      </c>
      <c r="D2286" s="3" t="inlineStr">
        <is>
          <t>Correctᵢ ∈ {0,1} via LLM-as-Judge (HASIL: BENAR/SALAH)</t>
        </is>
      </c>
      <c r="E2286" s="3" t="inlineStr">
        <is>
          <t>BENAR</t>
        </is>
      </c>
      <c r="F2286" t="inlineStr">
        <is>
          <t>BENAR</t>
        </is>
      </c>
      <c r="G2286" s="3" t="inlineStr">
        <is>
          <t>evaluator: ollama/llama3</t>
        </is>
      </c>
    </row>
    <row r="2287">
      <c r="A2287" t="n">
        <v>156</v>
      </c>
      <c r="B2287" t="inlineStr">
        <is>
          <t>A</t>
        </is>
      </c>
      <c r="C2287" t="inlineStr">
        <is>
          <t>Precision@K (Pers. 2)</t>
        </is>
      </c>
      <c r="D2287" s="3" t="inlineStr">
        <is>
          <t>Precision@K = |{d ∈ TopK : sim(q,d) ≥ θ}| / K</t>
        </is>
      </c>
      <c r="E2287" s="3" t="inlineStr">
        <is>
          <t>skor = [0.7709, 0.7454, 0.7289, 0.7034, 0.7019, 0.6971] → 6 / 6</t>
        </is>
      </c>
      <c r="F2287" t="n">
        <v>1</v>
      </c>
      <c r="G2287" s="3" t="inlineStr">
        <is>
          <t>basis: skor chunk nyata (sesuai contoh Pers. 2 skripsi)</t>
        </is>
      </c>
    </row>
    <row r="2288">
      <c r="A2288" t="n">
        <v>156</v>
      </c>
      <c r="B2288" t="inlineStr">
        <is>
          <t>A</t>
        </is>
      </c>
      <c r="C2288" t="inlineStr">
        <is>
          <t>Recall@K (Pers. 4)</t>
        </is>
      </c>
      <c r="D2288" s="3" t="inlineStr">
        <is>
          <t>Recall@K = |{kata kunci ditemukan : sim ≥ θ}| / |R|</t>
        </is>
      </c>
      <c r="E2288" s="3" t="inlineStr">
        <is>
          <t>skor = [0.7099, 0.6726, 0.6325, 0.5972, 0.5971, 0.5971] → 6 / 7</t>
        </is>
      </c>
      <c r="F2288" t="n">
        <v>0.8571</v>
      </c>
      <c r="G2288" s="3" t="inlineStr"/>
    </row>
    <row r="2289">
      <c r="A2289" t="n">
        <v>156</v>
      </c>
      <c r="B2289" t="inlineStr">
        <is>
          <t>A</t>
        </is>
      </c>
      <c r="C2289" t="inlineStr">
        <is>
          <t>Mean Similarity (Pers. 6)</t>
        </is>
      </c>
      <c r="D2289" s="3" t="inlineStr">
        <is>
          <t>MeanSim = (1/K) × Σ sim(q, dᵢ)</t>
        </is>
      </c>
      <c r="E2289" s="3" t="inlineStr">
        <is>
          <t>skor = [0.7709, 0.7454, 0.7289, 0.7034, 0.7019, 0.6971] → (0.7709 + 0.7454 + 0.7289 + 0.7034 + 0.7019 + 0.6971) / 6</t>
        </is>
      </c>
      <c r="F2289" t="n">
        <v>0.7246</v>
      </c>
      <c r="G2289" s="3" t="inlineStr"/>
    </row>
    <row r="2290">
      <c r="A2290" t="n">
        <v>156</v>
      </c>
      <c r="B2290" t="inlineStr">
        <is>
          <t>A</t>
        </is>
      </c>
      <c r="C2290" t="inlineStr">
        <is>
          <t>Coverage (Pers. 8)</t>
        </is>
      </c>
      <c r="D2290" s="3" t="inlineStr">
        <is>
          <t>Coverage = |{dᵢ ∈ TopK : sim(q,dᵢ) ≥ θc}| / K</t>
        </is>
      </c>
      <c r="E2290" s="3" t="inlineStr">
        <is>
          <t>skor = [0.7709, 0.7454, 0.7289, 0.7034, 0.7019, 0.6971] → 6 / 6</t>
        </is>
      </c>
      <c r="F2290" t="n">
        <v>1</v>
      </c>
      <c r="G2290" s="3" t="inlineStr"/>
    </row>
    <row r="2291">
      <c r="A2291" t="n">
        <v>156</v>
      </c>
      <c r="B2291" t="inlineStr">
        <is>
          <t>A</t>
        </is>
      </c>
      <c r="C2291" t="inlineStr">
        <is>
          <t>Source Diversity (Pers. 10)</t>
        </is>
      </c>
      <c r="D2291" s="3" t="inlineStr">
        <is>
          <t>Diversity = |sumber unik dalam TopK| / K</t>
        </is>
      </c>
      <c r="E2291" s="3" t="inlineStr">
        <is>
          <t>skor = ['GT_DETAIL_PT13_Struktur_Data.txt', 'GT_SUBTOPIK_13_Graph_Tree.txt'] → 2 / 6</t>
        </is>
      </c>
      <c r="F2291" t="n">
        <v>0.3333</v>
      </c>
      <c r="G2291" s="3" t="inlineStr">
        <is>
          <t>file unik: GT_DETAIL_PT13_Struktur_Data.txt, GT_SUBTOPIK_13_Graph_Tree.txt</t>
        </is>
      </c>
    </row>
    <row r="2292">
      <c r="A2292" t="n">
        <v>156</v>
      </c>
      <c r="B2292" t="inlineStr">
        <is>
          <t>A</t>
        </is>
      </c>
      <c r="C2292" t="inlineStr">
        <is>
          <t>Faithfulness (Pers. 15)</t>
        </is>
      </c>
      <c r="D2292" s="3" t="inlineStr">
        <is>
          <t>F = 0,70×Entailment + 0,30×KWoverlap</t>
        </is>
      </c>
      <c r="E2292" s="3" t="inlineStr">
        <is>
          <t>Faithfulness = 0,70×Entailment + 0,30×KWoverlap = 0,70×1.0000 + 0,30×0.2657 = 0.7797  (entailment: 6/6 klaim didukung; KWoverlap = (|∩|/|ctx|)^0,65 = (19/146)^0,65 = 0.1301^0,65 = 0.2657)</t>
        </is>
      </c>
      <c r="F2292" t="n">
        <v>0.7796999999999999</v>
      </c>
      <c r="G2292" s="3" t="inlineStr">
        <is>
          <t>metode: llm_entailment + keyword</t>
        </is>
      </c>
    </row>
    <row r="2293">
      <c r="A2293" t="n">
        <v>156</v>
      </c>
      <c r="B2293" t="inlineStr">
        <is>
          <t>A</t>
        </is>
      </c>
      <c r="C2293" t="inlineStr">
        <is>
          <t>— Entailment (Pers. 12-13)</t>
        </is>
      </c>
      <c r="D2293" s="3" t="inlineStr">
        <is>
          <t>Entailment = Σverdict(sᵢ)/m</t>
        </is>
      </c>
      <c r="E2293" s="3" t="inlineStr">
        <is>
          <t>6 klaim YA dari 6 klaim dievaluasi</t>
        </is>
      </c>
      <c r="F2293" t="n">
        <v>1</v>
      </c>
      <c r="G2293" s="3" t="inlineStr">
        <is>
          <t>verdict per klaim: sheet 'Entailment Detail'</t>
        </is>
      </c>
    </row>
    <row r="2294">
      <c r="A2294" t="n">
        <v>156</v>
      </c>
      <c r="B2294" t="inlineStr">
        <is>
          <t>A</t>
        </is>
      </c>
      <c r="C2294" t="inlineStr">
        <is>
          <t>— Keyword Overlap (Pers. 14)</t>
        </is>
      </c>
      <c r="D2294" s="3" t="inlineStr">
        <is>
          <t>KWoverlap = (|Stems(ans)∩Stems(ctx)| / |Stems(ctx)|)^0,65</t>
        </is>
      </c>
      <c r="E2294" s="3" t="inlineStr">
        <is>
          <t>KWoverlap = (|∩|/|ctx|)^0,65 = (19/146)^0,65 = 0.1301^0,65 = 0.2657</t>
        </is>
      </c>
      <c r="F2294" t="n">
        <v>0.2657</v>
      </c>
      <c r="G2294" s="3" t="inlineStr"/>
    </row>
    <row r="2295">
      <c r="A2295" t="n">
        <v>156</v>
      </c>
      <c r="B2295" t="inlineStr">
        <is>
          <t>A</t>
        </is>
      </c>
      <c r="C2295" t="inlineStr">
        <is>
          <t>Hallucination Risk (Pers. 18)</t>
        </is>
      </c>
      <c r="D2295" s="3" t="inlineStr">
        <is>
          <t>Risk = 0,65×(1-F) + 0,20×Contradiction + 0,15×Uncertainty</t>
        </is>
      </c>
      <c r="E2295" s="3" t="inlineStr">
        <is>
          <t>Risk = 0,65×OutOfContext + 0,20×Contradiction + 0,15×Uncertainty = 0,65×0.2203 + 0,20×0.0000 + 0,15×0.00 = 0.1432 [RENDAH]</t>
        </is>
      </c>
      <c r="F2295" t="n">
        <v>0.1432</v>
      </c>
      <c r="G2295" s="3" t="inlineStr">
        <is>
          <t>label: RENDAH; kontradiksi 0/21 kalimat; uncertainty flag: False</t>
        </is>
      </c>
    </row>
    <row r="2296">
      <c r="A2296" t="n">
        <v>156</v>
      </c>
      <c r="B2296" t="inlineStr">
        <is>
          <t>A</t>
        </is>
      </c>
      <c r="C2296" t="inlineStr">
        <is>
          <t>Answer Accuracy (Pers. 20)</t>
        </is>
      </c>
      <c r="D2296" s="3" t="inlineStr">
        <is>
          <t>Correctᵢ ∈ {0,1} via LLM-as-Judge (HASIL: BENAR/SALAH)</t>
        </is>
      </c>
      <c r="E2296" s="3" t="inlineStr">
        <is>
          <t>BENAR.
The system answer is correct because it correctly identifies the in-order traversal of the given tree as "D, B, A, C, E, F, G", which matches the provided reference solution. The level-order traversal is also correctly identified as "A,".</t>
        </is>
      </c>
      <c r="F2296" t="inlineStr">
        <is>
          <t>BENAR</t>
        </is>
      </c>
      <c r="G2296" s="3" t="inlineStr">
        <is>
          <t>evaluator: ollama/llama3</t>
        </is>
      </c>
    </row>
    <row r="2297">
      <c r="A2297" t="n">
        <v>156</v>
      </c>
      <c r="B2297" t="inlineStr">
        <is>
          <t>B</t>
        </is>
      </c>
      <c r="C2297" t="inlineStr">
        <is>
          <t>Faithfulness (Pers. 15)</t>
        </is>
      </c>
      <c r="D2297" s="3" t="inlineStr">
        <is>
          <t>F = 0,70×Entailment + 0,30×KWoverlap</t>
        </is>
      </c>
      <c r="E2297" s="3" t="inlineStr">
        <is>
          <t>Faithfulness = 0,70×Entailment + 0,30×KWoverlap = 0,70×1.0000 + 0,30×0.1971 = 0.7591  (entailment: 6/6 klaim didukung; KWoverlap = (|∩|/|ctx|)^0,65 = (12/146)^0,65 = 0.0822^0,65 = 0.1971)</t>
        </is>
      </c>
      <c r="F2297" t="n">
        <v>0.7591</v>
      </c>
      <c r="G2297" s="3" t="inlineStr">
        <is>
          <t>metode: llm_entailment + keyword</t>
        </is>
      </c>
    </row>
    <row r="2298">
      <c r="A2298" t="n">
        <v>156</v>
      </c>
      <c r="B2298" t="inlineStr">
        <is>
          <t>B</t>
        </is>
      </c>
      <c r="C2298" t="inlineStr">
        <is>
          <t>— Entailment (Pers. 12-13)</t>
        </is>
      </c>
      <c r="D2298" s="3" t="inlineStr">
        <is>
          <t>Entailment = Σverdict(sᵢ)/m</t>
        </is>
      </c>
      <c r="E2298" s="3" t="inlineStr">
        <is>
          <t>6 klaim YA dari 6 klaim dievaluasi</t>
        </is>
      </c>
      <c r="F2298" t="n">
        <v>1</v>
      </c>
      <c r="G2298" s="3" t="inlineStr">
        <is>
          <t>verdict per klaim: sheet 'Entailment Detail'</t>
        </is>
      </c>
    </row>
    <row r="2299">
      <c r="A2299" t="n">
        <v>156</v>
      </c>
      <c r="B2299" t="inlineStr">
        <is>
          <t>B</t>
        </is>
      </c>
      <c r="C2299" t="inlineStr">
        <is>
          <t>— Keyword Overlap (Pers. 14)</t>
        </is>
      </c>
      <c r="D2299" s="3" t="inlineStr">
        <is>
          <t>KWoverlap = (|Stems(ans)∩Stems(ctx)| / |Stems(ctx)|)^0,65</t>
        </is>
      </c>
      <c r="E2299" s="3" t="inlineStr">
        <is>
          <t>KWoverlap = (|∩|/|ctx|)^0,65 = (12/146)^0,65 = 0.0822^0,65 = 0.1971</t>
        </is>
      </c>
      <c r="F2299" t="n">
        <v>0.1971</v>
      </c>
      <c r="G2299" s="3" t="inlineStr"/>
    </row>
    <row r="2300">
      <c r="A2300" t="n">
        <v>156</v>
      </c>
      <c r="B2300" t="inlineStr">
        <is>
          <t>B</t>
        </is>
      </c>
      <c r="C2300" t="inlineStr">
        <is>
          <t>Hallucination Risk (Pers. 18)</t>
        </is>
      </c>
      <c r="D2300" s="3" t="inlineStr">
        <is>
          <t>Risk = 0,65×(1-F) + 0,20×Contradiction + 0,15×Uncertainty</t>
        </is>
      </c>
      <c r="E2300" s="3" t="inlineStr">
        <is>
          <t>Risk = 0,65×OutOfContext + 0,20×Contradiction + 0,15×Uncertainty = 0,65×0.2409 + 0,20×0.0000 + 0,15×0.00 = 0.1566 [RENDAH]</t>
        </is>
      </c>
      <c r="F2300" t="n">
        <v>0.1566</v>
      </c>
      <c r="G2300" s="3" t="inlineStr">
        <is>
          <t>label: RENDAH; kontradiksi 0/19 kalimat; uncertainty flag: False</t>
        </is>
      </c>
    </row>
    <row r="2301">
      <c r="A2301" t="n">
        <v>156</v>
      </c>
      <c r="B2301" t="inlineStr">
        <is>
          <t>B</t>
        </is>
      </c>
      <c r="C2301" t="inlineStr">
        <is>
          <t>Answer Accuracy (Pers. 20)</t>
        </is>
      </c>
      <c r="D2301" s="3" t="inlineStr">
        <is>
          <t>Correctᵢ ∈ {0,1} via LLM-as-Judge (HASIL: BENAR/SALAH)</t>
        </is>
      </c>
      <c r="E2301" s="3" t="inlineStr">
        <is>
          <t>BENAR.
Sistem jawaban Anda benar karena Anda menjelaskan secara singkat dan jelas tentang in-order traversal, level-order traversal, dan post-order traversal, serta contoh untuk tree di atas. Penjelasan Anda juga sesuai dengan referensi yang diberikan (dokumen materi GT).</t>
        </is>
      </c>
      <c r="F2301" t="inlineStr">
        <is>
          <t>BENAR</t>
        </is>
      </c>
      <c r="G2301" s="3" t="inlineStr">
        <is>
          <t>evaluator: ollama/llama3</t>
        </is>
      </c>
    </row>
    <row r="2302">
      <c r="A2302" t="n">
        <v>157</v>
      </c>
      <c r="B2302" t="inlineStr">
        <is>
          <t>A</t>
        </is>
      </c>
      <c r="C2302" t="inlineStr">
        <is>
          <t>Precision@K (Pers. 2)</t>
        </is>
      </c>
      <c r="D2302" s="3" t="inlineStr">
        <is>
          <t>Precision@K = |{d ∈ TopK : sim(q,d) ≥ θ}| / K</t>
        </is>
      </c>
      <c r="E2302" s="3" t="inlineStr">
        <is>
          <t>skor = [0.7649, 0.7589, 0.722, 0.7167, 0.7142, 0.7128] → 6 / 6</t>
        </is>
      </c>
      <c r="F2302" t="n">
        <v>1</v>
      </c>
      <c r="G2302" s="3" t="inlineStr">
        <is>
          <t>basis: skor chunk nyata (sesuai contoh Pers. 2 skripsi)</t>
        </is>
      </c>
    </row>
    <row r="2303">
      <c r="A2303" t="n">
        <v>157</v>
      </c>
      <c r="B2303" t="inlineStr">
        <is>
          <t>A</t>
        </is>
      </c>
      <c r="C2303" t="inlineStr">
        <is>
          <t>Recall@K (Pers. 4)</t>
        </is>
      </c>
      <c r="D2303" s="3" t="inlineStr">
        <is>
          <t>Recall@K = |{kata kunci ditemukan : sim ≥ θ}| / |R|</t>
        </is>
      </c>
      <c r="E2303" s="3" t="inlineStr">
        <is>
          <t>skor = [0.6942, 0.6903, 0.5862, 0.5444, 0.4945, 0.4608] → 6 / 7</t>
        </is>
      </c>
      <c r="F2303" t="n">
        <v>0.8571</v>
      </c>
      <c r="G2303" s="3" t="inlineStr"/>
    </row>
    <row r="2304">
      <c r="A2304" t="n">
        <v>157</v>
      </c>
      <c r="B2304" t="inlineStr">
        <is>
          <t>A</t>
        </is>
      </c>
      <c r="C2304" t="inlineStr">
        <is>
          <t>Mean Similarity (Pers. 6)</t>
        </is>
      </c>
      <c r="D2304" s="3" t="inlineStr">
        <is>
          <t>MeanSim = (1/K) × Σ sim(q, dᵢ)</t>
        </is>
      </c>
      <c r="E2304" s="3" t="inlineStr">
        <is>
          <t>skor = [0.7649, 0.7589, 0.722, 0.7167, 0.7142, 0.7128] → (0.7649 + 0.7589 + 0.7220 + 0.7167 + 0.7142 + 0.7128) / 6</t>
        </is>
      </c>
      <c r="F2304" t="n">
        <v>0.7316</v>
      </c>
      <c r="G2304" s="3" t="inlineStr"/>
    </row>
    <row r="2305">
      <c r="A2305" t="n">
        <v>157</v>
      </c>
      <c r="B2305" t="inlineStr">
        <is>
          <t>A</t>
        </is>
      </c>
      <c r="C2305" t="inlineStr">
        <is>
          <t>Coverage (Pers. 8)</t>
        </is>
      </c>
      <c r="D2305" s="3" t="inlineStr">
        <is>
          <t>Coverage = |{dᵢ ∈ TopK : sim(q,dᵢ) ≥ θc}| / K</t>
        </is>
      </c>
      <c r="E2305" s="3" t="inlineStr">
        <is>
          <t>skor = [0.7649, 0.7589, 0.722, 0.7167, 0.7142, 0.7128] → 6 / 6</t>
        </is>
      </c>
      <c r="F2305" t="n">
        <v>1</v>
      </c>
      <c r="G2305" s="3" t="inlineStr"/>
    </row>
    <row r="2306">
      <c r="A2306" t="n">
        <v>157</v>
      </c>
      <c r="B2306" t="inlineStr">
        <is>
          <t>A</t>
        </is>
      </c>
      <c r="C2306" t="inlineStr">
        <is>
          <t>Source Diversity (Pers. 10)</t>
        </is>
      </c>
      <c r="D2306" s="3" t="inlineStr">
        <is>
          <t>Diversity = |sumber unik dalam TopK| / K</t>
        </is>
      </c>
      <c r="E2306" s="3" t="inlineStr">
        <is>
          <t>skor = ['GT_CT13.txt', 'GT_DETAIL_PT13_Struktur_Data.txt', 'GT_SUBTOPIK_02_Abstraksi_Formulasi.txt', 'GT_SUBTOPIK_13_Graph_Tree.txt'] → 4 / 6</t>
        </is>
      </c>
      <c r="F2306" t="n">
        <v>0.6667</v>
      </c>
      <c r="G2306" s="3" t="inlineStr">
        <is>
          <t>file unik: GT_CT13.txt, GT_DETAIL_PT13_Struktur_Data.txt, GT_SUBTOPIK_02_Abstraksi_Formulasi.txt, GT_SUBTOPIK_13_Graph_Tree.txt</t>
        </is>
      </c>
    </row>
    <row r="2307">
      <c r="A2307" t="n">
        <v>157</v>
      </c>
      <c r="B2307" t="inlineStr">
        <is>
          <t>A</t>
        </is>
      </c>
      <c r="C2307" t="inlineStr">
        <is>
          <t>Faithfulness (Pers. 15)</t>
        </is>
      </c>
      <c r="D2307" s="3" t="inlineStr">
        <is>
          <t>F = 0,70×Entailment + 0,30×KWoverlap</t>
        </is>
      </c>
      <c r="E2307" s="3" t="inlineStr">
        <is>
          <t>Faithfulness = 0,70×Entailment + 0,30×KWoverlap = 0,70×0.8333 + 0,30×0.1732 = 0.6353  (entailment: 5/6 klaim didukung; KWoverlap = (|∩|/|ctx|)^0,65 = (19/282)^0,65 = 0.0674^0,65 = 0.1732)</t>
        </is>
      </c>
      <c r="F2307" t="n">
        <v>0.6353</v>
      </c>
      <c r="G2307" s="3" t="inlineStr">
        <is>
          <t>metode: llm_entailment + keyword</t>
        </is>
      </c>
    </row>
    <row r="2308">
      <c r="A2308" t="n">
        <v>157</v>
      </c>
      <c r="B2308" t="inlineStr">
        <is>
          <t>A</t>
        </is>
      </c>
      <c r="C2308" t="inlineStr">
        <is>
          <t>— Entailment (Pers. 12-13)</t>
        </is>
      </c>
      <c r="D2308" s="3" t="inlineStr">
        <is>
          <t>Entailment = Σverdict(sᵢ)/m</t>
        </is>
      </c>
      <c r="E2308" s="3" t="inlineStr">
        <is>
          <t>5 klaim YA dari 6 klaim dievaluasi</t>
        </is>
      </c>
      <c r="F2308" t="n">
        <v>0.8333</v>
      </c>
      <c r="G2308" s="3" t="inlineStr">
        <is>
          <t>verdict per klaim: sheet 'Entailment Detail'</t>
        </is>
      </c>
    </row>
    <row r="2309">
      <c r="A2309" t="n">
        <v>157</v>
      </c>
      <c r="B2309" t="inlineStr">
        <is>
          <t>A</t>
        </is>
      </c>
      <c r="C2309" t="inlineStr">
        <is>
          <t>— Keyword Overlap (Pers. 14)</t>
        </is>
      </c>
      <c r="D2309" s="3" t="inlineStr">
        <is>
          <t>KWoverlap = (|Stems(ans)∩Stems(ctx)| / |Stems(ctx)|)^0,65</t>
        </is>
      </c>
      <c r="E2309" s="3" t="inlineStr">
        <is>
          <t>KWoverlap = (|∩|/|ctx|)^0,65 = (19/282)^0,65 = 0.0674^0,65 = 0.1732</t>
        </is>
      </c>
      <c r="F2309" t="n">
        <v>0.1732</v>
      </c>
      <c r="G2309" s="3" t="inlineStr"/>
    </row>
    <row r="2310">
      <c r="A2310" t="n">
        <v>157</v>
      </c>
      <c r="B2310" t="inlineStr">
        <is>
          <t>A</t>
        </is>
      </c>
      <c r="C2310" t="inlineStr">
        <is>
          <t>Hallucination Risk (Pers. 18)</t>
        </is>
      </c>
      <c r="D2310" s="3" t="inlineStr">
        <is>
          <t>Risk = 0,65×(1-F) + 0,20×Contradiction + 0,15×Uncertainty</t>
        </is>
      </c>
      <c r="E2310" s="3" t="inlineStr">
        <is>
          <t>Risk = 0,65×OutOfContext + 0,20×Contradiction + 0,15×Uncertainty = 0,65×0.3647 + 0,20×0.0000 + 0,15×0.00 = 0.2371 [RENDAH]</t>
        </is>
      </c>
      <c r="F2310" t="n">
        <v>0.2371</v>
      </c>
      <c r="G2310" s="3" t="inlineStr">
        <is>
          <t>label: RENDAH; kontradiksi 0/19 kalimat; uncertainty flag: False</t>
        </is>
      </c>
    </row>
    <row r="2311">
      <c r="A2311" t="n">
        <v>157</v>
      </c>
      <c r="B2311" t="inlineStr">
        <is>
          <t>A</t>
        </is>
      </c>
      <c r="C2311" t="inlineStr">
        <is>
          <t>Answer Accuracy (Pers. 20)</t>
        </is>
      </c>
      <c r="D2311" s="3" t="inlineStr">
        <is>
          <t>Correctᵢ ∈ {0,1} via LLM-as-Judge (HASIL: BENAR/SALAH)</t>
        </is>
      </c>
      <c r="E2311" s="3" t="inlineStr">
        <is>
          <t>BENAR.
Alasan: Jawaban sistem menjelaskan bahwa untuk deteksi cycle pada graph, kita dapat menggunakan algoritme Depth-First Search (DFS). Prosesnya adalah memilih sebuah node sebagai awal, lalu melakukan traversal depth-first dari node tersebut dan jika mencapai node yang telah dikunjungi sebelumnya, maka terdeteksi adanya cycle. Dalam kasus soal graph yang diberikan, DFS dapat digunakan untuk m</t>
        </is>
      </c>
      <c r="F2311" t="inlineStr">
        <is>
          <t>BENAR</t>
        </is>
      </c>
      <c r="G2311" s="3" t="inlineStr">
        <is>
          <t>evaluator: ollama/llama3</t>
        </is>
      </c>
    </row>
    <row r="2312">
      <c r="A2312" t="n">
        <v>157</v>
      </c>
      <c r="B2312" t="inlineStr">
        <is>
          <t>B</t>
        </is>
      </c>
      <c r="C2312" t="inlineStr">
        <is>
          <t>Faithfulness (Pers. 15)</t>
        </is>
      </c>
      <c r="D2312" s="3" t="inlineStr">
        <is>
          <t>F = 0,70×Entailment + 0,30×KWoverlap</t>
        </is>
      </c>
      <c r="E2312" s="3" t="inlineStr">
        <is>
          <t>Faithfulness = 0,70×Entailment + 0,30×KWoverlap = 0,70×1.0000 + 0,30×0.2016 = 0.7605  (entailment: 6/6 klaim didukung; KWoverlap = (|∩|/|ctx|)^0,65 = (24/282)^0,65 = 0.0851^0,65 = 0.2016)</t>
        </is>
      </c>
      <c r="F2312" t="n">
        <v>0.7605</v>
      </c>
      <c r="G2312" s="3" t="inlineStr">
        <is>
          <t>metode: llm_entailment + keyword</t>
        </is>
      </c>
    </row>
    <row r="2313">
      <c r="A2313" t="n">
        <v>157</v>
      </c>
      <c r="B2313" t="inlineStr">
        <is>
          <t>B</t>
        </is>
      </c>
      <c r="C2313" t="inlineStr">
        <is>
          <t>— Entailment (Pers. 12-13)</t>
        </is>
      </c>
      <c r="D2313" s="3" t="inlineStr">
        <is>
          <t>Entailment = Σverdict(sᵢ)/m</t>
        </is>
      </c>
      <c r="E2313" s="3" t="inlineStr">
        <is>
          <t>6 klaim YA dari 6 klaim dievaluasi</t>
        </is>
      </c>
      <c r="F2313" t="n">
        <v>1</v>
      </c>
      <c r="G2313" s="3" t="inlineStr">
        <is>
          <t>verdict per klaim: sheet 'Entailment Detail'</t>
        </is>
      </c>
    </row>
    <row r="2314">
      <c r="A2314" t="n">
        <v>157</v>
      </c>
      <c r="B2314" t="inlineStr">
        <is>
          <t>B</t>
        </is>
      </c>
      <c r="C2314" t="inlineStr">
        <is>
          <t>— Keyword Overlap (Pers. 14)</t>
        </is>
      </c>
      <c r="D2314" s="3" t="inlineStr">
        <is>
          <t>KWoverlap = (|Stems(ans)∩Stems(ctx)| / |Stems(ctx)|)^0,65</t>
        </is>
      </c>
      <c r="E2314" s="3" t="inlineStr">
        <is>
          <t>KWoverlap = (|∩|/|ctx|)^0,65 = (24/282)^0,65 = 0.0851^0,65 = 0.2016</t>
        </is>
      </c>
      <c r="F2314" t="n">
        <v>0.2016</v>
      </c>
      <c r="G2314" s="3" t="inlineStr"/>
    </row>
    <row r="2315">
      <c r="A2315" t="n">
        <v>157</v>
      </c>
      <c r="B2315" t="inlineStr">
        <is>
          <t>B</t>
        </is>
      </c>
      <c r="C2315" t="inlineStr">
        <is>
          <t>Hallucination Risk (Pers. 18)</t>
        </is>
      </c>
      <c r="D2315" s="3" t="inlineStr">
        <is>
          <t>Risk = 0,65×(1-F) + 0,20×Contradiction + 0,15×Uncertainty</t>
        </is>
      </c>
      <c r="E2315" s="3" t="inlineStr">
        <is>
          <t>Risk = 0,65×OutOfContext + 0,20×Contradiction + 0,15×Uncertainty = 0,65×0.2395 + 0,20×0.0000 + 0,15×0.00 = 0.1557 [RENDAH]</t>
        </is>
      </c>
      <c r="F2315" t="n">
        <v>0.1557</v>
      </c>
      <c r="G2315" s="3" t="inlineStr">
        <is>
          <t>label: RENDAH; kontradiksi 0/34 kalimat; uncertainty flag: False</t>
        </is>
      </c>
    </row>
    <row r="2316">
      <c r="A2316" t="n">
        <v>157</v>
      </c>
      <c r="B2316" t="inlineStr">
        <is>
          <t>B</t>
        </is>
      </c>
      <c r="C2316" t="inlineStr">
        <is>
          <t>Answer Accuracy (Pers. 20)</t>
        </is>
      </c>
      <c r="D2316" s="3" t="inlineStr">
        <is>
          <t>Correctᵢ ∈ {0,1} via LLM-as-Judge (HASIL: BENAR/SALAH)</t>
        </is>
      </c>
      <c r="E2316" s="3" t="inlineStr">
        <is>
          <t>BENAR</t>
        </is>
      </c>
      <c r="F2316" t="inlineStr">
        <is>
          <t>BENAR</t>
        </is>
      </c>
      <c r="G2316" s="3" t="inlineStr">
        <is>
          <t>evaluator: ollama/llama3</t>
        </is>
      </c>
    </row>
    <row r="2317">
      <c r="A2317" t="n">
        <v>158</v>
      </c>
      <c r="B2317" t="inlineStr">
        <is>
          <t>A</t>
        </is>
      </c>
      <c r="C2317" t="inlineStr">
        <is>
          <t>Precision@K (Pers. 2)</t>
        </is>
      </c>
      <c r="D2317" s="3" t="inlineStr">
        <is>
          <t>Precision@K = |{d ∈ TopK : sim(q,d) ≥ θ}| / K</t>
        </is>
      </c>
      <c r="E2317" s="3" t="inlineStr">
        <is>
          <t>skor = [0.759, 0.7581, 0.7522, 0.7459, 0.7302, 0.7291] → 6 / 6</t>
        </is>
      </c>
      <c r="F2317" t="n">
        <v>1</v>
      </c>
      <c r="G2317" s="3" t="inlineStr">
        <is>
          <t>basis: skor chunk nyata (sesuai contoh Pers. 2 skripsi)</t>
        </is>
      </c>
    </row>
    <row r="2318">
      <c r="A2318" t="n">
        <v>158</v>
      </c>
      <c r="B2318" t="inlineStr">
        <is>
          <t>A</t>
        </is>
      </c>
      <c r="C2318" t="inlineStr">
        <is>
          <t>Recall@K (Pers. 4)</t>
        </is>
      </c>
      <c r="D2318" s="3" t="inlineStr">
        <is>
          <t>Recall@K = |{kata kunci ditemukan : sim ≥ θ}| / |R|</t>
        </is>
      </c>
      <c r="E2318" s="3" t="inlineStr">
        <is>
          <t>skor = [0.7238, 0.6032, 0.5025, 0.4957, 0.4831, 0.4831] → 6 / 7</t>
        </is>
      </c>
      <c r="F2318" t="n">
        <v>0.8571</v>
      </c>
      <c r="G2318" s="3" t="inlineStr"/>
    </row>
    <row r="2319">
      <c r="A2319" t="n">
        <v>158</v>
      </c>
      <c r="B2319" t="inlineStr">
        <is>
          <t>A</t>
        </is>
      </c>
      <c r="C2319" t="inlineStr">
        <is>
          <t>Mean Similarity (Pers. 6)</t>
        </is>
      </c>
      <c r="D2319" s="3" t="inlineStr">
        <is>
          <t>MeanSim = (1/K) × Σ sim(q, dᵢ)</t>
        </is>
      </c>
      <c r="E2319" s="3" t="inlineStr">
        <is>
          <t>skor = [0.759, 0.7581, 0.7522, 0.7459, 0.7302, 0.7291] → (0.7590 + 0.7581 + 0.7522 + 0.7459 + 0.7302 + 0.7291) / 6</t>
        </is>
      </c>
      <c r="F2319" t="n">
        <v>0.7458</v>
      </c>
      <c r="G2319" s="3" t="inlineStr"/>
    </row>
    <row r="2320">
      <c r="A2320" t="n">
        <v>158</v>
      </c>
      <c r="B2320" t="inlineStr">
        <is>
          <t>A</t>
        </is>
      </c>
      <c r="C2320" t="inlineStr">
        <is>
          <t>Coverage (Pers. 8)</t>
        </is>
      </c>
      <c r="D2320" s="3" t="inlineStr">
        <is>
          <t>Coverage = |{dᵢ ∈ TopK : sim(q,dᵢ) ≥ θc}| / K</t>
        </is>
      </c>
      <c r="E2320" s="3" t="inlineStr">
        <is>
          <t>skor = [0.759, 0.7581, 0.7522, 0.7459, 0.7302, 0.7291] → 6 / 6</t>
        </is>
      </c>
      <c r="F2320" t="n">
        <v>1</v>
      </c>
      <c r="G2320" s="3" t="inlineStr"/>
    </row>
    <row r="2321">
      <c r="A2321" t="n">
        <v>158</v>
      </c>
      <c r="B2321" t="inlineStr">
        <is>
          <t>A</t>
        </is>
      </c>
      <c r="C2321" t="inlineStr">
        <is>
          <t>Source Diversity (Pers. 10)</t>
        </is>
      </c>
      <c r="D2321" s="3" t="inlineStr">
        <is>
          <t>Diversity = |sumber unik dalam TopK| / K</t>
        </is>
      </c>
      <c r="E2321" s="3" t="inlineStr">
        <is>
          <t>skor = ['GT_CT13.txt', 'GT_DETAIL_PT13_Struktur_Data.txt', 'GT_SUBTOPIK_13_Graph_Tree.txt'] → 3 / 6</t>
        </is>
      </c>
      <c r="F2321" t="n">
        <v>0.5</v>
      </c>
      <c r="G2321" s="3" t="inlineStr">
        <is>
          <t>file unik: GT_CT13.txt, GT_DETAIL_PT13_Struktur_Data.txt, GT_SUBTOPIK_13_Graph_Tree.txt</t>
        </is>
      </c>
    </row>
    <row r="2322">
      <c r="A2322" t="n">
        <v>158</v>
      </c>
      <c r="B2322" t="inlineStr">
        <is>
          <t>A</t>
        </is>
      </c>
      <c r="C2322" t="inlineStr">
        <is>
          <t>Faithfulness (Pers. 15)</t>
        </is>
      </c>
      <c r="D2322" s="3" t="inlineStr">
        <is>
          <t>F = 0,70×Entailment + 0,30×KWoverlap</t>
        </is>
      </c>
      <c r="E2322" s="3" t="inlineStr">
        <is>
          <t>Faithfulness = 0,70×Entailment + 0,30×KWoverlap = 0,70×1.0000 + 0,30×0.2887 = 0.7866  (entailment: 6/6 klaim didukung; KWoverlap = (|∩|/|ctx|)^0,65 = (38/257)^0,65 = 0.1479^0,65 = 0.2887)</t>
        </is>
      </c>
      <c r="F2322" t="n">
        <v>0.7866</v>
      </c>
      <c r="G2322" s="3" t="inlineStr">
        <is>
          <t>metode: llm_entailment + keyword</t>
        </is>
      </c>
    </row>
    <row r="2323">
      <c r="A2323" t="n">
        <v>158</v>
      </c>
      <c r="B2323" t="inlineStr">
        <is>
          <t>A</t>
        </is>
      </c>
      <c r="C2323" t="inlineStr">
        <is>
          <t>— Entailment (Pers. 12-13)</t>
        </is>
      </c>
      <c r="D2323" s="3" t="inlineStr">
        <is>
          <t>Entailment = Σverdict(sᵢ)/m</t>
        </is>
      </c>
      <c r="E2323" s="3" t="inlineStr">
        <is>
          <t>6 klaim YA dari 6 klaim dievaluasi</t>
        </is>
      </c>
      <c r="F2323" t="n">
        <v>1</v>
      </c>
      <c r="G2323" s="3" t="inlineStr">
        <is>
          <t>verdict per klaim: sheet 'Entailment Detail'</t>
        </is>
      </c>
    </row>
    <row r="2324">
      <c r="A2324" t="n">
        <v>158</v>
      </c>
      <c r="B2324" t="inlineStr">
        <is>
          <t>A</t>
        </is>
      </c>
      <c r="C2324" t="inlineStr">
        <is>
          <t>— Keyword Overlap (Pers. 14)</t>
        </is>
      </c>
      <c r="D2324" s="3" t="inlineStr">
        <is>
          <t>KWoverlap = (|Stems(ans)∩Stems(ctx)| / |Stems(ctx)|)^0,65</t>
        </is>
      </c>
      <c r="E2324" s="3" t="inlineStr">
        <is>
          <t>KWoverlap = (|∩|/|ctx|)^0,65 = (38/257)^0,65 = 0.1479^0,65 = 0.2887</t>
        </is>
      </c>
      <c r="F2324" t="n">
        <v>0.2887</v>
      </c>
      <c r="G2324" s="3" t="inlineStr"/>
    </row>
    <row r="2325">
      <c r="A2325" t="n">
        <v>158</v>
      </c>
      <c r="B2325" t="inlineStr">
        <is>
          <t>A</t>
        </is>
      </c>
      <c r="C2325" t="inlineStr">
        <is>
          <t>Hallucination Risk (Pers. 18)</t>
        </is>
      </c>
      <c r="D2325" s="3" t="inlineStr">
        <is>
          <t>Risk = 0,65×(1-F) + 0,20×Contradiction + 0,15×Uncertainty</t>
        </is>
      </c>
      <c r="E2325" s="3" t="inlineStr">
        <is>
          <t>Risk = 0,65×OutOfContext + 0,20×Contradiction + 0,15×Uncertainty = 0,65×0.2134 + 0,20×0.0000 + 0,15×0.00 = 0.1387 [RENDAH]</t>
        </is>
      </c>
      <c r="F2325" t="n">
        <v>0.1387</v>
      </c>
      <c r="G2325" s="3" t="inlineStr">
        <is>
          <t>label: RENDAH; kontradiksi 0/13 kalimat; uncertainty flag: False</t>
        </is>
      </c>
    </row>
    <row r="2326">
      <c r="A2326" t="n">
        <v>158</v>
      </c>
      <c r="B2326" t="inlineStr">
        <is>
          <t>A</t>
        </is>
      </c>
      <c r="C2326" t="inlineStr">
        <is>
          <t>Answer Accuracy (Pers. 20)</t>
        </is>
      </c>
      <c r="D2326" s="3" t="inlineStr">
        <is>
          <t>Correctᵢ ∈ {0,1} via LLM-as-Judge (HASIL: BENAR/SALAH)</t>
        </is>
      </c>
      <c r="E2326" s="3" t="inlineStr">
        <is>
          <t>Menurut referensi, jawaban sistem masih belum menjawab pertanyaan dengan benar.
Untuk mengetahui apakah graph 1 adalah "connected graph" atau tidak, kita perlu memeriksa apakah setiap node dapat diakses dari node lain melalui sekurang-kurangnya satu jalur. Dalam kasus Graph 1, kita memiliki edge A-B, B-C, C-D, dan D-A. Jika kita mulai dari node A, kita dapat mengikuti jalur A-B-C-D untuk mencapai</t>
        </is>
      </c>
      <c r="F2326" t="inlineStr">
        <is>
          <t>BENAR</t>
        </is>
      </c>
      <c r="G2326" s="3" t="inlineStr">
        <is>
          <t>evaluator: ollama/llama3</t>
        </is>
      </c>
    </row>
    <row r="2327">
      <c r="A2327" t="n">
        <v>158</v>
      </c>
      <c r="B2327" t="inlineStr">
        <is>
          <t>B</t>
        </is>
      </c>
      <c r="C2327" t="inlineStr">
        <is>
          <t>Faithfulness (Pers. 15)</t>
        </is>
      </c>
      <c r="D2327" s="3" t="inlineStr">
        <is>
          <t>F = 0,70×Entailment + 0,30×KWoverlap</t>
        </is>
      </c>
      <c r="E2327" s="3" t="inlineStr">
        <is>
          <t>Faithfulness = 0,70×Entailment + 0,30×KWoverlap = 0,70×1.0000 + 0,30×0.2024 = 0.7607  (entailment: 6/6 klaim didukung; KWoverlap = (|∩|/|ctx|)^0,65 = (22/257)^0,65 = 0.0856^0,65 = 0.2024)</t>
        </is>
      </c>
      <c r="F2327" t="n">
        <v>0.7607</v>
      </c>
      <c r="G2327" s="3" t="inlineStr">
        <is>
          <t>metode: llm_entailment + keyword</t>
        </is>
      </c>
    </row>
    <row r="2328">
      <c r="A2328" t="n">
        <v>158</v>
      </c>
      <c r="B2328" t="inlineStr">
        <is>
          <t>B</t>
        </is>
      </c>
      <c r="C2328" t="inlineStr">
        <is>
          <t>— Entailment (Pers. 12-13)</t>
        </is>
      </c>
      <c r="D2328" s="3" t="inlineStr">
        <is>
          <t>Entailment = Σverdict(sᵢ)/m</t>
        </is>
      </c>
      <c r="E2328" s="3" t="inlineStr">
        <is>
          <t>6 klaim YA dari 6 klaim dievaluasi</t>
        </is>
      </c>
      <c r="F2328" t="n">
        <v>1</v>
      </c>
      <c r="G2328" s="3" t="inlineStr">
        <is>
          <t>verdict per klaim: sheet 'Entailment Detail'</t>
        </is>
      </c>
    </row>
    <row r="2329">
      <c r="A2329" t="n">
        <v>158</v>
      </c>
      <c r="B2329" t="inlineStr">
        <is>
          <t>B</t>
        </is>
      </c>
      <c r="C2329" t="inlineStr">
        <is>
          <t>— Keyword Overlap (Pers. 14)</t>
        </is>
      </c>
      <c r="D2329" s="3" t="inlineStr">
        <is>
          <t>KWoverlap = (|Stems(ans)∩Stems(ctx)| / |Stems(ctx)|)^0,65</t>
        </is>
      </c>
      <c r="E2329" s="3" t="inlineStr">
        <is>
          <t>KWoverlap = (|∩|/|ctx|)^0,65 = (22/257)^0,65 = 0.0856^0,65 = 0.2024</t>
        </is>
      </c>
      <c r="F2329" t="n">
        <v>0.2024</v>
      </c>
      <c r="G2329" s="3" t="inlineStr"/>
    </row>
    <row r="2330">
      <c r="A2330" t="n">
        <v>158</v>
      </c>
      <c r="B2330" t="inlineStr">
        <is>
          <t>B</t>
        </is>
      </c>
      <c r="C2330" t="inlineStr">
        <is>
          <t>Hallucination Risk (Pers. 18)</t>
        </is>
      </c>
      <c r="D2330" s="3" t="inlineStr">
        <is>
          <t>Risk = 0,65×(1-F) + 0,20×Contradiction + 0,15×Uncertainty</t>
        </is>
      </c>
      <c r="E2330" s="3" t="inlineStr">
        <is>
          <t>Risk = 0,65×OutOfContext + 0,20×Contradiction + 0,15×Uncertainty = 0,65×0.2393 + 0,20×0.0000 + 0,15×0.00 = 0.1555 [RENDAH]</t>
        </is>
      </c>
      <c r="F2330" t="n">
        <v>0.1555</v>
      </c>
      <c r="G2330" s="3" t="inlineStr">
        <is>
          <t>label: RENDAH; kontradiksi 0/19 kalimat; uncertainty flag: False</t>
        </is>
      </c>
    </row>
    <row r="2331">
      <c r="A2331" t="n">
        <v>158</v>
      </c>
      <c r="B2331" t="inlineStr">
        <is>
          <t>B</t>
        </is>
      </c>
      <c r="C2331" t="inlineStr">
        <is>
          <t>Answer Accuracy (Pers. 20)</t>
        </is>
      </c>
      <c r="D2331" s="3" t="inlineStr">
        <is>
          <t>Correctᵢ ∈ {0,1} via LLM-as-Judge (HASIL: BENAR/SALAH)</t>
        </is>
      </c>
      <c r="E2331" s="3" t="inlineStr"/>
      <c r="F2331" t="inlineStr">
        <is>
          <t>BENAR</t>
        </is>
      </c>
      <c r="G2331" s="3" t="inlineStr">
        <is>
          <t>evaluator: ollama/llama3</t>
        </is>
      </c>
    </row>
    <row r="2332">
      <c r="A2332" t="n">
        <v>159</v>
      </c>
      <c r="B2332" t="inlineStr">
        <is>
          <t>A</t>
        </is>
      </c>
      <c r="C2332" t="inlineStr">
        <is>
          <t>Precision@K (Pers. 2)</t>
        </is>
      </c>
      <c r="D2332" s="3" t="inlineStr">
        <is>
          <t>Precision@K = |{d ∈ TopK : sim(q,d) ≥ θ}| / K</t>
        </is>
      </c>
      <c r="E2332" s="3" t="inlineStr">
        <is>
          <t>skor = [0.7704, 0.7337, 0.7271, 0.7148, 0.694, 0.6844] → 6 / 6</t>
        </is>
      </c>
      <c r="F2332" t="n">
        <v>1</v>
      </c>
      <c r="G2332" s="3" t="inlineStr">
        <is>
          <t>basis: skor chunk nyata (sesuai contoh Pers. 2 skripsi)</t>
        </is>
      </c>
    </row>
    <row r="2333">
      <c r="A2333" t="n">
        <v>159</v>
      </c>
      <c r="B2333" t="inlineStr">
        <is>
          <t>A</t>
        </is>
      </c>
      <c r="C2333" t="inlineStr">
        <is>
          <t>Recall@K (Pers. 4)</t>
        </is>
      </c>
      <c r="D2333" s="3" t="inlineStr">
        <is>
          <t>Recall@K = |{kata kunci ditemukan : sim ≥ θ}| / |R|</t>
        </is>
      </c>
      <c r="E2333" s="3" t="inlineStr">
        <is>
          <t>skor = [0.7777, 0.5439, 0.4847, 0.4847, 0.4242, 0.3794] → 6 / 6</t>
        </is>
      </c>
      <c r="F2333" t="n">
        <v>1</v>
      </c>
      <c r="G2333" s="3" t="inlineStr"/>
    </row>
    <row r="2334">
      <c r="A2334" t="n">
        <v>159</v>
      </c>
      <c r="B2334" t="inlineStr">
        <is>
          <t>A</t>
        </is>
      </c>
      <c r="C2334" t="inlineStr">
        <is>
          <t>Mean Similarity (Pers. 6)</t>
        </is>
      </c>
      <c r="D2334" s="3" t="inlineStr">
        <is>
          <t>MeanSim = (1/K) × Σ sim(q, dᵢ)</t>
        </is>
      </c>
      <c r="E2334" s="3" t="inlineStr">
        <is>
          <t>skor = [0.7704, 0.7337, 0.7271, 0.7148, 0.694, 0.6844] → (0.7704 + 0.7337 + 0.7271 + 0.7148 + 0.6940 + 0.6844) / 6</t>
        </is>
      </c>
      <c r="F2334" t="n">
        <v>0.7207</v>
      </c>
      <c r="G2334" s="3" t="inlineStr"/>
    </row>
    <row r="2335">
      <c r="A2335" t="n">
        <v>159</v>
      </c>
      <c r="B2335" t="inlineStr">
        <is>
          <t>A</t>
        </is>
      </c>
      <c r="C2335" t="inlineStr">
        <is>
          <t>Coverage (Pers. 8)</t>
        </is>
      </c>
      <c r="D2335" s="3" t="inlineStr">
        <is>
          <t>Coverage = |{dᵢ ∈ TopK : sim(q,dᵢ) ≥ θc}| / K</t>
        </is>
      </c>
      <c r="E2335" s="3" t="inlineStr">
        <is>
          <t>skor = [0.7704, 0.7337, 0.7271, 0.7148, 0.694, 0.6844] → 6 / 6</t>
        </is>
      </c>
      <c r="F2335" t="n">
        <v>1</v>
      </c>
      <c r="G2335" s="3" t="inlineStr"/>
    </row>
    <row r="2336">
      <c r="A2336" t="n">
        <v>159</v>
      </c>
      <c r="B2336" t="inlineStr">
        <is>
          <t>A</t>
        </is>
      </c>
      <c r="C2336" t="inlineStr">
        <is>
          <t>Source Diversity (Pers. 10)</t>
        </is>
      </c>
      <c r="D2336" s="3" t="inlineStr">
        <is>
          <t>Diversity = |sumber unik dalam TopK| / K</t>
        </is>
      </c>
      <c r="E2336" s="3" t="inlineStr">
        <is>
          <t>skor = ['GT_CT13.txt', 'GT_DETAIL_PT13_Struktur_Data.txt', 'GT_SUBTOPIK_02_Abstraksi_Formulasi.txt', 'GT_SUBTOPIK_13_Graph_Tree.txt'] → 4 / 6</t>
        </is>
      </c>
      <c r="F2336" t="n">
        <v>0.6667</v>
      </c>
      <c r="G2336" s="3" t="inlineStr">
        <is>
          <t>file unik: GT_CT13.txt, GT_DETAIL_PT13_Struktur_Data.txt, GT_SUBTOPIK_02_Abstraksi_Formulasi.txt, GT_SUBTOPIK_13_Graph_Tree.txt</t>
        </is>
      </c>
    </row>
    <row r="2337">
      <c r="A2337" t="n">
        <v>159</v>
      </c>
      <c r="B2337" t="inlineStr">
        <is>
          <t>A</t>
        </is>
      </c>
      <c r="C2337" t="inlineStr">
        <is>
          <t>Faithfulness (Pers. 15)</t>
        </is>
      </c>
      <c r="D2337" s="3" t="inlineStr">
        <is>
          <t>F = 0,70×Entailment + 0,30×KWoverlap</t>
        </is>
      </c>
      <c r="E2337" s="3" t="inlineStr">
        <is>
          <t>Faithfulness = 0,70×Entailment + 0,30×KWoverlap = 0,70×1.0000 + 0,30×0.2323 = 0.7697  (entailment: 6/6 klaim didukung; KWoverlap = (|∩|/|ctx|)^0,65 = (29/274)^0,65 = 0.1058^0,65 = 0.2323)</t>
        </is>
      </c>
      <c r="F2337" t="n">
        <v>0.7697000000000001</v>
      </c>
      <c r="G2337" s="3" t="inlineStr">
        <is>
          <t>metode: llm_entailment + keyword</t>
        </is>
      </c>
    </row>
    <row r="2338">
      <c r="A2338" t="n">
        <v>159</v>
      </c>
      <c r="B2338" t="inlineStr">
        <is>
          <t>A</t>
        </is>
      </c>
      <c r="C2338" t="inlineStr">
        <is>
          <t>— Entailment (Pers. 12-13)</t>
        </is>
      </c>
      <c r="D2338" s="3" t="inlineStr">
        <is>
          <t>Entailment = Σverdict(sᵢ)/m</t>
        </is>
      </c>
      <c r="E2338" s="3" t="inlineStr">
        <is>
          <t>6 klaim YA dari 6 klaim dievaluasi</t>
        </is>
      </c>
      <c r="F2338" t="n">
        <v>1</v>
      </c>
      <c r="G2338" s="3" t="inlineStr">
        <is>
          <t>verdict per klaim: sheet 'Entailment Detail'</t>
        </is>
      </c>
    </row>
    <row r="2339">
      <c r="A2339" t="n">
        <v>159</v>
      </c>
      <c r="B2339" t="inlineStr">
        <is>
          <t>A</t>
        </is>
      </c>
      <c r="C2339" t="inlineStr">
        <is>
          <t>— Keyword Overlap (Pers. 14)</t>
        </is>
      </c>
      <c r="D2339" s="3" t="inlineStr">
        <is>
          <t>KWoverlap = (|Stems(ans)∩Stems(ctx)| / |Stems(ctx)|)^0,65</t>
        </is>
      </c>
      <c r="E2339" s="3" t="inlineStr">
        <is>
          <t>KWoverlap = (|∩|/|ctx|)^0,65 = (29/274)^0,65 = 0.1058^0,65 = 0.2323</t>
        </is>
      </c>
      <c r="F2339" t="n">
        <v>0.2323</v>
      </c>
      <c r="G2339" s="3" t="inlineStr"/>
    </row>
    <row r="2340">
      <c r="A2340" t="n">
        <v>159</v>
      </c>
      <c r="B2340" t="inlineStr">
        <is>
          <t>A</t>
        </is>
      </c>
      <c r="C2340" t="inlineStr">
        <is>
          <t>Hallucination Risk (Pers. 18)</t>
        </is>
      </c>
      <c r="D2340" s="3" t="inlineStr">
        <is>
          <t>Risk = 0,65×(1-F) + 0,20×Contradiction + 0,15×Uncertainty</t>
        </is>
      </c>
      <c r="E2340" s="3" t="inlineStr">
        <is>
          <t>Risk = 0,65×OutOfContext + 0,20×Contradiction + 0,15×Uncertainty = 0,65×0.2303 + 0,20×0.0000 + 0,15×0.00 = 0.1497 [RENDAH]</t>
        </is>
      </c>
      <c r="F2340" t="n">
        <v>0.1497</v>
      </c>
      <c r="G2340" s="3" t="inlineStr">
        <is>
          <t>label: RENDAH; kontradiksi 0/10 kalimat; uncertainty flag: False</t>
        </is>
      </c>
    </row>
    <row r="2341">
      <c r="A2341" t="n">
        <v>159</v>
      </c>
      <c r="B2341" t="inlineStr">
        <is>
          <t>A</t>
        </is>
      </c>
      <c r="C2341" t="inlineStr">
        <is>
          <t>Answer Accuracy (Pers. 20)</t>
        </is>
      </c>
      <c r="D2341" s="3" t="inlineStr">
        <is>
          <t>Correctᵢ ∈ {0,1} via LLM-as-Judge (HASIL: BENAR/SALAH)</t>
        </is>
      </c>
      <c r="E2341" s="3" t="inlineStr">
        <is>
          <t>BENAR</t>
        </is>
      </c>
      <c r="F2341" t="inlineStr">
        <is>
          <t>BENAR</t>
        </is>
      </c>
      <c r="G2341" s="3" t="inlineStr">
        <is>
          <t>evaluator: ollama/llama3</t>
        </is>
      </c>
    </row>
    <row r="2342">
      <c r="A2342" t="n">
        <v>159</v>
      </c>
      <c r="B2342" t="inlineStr">
        <is>
          <t>B</t>
        </is>
      </c>
      <c r="C2342" t="inlineStr">
        <is>
          <t>Faithfulness (Pers. 15)</t>
        </is>
      </c>
      <c r="D2342" s="3" t="inlineStr">
        <is>
          <t>F = 0,70×Entailment + 0,30×KWoverlap</t>
        </is>
      </c>
      <c r="E2342" s="3" t="inlineStr">
        <is>
          <t>Faithfulness = 0,70×Entailment + 0,30×KWoverlap = 0,70×1.0000 + 0,30×0.2217 = 0.7665  (entailment: 6/6 klaim didukung; KWoverlap = (|∩|/|ctx|)^0,65 = (27/274)^0,65 = 0.0985^0,65 = 0.2217)</t>
        </is>
      </c>
      <c r="F2342" t="n">
        <v>0.7665</v>
      </c>
      <c r="G2342" s="3" t="inlineStr">
        <is>
          <t>metode: llm_entailment + keyword</t>
        </is>
      </c>
    </row>
    <row r="2343">
      <c r="A2343" t="n">
        <v>159</v>
      </c>
      <c r="B2343" t="inlineStr">
        <is>
          <t>B</t>
        </is>
      </c>
      <c r="C2343" t="inlineStr">
        <is>
          <t>— Entailment (Pers. 12-13)</t>
        </is>
      </c>
      <c r="D2343" s="3" t="inlineStr">
        <is>
          <t>Entailment = Σverdict(sᵢ)/m</t>
        </is>
      </c>
      <c r="E2343" s="3" t="inlineStr">
        <is>
          <t>6 klaim YA dari 6 klaim dievaluasi</t>
        </is>
      </c>
      <c r="F2343" t="n">
        <v>1</v>
      </c>
      <c r="G2343" s="3" t="inlineStr">
        <is>
          <t>verdict per klaim: sheet 'Entailment Detail'</t>
        </is>
      </c>
    </row>
    <row r="2344">
      <c r="A2344" t="n">
        <v>159</v>
      </c>
      <c r="B2344" t="inlineStr">
        <is>
          <t>B</t>
        </is>
      </c>
      <c r="C2344" t="inlineStr">
        <is>
          <t>— Keyword Overlap (Pers. 14)</t>
        </is>
      </c>
      <c r="D2344" s="3" t="inlineStr">
        <is>
          <t>KWoverlap = (|Stems(ans)∩Stems(ctx)| / |Stems(ctx)|)^0,65</t>
        </is>
      </c>
      <c r="E2344" s="3" t="inlineStr">
        <is>
          <t>KWoverlap = (|∩|/|ctx|)^0,65 = (27/274)^0,65 = 0.0985^0,65 = 0.2217</t>
        </is>
      </c>
      <c r="F2344" t="n">
        <v>0.2217</v>
      </c>
      <c r="G2344" s="3" t="inlineStr"/>
    </row>
    <row r="2345">
      <c r="A2345" t="n">
        <v>159</v>
      </c>
      <c r="B2345" t="inlineStr">
        <is>
          <t>B</t>
        </is>
      </c>
      <c r="C2345" t="inlineStr">
        <is>
          <t>Hallucination Risk (Pers. 18)</t>
        </is>
      </c>
      <c r="D2345" s="3" t="inlineStr">
        <is>
          <t>Risk = 0,65×(1-F) + 0,20×Contradiction + 0,15×Uncertainty</t>
        </is>
      </c>
      <c r="E2345" s="3" t="inlineStr">
        <is>
          <t>Risk = 0,65×OutOfContext + 0,20×Contradiction + 0,15×Uncertainty = 0,65×0.2335 + 0,20×0.0000 + 0,15×0.00 = 0.1518 [RENDAH]</t>
        </is>
      </c>
      <c r="F2345" t="n">
        <v>0.1518</v>
      </c>
      <c r="G2345" s="3" t="inlineStr">
        <is>
          <t>label: RENDAH; kontradiksi 0/6 kalimat; uncertainty flag: False</t>
        </is>
      </c>
    </row>
    <row r="2346">
      <c r="A2346" t="n">
        <v>159</v>
      </c>
      <c r="B2346" t="inlineStr">
        <is>
          <t>B</t>
        </is>
      </c>
      <c r="C2346" t="inlineStr">
        <is>
          <t>Answer Accuracy (Pers. 20)</t>
        </is>
      </c>
      <c r="D2346" s="3" t="inlineStr">
        <is>
          <t>Correctᵢ ∈ {0,1} via LLM-as-Judge (HASIL: BENAR/SALAH)</t>
        </is>
      </c>
      <c r="E2346" s="3" t="inlineStr">
        <is>
          <t>Jawaban saya adalah:
Ruang lingkup referensi Anda membahas tentang graph dan BFS, tetapi tidak spesifik tentang weighted graph. Jawaban sistem yang diberikan juga berdasarkan analisis logika algoritma BFS, yaitu bahwa BFS hanya memperhatikan jumlah langkah dan tidak memperhitungkan nilai berat setiap langkah. Karena itu, jawaban sistem yang menyatakan bahwa BFS tidak dapat digunakan secara lang</t>
        </is>
      </c>
      <c r="F2346" t="inlineStr">
        <is>
          <t>BENAR</t>
        </is>
      </c>
      <c r="G2346" s="3" t="inlineStr">
        <is>
          <t>evaluator: ollama/llama3</t>
        </is>
      </c>
    </row>
    <row r="2347">
      <c r="A2347" t="n">
        <v>160</v>
      </c>
      <c r="B2347" t="inlineStr">
        <is>
          <t>A</t>
        </is>
      </c>
      <c r="C2347" t="inlineStr">
        <is>
          <t>Precision@K (Pers. 2)</t>
        </is>
      </c>
      <c r="D2347" s="3" t="inlineStr">
        <is>
          <t>Precision@K = |{d ∈ TopK : sim(q,d) ≥ θ}| / K</t>
        </is>
      </c>
      <c r="E2347" s="3" t="inlineStr">
        <is>
          <t>skor = [0.7407, 0.72, 0.7017, 0.6711, 0.6672, 0.6651] → 6 / 6</t>
        </is>
      </c>
      <c r="F2347" t="n">
        <v>1</v>
      </c>
      <c r="G2347" s="3" t="inlineStr">
        <is>
          <t>basis: skor chunk nyata (sesuai contoh Pers. 2 skripsi)</t>
        </is>
      </c>
    </row>
    <row r="2348">
      <c r="A2348" t="n">
        <v>160</v>
      </c>
      <c r="B2348" t="inlineStr">
        <is>
          <t>A</t>
        </is>
      </c>
      <c r="C2348" t="inlineStr">
        <is>
          <t>Recall@K (Pers. 4)</t>
        </is>
      </c>
      <c r="D2348" s="3" t="inlineStr">
        <is>
          <t>Recall@K = |{kata kunci ditemukan : sim ≥ θ}| / |R|</t>
        </is>
      </c>
      <c r="E2348" s="3" t="inlineStr">
        <is>
          <t>skor = [0.7386, 0.6786, 0.5662, 0.4784, 0.4737, 0.3881] → 6 / 6</t>
        </is>
      </c>
      <c r="F2348" t="n">
        <v>1</v>
      </c>
      <c r="G2348" s="3" t="inlineStr"/>
    </row>
    <row r="2349">
      <c r="A2349" t="n">
        <v>160</v>
      </c>
      <c r="B2349" t="inlineStr">
        <is>
          <t>A</t>
        </is>
      </c>
      <c r="C2349" t="inlineStr">
        <is>
          <t>Mean Similarity (Pers. 6)</t>
        </is>
      </c>
      <c r="D2349" s="3" t="inlineStr">
        <is>
          <t>MeanSim = (1/K) × Σ sim(q, dᵢ)</t>
        </is>
      </c>
      <c r="E2349" s="3" t="inlineStr">
        <is>
          <t>skor = [0.7407, 0.72, 0.7017, 0.6711, 0.6672, 0.6651] → (0.7407 + 0.7200 + 0.7017 + 0.6711 + 0.6672 + 0.6651) / 6</t>
        </is>
      </c>
      <c r="F2349" t="n">
        <v>0.6943</v>
      </c>
      <c r="G2349" s="3" t="inlineStr"/>
    </row>
    <row r="2350">
      <c r="A2350" t="n">
        <v>160</v>
      </c>
      <c r="B2350" t="inlineStr">
        <is>
          <t>A</t>
        </is>
      </c>
      <c r="C2350" t="inlineStr">
        <is>
          <t>Coverage (Pers. 8)</t>
        </is>
      </c>
      <c r="D2350" s="3" t="inlineStr">
        <is>
          <t>Coverage = |{dᵢ ∈ TopK : sim(q,dᵢ) ≥ θc}| / K</t>
        </is>
      </c>
      <c r="E2350" s="3" t="inlineStr">
        <is>
          <t>skor = [0.7407, 0.72, 0.7017, 0.6711, 0.6672, 0.6651] → 6 / 6</t>
        </is>
      </c>
      <c r="F2350" t="n">
        <v>1</v>
      </c>
      <c r="G2350" s="3" t="inlineStr"/>
    </row>
    <row r="2351">
      <c r="A2351" t="n">
        <v>160</v>
      </c>
      <c r="B2351" t="inlineStr">
        <is>
          <t>A</t>
        </is>
      </c>
      <c r="C2351" t="inlineStr">
        <is>
          <t>Source Diversity (Pers. 10)</t>
        </is>
      </c>
      <c r="D2351" s="3" t="inlineStr">
        <is>
          <t>Diversity = |sumber unik dalam TopK| / K</t>
        </is>
      </c>
      <c r="E2351" s="3" t="inlineStr">
        <is>
          <t>skor = ['GT_CT13.txt', 'GT_DETAIL_PT13_Struktur_Data.txt', 'GT_SUBTOPIK_02_Abstraksi_Formulasi.txt', 'GT_SUBTOPIK_13_Graph_Tree.txt'] → 4 / 6</t>
        </is>
      </c>
      <c r="F2351" t="n">
        <v>0.6667</v>
      </c>
      <c r="G2351" s="3" t="inlineStr">
        <is>
          <t>file unik: GT_CT13.txt, GT_DETAIL_PT13_Struktur_Data.txt, GT_SUBTOPIK_02_Abstraksi_Formulasi.txt, GT_SUBTOPIK_13_Graph_Tree.txt</t>
        </is>
      </c>
    </row>
    <row r="2352">
      <c r="A2352" t="n">
        <v>160</v>
      </c>
      <c r="B2352" t="inlineStr">
        <is>
          <t>A</t>
        </is>
      </c>
      <c r="C2352" t="inlineStr">
        <is>
          <t>Faithfulness (Pers. 15)</t>
        </is>
      </c>
      <c r="D2352" s="3" t="inlineStr">
        <is>
          <t>F = 0,70×Entailment + 0,30×KWoverlap</t>
        </is>
      </c>
      <c r="E2352" s="3" t="inlineStr">
        <is>
          <t>Faithfulness = 0,70×Entailment + 0,30×KWoverlap = 0,70×0.1667 + 0,30×0.0811 = 0.1410  (entailment: 1/6 klaim didukung; KWoverlap = (|∩|/|ctx|)^0,65 = (6/286)^0,65 = 0.0210^0,65 = 0.0811)</t>
        </is>
      </c>
      <c r="F2352" t="n">
        <v>0.141</v>
      </c>
      <c r="G2352" s="3" t="inlineStr">
        <is>
          <t>metode: llm_entailment + keyword</t>
        </is>
      </c>
    </row>
    <row r="2353">
      <c r="A2353" t="n">
        <v>160</v>
      </c>
      <c r="B2353" t="inlineStr">
        <is>
          <t>A</t>
        </is>
      </c>
      <c r="C2353" t="inlineStr">
        <is>
          <t>— Entailment (Pers. 12-13)</t>
        </is>
      </c>
      <c r="D2353" s="3" t="inlineStr">
        <is>
          <t>Entailment = Σverdict(sᵢ)/m</t>
        </is>
      </c>
      <c r="E2353" s="3" t="inlineStr">
        <is>
          <t>1 klaim YA dari 6 klaim dievaluasi</t>
        </is>
      </c>
      <c r="F2353" t="n">
        <v>0.1667</v>
      </c>
      <c r="G2353" s="3" t="inlineStr">
        <is>
          <t>verdict per klaim: sheet 'Entailment Detail'</t>
        </is>
      </c>
    </row>
    <row r="2354">
      <c r="A2354" t="n">
        <v>160</v>
      </c>
      <c r="B2354" t="inlineStr">
        <is>
          <t>A</t>
        </is>
      </c>
      <c r="C2354" t="inlineStr">
        <is>
          <t>— Keyword Overlap (Pers. 14)</t>
        </is>
      </c>
      <c r="D2354" s="3" t="inlineStr">
        <is>
          <t>KWoverlap = (|Stems(ans)∩Stems(ctx)| / |Stems(ctx)|)^0,65</t>
        </is>
      </c>
      <c r="E2354" s="3" t="inlineStr">
        <is>
          <t>KWoverlap = (|∩|/|ctx|)^0,65 = (6/286)^0,65 = 0.0210^0,65 = 0.0811</t>
        </is>
      </c>
      <c r="F2354" t="n">
        <v>0.08110000000000001</v>
      </c>
      <c r="G2354" s="3" t="inlineStr"/>
    </row>
    <row r="2355">
      <c r="A2355" t="n">
        <v>160</v>
      </c>
      <c r="B2355" t="inlineStr">
        <is>
          <t>A</t>
        </is>
      </c>
      <c r="C2355" t="inlineStr">
        <is>
          <t>Hallucination Risk (Pers. 18)</t>
        </is>
      </c>
      <c r="D2355" s="3" t="inlineStr">
        <is>
          <t>Risk = 0,65×(1-F) + 0,20×Contradiction + 0,15×Uncertainty</t>
        </is>
      </c>
      <c r="E2355" s="3" t="inlineStr">
        <is>
          <t>Risk = 0,65×OutOfContext + 0,20×Contradiction + 0,15×Uncertainty = 0,65×0.8590 + 0,20×0.0000 + 0,15×0.00 = 0.5584 [TINGGI]</t>
        </is>
      </c>
      <c r="F2355" t="n">
        <v>0.5584</v>
      </c>
      <c r="G2355" s="3" t="inlineStr">
        <is>
          <t>label: TINGGI; kontradiksi 0/49 kalimat; uncertainty flag: False</t>
        </is>
      </c>
    </row>
    <row r="2356">
      <c r="A2356" t="n">
        <v>160</v>
      </c>
      <c r="B2356" t="inlineStr">
        <is>
          <t>B</t>
        </is>
      </c>
      <c r="C2356" t="inlineStr">
        <is>
          <t>Faithfulness (Pers. 15)</t>
        </is>
      </c>
      <c r="D2356" s="3" t="inlineStr">
        <is>
          <t>F = 0,70×Entailment + 0,30×KWoverlap</t>
        </is>
      </c>
      <c r="E2356" s="3" t="inlineStr">
        <is>
          <t>Faithfulness = 0,70×Entailment + 0,30×KWoverlap = 0,70×0.6667 + 0,30×0.2156 = 0.5314  (entailment: 4/6 klaim didukung; KWoverlap = (|∩|/|ctx|)^0,65 = (27/286)^0,65 = 0.0944^0,65 = 0.2156)</t>
        </is>
      </c>
      <c r="F2356" t="n">
        <v>0.5314</v>
      </c>
      <c r="G2356" s="3" t="inlineStr">
        <is>
          <t>metode: llm_entailment + keyword</t>
        </is>
      </c>
    </row>
    <row r="2357">
      <c r="A2357" t="n">
        <v>160</v>
      </c>
      <c r="B2357" t="inlineStr">
        <is>
          <t>B</t>
        </is>
      </c>
      <c r="C2357" t="inlineStr">
        <is>
          <t>— Entailment (Pers. 12-13)</t>
        </is>
      </c>
      <c r="D2357" s="3" t="inlineStr">
        <is>
          <t>Entailment = Σverdict(sᵢ)/m</t>
        </is>
      </c>
      <c r="E2357" s="3" t="inlineStr">
        <is>
          <t>4 klaim YA dari 6 klaim dievaluasi</t>
        </is>
      </c>
      <c r="F2357" t="n">
        <v>0.6667</v>
      </c>
      <c r="G2357" s="3" t="inlineStr">
        <is>
          <t>verdict per klaim: sheet 'Entailment Detail'</t>
        </is>
      </c>
    </row>
    <row r="2358">
      <c r="A2358" t="n">
        <v>160</v>
      </c>
      <c r="B2358" t="inlineStr">
        <is>
          <t>B</t>
        </is>
      </c>
      <c r="C2358" t="inlineStr">
        <is>
          <t>— Keyword Overlap (Pers. 14)</t>
        </is>
      </c>
      <c r="D2358" s="3" t="inlineStr">
        <is>
          <t>KWoverlap = (|Stems(ans)∩Stems(ctx)| / |Stems(ctx)|)^0,65</t>
        </is>
      </c>
      <c r="E2358" s="3" t="inlineStr">
        <is>
          <t>KWoverlap = (|∩|/|ctx|)^0,65 = (27/286)^0,65 = 0.0944^0,65 = 0.2156</t>
        </is>
      </c>
      <c r="F2358" t="n">
        <v>0.2156</v>
      </c>
      <c r="G2358" s="3" t="inlineStr"/>
    </row>
    <row r="2359">
      <c r="A2359" t="n">
        <v>160</v>
      </c>
      <c r="B2359" t="inlineStr">
        <is>
          <t>B</t>
        </is>
      </c>
      <c r="C2359" t="inlineStr">
        <is>
          <t>Hallucination Risk (Pers. 18)</t>
        </is>
      </c>
      <c r="D2359" s="3" t="inlineStr">
        <is>
          <t>Risk = 0,65×(1-F) + 0,20×Contradiction + 0,15×Uncertainty</t>
        </is>
      </c>
      <c r="E2359" s="3" t="inlineStr">
        <is>
          <t>Risk = 0,65×OutOfContext + 0,20×Contradiction + 0,15×Uncertainty = 0,65×0.4686 + 0,20×0.0000 + 0,15×0.00 = 0.3046 [RENDAH]</t>
        </is>
      </c>
      <c r="F2359" t="n">
        <v>0.3046</v>
      </c>
      <c r="G2359" s="3" t="inlineStr">
        <is>
          <t>label: RENDAH; kontradiksi 0/22 kalimat; uncertainty flag: False</t>
        </is>
      </c>
    </row>
    <row r="2360">
      <c r="A2360" t="n">
        <v>160</v>
      </c>
      <c r="B2360" t="inlineStr">
        <is>
          <t>B</t>
        </is>
      </c>
      <c r="C2360" t="inlineStr">
        <is>
          <t>Answer Accuracy (Pers. 20)</t>
        </is>
      </c>
      <c r="D2360" s="3" t="inlineStr">
        <is>
          <t>Correctᵢ ∈ {0,1} via LLM-as-Judge (HASIL: BENAR/SALAH)</t>
        </is>
      </c>
      <c r="E2360" s="3" t="inlineStr">
        <is>
          <t xml:space="preserve">The answer from the system is:
BENAR
The reason is that the adjacency matrix provided in the answer matches the format and concept of an adjacency matrix, which is a representation of graph using matrices to show relationships between nodes (in this case, cities) and distances.
Additionally, the reference provided earlier states that an adjacency matrix can represent various relationships such </t>
        </is>
      </c>
      <c r="F2360" t="inlineStr">
        <is>
          <t>BENAR</t>
        </is>
      </c>
      <c r="G2360" s="3" t="inlineStr">
        <is>
          <t>evaluator: ollama/llama3</t>
        </is>
      </c>
    </row>
    <row r="2361">
      <c r="A2361" t="n">
        <v>161</v>
      </c>
      <c r="B2361" t="inlineStr">
        <is>
          <t>A</t>
        </is>
      </c>
      <c r="C2361" t="inlineStr">
        <is>
          <t>Precision@K (Pers. 2)</t>
        </is>
      </c>
      <c r="D2361" s="3" t="inlineStr">
        <is>
          <t>Precision@K = |{d ∈ TopK : sim(q,d) ≥ θ}| / K</t>
        </is>
      </c>
      <c r="E2361" s="3" t="inlineStr">
        <is>
          <t>skor = [0.7492, 0.7388, 0.7337, 0.7256, 0.7157, 0.7077] → 6 / 6</t>
        </is>
      </c>
      <c r="F2361" t="n">
        <v>1</v>
      </c>
      <c r="G2361" s="3" t="inlineStr">
        <is>
          <t>basis: skor chunk nyata (sesuai contoh Pers. 2 skripsi)</t>
        </is>
      </c>
    </row>
    <row r="2362">
      <c r="A2362" t="n">
        <v>161</v>
      </c>
      <c r="B2362" t="inlineStr">
        <is>
          <t>A</t>
        </is>
      </c>
      <c r="C2362" t="inlineStr">
        <is>
          <t>Recall@K (Pers. 4)</t>
        </is>
      </c>
      <c r="D2362" s="3" t="inlineStr">
        <is>
          <t>Recall@K = |{kata kunci ditemukan : sim ≥ θ}| / |R|</t>
        </is>
      </c>
      <c r="E2362" s="3" t="inlineStr">
        <is>
          <t>skor = [0.7394, 0.696, 0.6425, 0.5569, 0.5106, 0.5032] → 6 / 6</t>
        </is>
      </c>
      <c r="F2362" t="n">
        <v>1</v>
      </c>
      <c r="G2362" s="3" t="inlineStr"/>
    </row>
    <row r="2363">
      <c r="A2363" t="n">
        <v>161</v>
      </c>
      <c r="B2363" t="inlineStr">
        <is>
          <t>A</t>
        </is>
      </c>
      <c r="C2363" t="inlineStr">
        <is>
          <t>Mean Similarity (Pers. 6)</t>
        </is>
      </c>
      <c r="D2363" s="3" t="inlineStr">
        <is>
          <t>MeanSim = (1/K) × Σ sim(q, dᵢ)</t>
        </is>
      </c>
      <c r="E2363" s="3" t="inlineStr">
        <is>
          <t>skor = [0.7492, 0.7388, 0.7337, 0.7256, 0.7157, 0.7077] → (0.7492 + 0.7388 + 0.7337 + 0.7256 + 0.7157 + 0.7077) / 6</t>
        </is>
      </c>
      <c r="F2363" t="n">
        <v>0.7285</v>
      </c>
      <c r="G2363" s="3" t="inlineStr"/>
    </row>
    <row r="2364">
      <c r="A2364" t="n">
        <v>161</v>
      </c>
      <c r="B2364" t="inlineStr">
        <is>
          <t>A</t>
        </is>
      </c>
      <c r="C2364" t="inlineStr">
        <is>
          <t>Coverage (Pers. 8)</t>
        </is>
      </c>
      <c r="D2364" s="3" t="inlineStr">
        <is>
          <t>Coverage = |{dᵢ ∈ TopK : sim(q,dᵢ) ≥ θc}| / K</t>
        </is>
      </c>
      <c r="E2364" s="3" t="inlineStr">
        <is>
          <t>skor = [0.7492, 0.7388, 0.7337, 0.7256, 0.7157, 0.7077] → 6 / 6</t>
        </is>
      </c>
      <c r="F2364" t="n">
        <v>1</v>
      </c>
      <c r="G2364" s="3" t="inlineStr"/>
    </row>
    <row r="2365">
      <c r="A2365" t="n">
        <v>161</v>
      </c>
      <c r="B2365" t="inlineStr">
        <is>
          <t>A</t>
        </is>
      </c>
      <c r="C2365" t="inlineStr">
        <is>
          <t>Source Diversity (Pers. 10)</t>
        </is>
      </c>
      <c r="D2365" s="3" t="inlineStr">
        <is>
          <t>Diversity = |sumber unik dalam TopK| / K</t>
        </is>
      </c>
      <c r="E2365" s="3" t="inlineStr">
        <is>
          <t>skor = ['GT_DETAIL_PT04_Abstraksi.txt', 'GT_SUBTOPIK_04_Modulo_Siklus.txt', 'GT_SUBTOPIK_14_Kompleksitas_BigO.txt'] → 3 / 6</t>
        </is>
      </c>
      <c r="F2365" t="n">
        <v>0.5</v>
      </c>
      <c r="G2365" s="3" t="inlineStr">
        <is>
          <t>file unik: GT_DETAIL_PT04_Abstraksi.txt, GT_SUBTOPIK_04_Modulo_Siklus.txt, GT_SUBTOPIK_14_Kompleksitas_BigO.txt</t>
        </is>
      </c>
    </row>
    <row r="2366">
      <c r="A2366" t="n">
        <v>161</v>
      </c>
      <c r="B2366" t="inlineStr">
        <is>
          <t>A</t>
        </is>
      </c>
      <c r="C2366" t="inlineStr">
        <is>
          <t>Faithfulness (Pers. 15)</t>
        </is>
      </c>
      <c r="D2366" s="3" t="inlineStr">
        <is>
          <t>F = 0,70×Entailment + 0,30×KWoverlap</t>
        </is>
      </c>
      <c r="E2366" s="3" t="inlineStr">
        <is>
          <t>Faithfulness = 0,70×Entailment + 0,30×KWoverlap = 0,70×0.1667 + 0,30×0.1913 = 0.1741  (entailment: 1/6 klaim didukung; KWoverlap = (|∩|/|ctx|)^0,65 = (19/242)^0,65 = 0.0785^0,65 = 0.1913)</t>
        </is>
      </c>
      <c r="F2366" t="n">
        <v>0.1741</v>
      </c>
      <c r="G2366" s="3" t="inlineStr">
        <is>
          <t>metode: llm_entailment + keyword</t>
        </is>
      </c>
    </row>
    <row r="2367">
      <c r="A2367" t="n">
        <v>161</v>
      </c>
      <c r="B2367" t="inlineStr">
        <is>
          <t>A</t>
        </is>
      </c>
      <c r="C2367" t="inlineStr">
        <is>
          <t>— Entailment (Pers. 12-13)</t>
        </is>
      </c>
      <c r="D2367" s="3" t="inlineStr">
        <is>
          <t>Entailment = Σverdict(sᵢ)/m</t>
        </is>
      </c>
      <c r="E2367" s="3" t="inlineStr">
        <is>
          <t>1 klaim YA dari 6 klaim dievaluasi</t>
        </is>
      </c>
      <c r="F2367" t="n">
        <v>0.1667</v>
      </c>
      <c r="G2367" s="3" t="inlineStr">
        <is>
          <t>verdict per klaim: sheet 'Entailment Detail'</t>
        </is>
      </c>
    </row>
    <row r="2368">
      <c r="A2368" t="n">
        <v>161</v>
      </c>
      <c r="B2368" t="inlineStr">
        <is>
          <t>A</t>
        </is>
      </c>
      <c r="C2368" t="inlineStr">
        <is>
          <t>— Keyword Overlap (Pers. 14)</t>
        </is>
      </c>
      <c r="D2368" s="3" t="inlineStr">
        <is>
          <t>KWoverlap = (|Stems(ans)∩Stems(ctx)| / |Stems(ctx)|)^0,65</t>
        </is>
      </c>
      <c r="E2368" s="3" t="inlineStr">
        <is>
          <t>KWoverlap = (|∩|/|ctx|)^0,65 = (19/242)^0,65 = 0.0785^0,65 = 0.1913</t>
        </is>
      </c>
      <c r="F2368" t="n">
        <v>0.1913</v>
      </c>
      <c r="G2368" s="3" t="inlineStr"/>
    </row>
    <row r="2369">
      <c r="A2369" t="n">
        <v>161</v>
      </c>
      <c r="B2369" t="inlineStr">
        <is>
          <t>A</t>
        </is>
      </c>
      <c r="C2369" t="inlineStr">
        <is>
          <t>Hallucination Risk (Pers. 18)</t>
        </is>
      </c>
      <c r="D2369" s="3" t="inlineStr">
        <is>
          <t>Risk = 0,65×(1-F) + 0,20×Contradiction + 0,15×Uncertainty</t>
        </is>
      </c>
      <c r="E2369" s="3" t="inlineStr">
        <is>
          <t>Risk = 0,65×OutOfContext + 0,20×Contradiction + 0,15×Uncertainty = 0,65×0.8259 + 0,20×0.0000 + 0,15×0.20 = 0.5668 [TINGGI]</t>
        </is>
      </c>
      <c r="F2369" t="n">
        <v>0.5668</v>
      </c>
      <c r="G2369" s="3" t="inlineStr">
        <is>
          <t>label: TINGGI; kontradiksi 0/10 kalimat; uncertainty flag: True</t>
        </is>
      </c>
    </row>
    <row r="2370">
      <c r="A2370" t="n">
        <v>161</v>
      </c>
      <c r="B2370" t="inlineStr">
        <is>
          <t>A</t>
        </is>
      </c>
      <c r="C2370" t="inlineStr">
        <is>
          <t>Answer Accuracy (Pers. 20)</t>
        </is>
      </c>
      <c r="D2370" s="3" t="inlineStr">
        <is>
          <t>Correctᵢ ∈ {0,1} via LLM-as-Judge (HASIL: BENAR/SALAH)</t>
        </is>
      </c>
      <c r="E2370" s="3" t="inlineStr">
        <is>
          <t>BENAR</t>
        </is>
      </c>
      <c r="F2370" t="inlineStr">
        <is>
          <t>BENAR</t>
        </is>
      </c>
      <c r="G2370" s="3" t="inlineStr">
        <is>
          <t>evaluator: ollama/llama3</t>
        </is>
      </c>
    </row>
    <row r="2371">
      <c r="A2371" t="n">
        <v>161</v>
      </c>
      <c r="B2371" t="inlineStr">
        <is>
          <t>B</t>
        </is>
      </c>
      <c r="C2371" t="inlineStr">
        <is>
          <t>Faithfulness (Pers. 15)</t>
        </is>
      </c>
      <c r="D2371" s="3" t="inlineStr">
        <is>
          <t>F = 0,70×Entailment + 0,30×KWoverlap</t>
        </is>
      </c>
      <c r="E2371" s="3" t="inlineStr">
        <is>
          <t>Faithfulness = 0,70×Entailment + 0,30×KWoverlap = 0,70×0.3333 + 0,30×0.2166 = 0.2983  (entailment: 2/6 klaim didukung; KWoverlap = (|∩|/|ctx|)^0,65 = (23/242)^0,65 = 0.0950^0,65 = 0.2166)</t>
        </is>
      </c>
      <c r="F2371" t="n">
        <v>0.2983</v>
      </c>
      <c r="G2371" s="3" t="inlineStr">
        <is>
          <t>metode: llm_entailment + keyword</t>
        </is>
      </c>
    </row>
    <row r="2372">
      <c r="A2372" t="n">
        <v>161</v>
      </c>
      <c r="B2372" t="inlineStr">
        <is>
          <t>B</t>
        </is>
      </c>
      <c r="C2372" t="inlineStr">
        <is>
          <t>— Entailment (Pers. 12-13)</t>
        </is>
      </c>
      <c r="D2372" s="3" t="inlineStr">
        <is>
          <t>Entailment = Σverdict(sᵢ)/m</t>
        </is>
      </c>
      <c r="E2372" s="3" t="inlineStr">
        <is>
          <t>2 klaim YA dari 6 klaim dievaluasi</t>
        </is>
      </c>
      <c r="F2372" t="n">
        <v>0.3333</v>
      </c>
      <c r="G2372" s="3" t="inlineStr">
        <is>
          <t>verdict per klaim: sheet 'Entailment Detail'</t>
        </is>
      </c>
    </row>
    <row r="2373">
      <c r="A2373" t="n">
        <v>161</v>
      </c>
      <c r="B2373" t="inlineStr">
        <is>
          <t>B</t>
        </is>
      </c>
      <c r="C2373" t="inlineStr">
        <is>
          <t>— Keyword Overlap (Pers. 14)</t>
        </is>
      </c>
      <c r="D2373" s="3" t="inlineStr">
        <is>
          <t>KWoverlap = (|Stems(ans)∩Stems(ctx)| / |Stems(ctx)|)^0,65</t>
        </is>
      </c>
      <c r="E2373" s="3" t="inlineStr">
        <is>
          <t>KWoverlap = (|∩|/|ctx|)^0,65 = (23/242)^0,65 = 0.0950^0,65 = 0.2166</t>
        </is>
      </c>
      <c r="F2373" t="n">
        <v>0.2166</v>
      </c>
      <c r="G2373" s="3" t="inlineStr"/>
    </row>
    <row r="2374">
      <c r="A2374" t="n">
        <v>161</v>
      </c>
      <c r="B2374" t="inlineStr">
        <is>
          <t>B</t>
        </is>
      </c>
      <c r="C2374" t="inlineStr">
        <is>
          <t>Hallucination Risk (Pers. 18)</t>
        </is>
      </c>
      <c r="D2374" s="3" t="inlineStr">
        <is>
          <t>Risk = 0,65×(1-F) + 0,20×Contradiction + 0,15×Uncertainty</t>
        </is>
      </c>
      <c r="E2374" s="3" t="inlineStr">
        <is>
          <t>Risk = 0,65×OutOfContext + 0,20×Contradiction + 0,15×Uncertainty = 0,65×0.7017 + 0,20×0.0000 + 0,15×0.20 = 0.4861 [SEDANG]</t>
        </is>
      </c>
      <c r="F2374" t="n">
        <v>0.4861</v>
      </c>
      <c r="G2374" s="3" t="inlineStr">
        <is>
          <t>label: SEDANG; kontradiksi 0/22 kalimat; uncertainty flag: True</t>
        </is>
      </c>
    </row>
    <row r="2375">
      <c r="A2375" t="n">
        <v>161</v>
      </c>
      <c r="B2375" t="inlineStr">
        <is>
          <t>B</t>
        </is>
      </c>
      <c r="C2375" t="inlineStr">
        <is>
          <t>Answer Accuracy (Pers. 20)</t>
        </is>
      </c>
      <c r="D2375" s="3" t="inlineStr">
        <is>
          <t>Correctᵢ ∈ {0,1} via LLM-as-Judge (HASIL: BENAR/SALAH)</t>
        </is>
      </c>
      <c r="E2375" s="3" t="inlineStr">
        <is>
          <t>Karena pertanyaan mengatakan "mana yang lebih baik untuk n=100 dan memori terbatas", jawaban sistem mempertimbangkan faktor-faktor ukuran input (n) dan kapasitas memori, sehingga menjawab dengan benar berdasarkan referensi.</t>
        </is>
      </c>
      <c r="F2375" t="inlineStr">
        <is>
          <t>BENAR</t>
        </is>
      </c>
      <c r="G2375" s="3" t="inlineStr">
        <is>
          <t>evaluator: ollama/llama3</t>
        </is>
      </c>
    </row>
    <row r="2376">
      <c r="A2376" t="n">
        <v>162</v>
      </c>
      <c r="B2376" t="inlineStr">
        <is>
          <t>A</t>
        </is>
      </c>
      <c r="C2376" t="inlineStr">
        <is>
          <t>Precision@K (Pers. 2)</t>
        </is>
      </c>
      <c r="D2376" s="3" t="inlineStr">
        <is>
          <t>Precision@K = |{d ∈ TopK : sim(q,d) ≥ θ}| / K</t>
        </is>
      </c>
      <c r="E2376" s="3" t="inlineStr">
        <is>
          <t>skor = [0.8041, 0.7809, 0.7735, 0.7648, 0.7642, 0.763] → 6 / 6</t>
        </is>
      </c>
      <c r="F2376" t="n">
        <v>1</v>
      </c>
      <c r="G2376" s="3" t="inlineStr">
        <is>
          <t>basis: skor chunk nyata (sesuai contoh Pers. 2 skripsi)</t>
        </is>
      </c>
    </row>
    <row r="2377">
      <c r="A2377" t="n">
        <v>162</v>
      </c>
      <c r="B2377" t="inlineStr">
        <is>
          <t>A</t>
        </is>
      </c>
      <c r="C2377" t="inlineStr">
        <is>
          <t>Recall@K (Pers. 4)</t>
        </is>
      </c>
      <c r="D2377" s="3" t="inlineStr">
        <is>
          <t>Recall@K = |{kata kunci ditemukan : sim ≥ θ}| / |R|</t>
        </is>
      </c>
      <c r="E2377" s="3" t="inlineStr">
        <is>
          <t>skor = [0.6127, 0.6108, 0.6081, 0.5963, 0.5229, 0.4699] → 6 / 6</t>
        </is>
      </c>
      <c r="F2377" t="n">
        <v>1</v>
      </c>
      <c r="G2377" s="3" t="inlineStr"/>
    </row>
    <row r="2378">
      <c r="A2378" t="n">
        <v>162</v>
      </c>
      <c r="B2378" t="inlineStr">
        <is>
          <t>A</t>
        </is>
      </c>
      <c r="C2378" t="inlineStr">
        <is>
          <t>Mean Similarity (Pers. 6)</t>
        </is>
      </c>
      <c r="D2378" s="3" t="inlineStr">
        <is>
          <t>MeanSim = (1/K) × Σ sim(q, dᵢ)</t>
        </is>
      </c>
      <c r="E2378" s="3" t="inlineStr">
        <is>
          <t>skor = [0.8041, 0.7809, 0.7735, 0.7648, 0.7642, 0.763] → (0.8041 + 0.7809 + 0.7735 + 0.7648 + 0.7642 + 0.7630) / 6</t>
        </is>
      </c>
      <c r="F2378" t="n">
        <v>0.7751</v>
      </c>
      <c r="G2378" s="3" t="inlineStr"/>
    </row>
    <row r="2379">
      <c r="A2379" t="n">
        <v>162</v>
      </c>
      <c r="B2379" t="inlineStr">
        <is>
          <t>A</t>
        </is>
      </c>
      <c r="C2379" t="inlineStr">
        <is>
          <t>Coverage (Pers. 8)</t>
        </is>
      </c>
      <c r="D2379" s="3" t="inlineStr">
        <is>
          <t>Coverage = |{dᵢ ∈ TopK : sim(q,dᵢ) ≥ θc}| / K</t>
        </is>
      </c>
      <c r="E2379" s="3" t="inlineStr">
        <is>
          <t>skor = [0.8041, 0.7809, 0.7735, 0.7648, 0.7642, 0.763] → 6 / 6</t>
        </is>
      </c>
      <c r="F2379" t="n">
        <v>1</v>
      </c>
      <c r="G2379" s="3" t="inlineStr"/>
    </row>
    <row r="2380">
      <c r="A2380" t="n">
        <v>162</v>
      </c>
      <c r="B2380" t="inlineStr">
        <is>
          <t>A</t>
        </is>
      </c>
      <c r="C2380" t="inlineStr">
        <is>
          <t>Source Diversity (Pers. 10)</t>
        </is>
      </c>
      <c r="D2380" s="3" t="inlineStr">
        <is>
          <t>Diversity = |sumber unik dalam TopK| / K</t>
        </is>
      </c>
      <c r="E2380" s="3" t="inlineStr">
        <is>
          <t>skor = ['GT_DETAIL_PT12_Fungsi.txt', 'GT_SUBTOPIK_03_Pola_Bilangan_Deret.txt', 'GT_SUBTOPIK_11_Rekursi.txt', 'GT_SUBTOPIK_14_Kompleksitas_BigO.txt'] → 4 / 6</t>
        </is>
      </c>
      <c r="F2380" t="n">
        <v>0.6667</v>
      </c>
      <c r="G2380" s="3" t="inlineStr">
        <is>
          <t>file unik: GT_DETAIL_PT12_Fungsi.txt, GT_SUBTOPIK_03_Pola_Bilangan_Deret.txt, GT_SUBTOPIK_11_Rekursi.txt, GT_SUBTOPIK_14_Kompleksitas_BigO.txt</t>
        </is>
      </c>
    </row>
    <row r="2381">
      <c r="A2381" t="n">
        <v>162</v>
      </c>
      <c r="B2381" t="inlineStr">
        <is>
          <t>A</t>
        </is>
      </c>
      <c r="C2381" t="inlineStr">
        <is>
          <t>Faithfulness (Pers. 15)</t>
        </is>
      </c>
      <c r="D2381" s="3" t="inlineStr">
        <is>
          <t>F = 0,70×Entailment + 0,30×KWoverlap</t>
        </is>
      </c>
      <c r="E2381" s="3" t="inlineStr">
        <is>
          <t>Faithfulness = 0,70×Entailment + 0,30×KWoverlap = 0,70×0.8333 + 0,30×0.2239 = 0.6505  (entailment: 5/6 klaim didukung; KWoverlap = (|∩|/|ctx|)^0,65 = (17/170)^0,65 = 0.1000^0,65 = 0.2239)</t>
        </is>
      </c>
      <c r="F2381" t="n">
        <v>0.6505</v>
      </c>
      <c r="G2381" s="3" t="inlineStr">
        <is>
          <t>metode: llm_entailment + keyword</t>
        </is>
      </c>
    </row>
    <row r="2382">
      <c r="A2382" t="n">
        <v>162</v>
      </c>
      <c r="B2382" t="inlineStr">
        <is>
          <t>A</t>
        </is>
      </c>
      <c r="C2382" t="inlineStr">
        <is>
          <t>— Entailment (Pers. 12-13)</t>
        </is>
      </c>
      <c r="D2382" s="3" t="inlineStr">
        <is>
          <t>Entailment = Σverdict(sᵢ)/m</t>
        </is>
      </c>
      <c r="E2382" s="3" t="inlineStr">
        <is>
          <t>5 klaim YA dari 6 klaim dievaluasi</t>
        </is>
      </c>
      <c r="F2382" t="n">
        <v>0.8333</v>
      </c>
      <c r="G2382" s="3" t="inlineStr">
        <is>
          <t>verdict per klaim: sheet 'Entailment Detail'</t>
        </is>
      </c>
    </row>
    <row r="2383">
      <c r="A2383" t="n">
        <v>162</v>
      </c>
      <c r="B2383" t="inlineStr">
        <is>
          <t>A</t>
        </is>
      </c>
      <c r="C2383" t="inlineStr">
        <is>
          <t>— Keyword Overlap (Pers. 14)</t>
        </is>
      </c>
      <c r="D2383" s="3" t="inlineStr">
        <is>
          <t>KWoverlap = (|Stems(ans)∩Stems(ctx)| / |Stems(ctx)|)^0,65</t>
        </is>
      </c>
      <c r="E2383" s="3" t="inlineStr">
        <is>
          <t>KWoverlap = (|∩|/|ctx|)^0,65 = (17/170)^0,65 = 0.1000^0,65 = 0.2239</t>
        </is>
      </c>
      <c r="F2383" t="n">
        <v>0.2239</v>
      </c>
      <c r="G2383" s="3" t="inlineStr"/>
    </row>
    <row r="2384">
      <c r="A2384" t="n">
        <v>162</v>
      </c>
      <c r="B2384" t="inlineStr">
        <is>
          <t>A</t>
        </is>
      </c>
      <c r="C2384" t="inlineStr">
        <is>
          <t>Hallucination Risk (Pers. 18)</t>
        </is>
      </c>
      <c r="D2384" s="3" t="inlineStr">
        <is>
          <t>Risk = 0,65×(1-F) + 0,20×Contradiction + 0,15×Uncertainty</t>
        </is>
      </c>
      <c r="E2384" s="3" t="inlineStr">
        <is>
          <t>Risk = 0,65×OutOfContext + 0,20×Contradiction + 0,15×Uncertainty = 0,65×0.3495 + 0,20×0.0000 + 0,15×0.00 = 0.2272 [RENDAH]</t>
        </is>
      </c>
      <c r="F2384" t="n">
        <v>0.2272</v>
      </c>
      <c r="G2384" s="3" t="inlineStr">
        <is>
          <t>label: RENDAH; kontradiksi 0/17 kalimat; uncertainty flag: False</t>
        </is>
      </c>
    </row>
    <row r="2385">
      <c r="A2385" t="n">
        <v>162</v>
      </c>
      <c r="B2385" t="inlineStr">
        <is>
          <t>A</t>
        </is>
      </c>
      <c r="C2385" t="inlineStr">
        <is>
          <t>Answer Accuracy (Pers. 20)</t>
        </is>
      </c>
      <c r="D2385" s="3" t="inlineStr">
        <is>
          <t>Correctᵢ ∈ {0,1} via LLM-as-Judge (HASIL: BENAR/SALAH)</t>
        </is>
      </c>
      <c r="E2385" s="3" t="inlineStr">
        <is>
          <t>BENAR</t>
        </is>
      </c>
      <c r="F2385" t="inlineStr">
        <is>
          <t>BENAR</t>
        </is>
      </c>
      <c r="G2385" s="3" t="inlineStr">
        <is>
          <t>evaluator: ollama/llama3</t>
        </is>
      </c>
    </row>
    <row r="2386">
      <c r="A2386" t="n">
        <v>162</v>
      </c>
      <c r="B2386" t="inlineStr">
        <is>
          <t>B</t>
        </is>
      </c>
      <c r="C2386" t="inlineStr">
        <is>
          <t>Faithfulness (Pers. 15)</t>
        </is>
      </c>
      <c r="D2386" s="3" t="inlineStr">
        <is>
          <t>F = 0,70×Entailment + 0,30×KWoverlap</t>
        </is>
      </c>
      <c r="E2386" s="3" t="inlineStr">
        <is>
          <t>Faithfulness = 0,70×Entailment + 0,30×KWoverlap = 0,70×1.0000 + 0,30×0.2568 = 0.7770  (entailment: 6/6 klaim didukung; KWoverlap = (|∩|/|ctx|)^0,65 = (21/170)^0,65 = 0.1235^0,65 = 0.2568)</t>
        </is>
      </c>
      <c r="F2386" t="n">
        <v>0.777</v>
      </c>
      <c r="G2386" s="3" t="inlineStr">
        <is>
          <t>metode: llm_entailment + keyword</t>
        </is>
      </c>
    </row>
    <row r="2387">
      <c r="A2387" t="n">
        <v>162</v>
      </c>
      <c r="B2387" t="inlineStr">
        <is>
          <t>B</t>
        </is>
      </c>
      <c r="C2387" t="inlineStr">
        <is>
          <t>— Entailment (Pers. 12-13)</t>
        </is>
      </c>
      <c r="D2387" s="3" t="inlineStr">
        <is>
          <t>Entailment = Σverdict(sᵢ)/m</t>
        </is>
      </c>
      <c r="E2387" s="3" t="inlineStr">
        <is>
          <t>6 klaim YA dari 6 klaim dievaluasi</t>
        </is>
      </c>
      <c r="F2387" t="n">
        <v>1</v>
      </c>
      <c r="G2387" s="3" t="inlineStr">
        <is>
          <t>verdict per klaim: sheet 'Entailment Detail'</t>
        </is>
      </c>
    </row>
    <row r="2388">
      <c r="A2388" t="n">
        <v>162</v>
      </c>
      <c r="B2388" t="inlineStr">
        <is>
          <t>B</t>
        </is>
      </c>
      <c r="C2388" t="inlineStr">
        <is>
          <t>— Keyword Overlap (Pers. 14)</t>
        </is>
      </c>
      <c r="D2388" s="3" t="inlineStr">
        <is>
          <t>KWoverlap = (|Stems(ans)∩Stems(ctx)| / |Stems(ctx)|)^0,65</t>
        </is>
      </c>
      <c r="E2388" s="3" t="inlineStr">
        <is>
          <t>KWoverlap = (|∩|/|ctx|)^0,65 = (21/170)^0,65 = 0.1235^0,65 = 0.2568</t>
        </is>
      </c>
      <c r="F2388" t="n">
        <v>0.2568</v>
      </c>
      <c r="G2388" s="3" t="inlineStr"/>
    </row>
    <row r="2389">
      <c r="A2389" t="n">
        <v>162</v>
      </c>
      <c r="B2389" t="inlineStr">
        <is>
          <t>B</t>
        </is>
      </c>
      <c r="C2389" t="inlineStr">
        <is>
          <t>Hallucination Risk (Pers. 18)</t>
        </is>
      </c>
      <c r="D2389" s="3" t="inlineStr">
        <is>
          <t>Risk = 0,65×(1-F) + 0,20×Contradiction + 0,15×Uncertainty</t>
        </is>
      </c>
      <c r="E2389" s="3" t="inlineStr">
        <is>
          <t>Risk = 0,65×OutOfContext + 0,20×Contradiction + 0,15×Uncertainty = 0,65×0.2230 + 0,20×0.0000 + 0,15×0.00 = 0.1449 [RENDAH]</t>
        </is>
      </c>
      <c r="F2389" t="n">
        <v>0.1449</v>
      </c>
      <c r="G2389" s="3" t="inlineStr">
        <is>
          <t>label: RENDAH; kontradiksi 0/19 kalimat; uncertainty flag: False</t>
        </is>
      </c>
    </row>
    <row r="2390">
      <c r="A2390" t="n">
        <v>162</v>
      </c>
      <c r="B2390" t="inlineStr">
        <is>
          <t>B</t>
        </is>
      </c>
      <c r="C2390" t="inlineStr">
        <is>
          <t>Answer Accuracy (Pers. 20)</t>
        </is>
      </c>
      <c r="D2390" s="3" t="inlineStr">
        <is>
          <t>Correctᵢ ∈ {0,1} via LLM-as-Judge (HASIL: BENAR/SALAH)</t>
        </is>
      </c>
      <c r="E2390" s="3" t="inlineStr">
        <is>
          <t>BENAR</t>
        </is>
      </c>
      <c r="F2390" t="inlineStr">
        <is>
          <t>BENAR</t>
        </is>
      </c>
      <c r="G2390" s="3" t="inlineStr">
        <is>
          <t>evaluator: ollama/llama3</t>
        </is>
      </c>
    </row>
    <row r="2391">
      <c r="A2391" t="n">
        <v>163</v>
      </c>
      <c r="B2391" t="inlineStr">
        <is>
          <t>A</t>
        </is>
      </c>
      <c r="C2391" t="inlineStr">
        <is>
          <t>Precision@K (Pers. 2)</t>
        </is>
      </c>
      <c r="D2391" s="3" t="inlineStr">
        <is>
          <t>Precision@K = |{d ∈ TopK : sim(q,d) ≥ θ}| / K</t>
        </is>
      </c>
      <c r="E2391" s="3" t="inlineStr">
        <is>
          <t>skor = [0.7406, 0.734, 0.7197, 0.6963, 0.6958, 0.6923] → 6 / 6</t>
        </is>
      </c>
      <c r="F2391" t="n">
        <v>1</v>
      </c>
      <c r="G2391" s="3" t="inlineStr">
        <is>
          <t>basis: skor chunk nyata (sesuai contoh Pers. 2 skripsi)</t>
        </is>
      </c>
    </row>
    <row r="2392">
      <c r="A2392" t="n">
        <v>163</v>
      </c>
      <c r="B2392" t="inlineStr">
        <is>
          <t>A</t>
        </is>
      </c>
      <c r="C2392" t="inlineStr">
        <is>
          <t>Recall@K (Pers. 4)</t>
        </is>
      </c>
      <c r="D2392" s="3" t="inlineStr">
        <is>
          <t>Recall@K = |{kata kunci ditemukan : sim ≥ θ}| / |R|</t>
        </is>
      </c>
      <c r="E2392" s="3" t="inlineStr">
        <is>
          <t>skor = [0.6671, 0.6399, 0.627, 0.5618, 0.53, 0.4948] → 6 / 7</t>
        </is>
      </c>
      <c r="F2392" t="n">
        <v>0.8571</v>
      </c>
      <c r="G2392" s="3" t="inlineStr"/>
    </row>
    <row r="2393">
      <c r="A2393" t="n">
        <v>163</v>
      </c>
      <c r="B2393" t="inlineStr">
        <is>
          <t>A</t>
        </is>
      </c>
      <c r="C2393" t="inlineStr">
        <is>
          <t>Mean Similarity (Pers. 6)</t>
        </is>
      </c>
      <c r="D2393" s="3" t="inlineStr">
        <is>
          <t>MeanSim = (1/K) × Σ sim(q, dᵢ)</t>
        </is>
      </c>
      <c r="E2393" s="3" t="inlineStr">
        <is>
          <t>skor = [0.7406, 0.734, 0.7197, 0.6963, 0.6958, 0.6923] → (0.7406 + 0.7340 + 0.7197 + 0.6963 + 0.6958 + 0.6923) / 6</t>
        </is>
      </c>
      <c r="F2393" t="n">
        <v>0.7131</v>
      </c>
      <c r="G2393" s="3" t="inlineStr"/>
    </row>
    <row r="2394">
      <c r="A2394" t="n">
        <v>163</v>
      </c>
      <c r="B2394" t="inlineStr">
        <is>
          <t>A</t>
        </is>
      </c>
      <c r="C2394" t="inlineStr">
        <is>
          <t>Coverage (Pers. 8)</t>
        </is>
      </c>
      <c r="D2394" s="3" t="inlineStr">
        <is>
          <t>Coverage = |{dᵢ ∈ TopK : sim(q,dᵢ) ≥ θc}| / K</t>
        </is>
      </c>
      <c r="E2394" s="3" t="inlineStr">
        <is>
          <t>skor = [0.7406, 0.734, 0.7197, 0.6963, 0.6958, 0.6923] → 6 / 6</t>
        </is>
      </c>
      <c r="F2394" t="n">
        <v>1</v>
      </c>
      <c r="G2394" s="3" t="inlineStr"/>
    </row>
    <row r="2395">
      <c r="A2395" t="n">
        <v>163</v>
      </c>
      <c r="B2395" t="inlineStr">
        <is>
          <t>A</t>
        </is>
      </c>
      <c r="C2395" t="inlineStr">
        <is>
          <t>Source Diversity (Pers. 10)</t>
        </is>
      </c>
      <c r="D2395" s="3" t="inlineStr">
        <is>
          <t>Diversity = |sumber unik dalam TopK| / K</t>
        </is>
      </c>
      <c r="E2395" s="3" t="inlineStr">
        <is>
          <t>skor = ['GT_CT09.txt', 'GT_CT10.txt', 'GT_DETAIL_PT07_Notasi_Algoritme.txt', 'GT_SUBTOPIK_14_Kompleksitas_BigO.txt'] → 4 / 6</t>
        </is>
      </c>
      <c r="F2395" t="n">
        <v>0.6667</v>
      </c>
      <c r="G2395" s="3" t="inlineStr">
        <is>
          <t>file unik: GT_CT09.txt, GT_CT10.txt, GT_DETAIL_PT07_Notasi_Algoritme.txt, GT_SUBTOPIK_14_Kompleksitas_BigO.txt</t>
        </is>
      </c>
    </row>
    <row r="2396">
      <c r="A2396" t="n">
        <v>163</v>
      </c>
      <c r="B2396" t="inlineStr">
        <is>
          <t>A</t>
        </is>
      </c>
      <c r="C2396" t="inlineStr">
        <is>
          <t>Faithfulness (Pers. 15)</t>
        </is>
      </c>
      <c r="D2396" s="3" t="inlineStr">
        <is>
          <t>F = 0,70×Entailment + 0,30×KWoverlap</t>
        </is>
      </c>
      <c r="E2396" s="3" t="inlineStr">
        <is>
          <t>Faithfulness = 0,70×Entailment + 0,30×KWoverlap = 0,70×0.8333 + 0,30×0.2542 = 0.6596  (entailment: 5/6 klaim didukung; KWoverlap = (|∩|/|ctx|)^0,65 = (31/255)^0,65 = 0.1216^0,65 = 0.2542)</t>
        </is>
      </c>
      <c r="F2396" t="n">
        <v>0.6596</v>
      </c>
      <c r="G2396" s="3" t="inlineStr">
        <is>
          <t>metode: llm_entailment + keyword</t>
        </is>
      </c>
    </row>
    <row r="2397">
      <c r="A2397" t="n">
        <v>163</v>
      </c>
      <c r="B2397" t="inlineStr">
        <is>
          <t>A</t>
        </is>
      </c>
      <c r="C2397" t="inlineStr">
        <is>
          <t>— Entailment (Pers. 12-13)</t>
        </is>
      </c>
      <c r="D2397" s="3" t="inlineStr">
        <is>
          <t>Entailment = Σverdict(sᵢ)/m</t>
        </is>
      </c>
      <c r="E2397" s="3" t="inlineStr">
        <is>
          <t>5 klaim YA dari 6 klaim dievaluasi</t>
        </is>
      </c>
      <c r="F2397" t="n">
        <v>0.8333</v>
      </c>
      <c r="G2397" s="3" t="inlineStr">
        <is>
          <t>verdict per klaim: sheet 'Entailment Detail'</t>
        </is>
      </c>
    </row>
    <row r="2398">
      <c r="A2398" t="n">
        <v>163</v>
      </c>
      <c r="B2398" t="inlineStr">
        <is>
          <t>A</t>
        </is>
      </c>
      <c r="C2398" t="inlineStr">
        <is>
          <t>— Keyword Overlap (Pers. 14)</t>
        </is>
      </c>
      <c r="D2398" s="3" t="inlineStr">
        <is>
          <t>KWoverlap = (|Stems(ans)∩Stems(ctx)| / |Stems(ctx)|)^0,65</t>
        </is>
      </c>
      <c r="E2398" s="3" t="inlineStr">
        <is>
          <t>KWoverlap = (|∩|/|ctx|)^0,65 = (31/255)^0,65 = 0.1216^0,65 = 0.2542</t>
        </is>
      </c>
      <c r="F2398" t="n">
        <v>0.2542</v>
      </c>
      <c r="G2398" s="3" t="inlineStr"/>
    </row>
    <row r="2399">
      <c r="A2399" t="n">
        <v>163</v>
      </c>
      <c r="B2399" t="inlineStr">
        <is>
          <t>A</t>
        </is>
      </c>
      <c r="C2399" t="inlineStr">
        <is>
          <t>Hallucination Risk (Pers. 18)</t>
        </is>
      </c>
      <c r="D2399" s="3" t="inlineStr">
        <is>
          <t>Risk = 0,65×(1-F) + 0,20×Contradiction + 0,15×Uncertainty</t>
        </is>
      </c>
      <c r="E2399" s="3" t="inlineStr">
        <is>
          <t>Risk = 0,65×OutOfContext + 0,20×Contradiction + 0,15×Uncertainty = 0,65×0.3404 + 0,20×0.0000 + 0,15×0.00 = 0.2213 [RENDAH]</t>
        </is>
      </c>
      <c r="F2399" t="n">
        <v>0.2213</v>
      </c>
      <c r="G2399" s="3" t="inlineStr">
        <is>
          <t>label: RENDAH; kontradiksi 0/15 kalimat; uncertainty flag: False</t>
        </is>
      </c>
    </row>
    <row r="2400">
      <c r="A2400" t="n">
        <v>163</v>
      </c>
      <c r="B2400" t="inlineStr">
        <is>
          <t>A</t>
        </is>
      </c>
      <c r="C2400" t="inlineStr">
        <is>
          <t>Answer Accuracy (Pers. 20)</t>
        </is>
      </c>
      <c r="D2400" s="3" t="inlineStr">
        <is>
          <t>Correctᵢ ∈ {0,1} via LLM-as-Judge (HASIL: BENAR/SALAH)</t>
        </is>
      </c>
      <c r="E2400" s="3" t="inlineStr">
        <is>
          <t>Jawaban sistem tidak menjawab pertanyaan dengan benar berdasarkan referensi. Sistem hanya membahas tentang kompleksitas rekursi dan optimasi algoritme, namun tidak memberikan jawaban yang tepat untuk pertanyaan tentang best case complexity of bubble sort.</t>
        </is>
      </c>
      <c r="F2400" t="inlineStr">
        <is>
          <t>SALAH</t>
        </is>
      </c>
      <c r="G2400" s="3" t="inlineStr">
        <is>
          <t>evaluator: ollama/llama3</t>
        </is>
      </c>
    </row>
    <row r="2401">
      <c r="A2401" t="n">
        <v>163</v>
      </c>
      <c r="B2401" t="inlineStr">
        <is>
          <t>B</t>
        </is>
      </c>
      <c r="C2401" t="inlineStr">
        <is>
          <t>Faithfulness (Pers. 15)</t>
        </is>
      </c>
      <c r="D2401" s="3" t="inlineStr">
        <is>
          <t>F = 0,70×Entailment + 0,30×KWoverlap</t>
        </is>
      </c>
      <c r="E2401" s="3" t="inlineStr">
        <is>
          <t>Faithfulness = 0,70×Entailment + 0,30×KWoverlap = 0,70×1.0000 + 0,30×0.2034 = 0.7610  (entailment: 6/6 klaim didukung; KWoverlap = (|∩|/|ctx|)^0,65 = (22/255)^0,65 = 0.0863^0,65 = 0.2034)</t>
        </is>
      </c>
      <c r="F2401" t="n">
        <v>0.761</v>
      </c>
      <c r="G2401" s="3" t="inlineStr">
        <is>
          <t>metode: llm_entailment + keyword</t>
        </is>
      </c>
    </row>
    <row r="2402">
      <c r="A2402" t="n">
        <v>163</v>
      </c>
      <c r="B2402" t="inlineStr">
        <is>
          <t>B</t>
        </is>
      </c>
      <c r="C2402" t="inlineStr">
        <is>
          <t>— Entailment (Pers. 12-13)</t>
        </is>
      </c>
      <c r="D2402" s="3" t="inlineStr">
        <is>
          <t>Entailment = Σverdict(sᵢ)/m</t>
        </is>
      </c>
      <c r="E2402" s="3" t="inlineStr">
        <is>
          <t>6 klaim YA dari 6 klaim dievaluasi</t>
        </is>
      </c>
      <c r="F2402" t="n">
        <v>1</v>
      </c>
      <c r="G2402" s="3" t="inlineStr">
        <is>
          <t>verdict per klaim: sheet 'Entailment Detail'</t>
        </is>
      </c>
    </row>
    <row r="2403">
      <c r="A2403" t="n">
        <v>163</v>
      </c>
      <c r="B2403" t="inlineStr">
        <is>
          <t>B</t>
        </is>
      </c>
      <c r="C2403" t="inlineStr">
        <is>
          <t>— Keyword Overlap (Pers. 14)</t>
        </is>
      </c>
      <c r="D2403" s="3" t="inlineStr">
        <is>
          <t>KWoverlap = (|Stems(ans)∩Stems(ctx)| / |Stems(ctx)|)^0,65</t>
        </is>
      </c>
      <c r="E2403" s="3" t="inlineStr">
        <is>
          <t>KWoverlap = (|∩|/|ctx|)^0,65 = (22/255)^0,65 = 0.0863^0,65 = 0.2034</t>
        </is>
      </c>
      <c r="F2403" t="n">
        <v>0.2034</v>
      </c>
      <c r="G2403" s="3" t="inlineStr"/>
    </row>
    <row r="2404">
      <c r="A2404" t="n">
        <v>163</v>
      </c>
      <c r="B2404" t="inlineStr">
        <is>
          <t>B</t>
        </is>
      </c>
      <c r="C2404" t="inlineStr">
        <is>
          <t>Hallucination Risk (Pers. 18)</t>
        </is>
      </c>
      <c r="D2404" s="3" t="inlineStr">
        <is>
          <t>Risk = 0,65×(1-F) + 0,20×Contradiction + 0,15×Uncertainty</t>
        </is>
      </c>
      <c r="E2404" s="3" t="inlineStr">
        <is>
          <t>Risk = 0,65×OutOfContext + 0,20×Contradiction + 0,15×Uncertainty = 0,65×0.2390 + 0,20×0.0000 + 0,15×0.00 = 0.1553 [RENDAH]</t>
        </is>
      </c>
      <c r="F2404" t="n">
        <v>0.1553</v>
      </c>
      <c r="G2404" s="3" t="inlineStr">
        <is>
          <t>label: RENDAH; kontradiksi 0/6 kalimat; uncertainty flag: False</t>
        </is>
      </c>
    </row>
    <row r="2405">
      <c r="A2405" t="n">
        <v>163</v>
      </c>
      <c r="B2405" t="inlineStr">
        <is>
          <t>B</t>
        </is>
      </c>
      <c r="C2405" t="inlineStr">
        <is>
          <t>Answer Accuracy (Pers. 20)</t>
        </is>
      </c>
      <c r="D2405" s="3" t="inlineStr">
        <is>
          <t>Correctᵢ ∈ {0,1} via LLM-as-Judge (HASIL: BENAR/SALAH)</t>
        </is>
      </c>
      <c r="E2405" s="3" t="inlineStr"/>
      <c r="F2405" t="inlineStr">
        <is>
          <t>BENAR</t>
        </is>
      </c>
      <c r="G2405" s="3" t="inlineStr">
        <is>
          <t>evaluator: ollama/llama3</t>
        </is>
      </c>
    </row>
    <row r="2406">
      <c r="A2406" t="n">
        <v>164</v>
      </c>
      <c r="B2406" t="inlineStr">
        <is>
          <t>A</t>
        </is>
      </c>
      <c r="C2406" t="inlineStr">
        <is>
          <t>Precision@K (Pers. 2)</t>
        </is>
      </c>
      <c r="D2406" s="3" t="inlineStr">
        <is>
          <t>Precision@K = |{d ∈ TopK : sim(q,d) ≥ θ}| / K</t>
        </is>
      </c>
      <c r="E2406" s="3" t="inlineStr">
        <is>
          <t>skor = [0.7147, 0.7111, 0.7107, 0.7091, 0.7039, 0.7026] → 6 / 6</t>
        </is>
      </c>
      <c r="F2406" t="n">
        <v>1</v>
      </c>
      <c r="G2406" s="3" t="inlineStr">
        <is>
          <t>basis: skor chunk nyata (sesuai contoh Pers. 2 skripsi)</t>
        </is>
      </c>
    </row>
    <row r="2407">
      <c r="A2407" t="n">
        <v>164</v>
      </c>
      <c r="B2407" t="inlineStr">
        <is>
          <t>A</t>
        </is>
      </c>
      <c r="C2407" t="inlineStr">
        <is>
          <t>Recall@K (Pers. 4)</t>
        </is>
      </c>
      <c r="D2407" s="3" t="inlineStr">
        <is>
          <t>Recall@K = |{kata kunci ditemukan : sim ≥ θ}| / |R|</t>
        </is>
      </c>
      <c r="E2407" s="3" t="inlineStr">
        <is>
          <t>skor = [0.6142, 0.5902, 0.5867, 0.5867, 0.4416, 0.4211] → 6 / 7</t>
        </is>
      </c>
      <c r="F2407" t="n">
        <v>0.8571</v>
      </c>
      <c r="G2407" s="3" t="inlineStr"/>
    </row>
    <row r="2408">
      <c r="A2408" t="n">
        <v>164</v>
      </c>
      <c r="B2408" t="inlineStr">
        <is>
          <t>A</t>
        </is>
      </c>
      <c r="C2408" t="inlineStr">
        <is>
          <t>Mean Similarity (Pers. 6)</t>
        </is>
      </c>
      <c r="D2408" s="3" t="inlineStr">
        <is>
          <t>MeanSim = (1/K) × Σ sim(q, dᵢ)</t>
        </is>
      </c>
      <c r="E2408" s="3" t="inlineStr">
        <is>
          <t>skor = [0.7147, 0.7111, 0.7107, 0.7091, 0.7039, 0.7026] → (0.7147 + 0.7111 + 0.7107 + 0.7091 + 0.7039 + 0.7026) / 6</t>
        </is>
      </c>
      <c r="F2408" t="n">
        <v>0.7087</v>
      </c>
      <c r="G2408" s="3" t="inlineStr"/>
    </row>
    <row r="2409">
      <c r="A2409" t="n">
        <v>164</v>
      </c>
      <c r="B2409" t="inlineStr">
        <is>
          <t>A</t>
        </is>
      </c>
      <c r="C2409" t="inlineStr">
        <is>
          <t>Coverage (Pers. 8)</t>
        </is>
      </c>
      <c r="D2409" s="3" t="inlineStr">
        <is>
          <t>Coverage = |{dᵢ ∈ TopK : sim(q,dᵢ) ≥ θc}| / K</t>
        </is>
      </c>
      <c r="E2409" s="3" t="inlineStr">
        <is>
          <t>skor = [0.7147, 0.7111, 0.7107, 0.7091, 0.7039, 0.7026] → 6 / 6</t>
        </is>
      </c>
      <c r="F2409" t="n">
        <v>1</v>
      </c>
      <c r="G2409" s="3" t="inlineStr"/>
    </row>
    <row r="2410">
      <c r="A2410" t="n">
        <v>164</v>
      </c>
      <c r="B2410" t="inlineStr">
        <is>
          <t>A</t>
        </is>
      </c>
      <c r="C2410" t="inlineStr">
        <is>
          <t>Source Diversity (Pers. 10)</t>
        </is>
      </c>
      <c r="D2410" s="3" t="inlineStr">
        <is>
          <t>Diversity = |sumber unik dalam TopK| / K</t>
        </is>
      </c>
      <c r="E2410" s="3" t="inlineStr">
        <is>
          <t>skor = ['5PAI.txt', '6TGI.txt', 'GT_CT07.txt', 'GT_CT09.txt', 'GT_CT11.txt', 'GT_SUBTOPIK_04_Modulo_Siklus.txt'] → 6 / 6</t>
        </is>
      </c>
      <c r="F2410" t="n">
        <v>1</v>
      </c>
      <c r="G2410" s="3" t="inlineStr">
        <is>
          <t>file unik: 5PAI.txt, 6TGI.txt, GT_CT07.txt, GT_CT09.txt, GT_CT11.txt, GT_SUBTOPIK_04_Modulo_Siklus.txt</t>
        </is>
      </c>
    </row>
    <row r="2411">
      <c r="A2411" t="n">
        <v>164</v>
      </c>
      <c r="B2411" t="inlineStr">
        <is>
          <t>A</t>
        </is>
      </c>
      <c r="C2411" t="inlineStr">
        <is>
          <t>Faithfulness (Pers. 15)</t>
        </is>
      </c>
      <c r="D2411" s="3" t="inlineStr">
        <is>
          <t>F = 0,70×Entailment + 0,30×KWoverlap</t>
        </is>
      </c>
      <c r="E2411" s="3" t="inlineStr">
        <is>
          <t>Faithfulness = 0,70×Entailment + 0,30×KWoverlap = 0,70×1.0000 + 0,30×0.1877 = 0.7563  (entailment: 6/6 klaim didukung; KWoverlap = (|∩|/|ctx|)^0,65 = (18/236)^0,65 = 0.0763^0,65 = 0.1877)</t>
        </is>
      </c>
      <c r="F2411" t="n">
        <v>0.7563</v>
      </c>
      <c r="G2411" s="3" t="inlineStr">
        <is>
          <t>metode: llm_entailment + keyword</t>
        </is>
      </c>
    </row>
    <row r="2412">
      <c r="A2412" t="n">
        <v>164</v>
      </c>
      <c r="B2412" t="inlineStr">
        <is>
          <t>A</t>
        </is>
      </c>
      <c r="C2412" t="inlineStr">
        <is>
          <t>— Entailment (Pers. 12-13)</t>
        </is>
      </c>
      <c r="D2412" s="3" t="inlineStr">
        <is>
          <t>Entailment = Σverdict(sᵢ)/m</t>
        </is>
      </c>
      <c r="E2412" s="3" t="inlineStr">
        <is>
          <t>6 klaim YA dari 6 klaim dievaluasi</t>
        </is>
      </c>
      <c r="F2412" t="n">
        <v>1</v>
      </c>
      <c r="G2412" s="3" t="inlineStr">
        <is>
          <t>verdict per klaim: sheet 'Entailment Detail'</t>
        </is>
      </c>
    </row>
    <row r="2413">
      <c r="A2413" t="n">
        <v>164</v>
      </c>
      <c r="B2413" t="inlineStr">
        <is>
          <t>A</t>
        </is>
      </c>
      <c r="C2413" t="inlineStr">
        <is>
          <t>— Keyword Overlap (Pers. 14)</t>
        </is>
      </c>
      <c r="D2413" s="3" t="inlineStr">
        <is>
          <t>KWoverlap = (|Stems(ans)∩Stems(ctx)| / |Stems(ctx)|)^0,65</t>
        </is>
      </c>
      <c r="E2413" s="3" t="inlineStr">
        <is>
          <t>KWoverlap = (|∩|/|ctx|)^0,65 = (18/236)^0,65 = 0.0763^0,65 = 0.1877</t>
        </is>
      </c>
      <c r="F2413" t="n">
        <v>0.1877</v>
      </c>
      <c r="G2413" s="3" t="inlineStr"/>
    </row>
    <row r="2414">
      <c r="A2414" t="n">
        <v>164</v>
      </c>
      <c r="B2414" t="inlineStr">
        <is>
          <t>A</t>
        </is>
      </c>
      <c r="C2414" t="inlineStr">
        <is>
          <t>Hallucination Risk (Pers. 18)</t>
        </is>
      </c>
      <c r="D2414" s="3" t="inlineStr">
        <is>
          <t>Risk = 0,65×(1-F) + 0,20×Contradiction + 0,15×Uncertainty</t>
        </is>
      </c>
      <c r="E2414" s="3" t="inlineStr">
        <is>
          <t>Risk = 0,65×OutOfContext + 0,20×Contradiction + 0,15×Uncertainty = 0,65×0.2437 + 0,20×0.0000 + 0,15×0.20 = 0.1884 [RENDAH]</t>
        </is>
      </c>
      <c r="F2414" t="n">
        <v>0.1884</v>
      </c>
      <c r="G2414" s="3" t="inlineStr">
        <is>
          <t>label: RENDAH; kontradiksi 0/15 kalimat; uncertainty flag: True</t>
        </is>
      </c>
    </row>
    <row r="2415">
      <c r="A2415" t="n">
        <v>164</v>
      </c>
      <c r="B2415" t="inlineStr">
        <is>
          <t>A</t>
        </is>
      </c>
      <c r="C2415" t="inlineStr">
        <is>
          <t>Answer Accuracy (Pers. 20)</t>
        </is>
      </c>
      <c r="D2415" s="3" t="inlineStr">
        <is>
          <t>Correctᵢ ∈ {0,1} via LLM-as-Judge (HASIL: BENAR/SALAH)</t>
        </is>
      </c>
      <c r="E2415" s="3" t="inlineStr">
        <is>
          <t>Jawaban sistem tidak menjawab pertanyaan dengan benar berdasarkan referensi. Dalam referensi, tidak ada penjelasan tentang perbedaan Big-O, Ω, dan Θ. Sistem hanya menjelaskan bahwa tiga notasi tersebut digunakan untuk mengevaluasi kompleksitas waktu algoritme, tetapi tidak memberikan definisi yang jelas tentang setiap notasi.</t>
        </is>
      </c>
      <c r="F2415" t="inlineStr">
        <is>
          <t>SALAH</t>
        </is>
      </c>
      <c r="G2415" s="3" t="inlineStr">
        <is>
          <t>evaluator: ollama/llama3</t>
        </is>
      </c>
    </row>
    <row r="2416">
      <c r="A2416" t="n">
        <v>164</v>
      </c>
      <c r="B2416" t="inlineStr">
        <is>
          <t>B</t>
        </is>
      </c>
      <c r="C2416" t="inlineStr">
        <is>
          <t>Faithfulness (Pers. 15)</t>
        </is>
      </c>
      <c r="D2416" s="3" t="inlineStr">
        <is>
          <t>F = 0,70×Entailment + 0,30×KWoverlap</t>
        </is>
      </c>
      <c r="E2416" s="3" t="inlineStr">
        <is>
          <t>Faithfulness = 0,70×Entailment + 0,30×KWoverlap = 0,70×1.0000 + 0,30×0.2202 = 0.7660  (entailment: 6/6 klaim didukung; KWoverlap = (|∩|/|ctx|)^0,65 = (23/236)^0,65 = 0.0975^0,65 = 0.2202)</t>
        </is>
      </c>
      <c r="F2416" t="n">
        <v>0.766</v>
      </c>
      <c r="G2416" s="3" t="inlineStr">
        <is>
          <t>metode: llm_entailment + keyword</t>
        </is>
      </c>
    </row>
    <row r="2417">
      <c r="A2417" t="n">
        <v>164</v>
      </c>
      <c r="B2417" t="inlineStr">
        <is>
          <t>B</t>
        </is>
      </c>
      <c r="C2417" t="inlineStr">
        <is>
          <t>— Entailment (Pers. 12-13)</t>
        </is>
      </c>
      <c r="D2417" s="3" t="inlineStr">
        <is>
          <t>Entailment = Σverdict(sᵢ)/m</t>
        </is>
      </c>
      <c r="E2417" s="3" t="inlineStr">
        <is>
          <t>6 klaim YA dari 6 klaim dievaluasi</t>
        </is>
      </c>
      <c r="F2417" t="n">
        <v>1</v>
      </c>
      <c r="G2417" s="3" t="inlineStr">
        <is>
          <t>verdict per klaim: sheet 'Entailment Detail'</t>
        </is>
      </c>
    </row>
    <row r="2418">
      <c r="A2418" t="n">
        <v>164</v>
      </c>
      <c r="B2418" t="inlineStr">
        <is>
          <t>B</t>
        </is>
      </c>
      <c r="C2418" t="inlineStr">
        <is>
          <t>— Keyword Overlap (Pers. 14)</t>
        </is>
      </c>
      <c r="D2418" s="3" t="inlineStr">
        <is>
          <t>KWoverlap = (|Stems(ans)∩Stems(ctx)| / |Stems(ctx)|)^0,65</t>
        </is>
      </c>
      <c r="E2418" s="3" t="inlineStr">
        <is>
          <t>KWoverlap = (|∩|/|ctx|)^0,65 = (23/236)^0,65 = 0.0975^0,65 = 0.2202</t>
        </is>
      </c>
      <c r="F2418" t="n">
        <v>0.2202</v>
      </c>
      <c r="G2418" s="3" t="inlineStr"/>
    </row>
    <row r="2419">
      <c r="A2419" t="n">
        <v>164</v>
      </c>
      <c r="B2419" t="inlineStr">
        <is>
          <t>B</t>
        </is>
      </c>
      <c r="C2419" t="inlineStr">
        <is>
          <t>Hallucination Risk (Pers. 18)</t>
        </is>
      </c>
      <c r="D2419" s="3" t="inlineStr">
        <is>
          <t>Risk = 0,65×(1-F) + 0,20×Contradiction + 0,15×Uncertainty</t>
        </is>
      </c>
      <c r="E2419" s="3" t="inlineStr">
        <is>
          <t>Risk = 0,65×OutOfContext + 0,20×Contradiction + 0,15×Uncertainty = 0,65×0.2340 + 0,20×0.0000 + 0,15×0.00 = 0.1521 [RENDAH]</t>
        </is>
      </c>
      <c r="F2419" t="n">
        <v>0.1521</v>
      </c>
      <c r="G2419" s="3" t="inlineStr">
        <is>
          <t>label: RENDAH; kontradiksi 0/23 kalimat; uncertainty flag: False</t>
        </is>
      </c>
    </row>
    <row r="2420">
      <c r="A2420" t="n">
        <v>164</v>
      </c>
      <c r="B2420" t="inlineStr">
        <is>
          <t>B</t>
        </is>
      </c>
      <c r="C2420" t="inlineStr">
        <is>
          <t>Answer Accuracy (Pers. 20)</t>
        </is>
      </c>
      <c r="D2420" s="3" t="inlineStr">
        <is>
          <t>Correctᵢ ∈ {0,1} via LLM-as-Judge (HASIL: BENAR/SALAH)</t>
        </is>
      </c>
      <c r="E2420" s="3" t="inlineStr">
        <is>
          <t>BENAR</t>
        </is>
      </c>
      <c r="F2420" t="inlineStr">
        <is>
          <t>BENAR</t>
        </is>
      </c>
      <c r="G2420" s="3" t="inlineStr">
        <is>
          <t>evaluator: ollama/llama3</t>
        </is>
      </c>
    </row>
    <row r="2421">
      <c r="A2421" t="n">
        <v>165</v>
      </c>
      <c r="B2421" t="inlineStr">
        <is>
          <t>A</t>
        </is>
      </c>
      <c r="C2421" t="inlineStr">
        <is>
          <t>Precision@K (Pers. 2)</t>
        </is>
      </c>
      <c r="D2421" s="3" t="inlineStr">
        <is>
          <t>Precision@K = |{d ∈ TopK : sim(q,d) ≥ θ}| / K</t>
        </is>
      </c>
      <c r="E2421" s="3" t="inlineStr">
        <is>
          <t>skor = [0.7617, 0.7613, 0.7518, 0.751, 0.7474, 0.7326] → 6 / 6</t>
        </is>
      </c>
      <c r="F2421" t="n">
        <v>1</v>
      </c>
      <c r="G2421" s="3" t="inlineStr">
        <is>
          <t>basis: skor chunk nyata (sesuai contoh Pers. 2 skripsi)</t>
        </is>
      </c>
    </row>
    <row r="2422">
      <c r="A2422" t="n">
        <v>165</v>
      </c>
      <c r="B2422" t="inlineStr">
        <is>
          <t>A</t>
        </is>
      </c>
      <c r="C2422" t="inlineStr">
        <is>
          <t>Recall@K (Pers. 4)</t>
        </is>
      </c>
      <c r="D2422" s="3" t="inlineStr">
        <is>
          <t>Recall@K = |{kata kunci ditemukan : sim ≥ θ}| / |R|</t>
        </is>
      </c>
      <c r="E2422" s="3" t="inlineStr">
        <is>
          <t>skor = [0.7309, 0.5855, 0.5508, 0.5353, 0.4851, 0.458] → 6 / 7</t>
        </is>
      </c>
      <c r="F2422" t="n">
        <v>0.8571</v>
      </c>
      <c r="G2422" s="3" t="inlineStr"/>
    </row>
    <row r="2423">
      <c r="A2423" t="n">
        <v>165</v>
      </c>
      <c r="B2423" t="inlineStr">
        <is>
          <t>A</t>
        </is>
      </c>
      <c r="C2423" t="inlineStr">
        <is>
          <t>Mean Similarity (Pers. 6)</t>
        </is>
      </c>
      <c r="D2423" s="3" t="inlineStr">
        <is>
          <t>MeanSim = (1/K) × Σ sim(q, dᵢ)</t>
        </is>
      </c>
      <c r="E2423" s="3" t="inlineStr">
        <is>
          <t>skor = [0.7617, 0.7613, 0.7518, 0.751, 0.7474, 0.7326] → (0.7617 + 0.7613 + 0.7518 + 0.7510 + 0.7474 + 0.7326) / 6</t>
        </is>
      </c>
      <c r="F2423" t="n">
        <v>0.751</v>
      </c>
      <c r="G2423" s="3" t="inlineStr"/>
    </row>
    <row r="2424">
      <c r="A2424" t="n">
        <v>165</v>
      </c>
      <c r="B2424" t="inlineStr">
        <is>
          <t>A</t>
        </is>
      </c>
      <c r="C2424" t="inlineStr">
        <is>
          <t>Coverage (Pers. 8)</t>
        </is>
      </c>
      <c r="D2424" s="3" t="inlineStr">
        <is>
          <t>Coverage = |{dᵢ ∈ TopK : sim(q,dᵢ) ≥ θc}| / K</t>
        </is>
      </c>
      <c r="E2424" s="3" t="inlineStr">
        <is>
          <t>skor = [0.7617, 0.7613, 0.7518, 0.751, 0.7474, 0.7326] → 6 / 6</t>
        </is>
      </c>
      <c r="F2424" t="n">
        <v>1</v>
      </c>
      <c r="G2424" s="3" t="inlineStr"/>
    </row>
    <row r="2425">
      <c r="A2425" t="n">
        <v>165</v>
      </c>
      <c r="B2425" t="inlineStr">
        <is>
          <t>A</t>
        </is>
      </c>
      <c r="C2425" t="inlineStr">
        <is>
          <t>Source Diversity (Pers. 10)</t>
        </is>
      </c>
      <c r="D2425" s="3" t="inlineStr">
        <is>
          <t>Diversity = |sumber unik dalam TopK| / K</t>
        </is>
      </c>
      <c r="E2425" s="3" t="inlineStr">
        <is>
          <t>skor = ['GT_DETAIL_PT07_Notasi_Algoritme.txt', 'GT_SUBTOPIK_04_Modulo_Siklus.txt', 'GT_SUBTOPIK_05_Pseudocode_Algoritme.txt', 'GT_SUBTOPIK_11_Rekursi.txt', 'GT_SUBTOPIK_14_Kompleksitas_BigO.txt'] → 5 / 6</t>
        </is>
      </c>
      <c r="F2425" t="n">
        <v>0.8333</v>
      </c>
      <c r="G2425" s="3" t="inlineStr">
        <is>
          <t>file unik: GT_DETAIL_PT07_Notasi_Algoritme.txt, GT_SUBTOPIK_04_Modulo_Siklus.txt, GT_SUBTOPIK_05_Pseudocode_Algoritme.txt, GT_SUBTOPIK_11_Rekursi.txt, GT_SUBTOPIK_14_Kompleksitas_BigO.txt</t>
        </is>
      </c>
    </row>
    <row r="2426">
      <c r="A2426" t="n">
        <v>165</v>
      </c>
      <c r="B2426" t="inlineStr">
        <is>
          <t>A</t>
        </is>
      </c>
      <c r="C2426" t="inlineStr">
        <is>
          <t>Faithfulness (Pers. 15)</t>
        </is>
      </c>
      <c r="D2426" s="3" t="inlineStr">
        <is>
          <t>F = 0,70×Entailment + 0,30×KWoverlap</t>
        </is>
      </c>
      <c r="E2426" s="3" t="inlineStr">
        <is>
          <t>Faithfulness = 0,70×Entailment + 0,30×KWoverlap = 0,70×0.6667 + 0,30×0.2169 = 0.5318  (entailment: 4/6 klaim didukung; KWoverlap = (|∩|/|ctx|)^0,65 = (18/189)^0,65 = 0.0952^0,65 = 0.2169)</t>
        </is>
      </c>
      <c r="F2426" t="n">
        <v>0.5318000000000001</v>
      </c>
      <c r="G2426" s="3" t="inlineStr">
        <is>
          <t>metode: llm_entailment + keyword</t>
        </is>
      </c>
    </row>
    <row r="2427">
      <c r="A2427" t="n">
        <v>165</v>
      </c>
      <c r="B2427" t="inlineStr">
        <is>
          <t>A</t>
        </is>
      </c>
      <c r="C2427" t="inlineStr">
        <is>
          <t>— Entailment (Pers. 12-13)</t>
        </is>
      </c>
      <c r="D2427" s="3" t="inlineStr">
        <is>
          <t>Entailment = Σverdict(sᵢ)/m</t>
        </is>
      </c>
      <c r="E2427" s="3" t="inlineStr">
        <is>
          <t>4 klaim YA dari 6 klaim dievaluasi</t>
        </is>
      </c>
      <c r="F2427" t="n">
        <v>0.6667</v>
      </c>
      <c r="G2427" s="3" t="inlineStr">
        <is>
          <t>verdict per klaim: sheet 'Entailment Detail'</t>
        </is>
      </c>
    </row>
    <row r="2428">
      <c r="A2428" t="n">
        <v>165</v>
      </c>
      <c r="B2428" t="inlineStr">
        <is>
          <t>A</t>
        </is>
      </c>
      <c r="C2428" t="inlineStr">
        <is>
          <t>— Keyword Overlap (Pers. 14)</t>
        </is>
      </c>
      <c r="D2428" s="3" t="inlineStr">
        <is>
          <t>KWoverlap = (|Stems(ans)∩Stems(ctx)| / |Stems(ctx)|)^0,65</t>
        </is>
      </c>
      <c r="E2428" s="3" t="inlineStr">
        <is>
          <t>KWoverlap = (|∩|/|ctx|)^0,65 = (18/189)^0,65 = 0.0952^0,65 = 0.2169</t>
        </is>
      </c>
      <c r="F2428" t="n">
        <v>0.2169</v>
      </c>
      <c r="G2428" s="3" t="inlineStr"/>
    </row>
    <row r="2429">
      <c r="A2429" t="n">
        <v>165</v>
      </c>
      <c r="B2429" t="inlineStr">
        <is>
          <t>A</t>
        </is>
      </c>
      <c r="C2429" t="inlineStr">
        <is>
          <t>Hallucination Risk (Pers. 18)</t>
        </is>
      </c>
      <c r="D2429" s="3" t="inlineStr">
        <is>
          <t>Risk = 0,65×(1-F) + 0,20×Contradiction + 0,15×Uncertainty</t>
        </is>
      </c>
      <c r="E2429" s="3" t="inlineStr">
        <is>
          <t>Risk = 0,65×OutOfContext + 0,20×Contradiction + 0,15×Uncertainty = 0,65×0.4682 + 0,20×0.0000 + 0,15×0.00 = 0.3043 [RENDAH]</t>
        </is>
      </c>
      <c r="F2429" t="n">
        <v>0.3043</v>
      </c>
      <c r="G2429" s="3" t="inlineStr">
        <is>
          <t>label: RENDAH; kontradiksi 0/29 kalimat; uncertainty flag: False</t>
        </is>
      </c>
    </row>
    <row r="2430">
      <c r="A2430" t="n">
        <v>165</v>
      </c>
      <c r="B2430" t="inlineStr">
        <is>
          <t>A</t>
        </is>
      </c>
      <c r="C2430" t="inlineStr">
        <is>
          <t>Answer Accuracy (Pers. 20)</t>
        </is>
      </c>
      <c r="D2430" s="3" t="inlineStr">
        <is>
          <t>Correctᵢ ∈ {0,1} via LLM-as-Judge (HASIL: BENAR/SALAH)</t>
        </is>
      </c>
      <c r="E2430" s="3" t="inlineStr">
        <is>
          <t xml:space="preserve">Based on the reference provided, it can be seen that the question is asking for a binary search solution to find the value 23 in the given array. The system's answer provides the low, high, and mid values at each step of the algorithm, which is correct.
The system's answer shows the following steps:
1. Langkah pertama: Low = 0, High = 9 (panjang array)
Mid = (Low + High) / 2 = (0 + 9) / 2 = 4.5 </t>
        </is>
      </c>
      <c r="F2430" t="inlineStr">
        <is>
          <t>BENAR</t>
        </is>
      </c>
      <c r="G2430" s="3" t="inlineStr">
        <is>
          <t>evaluator: ollama/llama3</t>
        </is>
      </c>
    </row>
    <row r="2431">
      <c r="A2431" t="n">
        <v>165</v>
      </c>
      <c r="B2431" t="inlineStr">
        <is>
          <t>B</t>
        </is>
      </c>
      <c r="C2431" t="inlineStr">
        <is>
          <t>Faithfulness (Pers. 15)</t>
        </is>
      </c>
      <c r="D2431" s="3" t="inlineStr">
        <is>
          <t>F = 0,70×Entailment + 0,30×KWoverlap</t>
        </is>
      </c>
      <c r="E2431" s="3" t="inlineStr">
        <is>
          <t>Faithfulness = 0,70×Entailment + 0,30×KWoverlap = 0,70×0.2500 + 0,30×0.1755 = 0.2277  (entailment: 1/4 klaim didukung; KWoverlap = (|∩|/|ctx|)^0,65 = (13/189)^0,65 = 0.0688^0,65 = 0.1755)</t>
        </is>
      </c>
      <c r="F2431" t="n">
        <v>0.2277</v>
      </c>
      <c r="G2431" s="3" t="inlineStr">
        <is>
          <t>metode: llm_entailment + keyword</t>
        </is>
      </c>
    </row>
    <row r="2432">
      <c r="A2432" t="n">
        <v>165</v>
      </c>
      <c r="B2432" t="inlineStr">
        <is>
          <t>B</t>
        </is>
      </c>
      <c r="C2432" t="inlineStr">
        <is>
          <t>— Entailment (Pers. 12-13)</t>
        </is>
      </c>
      <c r="D2432" s="3" t="inlineStr">
        <is>
          <t>Entailment = Σverdict(sᵢ)/m</t>
        </is>
      </c>
      <c r="E2432" s="3" t="inlineStr">
        <is>
          <t>1 klaim YA dari 4 klaim dievaluasi</t>
        </is>
      </c>
      <c r="F2432" t="n">
        <v>0.25</v>
      </c>
      <c r="G2432" s="3" t="inlineStr">
        <is>
          <t>verdict per klaim: sheet 'Entailment Detail'</t>
        </is>
      </c>
    </row>
    <row r="2433">
      <c r="A2433" t="n">
        <v>165</v>
      </c>
      <c r="B2433" t="inlineStr">
        <is>
          <t>B</t>
        </is>
      </c>
      <c r="C2433" t="inlineStr">
        <is>
          <t>— Keyword Overlap (Pers. 14)</t>
        </is>
      </c>
      <c r="D2433" s="3" t="inlineStr">
        <is>
          <t>KWoverlap = (|Stems(ans)∩Stems(ctx)| / |Stems(ctx)|)^0,65</t>
        </is>
      </c>
      <c r="E2433" s="3" t="inlineStr">
        <is>
          <t>KWoverlap = (|∩|/|ctx|)^0,65 = (13/189)^0,65 = 0.0688^0,65 = 0.1755</t>
        </is>
      </c>
      <c r="F2433" t="n">
        <v>0.1755</v>
      </c>
      <c r="G2433" s="3" t="inlineStr"/>
    </row>
    <row r="2434">
      <c r="A2434" t="n">
        <v>165</v>
      </c>
      <c r="B2434" t="inlineStr">
        <is>
          <t>B</t>
        </is>
      </c>
      <c r="C2434" t="inlineStr">
        <is>
          <t>Hallucination Risk (Pers. 18)</t>
        </is>
      </c>
      <c r="D2434" s="3" t="inlineStr">
        <is>
          <t>Risk = 0,65×(1-F) + 0,20×Contradiction + 0,15×Uncertainty</t>
        </is>
      </c>
      <c r="E2434" s="3" t="inlineStr">
        <is>
          <t>Risk = 0,65×OutOfContext + 0,20×Contradiction + 0,15×Uncertainty = 0,65×0.7723 + 0,20×0.0000 + 0,15×0.00 = 0.5020 [SEDANG]</t>
        </is>
      </c>
      <c r="F2434" t="n">
        <v>0.502</v>
      </c>
      <c r="G2434" s="3" t="inlineStr">
        <is>
          <t>label: SEDANG; kontradiksi 0/31 kalimat; uncertainty flag: False</t>
        </is>
      </c>
    </row>
    <row r="2435">
      <c r="A2435" t="n">
        <v>165</v>
      </c>
      <c r="B2435" t="inlineStr">
        <is>
          <t>B</t>
        </is>
      </c>
      <c r="C2435" t="inlineStr">
        <is>
          <t>Answer Accuracy (Pers. 20)</t>
        </is>
      </c>
      <c r="D2435" s="3" t="inlineStr">
        <is>
          <t>Correctᵢ ∈ {0,1} via LLM-as-Judge (HASIL: BENAR/SALAH)</t>
        </is>
      </c>
      <c r="E2435" s="3" t="inlineStr">
        <is>
          <t>Jawaban sistem:</t>
        </is>
      </c>
      <c r="F2435" t="inlineStr">
        <is>
          <t>SALAH</t>
        </is>
      </c>
      <c r="G2435" s="3" t="inlineStr">
        <is>
          <t>evaluator: ollama/llama3</t>
        </is>
      </c>
    </row>
    <row r="2436">
      <c r="A2436" t="n">
        <v>166</v>
      </c>
      <c r="B2436" t="inlineStr">
        <is>
          <t>A</t>
        </is>
      </c>
      <c r="C2436" t="inlineStr">
        <is>
          <t>Precision@K (Pers. 2)</t>
        </is>
      </c>
      <c r="D2436" s="3" t="inlineStr">
        <is>
          <t>Precision@K = |{d ∈ TopK : sim(q,d) ≥ θ}| / K</t>
        </is>
      </c>
      <c r="E2436" s="3" t="inlineStr">
        <is>
          <t>skor = [0.7817, 0.7762, 0.7596, 0.7327, 0.7296, 0.7169] → 6 / 6</t>
        </is>
      </c>
      <c r="F2436" t="n">
        <v>1</v>
      </c>
      <c r="G2436" s="3" t="inlineStr">
        <is>
          <t>basis: skor chunk nyata (sesuai contoh Pers. 2 skripsi)</t>
        </is>
      </c>
    </row>
    <row r="2437">
      <c r="A2437" t="n">
        <v>166</v>
      </c>
      <c r="B2437" t="inlineStr">
        <is>
          <t>A</t>
        </is>
      </c>
      <c r="C2437" t="inlineStr">
        <is>
          <t>Recall@K (Pers. 4)</t>
        </is>
      </c>
      <c r="D2437" s="3" t="inlineStr">
        <is>
          <t>Recall@K = |{kata kunci ditemukan : sim ≥ θ}| / |R|</t>
        </is>
      </c>
      <c r="E2437" s="3" t="inlineStr">
        <is>
          <t>skor = [0.7688, 0.6741, 0.6106, 0.537, 0.5081, 0.4107] → 6 / 7</t>
        </is>
      </c>
      <c r="F2437" t="n">
        <v>0.8571</v>
      </c>
      <c r="G2437" s="3" t="inlineStr"/>
    </row>
    <row r="2438">
      <c r="A2438" t="n">
        <v>166</v>
      </c>
      <c r="B2438" t="inlineStr">
        <is>
          <t>A</t>
        </is>
      </c>
      <c r="C2438" t="inlineStr">
        <is>
          <t>Mean Similarity (Pers. 6)</t>
        </is>
      </c>
      <c r="D2438" s="3" t="inlineStr">
        <is>
          <t>MeanSim = (1/K) × Σ sim(q, dᵢ)</t>
        </is>
      </c>
      <c r="E2438" s="3" t="inlineStr">
        <is>
          <t>skor = [0.7817, 0.7762, 0.7596, 0.7327, 0.7296, 0.7169] → (0.7817 + 0.7762 + 0.7596 + 0.7327 + 0.7296 + 0.7169) / 6</t>
        </is>
      </c>
      <c r="F2438" t="n">
        <v>0.7494</v>
      </c>
      <c r="G2438" s="3" t="inlineStr"/>
    </row>
    <row r="2439">
      <c r="A2439" t="n">
        <v>166</v>
      </c>
      <c r="B2439" t="inlineStr">
        <is>
          <t>A</t>
        </is>
      </c>
      <c r="C2439" t="inlineStr">
        <is>
          <t>Coverage (Pers. 8)</t>
        </is>
      </c>
      <c r="D2439" s="3" t="inlineStr">
        <is>
          <t>Coverage = |{dᵢ ∈ TopK : sim(q,dᵢ) ≥ θc}| / K</t>
        </is>
      </c>
      <c r="E2439" s="3" t="inlineStr">
        <is>
          <t>skor = [0.7817, 0.7762, 0.7596, 0.7327, 0.7296, 0.7169] → 6 / 6</t>
        </is>
      </c>
      <c r="F2439" t="n">
        <v>1</v>
      </c>
      <c r="G2439" s="3" t="inlineStr"/>
    </row>
    <row r="2440">
      <c r="A2440" t="n">
        <v>166</v>
      </c>
      <c r="B2440" t="inlineStr">
        <is>
          <t>A</t>
        </is>
      </c>
      <c r="C2440" t="inlineStr">
        <is>
          <t>Source Diversity (Pers. 10)</t>
        </is>
      </c>
      <c r="D2440" s="3" t="inlineStr">
        <is>
          <t>Diversity = |sumber unik dalam TopK| / K</t>
        </is>
      </c>
      <c r="E2440" s="3" t="inlineStr">
        <is>
          <t>skor = ['GT_DETAIL_PT07_Notasi_Algoritme.txt', 'GT_SUBTOPIK_14_Kompleksitas_BigO.txt'] → 2 / 6</t>
        </is>
      </c>
      <c r="F2440" t="n">
        <v>0.3333</v>
      </c>
      <c r="G2440" s="3" t="inlineStr">
        <is>
          <t>file unik: GT_DETAIL_PT07_Notasi_Algoritme.txt, GT_SUBTOPIK_14_Kompleksitas_BigO.txt</t>
        </is>
      </c>
    </row>
    <row r="2441">
      <c r="A2441" t="n">
        <v>166</v>
      </c>
      <c r="B2441" t="inlineStr">
        <is>
          <t>A</t>
        </is>
      </c>
      <c r="C2441" t="inlineStr">
        <is>
          <t>Faithfulness (Pers. 15)</t>
        </is>
      </c>
      <c r="D2441" s="3" t="inlineStr">
        <is>
          <t>F = 0,70×Entailment + 0,30×KWoverlap</t>
        </is>
      </c>
      <c r="E2441" s="3" t="inlineStr">
        <is>
          <t>Faithfulness = 0,70×Entailment + 0,30×KWoverlap = 0,70×1.0000 + 0,30×0.2056 = 0.7617  (entailment: 6/6 klaim didukung; KWoverlap = (|∩|/|ctx|)^0,65 = (20/228)^0,65 = 0.0877^0,65 = 0.2056)</t>
        </is>
      </c>
      <c r="F2441" t="n">
        <v>0.7617</v>
      </c>
      <c r="G2441" s="3" t="inlineStr">
        <is>
          <t>metode: llm_entailment + keyword</t>
        </is>
      </c>
    </row>
    <row r="2442">
      <c r="A2442" t="n">
        <v>166</v>
      </c>
      <c r="B2442" t="inlineStr">
        <is>
          <t>A</t>
        </is>
      </c>
      <c r="C2442" t="inlineStr">
        <is>
          <t>— Entailment (Pers. 12-13)</t>
        </is>
      </c>
      <c r="D2442" s="3" t="inlineStr">
        <is>
          <t>Entailment = Σverdict(sᵢ)/m</t>
        </is>
      </c>
      <c r="E2442" s="3" t="inlineStr">
        <is>
          <t>6 klaim YA dari 6 klaim dievaluasi</t>
        </is>
      </c>
      <c r="F2442" t="n">
        <v>1</v>
      </c>
      <c r="G2442" s="3" t="inlineStr">
        <is>
          <t>verdict per klaim: sheet 'Entailment Detail'</t>
        </is>
      </c>
    </row>
    <row r="2443">
      <c r="A2443" t="n">
        <v>166</v>
      </c>
      <c r="B2443" t="inlineStr">
        <is>
          <t>A</t>
        </is>
      </c>
      <c r="C2443" t="inlineStr">
        <is>
          <t>— Keyword Overlap (Pers. 14)</t>
        </is>
      </c>
      <c r="D2443" s="3" t="inlineStr">
        <is>
          <t>KWoverlap = (|Stems(ans)∩Stems(ctx)| / |Stems(ctx)|)^0,65</t>
        </is>
      </c>
      <c r="E2443" s="3" t="inlineStr">
        <is>
          <t>KWoverlap = (|∩|/|ctx|)^0,65 = (20/228)^0,65 = 0.0877^0,65 = 0.2056</t>
        </is>
      </c>
      <c r="F2443" t="n">
        <v>0.2056</v>
      </c>
      <c r="G2443" s="3" t="inlineStr"/>
    </row>
    <row r="2444">
      <c r="A2444" t="n">
        <v>166</v>
      </c>
      <c r="B2444" t="inlineStr">
        <is>
          <t>A</t>
        </is>
      </c>
      <c r="C2444" t="inlineStr">
        <is>
          <t>Hallucination Risk (Pers. 18)</t>
        </is>
      </c>
      <c r="D2444" s="3" t="inlineStr">
        <is>
          <t>Risk = 0,65×(1-F) + 0,20×Contradiction + 0,15×Uncertainty</t>
        </is>
      </c>
      <c r="E2444" s="3" t="inlineStr">
        <is>
          <t>Risk = 0,65×OutOfContext + 0,20×Contradiction + 0,15×Uncertainty = 0,65×0.2383 + 0,20×0.0000 + 0,15×0.00 = 0.1549 [RENDAH]</t>
        </is>
      </c>
      <c r="F2444" t="n">
        <v>0.1549</v>
      </c>
      <c r="G2444" s="3" t="inlineStr">
        <is>
          <t>label: RENDAH; kontradiksi 0/36 kalimat; uncertainty flag: False</t>
        </is>
      </c>
    </row>
    <row r="2445">
      <c r="A2445" t="n">
        <v>166</v>
      </c>
      <c r="B2445" t="inlineStr">
        <is>
          <t>A</t>
        </is>
      </c>
      <c r="C2445" t="inlineStr">
        <is>
          <t>Answer Accuracy (Pers. 20)</t>
        </is>
      </c>
      <c r="D2445" s="3" t="inlineStr">
        <is>
          <t>Correctᵢ ∈ {0,1} via LLM-as-Judge (HASIL: BENAR/SALAH)</t>
        </is>
      </c>
      <c r="E2445" s="3" t="inlineStr">
        <is>
          <t>Rationale:
The system's answer does not fully cover the concept of insertion sort as described in the reference material. While it mentions that insertion sort uses an "insertion" approach, it only provides a brief overview of the algorithm and does not fully explain each step.
To provide a complete answer, the system should have explained the following:
1. The first element is considered alrea</t>
        </is>
      </c>
      <c r="F2445" t="inlineStr">
        <is>
          <t>SALAH</t>
        </is>
      </c>
      <c r="G2445" s="3" t="inlineStr">
        <is>
          <t>evaluator: ollama/llama3</t>
        </is>
      </c>
    </row>
    <row r="2446">
      <c r="A2446" t="n">
        <v>166</v>
      </c>
      <c r="B2446" t="inlineStr">
        <is>
          <t>B</t>
        </is>
      </c>
      <c r="C2446" t="inlineStr">
        <is>
          <t>Faithfulness (Pers. 15)</t>
        </is>
      </c>
      <c r="D2446" s="3" t="inlineStr">
        <is>
          <t>F = 0,70×Entailment + 0,30×KWoverlap</t>
        </is>
      </c>
      <c r="E2446" s="3" t="inlineStr">
        <is>
          <t>Faithfulness = 0,70×Entailment + 0,30×KWoverlap = 0,70×0.6667 + 0,30×0.2122 = 0.5304  (entailment: 4/6 klaim didukung; KWoverlap = (|∩|/|ctx|)^0,65 = (21/228)^0,65 = 0.0921^0,65 = 0.2122)</t>
        </is>
      </c>
      <c r="F2446" t="n">
        <v>0.5304</v>
      </c>
      <c r="G2446" s="3" t="inlineStr">
        <is>
          <t>metode: llm_entailment + keyword</t>
        </is>
      </c>
    </row>
    <row r="2447">
      <c r="A2447" t="n">
        <v>166</v>
      </c>
      <c r="B2447" t="inlineStr">
        <is>
          <t>B</t>
        </is>
      </c>
      <c r="C2447" t="inlineStr">
        <is>
          <t>— Entailment (Pers. 12-13)</t>
        </is>
      </c>
      <c r="D2447" s="3" t="inlineStr">
        <is>
          <t>Entailment = Σverdict(sᵢ)/m</t>
        </is>
      </c>
      <c r="E2447" s="3" t="inlineStr">
        <is>
          <t>4 klaim YA dari 6 klaim dievaluasi</t>
        </is>
      </c>
      <c r="F2447" t="n">
        <v>0.6667</v>
      </c>
      <c r="G2447" s="3" t="inlineStr">
        <is>
          <t>verdict per klaim: sheet 'Entailment Detail'</t>
        </is>
      </c>
    </row>
    <row r="2448">
      <c r="A2448" t="n">
        <v>166</v>
      </c>
      <c r="B2448" t="inlineStr">
        <is>
          <t>B</t>
        </is>
      </c>
      <c r="C2448" t="inlineStr">
        <is>
          <t>— Keyword Overlap (Pers. 14)</t>
        </is>
      </c>
      <c r="D2448" s="3" t="inlineStr">
        <is>
          <t>KWoverlap = (|Stems(ans)∩Stems(ctx)| / |Stems(ctx)|)^0,65</t>
        </is>
      </c>
      <c r="E2448" s="3" t="inlineStr">
        <is>
          <t>KWoverlap = (|∩|/|ctx|)^0,65 = (21/228)^0,65 = 0.0921^0,65 = 0.2122</t>
        </is>
      </c>
      <c r="F2448" t="n">
        <v>0.2122</v>
      </c>
      <c r="G2448" s="3" t="inlineStr"/>
    </row>
    <row r="2449">
      <c r="A2449" t="n">
        <v>166</v>
      </c>
      <c r="B2449" t="inlineStr">
        <is>
          <t>B</t>
        </is>
      </c>
      <c r="C2449" t="inlineStr">
        <is>
          <t>Hallucination Risk (Pers. 18)</t>
        </is>
      </c>
      <c r="D2449" s="3" t="inlineStr">
        <is>
          <t>Risk = 0,65×(1-F) + 0,20×Contradiction + 0,15×Uncertainty</t>
        </is>
      </c>
      <c r="E2449" s="3" t="inlineStr">
        <is>
          <t>Risk = 0,65×OutOfContext + 0,20×Contradiction + 0,15×Uncertainty = 0,65×0.4696 + 0,20×0.0000 + 0,15×0.00 = 0.3052 [RENDAH]</t>
        </is>
      </c>
      <c r="F2449" t="n">
        <v>0.3052</v>
      </c>
      <c r="G2449" s="3" t="inlineStr">
        <is>
          <t>label: RENDAH; kontradiksi 0/34 kalimat; uncertainty flag: False</t>
        </is>
      </c>
    </row>
    <row r="2450">
      <c r="A2450" t="n">
        <v>166</v>
      </c>
      <c r="B2450" t="inlineStr">
        <is>
          <t>B</t>
        </is>
      </c>
      <c r="C2450" t="inlineStr">
        <is>
          <t>Answer Accuracy (Pers. 20)</t>
        </is>
      </c>
      <c r="D2450" s="3" t="inlineStr">
        <is>
          <t>Correctᵢ ∈ {0,1} via LLM-as-Judge (HASIL: BENAR/SALAH)</t>
        </is>
      </c>
      <c r="E2450" s="3" t="inlineStr"/>
      <c r="F2450" t="inlineStr">
        <is>
          <t>BENAR</t>
        </is>
      </c>
      <c r="G2450" s="3" t="inlineStr">
        <is>
          <t>evaluator: ollama/llama3</t>
        </is>
      </c>
    </row>
    <row r="2451">
      <c r="A2451" t="n">
        <v>167</v>
      </c>
      <c r="B2451" t="inlineStr">
        <is>
          <t>A</t>
        </is>
      </c>
      <c r="C2451" t="inlineStr">
        <is>
          <t>Precision@K (Pers. 2)</t>
        </is>
      </c>
      <c r="D2451" s="3" t="inlineStr">
        <is>
          <t>Precision@K = |{d ∈ TopK : sim(q,d) ≥ θ}| / K</t>
        </is>
      </c>
      <c r="E2451" s="3" t="inlineStr">
        <is>
          <t>skor = [0.7777, 0.7689, 0.7544, 0.7398, 0.739, 0.7359] → 6 / 6</t>
        </is>
      </c>
      <c r="F2451" t="n">
        <v>1</v>
      </c>
      <c r="G2451" s="3" t="inlineStr">
        <is>
          <t>basis: skor chunk nyata (sesuai contoh Pers. 2 skripsi)</t>
        </is>
      </c>
    </row>
    <row r="2452">
      <c r="A2452" t="n">
        <v>167</v>
      </c>
      <c r="B2452" t="inlineStr">
        <is>
          <t>A</t>
        </is>
      </c>
      <c r="C2452" t="inlineStr">
        <is>
          <t>Recall@K (Pers. 4)</t>
        </is>
      </c>
      <c r="D2452" s="3" t="inlineStr">
        <is>
          <t>Recall@K = |{kata kunci ditemukan : sim ≥ θ}| / |R|</t>
        </is>
      </c>
      <c r="E2452" s="3" t="inlineStr">
        <is>
          <t>skor = [0.7331, 0.6655, 0.6339, 0.549, 0.4831, 0.4681] → 6 / 7</t>
        </is>
      </c>
      <c r="F2452" t="n">
        <v>0.8571</v>
      </c>
      <c r="G2452" s="3" t="inlineStr"/>
    </row>
    <row r="2453">
      <c r="A2453" t="n">
        <v>167</v>
      </c>
      <c r="B2453" t="inlineStr">
        <is>
          <t>A</t>
        </is>
      </c>
      <c r="C2453" t="inlineStr">
        <is>
          <t>Mean Similarity (Pers. 6)</t>
        </is>
      </c>
      <c r="D2453" s="3" t="inlineStr">
        <is>
          <t>MeanSim = (1/K) × Σ sim(q, dᵢ)</t>
        </is>
      </c>
      <c r="E2453" s="3" t="inlineStr">
        <is>
          <t>skor = [0.7777, 0.7689, 0.7544, 0.7398, 0.739, 0.7359] → (0.7777 + 0.7689 + 0.7544 + 0.7398 + 0.7390 + 0.7359) / 6</t>
        </is>
      </c>
      <c r="F2453" t="n">
        <v>0.7526</v>
      </c>
      <c r="G2453" s="3" t="inlineStr"/>
    </row>
    <row r="2454">
      <c r="A2454" t="n">
        <v>167</v>
      </c>
      <c r="B2454" t="inlineStr">
        <is>
          <t>A</t>
        </is>
      </c>
      <c r="C2454" t="inlineStr">
        <is>
          <t>Coverage (Pers. 8)</t>
        </is>
      </c>
      <c r="D2454" s="3" t="inlineStr">
        <is>
          <t>Coverage = |{dᵢ ∈ TopK : sim(q,dᵢ) ≥ θc}| / K</t>
        </is>
      </c>
      <c r="E2454" s="3" t="inlineStr">
        <is>
          <t>skor = [0.7777, 0.7689, 0.7544, 0.7398, 0.739, 0.7359] → 6 / 6</t>
        </is>
      </c>
      <c r="F2454" t="n">
        <v>1</v>
      </c>
      <c r="G2454" s="3" t="inlineStr"/>
    </row>
    <row r="2455">
      <c r="A2455" t="n">
        <v>167</v>
      </c>
      <c r="B2455" t="inlineStr">
        <is>
          <t>A</t>
        </is>
      </c>
      <c r="C2455" t="inlineStr">
        <is>
          <t>Source Diversity (Pers. 10)</t>
        </is>
      </c>
      <c r="D2455" s="3" t="inlineStr">
        <is>
          <t>Diversity = |sumber unik dalam TopK| / K</t>
        </is>
      </c>
      <c r="E2455" s="3" t="inlineStr">
        <is>
          <t>skor = ['GT_DETAIL_PT07_Notasi_Algoritme.txt', 'GT_SUBTOPIK_12_Stack_Queue.txt', 'GT_SUBTOPIK_14_Kompleksitas_BigO.txt'] → 3 / 6</t>
        </is>
      </c>
      <c r="F2455" t="n">
        <v>0.5</v>
      </c>
      <c r="G2455" s="3" t="inlineStr">
        <is>
          <t>file unik: GT_DETAIL_PT07_Notasi_Algoritme.txt, GT_SUBTOPIK_12_Stack_Queue.txt, GT_SUBTOPIK_14_Kompleksitas_BigO.txt</t>
        </is>
      </c>
    </row>
    <row r="2456">
      <c r="A2456" t="n">
        <v>167</v>
      </c>
      <c r="B2456" t="inlineStr">
        <is>
          <t>A</t>
        </is>
      </c>
      <c r="C2456" t="inlineStr">
        <is>
          <t>Faithfulness (Pers. 15)</t>
        </is>
      </c>
      <c r="D2456" s="3" t="inlineStr">
        <is>
          <t>F = 0,70×Entailment + 0,30×KWoverlap</t>
        </is>
      </c>
      <c r="E2456" s="3" t="inlineStr">
        <is>
          <t>Faithfulness = 0,70×Entailment + 0,30×KWoverlap = 0,70×0.8333 + 0,30×0.1983 = 0.6428  (entailment: 5/6 klaim didukung; KWoverlap = (|∩|/|ctx|)^0,65 = (19/229)^0,65 = 0.0830^0,65 = 0.1983)</t>
        </is>
      </c>
      <c r="F2456" t="n">
        <v>0.6428</v>
      </c>
      <c r="G2456" s="3" t="inlineStr">
        <is>
          <t>metode: llm_entailment + keyword</t>
        </is>
      </c>
    </row>
    <row r="2457">
      <c r="A2457" t="n">
        <v>167</v>
      </c>
      <c r="B2457" t="inlineStr">
        <is>
          <t>A</t>
        </is>
      </c>
      <c r="C2457" t="inlineStr">
        <is>
          <t>— Entailment (Pers. 12-13)</t>
        </is>
      </c>
      <c r="D2457" s="3" t="inlineStr">
        <is>
          <t>Entailment = Σverdict(sᵢ)/m</t>
        </is>
      </c>
      <c r="E2457" s="3" t="inlineStr">
        <is>
          <t>5 klaim YA dari 6 klaim dievaluasi</t>
        </is>
      </c>
      <c r="F2457" t="n">
        <v>0.8333</v>
      </c>
      <c r="G2457" s="3" t="inlineStr">
        <is>
          <t>verdict per klaim: sheet 'Entailment Detail'</t>
        </is>
      </c>
    </row>
    <row r="2458">
      <c r="A2458" t="n">
        <v>167</v>
      </c>
      <c r="B2458" t="inlineStr">
        <is>
          <t>A</t>
        </is>
      </c>
      <c r="C2458" t="inlineStr">
        <is>
          <t>— Keyword Overlap (Pers. 14)</t>
        </is>
      </c>
      <c r="D2458" s="3" t="inlineStr">
        <is>
          <t>KWoverlap = (|Stems(ans)∩Stems(ctx)| / |Stems(ctx)|)^0,65</t>
        </is>
      </c>
      <c r="E2458" s="3" t="inlineStr">
        <is>
          <t>KWoverlap = (|∩|/|ctx|)^0,65 = (19/229)^0,65 = 0.0830^0,65 = 0.1983</t>
        </is>
      </c>
      <c r="F2458" t="n">
        <v>0.1983</v>
      </c>
      <c r="G2458" s="3" t="inlineStr"/>
    </row>
    <row r="2459">
      <c r="A2459" t="n">
        <v>167</v>
      </c>
      <c r="B2459" t="inlineStr">
        <is>
          <t>A</t>
        </is>
      </c>
      <c r="C2459" t="inlineStr">
        <is>
          <t>Hallucination Risk (Pers. 18)</t>
        </is>
      </c>
      <c r="D2459" s="3" t="inlineStr">
        <is>
          <t>Risk = 0,65×(1-F) + 0,20×Contradiction + 0,15×Uncertainty</t>
        </is>
      </c>
      <c r="E2459" s="3" t="inlineStr">
        <is>
          <t>Risk = 0,65×OutOfContext + 0,20×Contradiction + 0,15×Uncertainty = 0,65×0.3572 + 0,20×0.0000 + 0,15×0.00 = 0.2322 [RENDAH]</t>
        </is>
      </c>
      <c r="F2459" t="n">
        <v>0.2322</v>
      </c>
      <c r="G2459" s="3" t="inlineStr">
        <is>
          <t>label: RENDAH; kontradiksi 0/14 kalimat; uncertainty flag: False</t>
        </is>
      </c>
    </row>
    <row r="2460">
      <c r="A2460" t="n">
        <v>167</v>
      </c>
      <c r="B2460" t="inlineStr">
        <is>
          <t>A</t>
        </is>
      </c>
      <c r="C2460" t="inlineStr">
        <is>
          <t>Answer Accuracy (Pers. 20)</t>
        </is>
      </c>
      <c r="D2460" s="3" t="inlineStr">
        <is>
          <t>Correctᵢ ∈ {0,1} via LLM-as-Judge (HASIL: BENAR/SALAH)</t>
        </is>
      </c>
      <c r="E2460" s="3" t="inlineStr">
        <is>
          <t>BENAR</t>
        </is>
      </c>
      <c r="F2460" t="inlineStr">
        <is>
          <t>BENAR</t>
        </is>
      </c>
      <c r="G2460" s="3" t="inlineStr">
        <is>
          <t>evaluator: ollama/llama3</t>
        </is>
      </c>
    </row>
    <row r="2461">
      <c r="A2461" t="n">
        <v>167</v>
      </c>
      <c r="B2461" t="inlineStr">
        <is>
          <t>B</t>
        </is>
      </c>
      <c r="C2461" t="inlineStr">
        <is>
          <t>Faithfulness (Pers. 15)</t>
        </is>
      </c>
      <c r="D2461" s="3" t="inlineStr">
        <is>
          <t>F = 0,70×Entailment + 0,30×KWoverlap</t>
        </is>
      </c>
      <c r="E2461" s="3" t="inlineStr">
        <is>
          <t>Faithfulness = 0,70×Entailment + 0,30×KWoverlap = 0,70×1.0000 + 0,30×0.1845 = 0.7553  (entailment: 6/6 klaim didukung; KWoverlap = (|∩|/|ctx|)^0,65 = (17/229)^0,65 = 0.0742^0,65 = 0.1845)</t>
        </is>
      </c>
      <c r="F2461" t="n">
        <v>0.7553</v>
      </c>
      <c r="G2461" s="3" t="inlineStr">
        <is>
          <t>metode: llm_entailment + keyword</t>
        </is>
      </c>
    </row>
    <row r="2462">
      <c r="A2462" t="n">
        <v>167</v>
      </c>
      <c r="B2462" t="inlineStr">
        <is>
          <t>B</t>
        </is>
      </c>
      <c r="C2462" t="inlineStr">
        <is>
          <t>— Entailment (Pers. 12-13)</t>
        </is>
      </c>
      <c r="D2462" s="3" t="inlineStr">
        <is>
          <t>Entailment = Σverdict(sᵢ)/m</t>
        </is>
      </c>
      <c r="E2462" s="3" t="inlineStr">
        <is>
          <t>6 klaim YA dari 6 klaim dievaluasi</t>
        </is>
      </c>
      <c r="F2462" t="n">
        <v>1</v>
      </c>
      <c r="G2462" s="3" t="inlineStr">
        <is>
          <t>verdict per klaim: sheet 'Entailment Detail'</t>
        </is>
      </c>
    </row>
    <row r="2463">
      <c r="A2463" t="n">
        <v>167</v>
      </c>
      <c r="B2463" t="inlineStr">
        <is>
          <t>B</t>
        </is>
      </c>
      <c r="C2463" t="inlineStr">
        <is>
          <t>— Keyword Overlap (Pers. 14)</t>
        </is>
      </c>
      <c r="D2463" s="3" t="inlineStr">
        <is>
          <t>KWoverlap = (|Stems(ans)∩Stems(ctx)| / |Stems(ctx)|)^0,65</t>
        </is>
      </c>
      <c r="E2463" s="3" t="inlineStr">
        <is>
          <t>KWoverlap = (|∩|/|ctx|)^0,65 = (17/229)^0,65 = 0.0742^0,65 = 0.1845</t>
        </is>
      </c>
      <c r="F2463" t="n">
        <v>0.1845</v>
      </c>
      <c r="G2463" s="3" t="inlineStr"/>
    </row>
    <row r="2464">
      <c r="A2464" t="n">
        <v>167</v>
      </c>
      <c r="B2464" t="inlineStr">
        <is>
          <t>B</t>
        </is>
      </c>
      <c r="C2464" t="inlineStr">
        <is>
          <t>Hallucination Risk (Pers. 18)</t>
        </is>
      </c>
      <c r="D2464" s="3" t="inlineStr">
        <is>
          <t>Risk = 0,65×(1-F) + 0,20×Contradiction + 0,15×Uncertainty</t>
        </is>
      </c>
      <c r="E2464" s="3" t="inlineStr">
        <is>
          <t>Risk = 0,65×OutOfContext + 0,20×Contradiction + 0,15×Uncertainty = 0,65×0.2447 + 0,20×0.0000 + 0,15×0.00 = 0.1591 [RENDAH]</t>
        </is>
      </c>
      <c r="F2464" t="n">
        <v>0.1591</v>
      </c>
      <c r="G2464" s="3" t="inlineStr">
        <is>
          <t>label: RENDAH; kontradiksi 0/23 kalimat; uncertainty flag: False</t>
        </is>
      </c>
    </row>
    <row r="2465">
      <c r="A2465" t="n">
        <v>167</v>
      </c>
      <c r="B2465" t="inlineStr">
        <is>
          <t>B</t>
        </is>
      </c>
      <c r="C2465" t="inlineStr">
        <is>
          <t>Answer Accuracy (Pers. 20)</t>
        </is>
      </c>
      <c r="D2465" s="3" t="inlineStr">
        <is>
          <t>Correctᵢ ∈ {0,1} via LLM-as-Judge (HASIL: BENAR/SALAH)</t>
        </is>
      </c>
      <c r="E2465" s="3" t="inlineStr">
        <is>
          <t>BENAR.
Alasan: Jawaban sistem menjelaskan prinsip dasar merge sort dan tracing-nya dengan benar, termasuk penggunaan notasi yang sesuai (L, R, M). Selain itu, jawaban sistem juga membahas konsep utama merge sort secara umum, yaitu membagi array menjadi dua bagian lebih kecil, mengurutkan masing-masing bagian, dan kemudian menggabungkan dua bagian yang telah diurutkan.</t>
        </is>
      </c>
      <c r="F2465" t="inlineStr">
        <is>
          <t>BENAR</t>
        </is>
      </c>
      <c r="G2465" s="3" t="inlineStr">
        <is>
          <t>evaluator: ollama/llama3</t>
        </is>
      </c>
    </row>
    <row r="2466">
      <c r="A2466" t="n">
        <v>168</v>
      </c>
      <c r="B2466" t="inlineStr">
        <is>
          <t>A</t>
        </is>
      </c>
      <c r="C2466" t="inlineStr">
        <is>
          <t>Precision@K (Pers. 2)</t>
        </is>
      </c>
      <c r="D2466" s="3" t="inlineStr">
        <is>
          <t>Precision@K = |{d ∈ TopK : sim(q,d) ≥ θ}| / K</t>
        </is>
      </c>
      <c r="E2466" s="3" t="inlineStr">
        <is>
          <t>skor = [0.7973, 0.7627, 0.7476, 0.7452, 0.7447, 0.7433] → 6 / 6</t>
        </is>
      </c>
      <c r="F2466" t="n">
        <v>1</v>
      </c>
      <c r="G2466" s="3" t="inlineStr">
        <is>
          <t>basis: skor chunk nyata (sesuai contoh Pers. 2 skripsi)</t>
        </is>
      </c>
    </row>
    <row r="2467">
      <c r="A2467" t="n">
        <v>168</v>
      </c>
      <c r="B2467" t="inlineStr">
        <is>
          <t>A</t>
        </is>
      </c>
      <c r="C2467" t="inlineStr">
        <is>
          <t>Recall@K (Pers. 4)</t>
        </is>
      </c>
      <c r="D2467" s="3" t="inlineStr">
        <is>
          <t>Recall@K = |{kata kunci ditemukan : sim ≥ θ}| / |R|</t>
        </is>
      </c>
      <c r="E2467" s="3" t="inlineStr">
        <is>
          <t>skor = [0.7162, 0.6945, 0.6457, 0.6427, 0.6422, 0.5732] → 6 / 7</t>
        </is>
      </c>
      <c r="F2467" t="n">
        <v>0.8571</v>
      </c>
      <c r="G2467" s="3" t="inlineStr"/>
    </row>
    <row r="2468">
      <c r="A2468" t="n">
        <v>168</v>
      </c>
      <c r="B2468" t="inlineStr">
        <is>
          <t>A</t>
        </is>
      </c>
      <c r="C2468" t="inlineStr">
        <is>
          <t>Mean Similarity (Pers. 6)</t>
        </is>
      </c>
      <c r="D2468" s="3" t="inlineStr">
        <is>
          <t>MeanSim = (1/K) × Σ sim(q, dᵢ)</t>
        </is>
      </c>
      <c r="E2468" s="3" t="inlineStr">
        <is>
          <t>skor = [0.7973, 0.7627, 0.7476, 0.7452, 0.7447, 0.7433] → (0.7973 + 0.7627 + 0.7476 + 0.7452 + 0.7447 + 0.7433) / 6</t>
        </is>
      </c>
      <c r="F2468" t="n">
        <v>0.7568</v>
      </c>
      <c r="G2468" s="3" t="inlineStr"/>
    </row>
    <row r="2469">
      <c r="A2469" t="n">
        <v>168</v>
      </c>
      <c r="B2469" t="inlineStr">
        <is>
          <t>A</t>
        </is>
      </c>
      <c r="C2469" t="inlineStr">
        <is>
          <t>Coverage (Pers. 8)</t>
        </is>
      </c>
      <c r="D2469" s="3" t="inlineStr">
        <is>
          <t>Coverage = |{dᵢ ∈ TopK : sim(q,dᵢ) ≥ θc}| / K</t>
        </is>
      </c>
      <c r="E2469" s="3" t="inlineStr">
        <is>
          <t>skor = [0.7973, 0.7627, 0.7476, 0.7452, 0.7447, 0.7433] → 6 / 6</t>
        </is>
      </c>
      <c r="F2469" t="n">
        <v>1</v>
      </c>
      <c r="G2469" s="3" t="inlineStr"/>
    </row>
    <row r="2470">
      <c r="A2470" t="n">
        <v>168</v>
      </c>
      <c r="B2470" t="inlineStr">
        <is>
          <t>A</t>
        </is>
      </c>
      <c r="C2470" t="inlineStr">
        <is>
          <t>Source Diversity (Pers. 10)</t>
        </is>
      </c>
      <c r="D2470" s="3" t="inlineStr">
        <is>
          <t>Diversity = |sumber unik dalam TopK| / K</t>
        </is>
      </c>
      <c r="E2470" s="3" t="inlineStr">
        <is>
          <t>skor = ['GT_CT13.txt', 'GT_DETAIL_PT07_Notasi_Algoritme.txt', 'GT_SUBTOPIK_02_Abstraksi_Formulasi.txt', 'GT_SUBTOPIK_14_Kompleksitas_BigO.txt'] → 4 / 6</t>
        </is>
      </c>
      <c r="F2470" t="n">
        <v>0.6667</v>
      </c>
      <c r="G2470" s="3" t="inlineStr">
        <is>
          <t>file unik: GT_CT13.txt, GT_DETAIL_PT07_Notasi_Algoritme.txt, GT_SUBTOPIK_02_Abstraksi_Formulasi.txt, GT_SUBTOPIK_14_Kompleksitas_BigO.txt</t>
        </is>
      </c>
    </row>
    <row r="2471">
      <c r="A2471" t="n">
        <v>168</v>
      </c>
      <c r="B2471" t="inlineStr">
        <is>
          <t>A</t>
        </is>
      </c>
      <c r="C2471" t="inlineStr">
        <is>
          <t>Faithfulness (Pers. 15)</t>
        </is>
      </c>
      <c r="D2471" s="3" t="inlineStr">
        <is>
          <t>F = 0,70×Entailment + 0,30×KWoverlap</t>
        </is>
      </c>
      <c r="E2471" s="3" t="inlineStr">
        <is>
          <t>Faithfulness = 0,70×Entailment + 0,30×KWoverlap = 0,70×1.0000 + 0,30×0.2273 = 0.7682  (entailment: 6/6 klaim didukung; KWoverlap = (|∩|/|ctx|)^0,65 = (30/293)^0,65 = 0.1024^0,65 = 0.2273)</t>
        </is>
      </c>
      <c r="F2471" t="n">
        <v>0.7682</v>
      </c>
      <c r="G2471" s="3" t="inlineStr">
        <is>
          <t>metode: llm_entailment + keyword</t>
        </is>
      </c>
    </row>
    <row r="2472">
      <c r="A2472" t="n">
        <v>168</v>
      </c>
      <c r="B2472" t="inlineStr">
        <is>
          <t>A</t>
        </is>
      </c>
      <c r="C2472" t="inlineStr">
        <is>
          <t>— Entailment (Pers. 12-13)</t>
        </is>
      </c>
      <c r="D2472" s="3" t="inlineStr">
        <is>
          <t>Entailment = Σverdict(sᵢ)/m</t>
        </is>
      </c>
      <c r="E2472" s="3" t="inlineStr">
        <is>
          <t>6 klaim YA dari 6 klaim dievaluasi</t>
        </is>
      </c>
      <c r="F2472" t="n">
        <v>1</v>
      </c>
      <c r="G2472" s="3" t="inlineStr">
        <is>
          <t>verdict per klaim: sheet 'Entailment Detail'</t>
        </is>
      </c>
    </row>
    <row r="2473">
      <c r="A2473" t="n">
        <v>168</v>
      </c>
      <c r="B2473" t="inlineStr">
        <is>
          <t>A</t>
        </is>
      </c>
      <c r="C2473" t="inlineStr">
        <is>
          <t>— Keyword Overlap (Pers. 14)</t>
        </is>
      </c>
      <c r="D2473" s="3" t="inlineStr">
        <is>
          <t>KWoverlap = (|Stems(ans)∩Stems(ctx)| / |Stems(ctx)|)^0,65</t>
        </is>
      </c>
      <c r="E2473" s="3" t="inlineStr">
        <is>
          <t>KWoverlap = (|∩|/|ctx|)^0,65 = (30/293)^0,65 = 0.1024^0,65 = 0.2273</t>
        </is>
      </c>
      <c r="F2473" t="n">
        <v>0.2273</v>
      </c>
      <c r="G2473" s="3" t="inlineStr"/>
    </row>
    <row r="2474">
      <c r="A2474" t="n">
        <v>168</v>
      </c>
      <c r="B2474" t="inlineStr">
        <is>
          <t>A</t>
        </is>
      </c>
      <c r="C2474" t="inlineStr">
        <is>
          <t>Hallucination Risk (Pers. 18)</t>
        </is>
      </c>
      <c r="D2474" s="3" t="inlineStr">
        <is>
          <t>Risk = 0,65×(1-F) + 0,20×Contradiction + 0,15×Uncertainty</t>
        </is>
      </c>
      <c r="E2474" s="3" t="inlineStr">
        <is>
          <t>Risk = 0,65×OutOfContext + 0,20×Contradiction + 0,15×Uncertainty = 0,65×0.2318 + 0,20×0.0000 + 0,15×0.20 = 0.1807 [RENDAH]</t>
        </is>
      </c>
      <c r="F2474" t="n">
        <v>0.1807</v>
      </c>
      <c r="G2474" s="3" t="inlineStr">
        <is>
          <t>label: RENDAH; kontradiksi 0/12 kalimat; uncertainty flag: True</t>
        </is>
      </c>
    </row>
    <row r="2475">
      <c r="A2475" t="n">
        <v>168</v>
      </c>
      <c r="B2475" t="inlineStr">
        <is>
          <t>A</t>
        </is>
      </c>
      <c r="C2475" t="inlineStr">
        <is>
          <t>Answer Accuracy (Pers. 20)</t>
        </is>
      </c>
      <c r="D2475" s="3" t="inlineStr">
        <is>
          <t>Correctᵢ ∈ {0,1} via LLM-as-Judge (HASIL: BENAR/SALAH)</t>
        </is>
      </c>
      <c r="E2475" s="3" t="inlineStr"/>
      <c r="F2475" t="inlineStr">
        <is>
          <t>BENAR</t>
        </is>
      </c>
      <c r="G2475" s="3" t="inlineStr">
        <is>
          <t>evaluator: ollama/llama3</t>
        </is>
      </c>
    </row>
    <row r="2476">
      <c r="A2476" t="n">
        <v>168</v>
      </c>
      <c r="B2476" t="inlineStr">
        <is>
          <t>B</t>
        </is>
      </c>
      <c r="C2476" t="inlineStr">
        <is>
          <t>Faithfulness (Pers. 15)</t>
        </is>
      </c>
      <c r="D2476" s="3" t="inlineStr">
        <is>
          <t>F = 0,70×Entailment + 0,30×KWoverlap</t>
        </is>
      </c>
      <c r="E2476" s="3" t="inlineStr">
        <is>
          <t>Faithfulness = 0,70×Entailment + 0,30×KWoverlap = 0,70×1.0000 + 0,30×0.2419 = 0.7726  (entailment: 6/6 klaim didukung; KWoverlap = (|∩|/|ctx|)^0,65 = (33/293)^0,65 = 0.1126^0,65 = 0.2419)</t>
        </is>
      </c>
      <c r="F2476" t="n">
        <v>0.7726</v>
      </c>
      <c r="G2476" s="3" t="inlineStr">
        <is>
          <t>metode: llm_entailment + keyword</t>
        </is>
      </c>
    </row>
    <row r="2477">
      <c r="A2477" t="n">
        <v>168</v>
      </c>
      <c r="B2477" t="inlineStr">
        <is>
          <t>B</t>
        </is>
      </c>
      <c r="C2477" t="inlineStr">
        <is>
          <t>— Entailment (Pers. 12-13)</t>
        </is>
      </c>
      <c r="D2477" s="3" t="inlineStr">
        <is>
          <t>Entailment = Σverdict(sᵢ)/m</t>
        </is>
      </c>
      <c r="E2477" s="3" t="inlineStr">
        <is>
          <t>6 klaim YA dari 6 klaim dievaluasi</t>
        </is>
      </c>
      <c r="F2477" t="n">
        <v>1</v>
      </c>
      <c r="G2477" s="3" t="inlineStr">
        <is>
          <t>verdict per klaim: sheet 'Entailment Detail'</t>
        </is>
      </c>
    </row>
    <row r="2478">
      <c r="A2478" t="n">
        <v>168</v>
      </c>
      <c r="B2478" t="inlineStr">
        <is>
          <t>B</t>
        </is>
      </c>
      <c r="C2478" t="inlineStr">
        <is>
          <t>— Keyword Overlap (Pers. 14)</t>
        </is>
      </c>
      <c r="D2478" s="3" t="inlineStr">
        <is>
          <t>KWoverlap = (|Stems(ans)∩Stems(ctx)| / |Stems(ctx)|)^0,65</t>
        </is>
      </c>
      <c r="E2478" s="3" t="inlineStr">
        <is>
          <t>KWoverlap = (|∩|/|ctx|)^0,65 = (33/293)^0,65 = 0.1126^0,65 = 0.2419</t>
        </is>
      </c>
      <c r="F2478" t="n">
        <v>0.2419</v>
      </c>
      <c r="G2478" s="3" t="inlineStr"/>
    </row>
    <row r="2479">
      <c r="A2479" t="n">
        <v>168</v>
      </c>
      <c r="B2479" t="inlineStr">
        <is>
          <t>B</t>
        </is>
      </c>
      <c r="C2479" t="inlineStr">
        <is>
          <t>Hallucination Risk (Pers. 18)</t>
        </is>
      </c>
      <c r="D2479" s="3" t="inlineStr">
        <is>
          <t>Risk = 0,65×(1-F) + 0,20×Contradiction + 0,15×Uncertainty</t>
        </is>
      </c>
      <c r="E2479" s="3" t="inlineStr">
        <is>
          <t>Risk = 0,65×OutOfContext + 0,20×Contradiction + 0,15×Uncertainty = 0,65×0.2274 + 0,20×0.0000 + 0,15×0.00 = 0.1478 [RENDAH]</t>
        </is>
      </c>
      <c r="F2479" t="n">
        <v>0.1478</v>
      </c>
      <c r="G2479" s="3" t="inlineStr">
        <is>
          <t>label: RENDAH; kontradiksi 0/12 kalimat; uncertainty flag: False</t>
        </is>
      </c>
    </row>
    <row r="2480">
      <c r="A2480" t="n">
        <v>168</v>
      </c>
      <c r="B2480" t="inlineStr">
        <is>
          <t>B</t>
        </is>
      </c>
      <c r="C2480" t="inlineStr">
        <is>
          <t>Answer Accuracy (Pers. 20)</t>
        </is>
      </c>
      <c r="D2480" s="3" t="inlineStr">
        <is>
          <t>Correctᵢ ∈ {0,1} via LLM-as-Judge (HASIL: BENAR/SALAH)</t>
        </is>
      </c>
      <c r="E2480" s="3" t="inlineStr">
        <is>
          <t>BENAR
The system answer correctly stated that merge sort is the most efficient algorithm for this case, where the data is already sorted in descending order and needs to be sorted in ascending order. The reason given was also correct, as merge sort can take advantage of the partially organized structure of the data.
Additionally, the comparison with other algorithms (bubble sort and selection so</t>
        </is>
      </c>
      <c r="F2480" t="inlineStr">
        <is>
          <t>BENAR</t>
        </is>
      </c>
      <c r="G2480" s="3" t="inlineStr">
        <is>
          <t>evaluator: ollama/llama3</t>
        </is>
      </c>
    </row>
    <row r="2481">
      <c r="A2481" t="n">
        <v>169</v>
      </c>
      <c r="B2481" t="inlineStr">
        <is>
          <t>A</t>
        </is>
      </c>
      <c r="C2481" t="inlineStr">
        <is>
          <t>Precision@K (Pers. 2)</t>
        </is>
      </c>
      <c r="D2481" s="3" t="inlineStr">
        <is>
          <t>Precision@K = |{d ∈ TopK : sim(q,d) ≥ θ}| / K</t>
        </is>
      </c>
      <c r="E2481" s="3" t="inlineStr">
        <is>
          <t>skor = [0.7857, 0.7353, 0.7241, 0.7213, 0.7139, 0.7129] → 6 / 6</t>
        </is>
      </c>
      <c r="F2481" t="n">
        <v>1</v>
      </c>
      <c r="G2481" s="3" t="inlineStr">
        <is>
          <t>basis: skor chunk nyata (sesuai contoh Pers. 2 skripsi)</t>
        </is>
      </c>
    </row>
    <row r="2482">
      <c r="A2482" t="n">
        <v>169</v>
      </c>
      <c r="B2482" t="inlineStr">
        <is>
          <t>A</t>
        </is>
      </c>
      <c r="C2482" t="inlineStr">
        <is>
          <t>Recall@K (Pers. 4)</t>
        </is>
      </c>
      <c r="D2482" s="3" t="inlineStr">
        <is>
          <t>Recall@K = |{kata kunci ditemukan : sim ≥ θ}| / |R|</t>
        </is>
      </c>
      <c r="E2482" s="3" t="inlineStr">
        <is>
          <t>skor = [0.7145, 0.5969, 0.5844, 0.5596, 0.4946, 0.4407] → 6 / 7</t>
        </is>
      </c>
      <c r="F2482" t="n">
        <v>0.8571</v>
      </c>
      <c r="G2482" s="3" t="inlineStr"/>
    </row>
    <row r="2483">
      <c r="A2483" t="n">
        <v>169</v>
      </c>
      <c r="B2483" t="inlineStr">
        <is>
          <t>A</t>
        </is>
      </c>
      <c r="C2483" t="inlineStr">
        <is>
          <t>Mean Similarity (Pers. 6)</t>
        </is>
      </c>
      <c r="D2483" s="3" t="inlineStr">
        <is>
          <t>MeanSim = (1/K) × Σ sim(q, dᵢ)</t>
        </is>
      </c>
      <c r="E2483" s="3" t="inlineStr">
        <is>
          <t>skor = [0.7857, 0.7353, 0.7241, 0.7213, 0.7139, 0.7129] → (0.7857 + 0.7353 + 0.7241 + 0.7213 + 0.7139 + 0.7129) / 6</t>
        </is>
      </c>
      <c r="F2483" t="n">
        <v>0.7322</v>
      </c>
      <c r="G2483" s="3" t="inlineStr"/>
    </row>
    <row r="2484">
      <c r="A2484" t="n">
        <v>169</v>
      </c>
      <c r="B2484" t="inlineStr">
        <is>
          <t>A</t>
        </is>
      </c>
      <c r="C2484" t="inlineStr">
        <is>
          <t>Coverage (Pers. 8)</t>
        </is>
      </c>
      <c r="D2484" s="3" t="inlineStr">
        <is>
          <t>Coverage = |{dᵢ ∈ TopK : sim(q,dᵢ) ≥ θc}| / K</t>
        </is>
      </c>
      <c r="E2484" s="3" t="inlineStr">
        <is>
          <t>skor = [0.7857, 0.7353, 0.7241, 0.7213, 0.7139, 0.7129] → 6 / 6</t>
        </is>
      </c>
      <c r="F2484" t="n">
        <v>1</v>
      </c>
      <c r="G2484" s="3" t="inlineStr"/>
    </row>
    <row r="2485">
      <c r="A2485" t="n">
        <v>169</v>
      </c>
      <c r="B2485" t="inlineStr">
        <is>
          <t>A</t>
        </is>
      </c>
      <c r="C2485" t="inlineStr">
        <is>
          <t>Source Diversity (Pers. 10)</t>
        </is>
      </c>
      <c r="D2485" s="3" t="inlineStr">
        <is>
          <t>Diversity = |sumber unik dalam TopK| / K</t>
        </is>
      </c>
      <c r="E2485" s="3" t="inlineStr">
        <is>
          <t>skor = ['GT_SUBTOPIK_05_Pseudocode_Algoritme.txt', 'GT_SUBTOPIK_11_Rekursi.txt', 'GT_SUBTOPIK_14_Kompleksitas_BigO.txt'] → 3 / 6</t>
        </is>
      </c>
      <c r="F2485" t="n">
        <v>0.5</v>
      </c>
      <c r="G2485" s="3" t="inlineStr">
        <is>
          <t>file unik: GT_SUBTOPIK_05_Pseudocode_Algoritme.txt, GT_SUBTOPIK_11_Rekursi.txt, GT_SUBTOPIK_14_Kompleksitas_BigO.txt</t>
        </is>
      </c>
    </row>
    <row r="2486">
      <c r="A2486" t="n">
        <v>169</v>
      </c>
      <c r="B2486" t="inlineStr">
        <is>
          <t>A</t>
        </is>
      </c>
      <c r="C2486" t="inlineStr">
        <is>
          <t>Faithfulness (Pers. 15)</t>
        </is>
      </c>
      <c r="D2486" s="3" t="inlineStr">
        <is>
          <t>F = 0,70×Entailment + 0,30×KWoverlap</t>
        </is>
      </c>
      <c r="E2486" s="3" t="inlineStr">
        <is>
          <t>Faithfulness = 0,70×Entailment + 0,30×KWoverlap = 0,70×0.8333 + 0,30×0.2579 = 0.6607  (entailment: 5/6 klaim didukung; KWoverlap = (|∩|/|ctx|)^0,65 = (23/185)^0,65 = 0.1243^0,65 = 0.2579)</t>
        </is>
      </c>
      <c r="F2486" t="n">
        <v>0.6607</v>
      </c>
      <c r="G2486" s="3" t="inlineStr">
        <is>
          <t>metode: llm_entailment + keyword</t>
        </is>
      </c>
    </row>
    <row r="2487">
      <c r="A2487" t="n">
        <v>169</v>
      </c>
      <c r="B2487" t="inlineStr">
        <is>
          <t>A</t>
        </is>
      </c>
      <c r="C2487" t="inlineStr">
        <is>
          <t>— Entailment (Pers. 12-13)</t>
        </is>
      </c>
      <c r="D2487" s="3" t="inlineStr">
        <is>
          <t>Entailment = Σverdict(sᵢ)/m</t>
        </is>
      </c>
      <c r="E2487" s="3" t="inlineStr">
        <is>
          <t>5 klaim YA dari 6 klaim dievaluasi</t>
        </is>
      </c>
      <c r="F2487" t="n">
        <v>0.8333</v>
      </c>
      <c r="G2487" s="3" t="inlineStr">
        <is>
          <t>verdict per klaim: sheet 'Entailment Detail'</t>
        </is>
      </c>
    </row>
    <row r="2488">
      <c r="A2488" t="n">
        <v>169</v>
      </c>
      <c r="B2488" t="inlineStr">
        <is>
          <t>A</t>
        </is>
      </c>
      <c r="C2488" t="inlineStr">
        <is>
          <t>— Keyword Overlap (Pers. 14)</t>
        </is>
      </c>
      <c r="D2488" s="3" t="inlineStr">
        <is>
          <t>KWoverlap = (|Stems(ans)∩Stems(ctx)| / |Stems(ctx)|)^0,65</t>
        </is>
      </c>
      <c r="E2488" s="3" t="inlineStr">
        <is>
          <t>KWoverlap = (|∩|/|ctx|)^0,65 = (23/185)^0,65 = 0.1243^0,65 = 0.2579</t>
        </is>
      </c>
      <c r="F2488" t="n">
        <v>0.2579</v>
      </c>
      <c r="G2488" s="3" t="inlineStr"/>
    </row>
    <row r="2489">
      <c r="A2489" t="n">
        <v>169</v>
      </c>
      <c r="B2489" t="inlineStr">
        <is>
          <t>A</t>
        </is>
      </c>
      <c r="C2489" t="inlineStr">
        <is>
          <t>Hallucination Risk (Pers. 18)</t>
        </is>
      </c>
      <c r="D2489" s="3" t="inlineStr">
        <is>
          <t>Risk = 0,65×(1-F) + 0,20×Contradiction + 0,15×Uncertainty</t>
        </is>
      </c>
      <c r="E2489" s="3" t="inlineStr">
        <is>
          <t>Risk = 0,65×OutOfContext + 0,20×Contradiction + 0,15×Uncertainty = 0,65×0.3393 + 0,20×0.0000 + 0,15×0.00 = 0.2205 [RENDAH]</t>
        </is>
      </c>
      <c r="F2489" t="n">
        <v>0.2205</v>
      </c>
      <c r="G2489" s="3" t="inlineStr">
        <is>
          <t>label: RENDAH; kontradiksi 0/12 kalimat; uncertainty flag: False</t>
        </is>
      </c>
    </row>
    <row r="2490">
      <c r="A2490" t="n">
        <v>169</v>
      </c>
      <c r="B2490" t="inlineStr">
        <is>
          <t>A</t>
        </is>
      </c>
      <c r="C2490" t="inlineStr">
        <is>
          <t>Answer Accuracy (Pers. 20)</t>
        </is>
      </c>
      <c r="D2490" s="3" t="inlineStr">
        <is>
          <t>Correctᵢ ∈ {0,1} via LLM-as-Judge (HASIL: BENAR/SALAH)</t>
        </is>
      </c>
      <c r="E2490" s="3" t="inlineStr">
        <is>
          <t xml:space="preserve">Jawaban: 
Rationale:
The system correctly answered that the binary search would be very fast, given the complexity of O(log n). The reference material provided shows that for a large array with 10 million elements (n = 1,000,000), the binary search would take approximately 0.01 seconds.
Applying this concept to an even larger array with 10,000,000 elements (n = 10,000,000), we can estimate the </t>
        </is>
      </c>
      <c r="F2490" t="inlineStr">
        <is>
          <t>BENAR</t>
        </is>
      </c>
      <c r="G2490" s="3" t="inlineStr">
        <is>
          <t>evaluator: ollama/llama3</t>
        </is>
      </c>
    </row>
    <row r="2491">
      <c r="A2491" t="n">
        <v>169</v>
      </c>
      <c r="B2491" t="inlineStr">
        <is>
          <t>B</t>
        </is>
      </c>
      <c r="C2491" t="inlineStr">
        <is>
          <t>Faithfulness (Pers. 15)</t>
        </is>
      </c>
      <c r="D2491" s="3" t="inlineStr">
        <is>
          <t>F = 0,70×Entailment + 0,30×KWoverlap</t>
        </is>
      </c>
      <c r="E2491" s="3" t="inlineStr">
        <is>
          <t>Faithfulness = 0,70×Entailment + 0,30×KWoverlap = 0,70×0.8333 + 0,30×0.2431 = 0.6562  (entailment: 5/6 klaim didukung; KWoverlap = (|∩|/|ctx|)^0,65 = (21/185)^0,65 = 0.1135^0,65 = 0.2431)</t>
        </is>
      </c>
      <c r="F2491" t="n">
        <v>0.6562</v>
      </c>
      <c r="G2491" s="3" t="inlineStr">
        <is>
          <t>metode: llm_entailment + keyword</t>
        </is>
      </c>
    </row>
    <row r="2492">
      <c r="A2492" t="n">
        <v>169</v>
      </c>
      <c r="B2492" t="inlineStr">
        <is>
          <t>B</t>
        </is>
      </c>
      <c r="C2492" t="inlineStr">
        <is>
          <t>— Entailment (Pers. 12-13)</t>
        </is>
      </c>
      <c r="D2492" s="3" t="inlineStr">
        <is>
          <t>Entailment = Σverdict(sᵢ)/m</t>
        </is>
      </c>
      <c r="E2492" s="3" t="inlineStr">
        <is>
          <t>5 klaim YA dari 6 klaim dievaluasi</t>
        </is>
      </c>
      <c r="F2492" t="n">
        <v>0.8333</v>
      </c>
      <c r="G2492" s="3" t="inlineStr">
        <is>
          <t>verdict per klaim: sheet 'Entailment Detail'</t>
        </is>
      </c>
    </row>
    <row r="2493">
      <c r="A2493" t="n">
        <v>169</v>
      </c>
      <c r="B2493" t="inlineStr">
        <is>
          <t>B</t>
        </is>
      </c>
      <c r="C2493" t="inlineStr">
        <is>
          <t>— Keyword Overlap (Pers. 14)</t>
        </is>
      </c>
      <c r="D2493" s="3" t="inlineStr">
        <is>
          <t>KWoverlap = (|Stems(ans)∩Stems(ctx)| / |Stems(ctx)|)^0,65</t>
        </is>
      </c>
      <c r="E2493" s="3" t="inlineStr">
        <is>
          <t>KWoverlap = (|∩|/|ctx|)^0,65 = (21/185)^0,65 = 0.1135^0,65 = 0.2431</t>
        </is>
      </c>
      <c r="F2493" t="n">
        <v>0.2431</v>
      </c>
      <c r="G2493" s="3" t="inlineStr"/>
    </row>
    <row r="2494">
      <c r="A2494" t="n">
        <v>169</v>
      </c>
      <c r="B2494" t="inlineStr">
        <is>
          <t>B</t>
        </is>
      </c>
      <c r="C2494" t="inlineStr">
        <is>
          <t>Hallucination Risk (Pers. 18)</t>
        </is>
      </c>
      <c r="D2494" s="3" t="inlineStr">
        <is>
          <t>Risk = 0,65×(1-F) + 0,20×Contradiction + 0,15×Uncertainty</t>
        </is>
      </c>
      <c r="E2494" s="3" t="inlineStr">
        <is>
          <t>Risk = 0,65×OutOfContext + 0,20×Contradiction + 0,15×Uncertainty = 0,65×0.3438 + 0,20×0.0000 + 0,15×0.00 = 0.2235 [RENDAH]</t>
        </is>
      </c>
      <c r="F2494" t="n">
        <v>0.2235</v>
      </c>
      <c r="G2494" s="3" t="inlineStr">
        <is>
          <t>label: RENDAH; kontradiksi 0/9 kalimat; uncertainty flag: False</t>
        </is>
      </c>
    </row>
    <row r="2495">
      <c r="A2495" t="n">
        <v>169</v>
      </c>
      <c r="B2495" t="inlineStr">
        <is>
          <t>B</t>
        </is>
      </c>
      <c r="C2495" t="inlineStr">
        <is>
          <t>Answer Accuracy (Pers. 20)</t>
        </is>
      </c>
      <c r="D2495" s="3" t="inlineStr">
        <is>
          <t>Correctᵢ ∈ {0,1} via LLM-as-Judge (HASIL: BENAR/SALAH)</t>
        </is>
      </c>
      <c r="E2495" s="3" t="inlineStr">
        <is>
          <t>BENAR</t>
        </is>
      </c>
      <c r="F2495" t="inlineStr">
        <is>
          <t>BENAR</t>
        </is>
      </c>
      <c r="G2495" s="3" t="inlineStr">
        <is>
          <t>evaluator: ollama/llama3</t>
        </is>
      </c>
    </row>
    <row r="2496">
      <c r="A2496" t="n">
        <v>170</v>
      </c>
      <c r="B2496" t="inlineStr">
        <is>
          <t>A</t>
        </is>
      </c>
      <c r="C2496" t="inlineStr">
        <is>
          <t>Precision@K (Pers. 2)</t>
        </is>
      </c>
      <c r="D2496" s="3" t="inlineStr">
        <is>
          <t>Precision@K = |{d ∈ TopK : sim(q,d) ≥ θ}| / K</t>
        </is>
      </c>
      <c r="E2496" s="3" t="inlineStr">
        <is>
          <t>skor = [0.8076, 0.8015, 0.8014, 0.7944, 0.7933, 0.7916] → 6 / 6</t>
        </is>
      </c>
      <c r="F2496" t="n">
        <v>1</v>
      </c>
      <c r="G2496" s="3" t="inlineStr">
        <is>
          <t>basis: skor chunk nyata (sesuai contoh Pers. 2 skripsi)</t>
        </is>
      </c>
    </row>
    <row r="2497">
      <c r="A2497" t="n">
        <v>170</v>
      </c>
      <c r="B2497" t="inlineStr">
        <is>
          <t>A</t>
        </is>
      </c>
      <c r="C2497" t="inlineStr">
        <is>
          <t>Recall@K (Pers. 4)</t>
        </is>
      </c>
      <c r="D2497" s="3" t="inlineStr">
        <is>
          <t>Recall@K = |{kata kunci ditemukan : sim ≥ θ}| / |R|</t>
        </is>
      </c>
      <c r="E2497" s="3" t="inlineStr">
        <is>
          <t>skor = [0.6955, 0.5983, 0.5298, 0.4924, 0.4867, 0.456] → 6 / 7</t>
        </is>
      </c>
      <c r="F2497" t="n">
        <v>0.8571</v>
      </c>
      <c r="G2497" s="3" t="inlineStr"/>
    </row>
    <row r="2498">
      <c r="A2498" t="n">
        <v>170</v>
      </c>
      <c r="B2498" t="inlineStr">
        <is>
          <t>A</t>
        </is>
      </c>
      <c r="C2498" t="inlineStr">
        <is>
          <t>Mean Similarity (Pers. 6)</t>
        </is>
      </c>
      <c r="D2498" s="3" t="inlineStr">
        <is>
          <t>MeanSim = (1/K) × Σ sim(q, dᵢ)</t>
        </is>
      </c>
      <c r="E2498" s="3" t="inlineStr">
        <is>
          <t>skor = [0.8076, 0.8015, 0.8014, 0.7944, 0.7933, 0.7916] → (0.8076 + 0.8015 + 0.8014 + 0.7944 + 0.7933 + 0.7916) / 6</t>
        </is>
      </c>
      <c r="F2498" t="n">
        <v>0.7983</v>
      </c>
      <c r="G2498" s="3" t="inlineStr"/>
    </row>
    <row r="2499">
      <c r="A2499" t="n">
        <v>170</v>
      </c>
      <c r="B2499" t="inlineStr">
        <is>
          <t>A</t>
        </is>
      </c>
      <c r="C2499" t="inlineStr">
        <is>
          <t>Coverage (Pers. 8)</t>
        </is>
      </c>
      <c r="D2499" s="3" t="inlineStr">
        <is>
          <t>Coverage = |{dᵢ ∈ TopK : sim(q,dᵢ) ≥ θc}| / K</t>
        </is>
      </c>
      <c r="E2499" s="3" t="inlineStr">
        <is>
          <t>skor = [0.8076, 0.8015, 0.8014, 0.7944, 0.7933, 0.7916] → 6 / 6</t>
        </is>
      </c>
      <c r="F2499" t="n">
        <v>1</v>
      </c>
      <c r="G2499" s="3" t="inlineStr"/>
    </row>
    <row r="2500">
      <c r="A2500" t="n">
        <v>170</v>
      </c>
      <c r="B2500" t="inlineStr">
        <is>
          <t>A</t>
        </is>
      </c>
      <c r="C2500" t="inlineStr">
        <is>
          <t>Source Diversity (Pers. 10)</t>
        </is>
      </c>
      <c r="D2500" s="3" t="inlineStr">
        <is>
          <t>Diversity = |sumber unik dalam TopK| / K</t>
        </is>
      </c>
      <c r="E2500" s="3" t="inlineStr">
        <is>
          <t>skor = ['GT_CT07.txt', 'GT_DETAIL_PT07_Notasi_Algoritme.txt', 'GT_DETAIL_PT10_Percabangan.txt', 'GT_SUBTOPIK_04_Modulo_Siklus.txt', 'GT_SUBTOPIK_05_Pseudocode_Algoritme.txt', 'GT_SUBTOPIK_08_Perulangan_For_While.txt'] → 6 / 6</t>
        </is>
      </c>
      <c r="F2500" t="n">
        <v>1</v>
      </c>
      <c r="G2500" s="3" t="inlineStr">
        <is>
          <t>file unik: GT_CT07.txt, GT_DETAIL_PT07_Notasi_Algoritme.txt, GT_DETAIL_PT10_Percabangan.txt, GT_SUBTOPIK_04_Modulo_Siklus.txt, GT_SUBTOPIK_05_Pseudocode_Algoritme.txt, GT_SUBTOPIK_08_Perulangan_For_While.txt</t>
        </is>
      </c>
    </row>
    <row r="2501">
      <c r="A2501" t="n">
        <v>170</v>
      </c>
      <c r="B2501" t="inlineStr">
        <is>
          <t>A</t>
        </is>
      </c>
      <c r="C2501" t="inlineStr">
        <is>
          <t>Faithfulness (Pers. 15)</t>
        </is>
      </c>
      <c r="D2501" s="3" t="inlineStr">
        <is>
          <t>F = 0,70×Entailment + 0,30×KWoverlap</t>
        </is>
      </c>
      <c r="E2501" s="3" t="inlineStr">
        <is>
          <t>Faithfulness = 0,70×Entailment + 0,30×KWoverlap = 0,70×0.6667 + 0,30×0.3055 = 0.5583  (entailment: 4/6 klaim didukung; KWoverlap = (|∩|/|ctx|)^0,65 = (30/186)^0,65 = 0.1613^0,65 = 0.3055)</t>
        </is>
      </c>
      <c r="F2501" t="n">
        <v>0.5583</v>
      </c>
      <c r="G2501" s="3" t="inlineStr">
        <is>
          <t>metode: llm_entailment + keyword</t>
        </is>
      </c>
    </row>
    <row r="2502">
      <c r="A2502" t="n">
        <v>170</v>
      </c>
      <c r="B2502" t="inlineStr">
        <is>
          <t>A</t>
        </is>
      </c>
      <c r="C2502" t="inlineStr">
        <is>
          <t>— Entailment (Pers. 12-13)</t>
        </is>
      </c>
      <c r="D2502" s="3" t="inlineStr">
        <is>
          <t>Entailment = Σverdict(sᵢ)/m</t>
        </is>
      </c>
      <c r="E2502" s="3" t="inlineStr">
        <is>
          <t>4 klaim YA dari 6 klaim dievaluasi</t>
        </is>
      </c>
      <c r="F2502" t="n">
        <v>0.6667</v>
      </c>
      <c r="G2502" s="3" t="inlineStr">
        <is>
          <t>verdict per klaim: sheet 'Entailment Detail'</t>
        </is>
      </c>
    </row>
    <row r="2503">
      <c r="A2503" t="n">
        <v>170</v>
      </c>
      <c r="B2503" t="inlineStr">
        <is>
          <t>A</t>
        </is>
      </c>
      <c r="C2503" t="inlineStr">
        <is>
          <t>— Keyword Overlap (Pers. 14)</t>
        </is>
      </c>
      <c r="D2503" s="3" t="inlineStr">
        <is>
          <t>KWoverlap = (|Stems(ans)∩Stems(ctx)| / |Stems(ctx)|)^0,65</t>
        </is>
      </c>
      <c r="E2503" s="3" t="inlineStr">
        <is>
          <t>KWoverlap = (|∩|/|ctx|)^0,65 = (30/186)^0,65 = 0.1613^0,65 = 0.3055</t>
        </is>
      </c>
      <c r="F2503" t="n">
        <v>0.3055</v>
      </c>
      <c r="G2503" s="3" t="inlineStr"/>
    </row>
    <row r="2504">
      <c r="A2504" t="n">
        <v>170</v>
      </c>
      <c r="B2504" t="inlineStr">
        <is>
          <t>A</t>
        </is>
      </c>
      <c r="C2504" t="inlineStr">
        <is>
          <t>Hallucination Risk (Pers. 18)</t>
        </is>
      </c>
      <c r="D2504" s="3" t="inlineStr">
        <is>
          <t>Risk = 0,65×(1-F) + 0,20×Contradiction + 0,15×Uncertainty</t>
        </is>
      </c>
      <c r="E2504" s="3" t="inlineStr">
        <is>
          <t>Risk = 0,65×OutOfContext + 0,20×Contradiction + 0,15×Uncertainty = 0,65×0.4417 + 0,20×0.0000 + 0,15×0.00 = 0.2871 [RENDAH]</t>
        </is>
      </c>
      <c r="F2504" t="n">
        <v>0.2871</v>
      </c>
      <c r="G2504" s="3" t="inlineStr">
        <is>
          <t>label: RENDAH; kontradiksi 0/28 kalimat; uncertainty flag: False</t>
        </is>
      </c>
    </row>
    <row r="2505">
      <c r="A2505" t="n">
        <v>170</v>
      </c>
      <c r="B2505" t="inlineStr">
        <is>
          <t>A</t>
        </is>
      </c>
      <c r="C2505" t="inlineStr">
        <is>
          <t>Answer Accuracy (Pers. 20)</t>
        </is>
      </c>
      <c r="D2505" s="3" t="inlineStr">
        <is>
          <t>Correctᵢ ∈ {0,1} via LLM-as-Judge (HASIL: BENAR/SALAH)</t>
        </is>
      </c>
      <c r="E2505" s="3" t="inlineStr">
        <is>
          <t>Berikut jawaban sistem tentang apakah jawaban sistem sudah menjawab pertanyaan dengan benar berdasarkan referensi:
Jawaban sistem: Dalam soal ini, Anda diminta untuk membuat pseudocode untuk mengecek apakah sebuah angka adalah 'bilangan Armstrong' (jumlah pangkat digit = angkanya sendiri). Contoh: 153 = 1³ + 5³ + 3³.
Pseudocode yang benar dan struktur yang dibutuhkan dapat dilihat sebagai beriku</t>
        </is>
      </c>
      <c r="F2505" t="inlineStr">
        <is>
          <t>BENAR</t>
        </is>
      </c>
      <c r="G2505" s="3" t="inlineStr">
        <is>
          <t>evaluator: ollama/llama3</t>
        </is>
      </c>
    </row>
    <row r="2506">
      <c r="A2506" t="n">
        <v>170</v>
      </c>
      <c r="B2506" t="inlineStr">
        <is>
          <t>B</t>
        </is>
      </c>
      <c r="C2506" t="inlineStr">
        <is>
          <t>Faithfulness (Pers. 15)</t>
        </is>
      </c>
      <c r="D2506" s="3" t="inlineStr">
        <is>
          <t>F = 0,70×Entailment + 0,30×KWoverlap</t>
        </is>
      </c>
      <c r="E2506" s="3" t="inlineStr">
        <is>
          <t>Faithfulness = 0,70×Entailment + 0,30×KWoverlap = 0,70×0.6667 + 0,30×0.2988 = 0.5563  (entailment: 4/6 klaim didukung; KWoverlap = (|∩|/|ctx|)^0,65 = (29/186)^0,65 = 0.1559^0,65 = 0.2988)</t>
        </is>
      </c>
      <c r="F2506" t="n">
        <v>0.5563</v>
      </c>
      <c r="G2506" s="3" t="inlineStr">
        <is>
          <t>metode: llm_entailment + keyword</t>
        </is>
      </c>
    </row>
    <row r="2507">
      <c r="A2507" t="n">
        <v>170</v>
      </c>
      <c r="B2507" t="inlineStr">
        <is>
          <t>B</t>
        </is>
      </c>
      <c r="C2507" t="inlineStr">
        <is>
          <t>— Entailment (Pers. 12-13)</t>
        </is>
      </c>
      <c r="D2507" s="3" t="inlineStr">
        <is>
          <t>Entailment = Σverdict(sᵢ)/m</t>
        </is>
      </c>
      <c r="E2507" s="3" t="inlineStr">
        <is>
          <t>4 klaim YA dari 6 klaim dievaluasi</t>
        </is>
      </c>
      <c r="F2507" t="n">
        <v>0.6667</v>
      </c>
      <c r="G2507" s="3" t="inlineStr">
        <is>
          <t>verdict per klaim: sheet 'Entailment Detail'</t>
        </is>
      </c>
    </row>
    <row r="2508">
      <c r="A2508" t="n">
        <v>170</v>
      </c>
      <c r="B2508" t="inlineStr">
        <is>
          <t>B</t>
        </is>
      </c>
      <c r="C2508" t="inlineStr">
        <is>
          <t>— Keyword Overlap (Pers. 14)</t>
        </is>
      </c>
      <c r="D2508" s="3" t="inlineStr">
        <is>
          <t>KWoverlap = (|Stems(ans)∩Stems(ctx)| / |Stems(ctx)|)^0,65</t>
        </is>
      </c>
      <c r="E2508" s="3" t="inlineStr">
        <is>
          <t>KWoverlap = (|∩|/|ctx|)^0,65 = (29/186)^0,65 = 0.1559^0,65 = 0.2988</t>
        </is>
      </c>
      <c r="F2508" t="n">
        <v>0.2988</v>
      </c>
      <c r="G2508" s="3" t="inlineStr"/>
    </row>
    <row r="2509">
      <c r="A2509" t="n">
        <v>170</v>
      </c>
      <c r="B2509" t="inlineStr">
        <is>
          <t>B</t>
        </is>
      </c>
      <c r="C2509" t="inlineStr">
        <is>
          <t>Hallucination Risk (Pers. 18)</t>
        </is>
      </c>
      <c r="D2509" s="3" t="inlineStr">
        <is>
          <t>Risk = 0,65×(1-F) + 0,20×Contradiction + 0,15×Uncertainty</t>
        </is>
      </c>
      <c r="E2509" s="3" t="inlineStr">
        <is>
          <t>Risk = 0,65×OutOfContext + 0,20×Contradiction + 0,15×Uncertainty = 0,65×0.4437 + 0,20×0.0000 + 0,15×0.00 = 0.2884 [RENDAH]</t>
        </is>
      </c>
      <c r="F2509" t="n">
        <v>0.2884</v>
      </c>
      <c r="G2509" s="3" t="inlineStr">
        <is>
          <t>label: RENDAH; kontradiksi 0/41 kalimat; uncertainty flag: False</t>
        </is>
      </c>
    </row>
    <row r="2510">
      <c r="A2510" t="n">
        <v>171</v>
      </c>
      <c r="B2510" t="inlineStr">
        <is>
          <t>A</t>
        </is>
      </c>
      <c r="C2510" t="inlineStr">
        <is>
          <t>Precision@K (Pers. 2)</t>
        </is>
      </c>
      <c r="D2510" s="3" t="inlineStr">
        <is>
          <t>Precision@K = |{d ∈ TopK : sim(q,d) ≥ θ}| / K</t>
        </is>
      </c>
      <c r="E2510" s="3" t="inlineStr">
        <is>
          <t>skor = [0.7426, 0.7393, 0.7368, 0.7363, 0.7346, 0.7332] → 6 / 6</t>
        </is>
      </c>
      <c r="F2510" t="n">
        <v>1</v>
      </c>
      <c r="G2510" s="3" t="inlineStr">
        <is>
          <t>basis: skor chunk nyata (sesuai contoh Pers. 2 skripsi)</t>
        </is>
      </c>
    </row>
    <row r="2511">
      <c r="A2511" t="n">
        <v>171</v>
      </c>
      <c r="B2511" t="inlineStr">
        <is>
          <t>A</t>
        </is>
      </c>
      <c r="C2511" t="inlineStr">
        <is>
          <t>Recall@K (Pers. 4)</t>
        </is>
      </c>
      <c r="D2511" s="3" t="inlineStr">
        <is>
          <t>Recall@K = |{kata kunci ditemukan : sim ≥ θ}| / |R|</t>
        </is>
      </c>
      <c r="E2511" s="3" t="inlineStr">
        <is>
          <t>skor = [0.6485, 0.6077, 0.6001, 0.509, 0.4858, 0.4189] → 6 / 7</t>
        </is>
      </c>
      <c r="F2511" t="n">
        <v>0.8571</v>
      </c>
      <c r="G2511" s="3" t="inlineStr"/>
    </row>
    <row r="2512">
      <c r="A2512" t="n">
        <v>171</v>
      </c>
      <c r="B2512" t="inlineStr">
        <is>
          <t>A</t>
        </is>
      </c>
      <c r="C2512" t="inlineStr">
        <is>
          <t>Mean Similarity (Pers. 6)</t>
        </is>
      </c>
      <c r="D2512" s="3" t="inlineStr">
        <is>
          <t>MeanSim = (1/K) × Σ sim(q, dᵢ)</t>
        </is>
      </c>
      <c r="E2512" s="3" t="inlineStr">
        <is>
          <t>skor = [0.7426, 0.7393, 0.7368, 0.7363, 0.7346, 0.7332] → (0.7426 + 0.7393 + 0.7368 + 0.7363 + 0.7346 + 0.7332) / 6</t>
        </is>
      </c>
      <c r="F2512" t="n">
        <v>0.7371</v>
      </c>
      <c r="G2512" s="3" t="inlineStr"/>
    </row>
    <row r="2513">
      <c r="A2513" t="n">
        <v>171</v>
      </c>
      <c r="B2513" t="inlineStr">
        <is>
          <t>A</t>
        </is>
      </c>
      <c r="C2513" t="inlineStr">
        <is>
          <t>Coverage (Pers. 8)</t>
        </is>
      </c>
      <c r="D2513" s="3" t="inlineStr">
        <is>
          <t>Coverage = |{dᵢ ∈ TopK : sim(q,dᵢ) ≥ θc}| / K</t>
        </is>
      </c>
      <c r="E2513" s="3" t="inlineStr">
        <is>
          <t>skor = [0.7426, 0.7393, 0.7368, 0.7363, 0.7346, 0.7332] → 6 / 6</t>
        </is>
      </c>
      <c r="F2513" t="n">
        <v>1</v>
      </c>
      <c r="G2513" s="3" t="inlineStr"/>
    </row>
    <row r="2514">
      <c r="A2514" t="n">
        <v>171</v>
      </c>
      <c r="B2514" t="inlineStr">
        <is>
          <t>A</t>
        </is>
      </c>
      <c r="C2514" t="inlineStr">
        <is>
          <t>Source Diversity (Pers. 10)</t>
        </is>
      </c>
      <c r="D2514" s="3" t="inlineStr">
        <is>
          <t>Diversity = |sumber unik dalam TopK| / K</t>
        </is>
      </c>
      <c r="E2514" s="3" t="inlineStr">
        <is>
          <t>skor = ['GT_CT01.txt', 'GT_DETAIL_PT07_Notasi_Algoritme.txt', 'GT_DETAIL_PT10_Percabangan.txt', 'GT_DETAIL_PT11_Perulangan.txt', 'GT_SUBTOPIK_14_Kompleksitas_BigO.txt'] → 5 / 6</t>
        </is>
      </c>
      <c r="F2514" t="n">
        <v>0.8333</v>
      </c>
      <c r="G2514" s="3" t="inlineStr">
        <is>
          <t>file unik: GT_CT01.txt, GT_DETAIL_PT07_Notasi_Algoritme.txt, GT_DETAIL_PT10_Percabangan.txt, GT_DETAIL_PT11_Perulangan.txt, GT_SUBTOPIK_14_Kompleksitas_BigO.txt</t>
        </is>
      </c>
    </row>
    <row r="2515">
      <c r="A2515" t="n">
        <v>171</v>
      </c>
      <c r="B2515" t="inlineStr">
        <is>
          <t>A</t>
        </is>
      </c>
      <c r="C2515" t="inlineStr">
        <is>
          <t>Faithfulness (Pers. 15)</t>
        </is>
      </c>
      <c r="D2515" s="3" t="inlineStr">
        <is>
          <t>F = 0,70×Entailment + 0,30×KWoverlap</t>
        </is>
      </c>
      <c r="E2515" s="3" t="inlineStr">
        <is>
          <t>Faithfulness = 0,70×Entailment + 0,30×KWoverlap = 0,70×0.5000 + 0,30×0.2991 = 0.4397  (entailment: 3/6 klaim didukung; KWoverlap = (|∩|/|ctx|)^0,65 = (37/237)^0,65 = 0.1561^0,65 = 0.2991)</t>
        </is>
      </c>
      <c r="F2515" t="n">
        <v>0.4397</v>
      </c>
      <c r="G2515" s="3" t="inlineStr">
        <is>
          <t>metode: llm_entailment + keyword</t>
        </is>
      </c>
    </row>
    <row r="2516">
      <c r="A2516" t="n">
        <v>171</v>
      </c>
      <c r="B2516" t="inlineStr">
        <is>
          <t>A</t>
        </is>
      </c>
      <c r="C2516" t="inlineStr">
        <is>
          <t>— Entailment (Pers. 12-13)</t>
        </is>
      </c>
      <c r="D2516" s="3" t="inlineStr">
        <is>
          <t>Entailment = Σverdict(sᵢ)/m</t>
        </is>
      </c>
      <c r="E2516" s="3" t="inlineStr">
        <is>
          <t>3 klaim YA dari 6 klaim dievaluasi</t>
        </is>
      </c>
      <c r="F2516" t="n">
        <v>0.5</v>
      </c>
      <c r="G2516" s="3" t="inlineStr">
        <is>
          <t>verdict per klaim: sheet 'Entailment Detail'</t>
        </is>
      </c>
    </row>
    <row r="2517">
      <c r="A2517" t="n">
        <v>171</v>
      </c>
      <c r="B2517" t="inlineStr">
        <is>
          <t>A</t>
        </is>
      </c>
      <c r="C2517" t="inlineStr">
        <is>
          <t>— Keyword Overlap (Pers. 14)</t>
        </is>
      </c>
      <c r="D2517" s="3" t="inlineStr">
        <is>
          <t>KWoverlap = (|Stems(ans)∩Stems(ctx)| / |Stems(ctx)|)^0,65</t>
        </is>
      </c>
      <c r="E2517" s="3" t="inlineStr">
        <is>
          <t>KWoverlap = (|∩|/|ctx|)^0,65 = (37/237)^0,65 = 0.1561^0,65 = 0.2991</t>
        </is>
      </c>
      <c r="F2517" t="n">
        <v>0.2991</v>
      </c>
      <c r="G2517" s="3" t="inlineStr"/>
    </row>
    <row r="2518">
      <c r="A2518" t="n">
        <v>171</v>
      </c>
      <c r="B2518" t="inlineStr">
        <is>
          <t>A</t>
        </is>
      </c>
      <c r="C2518" t="inlineStr">
        <is>
          <t>Hallucination Risk (Pers. 18)</t>
        </is>
      </c>
      <c r="D2518" s="3" t="inlineStr">
        <is>
          <t>Risk = 0,65×(1-F) + 0,20×Contradiction + 0,15×Uncertainty</t>
        </is>
      </c>
      <c r="E2518" s="3" t="inlineStr">
        <is>
          <t>Risk = 0,65×OutOfContext + 0,20×Contradiction + 0,15×Uncertainty = 0,65×0.5603 + 0,20×0.0000 + 0,15×0.00 = 0.3642 [SEDANG]</t>
        </is>
      </c>
      <c r="F2518" t="n">
        <v>0.3642</v>
      </c>
      <c r="G2518" s="3" t="inlineStr">
        <is>
          <t>label: SEDANG; kontradiksi 0/27 kalimat; uncertainty flag: False</t>
        </is>
      </c>
    </row>
    <row r="2519">
      <c r="A2519" t="n">
        <v>171</v>
      </c>
      <c r="B2519" t="inlineStr">
        <is>
          <t>A</t>
        </is>
      </c>
      <c r="C2519" t="inlineStr">
        <is>
          <t>Answer Accuracy (Pers. 20)</t>
        </is>
      </c>
      <c r="D2519" s="3" t="inlineStr">
        <is>
          <t>Correctᵢ ∈ {0,1} via LLM-as-Judge (HASIL: BENAR/SALAH)</t>
        </is>
      </c>
      <c r="E2519" s="3" t="inlineStr">
        <is>
          <t xml:space="preserve">Jawaban sistem: 
Alasan: Jawaban sistem memang benar karena:
* Algoritme A memiliki kompleksitas O(n) yang efisien untuk mencari nilai maksimum.
* Algoritme B memiliki kompleksitas O(n^2) yang tidak efektif dan berlebihan.
* Sistem juga menjelaskan bagaimana kedua algoritme dapat diintegrasikan menjadi satu algoritme yang lebih efisien, yaitu menggunakan Algoritme A untuk mencari nilai maksimum </t>
        </is>
      </c>
      <c r="F2519" t="inlineStr">
        <is>
          <t>BENAR</t>
        </is>
      </c>
      <c r="G2519" s="3" t="inlineStr">
        <is>
          <t>evaluator: ollama/llama3</t>
        </is>
      </c>
    </row>
    <row r="2520">
      <c r="A2520" t="n">
        <v>171</v>
      </c>
      <c r="B2520" t="inlineStr">
        <is>
          <t>B</t>
        </is>
      </c>
      <c r="C2520" t="inlineStr">
        <is>
          <t>Faithfulness (Pers. 15)</t>
        </is>
      </c>
      <c r="D2520" s="3" t="inlineStr">
        <is>
          <t>F = 0,70×Entailment + 0,30×KWoverlap</t>
        </is>
      </c>
      <c r="E2520" s="3" t="inlineStr">
        <is>
          <t>Faithfulness = 0,70×Entailment + 0,30×KWoverlap = 0,70×0.1667 + 0,30×0.1438 = 0.1598  (entailment: 1/6 klaim didukung; KWoverlap = (|∩|/|ctx|)^0,65 = (12/237)^0,65 = 0.0506^0,65 = 0.1438)</t>
        </is>
      </c>
      <c r="F2520" t="n">
        <v>0.1598</v>
      </c>
      <c r="G2520" s="3" t="inlineStr">
        <is>
          <t>metode: llm_entailment + keyword</t>
        </is>
      </c>
    </row>
    <row r="2521">
      <c r="A2521" t="n">
        <v>171</v>
      </c>
      <c r="B2521" t="inlineStr">
        <is>
          <t>B</t>
        </is>
      </c>
      <c r="C2521" t="inlineStr">
        <is>
          <t>— Entailment (Pers. 12-13)</t>
        </is>
      </c>
      <c r="D2521" s="3" t="inlineStr">
        <is>
          <t>Entailment = Σverdict(sᵢ)/m</t>
        </is>
      </c>
      <c r="E2521" s="3" t="inlineStr">
        <is>
          <t>1 klaim YA dari 6 klaim dievaluasi</t>
        </is>
      </c>
      <c r="F2521" t="n">
        <v>0.1667</v>
      </c>
      <c r="G2521" s="3" t="inlineStr">
        <is>
          <t>verdict per klaim: sheet 'Entailment Detail'</t>
        </is>
      </c>
    </row>
    <row r="2522">
      <c r="A2522" t="n">
        <v>171</v>
      </c>
      <c r="B2522" t="inlineStr">
        <is>
          <t>B</t>
        </is>
      </c>
      <c r="C2522" t="inlineStr">
        <is>
          <t>— Keyword Overlap (Pers. 14)</t>
        </is>
      </c>
      <c r="D2522" s="3" t="inlineStr">
        <is>
          <t>KWoverlap = (|Stems(ans)∩Stems(ctx)| / |Stems(ctx)|)^0,65</t>
        </is>
      </c>
      <c r="E2522" s="3" t="inlineStr">
        <is>
          <t>KWoverlap = (|∩|/|ctx|)^0,65 = (12/237)^0,65 = 0.0506^0,65 = 0.1438</t>
        </is>
      </c>
      <c r="F2522" t="n">
        <v>0.1438</v>
      </c>
      <c r="G2522" s="3" t="inlineStr"/>
    </row>
    <row r="2523">
      <c r="A2523" t="n">
        <v>171</v>
      </c>
      <c r="B2523" t="inlineStr">
        <is>
          <t>B</t>
        </is>
      </c>
      <c r="C2523" t="inlineStr">
        <is>
          <t>Hallucination Risk (Pers. 18)</t>
        </is>
      </c>
      <c r="D2523" s="3" t="inlineStr">
        <is>
          <t>Risk = 0,65×(1-F) + 0,20×Contradiction + 0,15×Uncertainty</t>
        </is>
      </c>
      <c r="E2523" s="3" t="inlineStr">
        <is>
          <t>Risk = 0,65×OutOfContext + 0,20×Contradiction + 0,15×Uncertainty = 0,65×0.8402 + 0,20×0.0000 + 0,15×0.00 = 0.5461 [SEDANG]</t>
        </is>
      </c>
      <c r="F2523" t="n">
        <v>0.5461</v>
      </c>
      <c r="G2523" s="3" t="inlineStr">
        <is>
          <t>label: SEDANG; kontradiksi 0/20 kalimat; uncertainty flag: False</t>
        </is>
      </c>
    </row>
    <row r="2524">
      <c r="A2524" t="n">
        <v>172</v>
      </c>
      <c r="B2524" t="inlineStr">
        <is>
          <t>A</t>
        </is>
      </c>
      <c r="C2524" t="inlineStr">
        <is>
          <t>Precision@K (Pers. 2)</t>
        </is>
      </c>
      <c r="D2524" s="3" t="inlineStr">
        <is>
          <t>Precision@K = |{d ∈ TopK : sim(q,d) ≥ θ}| / K</t>
        </is>
      </c>
      <c r="E2524" s="3" t="inlineStr">
        <is>
          <t>skor = [0.7754, 0.7717, 0.77, 0.7645, 0.7622, 0.7597] → 6 / 6</t>
        </is>
      </c>
      <c r="F2524" t="n">
        <v>1</v>
      </c>
      <c r="G2524" s="3" t="inlineStr">
        <is>
          <t>basis: skor chunk nyata (sesuai contoh Pers. 2 skripsi)</t>
        </is>
      </c>
    </row>
    <row r="2525">
      <c r="A2525" t="n">
        <v>172</v>
      </c>
      <c r="B2525" t="inlineStr">
        <is>
          <t>A</t>
        </is>
      </c>
      <c r="C2525" t="inlineStr">
        <is>
          <t>Recall@K (Pers. 4)</t>
        </is>
      </c>
      <c r="D2525" s="3" t="inlineStr">
        <is>
          <t>Recall@K = |{kata kunci ditemukan : sim ≥ θ}| / |R|</t>
        </is>
      </c>
      <c r="E2525" s="3" t="inlineStr">
        <is>
          <t>skor = [0.5756, 0.5733, 0.5207, 0.5199, 0.5053, 0.4772] → 6 / 7</t>
        </is>
      </c>
      <c r="F2525" t="n">
        <v>0.8571</v>
      </c>
      <c r="G2525" s="3" t="inlineStr"/>
    </row>
    <row r="2526">
      <c r="A2526" t="n">
        <v>172</v>
      </c>
      <c r="B2526" t="inlineStr">
        <is>
          <t>A</t>
        </is>
      </c>
      <c r="C2526" t="inlineStr">
        <is>
          <t>Mean Similarity (Pers. 6)</t>
        </is>
      </c>
      <c r="D2526" s="3" t="inlineStr">
        <is>
          <t>MeanSim = (1/K) × Σ sim(q, dᵢ)</t>
        </is>
      </c>
      <c r="E2526" s="3" t="inlineStr">
        <is>
          <t>skor = [0.7754, 0.7717, 0.77, 0.7645, 0.7622, 0.7597] → (0.7754 + 0.7717 + 0.7700 + 0.7645 + 0.7622 + 0.7597) / 6</t>
        </is>
      </c>
      <c r="F2526" t="n">
        <v>0.7673</v>
      </c>
      <c r="G2526" s="3" t="inlineStr"/>
    </row>
    <row r="2527">
      <c r="A2527" t="n">
        <v>172</v>
      </c>
      <c r="B2527" t="inlineStr">
        <is>
          <t>A</t>
        </is>
      </c>
      <c r="C2527" t="inlineStr">
        <is>
          <t>Coverage (Pers. 8)</t>
        </is>
      </c>
      <c r="D2527" s="3" t="inlineStr">
        <is>
          <t>Coverage = |{dᵢ ∈ TopK : sim(q,dᵢ) ≥ θc}| / K</t>
        </is>
      </c>
      <c r="E2527" s="3" t="inlineStr">
        <is>
          <t>skor = [0.7754, 0.7717, 0.77, 0.7645, 0.7622, 0.7597] → 6 / 6</t>
        </is>
      </c>
      <c r="F2527" t="n">
        <v>1</v>
      </c>
      <c r="G2527" s="3" t="inlineStr"/>
    </row>
    <row r="2528">
      <c r="A2528" t="n">
        <v>172</v>
      </c>
      <c r="B2528" t="inlineStr">
        <is>
          <t>A</t>
        </is>
      </c>
      <c r="C2528" t="inlineStr">
        <is>
          <t>Source Diversity (Pers. 10)</t>
        </is>
      </c>
      <c r="D2528" s="3" t="inlineStr">
        <is>
          <t>Diversity = |sumber unik dalam TopK| / K</t>
        </is>
      </c>
      <c r="E2528" s="3" t="inlineStr">
        <is>
          <t>skor = ['GT_CT01.txt', 'GT_CT07.txt', 'GT_DETAIL_PT04_Abstraksi.txt', 'GT_DETAIL_PT05_Pattern_Recognition.txt', 'GT_DETAIL_PT07_Notasi_Algoritme.txt', 'GT_DETAIL_PT12_Fungsi.txt'] → 6 / 6</t>
        </is>
      </c>
      <c r="F2528" t="n">
        <v>1</v>
      </c>
      <c r="G2528" s="3" t="inlineStr">
        <is>
          <t>file unik: GT_CT01.txt, GT_CT07.txt, GT_DETAIL_PT04_Abstraksi.txt, GT_DETAIL_PT05_Pattern_Recognition.txt, GT_DETAIL_PT07_Notasi_Algoritme.txt, GT_DETAIL_PT12_Fungsi.txt</t>
        </is>
      </c>
    </row>
    <row r="2529">
      <c r="A2529" t="n">
        <v>172</v>
      </c>
      <c r="B2529" t="inlineStr">
        <is>
          <t>A</t>
        </is>
      </c>
      <c r="C2529" t="inlineStr">
        <is>
          <t>Faithfulness (Pers. 15)</t>
        </is>
      </c>
      <c r="D2529" s="3" t="inlineStr">
        <is>
          <t>F = 0,70×Entailment + 0,30×KWoverlap</t>
        </is>
      </c>
      <c r="E2529" s="3" t="inlineStr">
        <is>
          <t>Faithfulness = 0,70×Entailment + 0,30×KWoverlap = 0,70×1.0000 + 0,30×0.2992 = 0.7898  (entailment: 6/6 klaim didukung; KWoverlap = (|∩|/|ctx|)^0,65 = (45/288)^0,65 = 0.1562^0,65 = 0.2992)</t>
        </is>
      </c>
      <c r="F2529" t="n">
        <v>0.7897999999999999</v>
      </c>
      <c r="G2529" s="3" t="inlineStr">
        <is>
          <t>metode: llm_entailment + keyword</t>
        </is>
      </c>
    </row>
    <row r="2530">
      <c r="A2530" t="n">
        <v>172</v>
      </c>
      <c r="B2530" t="inlineStr">
        <is>
          <t>A</t>
        </is>
      </c>
      <c r="C2530" t="inlineStr">
        <is>
          <t>— Entailment (Pers. 12-13)</t>
        </is>
      </c>
      <c r="D2530" s="3" t="inlineStr">
        <is>
          <t>Entailment = Σverdict(sᵢ)/m</t>
        </is>
      </c>
      <c r="E2530" s="3" t="inlineStr">
        <is>
          <t>6 klaim YA dari 6 klaim dievaluasi</t>
        </is>
      </c>
      <c r="F2530" t="n">
        <v>1</v>
      </c>
      <c r="G2530" s="3" t="inlineStr">
        <is>
          <t>verdict per klaim: sheet 'Entailment Detail'</t>
        </is>
      </c>
    </row>
    <row r="2531">
      <c r="A2531" t="n">
        <v>172</v>
      </c>
      <c r="B2531" t="inlineStr">
        <is>
          <t>A</t>
        </is>
      </c>
      <c r="C2531" t="inlineStr">
        <is>
          <t>— Keyword Overlap (Pers. 14)</t>
        </is>
      </c>
      <c r="D2531" s="3" t="inlineStr">
        <is>
          <t>KWoverlap = (|Stems(ans)∩Stems(ctx)| / |Stems(ctx)|)^0,65</t>
        </is>
      </c>
      <c r="E2531" s="3" t="inlineStr">
        <is>
          <t>KWoverlap = (|∩|/|ctx|)^0,65 = (45/288)^0,65 = 0.1562^0,65 = 0.2992</t>
        </is>
      </c>
      <c r="F2531" t="n">
        <v>0.2992</v>
      </c>
      <c r="G2531" s="3" t="inlineStr"/>
    </row>
    <row r="2532">
      <c r="A2532" t="n">
        <v>172</v>
      </c>
      <c r="B2532" t="inlineStr">
        <is>
          <t>A</t>
        </is>
      </c>
      <c r="C2532" t="inlineStr">
        <is>
          <t>Hallucination Risk (Pers. 18)</t>
        </is>
      </c>
      <c r="D2532" s="3" t="inlineStr">
        <is>
          <t>Risk = 0,65×(1-F) + 0,20×Contradiction + 0,15×Uncertainty</t>
        </is>
      </c>
      <c r="E2532" s="3" t="inlineStr">
        <is>
          <t>Risk = 0,65×OutOfContext + 0,20×Contradiction + 0,15×Uncertainty = 0,65×0.2102 + 0,20×0.0000 + 0,15×0.00 = 0.1366 [RENDAH]</t>
        </is>
      </c>
      <c r="F2532" t="n">
        <v>0.1366</v>
      </c>
      <c r="G2532" s="3" t="inlineStr">
        <is>
          <t>label: RENDAH; kontradiksi 0/13 kalimat; uncertainty flag: False</t>
        </is>
      </c>
    </row>
    <row r="2533">
      <c r="A2533" t="n">
        <v>172</v>
      </c>
      <c r="B2533" t="inlineStr">
        <is>
          <t>B</t>
        </is>
      </c>
      <c r="C2533" t="inlineStr">
        <is>
          <t>Faithfulness (Pers. 15)</t>
        </is>
      </c>
      <c r="D2533" s="3" t="inlineStr">
        <is>
          <t>F = 0,70×Entailment + 0,30×KWoverlap</t>
        </is>
      </c>
      <c r="E2533" s="3" t="inlineStr">
        <is>
          <t>Faithfulness = 0,70×Entailment + 0,30×KWoverlap = 0,70×1.0000 + 0,30×0.2198 = 0.7659  (entailment: 6/6 klaim didukung; KWoverlap = (|∩|/|ctx|)^0,65 = (28/288)^0,65 = 0.0972^0,65 = 0.2198)</t>
        </is>
      </c>
      <c r="F2533" t="n">
        <v>0.7659</v>
      </c>
      <c r="G2533" s="3" t="inlineStr">
        <is>
          <t>metode: llm_entailment + keyword</t>
        </is>
      </c>
    </row>
    <row r="2534">
      <c r="A2534" t="n">
        <v>172</v>
      </c>
      <c r="B2534" t="inlineStr">
        <is>
          <t>B</t>
        </is>
      </c>
      <c r="C2534" t="inlineStr">
        <is>
          <t>— Entailment (Pers. 12-13)</t>
        </is>
      </c>
      <c r="D2534" s="3" t="inlineStr">
        <is>
          <t>Entailment = Σverdict(sᵢ)/m</t>
        </is>
      </c>
      <c r="E2534" s="3" t="inlineStr">
        <is>
          <t>6 klaim YA dari 6 klaim dievaluasi</t>
        </is>
      </c>
      <c r="F2534" t="n">
        <v>1</v>
      </c>
      <c r="G2534" s="3" t="inlineStr">
        <is>
          <t>verdict per klaim: sheet 'Entailment Detail'</t>
        </is>
      </c>
    </row>
    <row r="2535">
      <c r="A2535" t="n">
        <v>172</v>
      </c>
      <c r="B2535" t="inlineStr">
        <is>
          <t>B</t>
        </is>
      </c>
      <c r="C2535" t="inlineStr">
        <is>
          <t>— Keyword Overlap (Pers. 14)</t>
        </is>
      </c>
      <c r="D2535" s="3" t="inlineStr">
        <is>
          <t>KWoverlap = (|Stems(ans)∩Stems(ctx)| / |Stems(ctx)|)^0,65</t>
        </is>
      </c>
      <c r="E2535" s="3" t="inlineStr">
        <is>
          <t>KWoverlap = (|∩|/|ctx|)^0,65 = (28/288)^0,65 = 0.0972^0,65 = 0.2198</t>
        </is>
      </c>
      <c r="F2535" t="n">
        <v>0.2198</v>
      </c>
      <c r="G2535" s="3" t="inlineStr"/>
    </row>
    <row r="2536">
      <c r="A2536" t="n">
        <v>172</v>
      </c>
      <c r="B2536" t="inlineStr">
        <is>
          <t>B</t>
        </is>
      </c>
      <c r="C2536" t="inlineStr">
        <is>
          <t>Hallucination Risk (Pers. 18)</t>
        </is>
      </c>
      <c r="D2536" s="3" t="inlineStr">
        <is>
          <t>Risk = 0,65×(1-F) + 0,20×Contradiction + 0,15×Uncertainty</t>
        </is>
      </c>
      <c r="E2536" s="3" t="inlineStr">
        <is>
          <t>Risk = 0,65×OutOfContext + 0,20×Contradiction + 0,15×Uncertainty = 0,65×0.2341 + 0,20×0.0000 + 0,15×0.00 = 0.1522 [RENDAH]</t>
        </is>
      </c>
      <c r="F2536" t="n">
        <v>0.1522</v>
      </c>
      <c r="G2536" s="3" t="inlineStr">
        <is>
          <t>label: RENDAH; kontradiksi 0/47 kalimat; uncertainty flag: False</t>
        </is>
      </c>
    </row>
    <row r="2537">
      <c r="A2537" t="n">
        <v>172</v>
      </c>
      <c r="B2537" t="inlineStr">
        <is>
          <t>B</t>
        </is>
      </c>
      <c r="C2537" t="inlineStr">
        <is>
          <t>Answer Accuracy (Pers. 20)</t>
        </is>
      </c>
      <c r="D2537" s="3" t="inlineStr">
        <is>
          <t>Correctᵢ ∈ {0,1} via LLM-as-Judge (HASIL: BENAR/SALAH)</t>
        </is>
      </c>
      <c r="E2537" s="3" t="inlineStr">
        <is>
          <t>JAWABAN: 
Rationale:
The answer provided by the system is a solution to a problem that seems unrelated to the original question. The problem involves calculating the maximum number of candies that can be collected, which is not relevant to the original question about sorting and calculating median.
The system's answer does not address the original question at all. Therefore, the answer is consi</t>
        </is>
      </c>
      <c r="F2537" t="inlineStr">
        <is>
          <t>SALAH</t>
        </is>
      </c>
      <c r="G2537" s="3" t="inlineStr">
        <is>
          <t>evaluator: ollama/llama3</t>
        </is>
      </c>
    </row>
    <row r="2538">
      <c r="A2538" t="n">
        <v>173</v>
      </c>
      <c r="B2538" t="inlineStr">
        <is>
          <t>A</t>
        </is>
      </c>
      <c r="C2538" t="inlineStr">
        <is>
          <t>Precision@K (Pers. 2)</t>
        </is>
      </c>
      <c r="D2538" s="3" t="inlineStr">
        <is>
          <t>Precision@K = |{d ∈ TopK : sim(q,d) ≥ θ}| / K</t>
        </is>
      </c>
      <c r="E2538" s="3" t="inlineStr">
        <is>
          <t>skor = [0.7985, 0.7861, 0.7763, 0.7757, 0.7583, 0.7568] → 6 / 6</t>
        </is>
      </c>
      <c r="F2538" t="n">
        <v>1</v>
      </c>
      <c r="G2538" s="3" t="inlineStr">
        <is>
          <t>basis: skor chunk nyata (sesuai contoh Pers. 2 skripsi)</t>
        </is>
      </c>
    </row>
    <row r="2539">
      <c r="A2539" t="n">
        <v>173</v>
      </c>
      <c r="B2539" t="inlineStr">
        <is>
          <t>A</t>
        </is>
      </c>
      <c r="C2539" t="inlineStr">
        <is>
          <t>Recall@K (Pers. 4)</t>
        </is>
      </c>
      <c r="D2539" s="3" t="inlineStr">
        <is>
          <t>Recall@K = |{kata kunci ditemukan : sim ≥ θ}| / |R|</t>
        </is>
      </c>
      <c r="E2539" s="3" t="inlineStr">
        <is>
          <t>skor = [0.6421, 0.6189, 0.6146, 0.5908, 0.5573, 0.513] → 6 / 7</t>
        </is>
      </c>
      <c r="F2539" t="n">
        <v>0.8571</v>
      </c>
      <c r="G2539" s="3" t="inlineStr"/>
    </row>
    <row r="2540">
      <c r="A2540" t="n">
        <v>173</v>
      </c>
      <c r="B2540" t="inlineStr">
        <is>
          <t>A</t>
        </is>
      </c>
      <c r="C2540" t="inlineStr">
        <is>
          <t>Mean Similarity (Pers. 6)</t>
        </is>
      </c>
      <c r="D2540" s="3" t="inlineStr">
        <is>
          <t>MeanSim = (1/K) × Σ sim(q, dᵢ)</t>
        </is>
      </c>
      <c r="E2540" s="3" t="inlineStr">
        <is>
          <t>skor = [0.7985, 0.7861, 0.7763, 0.7757, 0.7583, 0.7568] → (0.7985 + 0.7861 + 0.7763 + 0.7757 + 0.7583 + 0.7568) / 6</t>
        </is>
      </c>
      <c r="F2540" t="n">
        <v>0.7753</v>
      </c>
      <c r="G2540" s="3" t="inlineStr"/>
    </row>
    <row r="2541">
      <c r="A2541" t="n">
        <v>173</v>
      </c>
      <c r="B2541" t="inlineStr">
        <is>
          <t>A</t>
        </is>
      </c>
      <c r="C2541" t="inlineStr">
        <is>
          <t>Coverage (Pers. 8)</t>
        </is>
      </c>
      <c r="D2541" s="3" t="inlineStr">
        <is>
          <t>Coverage = |{dᵢ ∈ TopK : sim(q,dᵢ) ≥ θc}| / K</t>
        </is>
      </c>
      <c r="E2541" s="3" t="inlineStr">
        <is>
          <t>skor = [0.7985, 0.7861, 0.7763, 0.7757, 0.7583, 0.7568] → 6 / 6</t>
        </is>
      </c>
      <c r="F2541" t="n">
        <v>1</v>
      </c>
      <c r="G2541" s="3" t="inlineStr"/>
    </row>
    <row r="2542">
      <c r="A2542" t="n">
        <v>173</v>
      </c>
      <c r="B2542" t="inlineStr">
        <is>
          <t>A</t>
        </is>
      </c>
      <c r="C2542" t="inlineStr">
        <is>
          <t>Source Diversity (Pers. 10)</t>
        </is>
      </c>
      <c r="D2542" s="3" t="inlineStr">
        <is>
          <t>Diversity = |sumber unik dalam TopK| / K</t>
        </is>
      </c>
      <c r="E2542" s="3" t="inlineStr">
        <is>
          <t>skor = ['GT_CT13.txt', 'GT_DETAIL_PT13_Struktur_Data.txt'] → 2 / 6</t>
        </is>
      </c>
      <c r="F2542" t="n">
        <v>0.3333</v>
      </c>
      <c r="G2542" s="3" t="inlineStr">
        <is>
          <t>file unik: GT_CT13.txt, GT_DETAIL_PT13_Struktur_Data.txt</t>
        </is>
      </c>
    </row>
    <row r="2543">
      <c r="A2543" t="n">
        <v>173</v>
      </c>
      <c r="B2543" t="inlineStr">
        <is>
          <t>A</t>
        </is>
      </c>
      <c r="C2543" t="inlineStr">
        <is>
          <t>Faithfulness (Pers. 15)</t>
        </is>
      </c>
      <c r="D2543" s="3" t="inlineStr">
        <is>
          <t>F = 0,70×Entailment + 0,30×KWoverlap</t>
        </is>
      </c>
      <c r="E2543" s="3" t="inlineStr">
        <is>
          <t>Faithfulness = 0,70×Entailment + 0,30×KWoverlap = 0,70×0.3333 + 0,30×0.1371 = 0.2744  (entailment: 2/6 klaim didukung; KWoverlap = (|∩|/|ctx|)^0,65 = (11/234)^0,65 = 0.0470^0,65 = 0.1371)</t>
        </is>
      </c>
      <c r="F2543" t="n">
        <v>0.2744</v>
      </c>
      <c r="G2543" s="3" t="inlineStr">
        <is>
          <t>metode: llm_entailment + keyword</t>
        </is>
      </c>
    </row>
    <row r="2544">
      <c r="A2544" t="n">
        <v>173</v>
      </c>
      <c r="B2544" t="inlineStr">
        <is>
          <t>A</t>
        </is>
      </c>
      <c r="C2544" t="inlineStr">
        <is>
          <t>— Entailment (Pers. 12-13)</t>
        </is>
      </c>
      <c r="D2544" s="3" t="inlineStr">
        <is>
          <t>Entailment = Σverdict(sᵢ)/m</t>
        </is>
      </c>
      <c r="E2544" s="3" t="inlineStr">
        <is>
          <t>2 klaim YA dari 6 klaim dievaluasi</t>
        </is>
      </c>
      <c r="F2544" t="n">
        <v>0.3333</v>
      </c>
      <c r="G2544" s="3" t="inlineStr">
        <is>
          <t>verdict per klaim: sheet 'Entailment Detail'</t>
        </is>
      </c>
    </row>
    <row r="2545">
      <c r="A2545" t="n">
        <v>173</v>
      </c>
      <c r="B2545" t="inlineStr">
        <is>
          <t>A</t>
        </is>
      </c>
      <c r="C2545" t="inlineStr">
        <is>
          <t>— Keyword Overlap (Pers. 14)</t>
        </is>
      </c>
      <c r="D2545" s="3" t="inlineStr">
        <is>
          <t>KWoverlap = (|Stems(ans)∩Stems(ctx)| / |Stems(ctx)|)^0,65</t>
        </is>
      </c>
      <c r="E2545" s="3" t="inlineStr">
        <is>
          <t>KWoverlap = (|∩|/|ctx|)^0,65 = (11/234)^0,65 = 0.0470^0,65 = 0.1371</t>
        </is>
      </c>
      <c r="F2545" t="n">
        <v>0.1371</v>
      </c>
      <c r="G2545" s="3" t="inlineStr"/>
    </row>
    <row r="2546">
      <c r="A2546" t="n">
        <v>173</v>
      </c>
      <c r="B2546" t="inlineStr">
        <is>
          <t>A</t>
        </is>
      </c>
      <c r="C2546" t="inlineStr">
        <is>
          <t>Hallucination Risk (Pers. 18)</t>
        </is>
      </c>
      <c r="D2546" s="3" t="inlineStr">
        <is>
          <t>Risk = 0,65×(1-F) + 0,20×Contradiction + 0,15×Uncertainty</t>
        </is>
      </c>
      <c r="E2546" s="3" t="inlineStr">
        <is>
          <t>Risk = 0,65×OutOfContext + 0,20×Contradiction + 0,15×Uncertainty = 0,65×0.7256 + 0,20×0.0000 + 0,15×0.00 = 0.4716 [SEDANG]</t>
        </is>
      </c>
      <c r="F2546" t="n">
        <v>0.4716</v>
      </c>
      <c r="G2546" s="3" t="inlineStr">
        <is>
          <t>label: SEDANG; kontradiksi 0/16 kalimat; uncertainty flag: False</t>
        </is>
      </c>
    </row>
    <row r="2547">
      <c r="A2547" t="n">
        <v>173</v>
      </c>
      <c r="B2547" t="inlineStr">
        <is>
          <t>A</t>
        </is>
      </c>
      <c r="C2547" t="inlineStr">
        <is>
          <t>Answer Accuracy (Pers. 20)</t>
        </is>
      </c>
      <c r="D2547" s="3" t="inlineStr">
        <is>
          <t>Correctᵢ ∈ {0,1} via LLM-as-Judge (HASIL: BENAR/SALAH)</t>
        </is>
      </c>
      <c r="E2547" s="3" t="inlineStr"/>
      <c r="F2547" t="inlineStr">
        <is>
          <t>BENAR</t>
        </is>
      </c>
      <c r="G2547" s="3" t="inlineStr">
        <is>
          <t>evaluator: ollama/llama3</t>
        </is>
      </c>
    </row>
    <row r="2548">
      <c r="A2548" t="n">
        <v>173</v>
      </c>
      <c r="B2548" t="inlineStr">
        <is>
          <t>B</t>
        </is>
      </c>
      <c r="C2548" t="inlineStr">
        <is>
          <t>Faithfulness (Pers. 15)</t>
        </is>
      </c>
      <c r="D2548" s="3" t="inlineStr">
        <is>
          <t>F = 0,70×Entailment + 0,30×KWoverlap</t>
        </is>
      </c>
      <c r="E2548" s="3" t="inlineStr">
        <is>
          <t>Faithfulness = 0,70×Entailment + 0,30×KWoverlap = 0,70×0.8333 + 0,30×0.2151 = 0.6478  (entailment: 5/6 klaim didukung; KWoverlap = (|∩|/|ctx|)^0,65 = (22/234)^0,65 = 0.0940^0,65 = 0.2151)</t>
        </is>
      </c>
      <c r="F2548" t="n">
        <v>0.6478</v>
      </c>
      <c r="G2548" s="3" t="inlineStr">
        <is>
          <t>metode: llm_entailment + keyword</t>
        </is>
      </c>
    </row>
    <row r="2549">
      <c r="A2549" t="n">
        <v>173</v>
      </c>
      <c r="B2549" t="inlineStr">
        <is>
          <t>B</t>
        </is>
      </c>
      <c r="C2549" t="inlineStr">
        <is>
          <t>— Entailment (Pers. 12-13)</t>
        </is>
      </c>
      <c r="D2549" s="3" t="inlineStr">
        <is>
          <t>Entailment = Σverdict(sᵢ)/m</t>
        </is>
      </c>
      <c r="E2549" s="3" t="inlineStr">
        <is>
          <t>5 klaim YA dari 6 klaim dievaluasi</t>
        </is>
      </c>
      <c r="F2549" t="n">
        <v>0.8333</v>
      </c>
      <c r="G2549" s="3" t="inlineStr">
        <is>
          <t>verdict per klaim: sheet 'Entailment Detail'</t>
        </is>
      </c>
    </row>
    <row r="2550">
      <c r="A2550" t="n">
        <v>173</v>
      </c>
      <c r="B2550" t="inlineStr">
        <is>
          <t>B</t>
        </is>
      </c>
      <c r="C2550" t="inlineStr">
        <is>
          <t>— Keyword Overlap (Pers. 14)</t>
        </is>
      </c>
      <c r="D2550" s="3" t="inlineStr">
        <is>
          <t>KWoverlap = (|Stems(ans)∩Stems(ctx)| / |Stems(ctx)|)^0,65</t>
        </is>
      </c>
      <c r="E2550" s="3" t="inlineStr">
        <is>
          <t>KWoverlap = (|∩|/|ctx|)^0,65 = (22/234)^0,65 = 0.0940^0,65 = 0.2151</t>
        </is>
      </c>
      <c r="F2550" t="n">
        <v>0.2151</v>
      </c>
      <c r="G2550" s="3" t="inlineStr"/>
    </row>
    <row r="2551">
      <c r="A2551" t="n">
        <v>173</v>
      </c>
      <c r="B2551" t="inlineStr">
        <is>
          <t>B</t>
        </is>
      </c>
      <c r="C2551" t="inlineStr">
        <is>
          <t>Hallucination Risk (Pers. 18)</t>
        </is>
      </c>
      <c r="D2551" s="3" t="inlineStr">
        <is>
          <t>Risk = 0,65×(1-F) + 0,20×Contradiction + 0,15×Uncertainty</t>
        </is>
      </c>
      <c r="E2551" s="3" t="inlineStr">
        <is>
          <t>Risk = 0,65×OutOfContext + 0,20×Contradiction + 0,15×Uncertainty = 0,65×0.3522 + 0,20×0.0000 + 0,15×0.00 = 0.2289 [RENDAH]</t>
        </is>
      </c>
      <c r="F2551" t="n">
        <v>0.2289</v>
      </c>
      <c r="G2551" s="3" t="inlineStr">
        <is>
          <t>label: RENDAH; kontradiksi 0/9 kalimat; uncertainty flag: False</t>
        </is>
      </c>
    </row>
    <row r="2552">
      <c r="A2552" t="n">
        <v>173</v>
      </c>
      <c r="B2552" t="inlineStr">
        <is>
          <t>B</t>
        </is>
      </c>
      <c r="C2552" t="inlineStr">
        <is>
          <t>Answer Accuracy (Pers. 20)</t>
        </is>
      </c>
      <c r="D2552" s="3" t="inlineStr">
        <is>
          <t>Correctᵢ ∈ {0,1} via LLM-as-Judge (HASIL: BENAR/SALAH)</t>
        </is>
      </c>
      <c r="E2552" s="3" t="inlineStr">
        <is>
          <t>BENAR</t>
        </is>
      </c>
      <c r="F2552" t="inlineStr">
        <is>
          <t>BENAR</t>
        </is>
      </c>
      <c r="G2552" s="3" t="inlineStr">
        <is>
          <t>evaluator: ollama/llama3</t>
        </is>
      </c>
    </row>
    <row r="2553">
      <c r="A2553" t="n">
        <v>174</v>
      </c>
      <c r="B2553" t="inlineStr">
        <is>
          <t>A</t>
        </is>
      </c>
      <c r="C2553" t="inlineStr">
        <is>
          <t>Precision@K (Pers. 2)</t>
        </is>
      </c>
      <c r="D2553" s="3" t="inlineStr">
        <is>
          <t>Precision@K = |{d ∈ TopK : sim(q,d) ≥ θ}| / K</t>
        </is>
      </c>
      <c r="E2553" s="3" t="inlineStr">
        <is>
          <t>skor = [0.7506, 0.7479, 0.7435, 0.7339, 0.7179, 0.7164] → 6 / 6</t>
        </is>
      </c>
      <c r="F2553" t="n">
        <v>1</v>
      </c>
      <c r="G2553" s="3" t="inlineStr">
        <is>
          <t>basis: skor chunk nyata (sesuai contoh Pers. 2 skripsi)</t>
        </is>
      </c>
    </row>
    <row r="2554">
      <c r="A2554" t="n">
        <v>174</v>
      </c>
      <c r="B2554" t="inlineStr">
        <is>
          <t>A</t>
        </is>
      </c>
      <c r="C2554" t="inlineStr">
        <is>
          <t>Recall@K (Pers. 4)</t>
        </is>
      </c>
      <c r="D2554" s="3" t="inlineStr">
        <is>
          <t>Recall@K = |{kata kunci ditemukan : sim ≥ θ}| / |R|</t>
        </is>
      </c>
      <c r="E2554" s="3" t="inlineStr">
        <is>
          <t>skor = [0.6242, 0.5311, 0.5311, 0.4858, 0.4856, 0.4496] → 6 / 7</t>
        </is>
      </c>
      <c r="F2554" t="n">
        <v>0.8571</v>
      </c>
      <c r="G2554" s="3" t="inlineStr"/>
    </row>
    <row r="2555">
      <c r="A2555" t="n">
        <v>174</v>
      </c>
      <c r="B2555" t="inlineStr">
        <is>
          <t>A</t>
        </is>
      </c>
      <c r="C2555" t="inlineStr">
        <is>
          <t>Mean Similarity (Pers. 6)</t>
        </is>
      </c>
      <c r="D2555" s="3" t="inlineStr">
        <is>
          <t>MeanSim = (1/K) × Σ sim(q, dᵢ)</t>
        </is>
      </c>
      <c r="E2555" s="3" t="inlineStr">
        <is>
          <t>skor = [0.7506, 0.7479, 0.7435, 0.7339, 0.7179, 0.7164] → (0.7506 + 0.7479 + 0.7435 + 0.7339 + 0.7179 + 0.7164) / 6</t>
        </is>
      </c>
      <c r="F2555" t="n">
        <v>0.735</v>
      </c>
      <c r="G2555" s="3" t="inlineStr"/>
    </row>
    <row r="2556">
      <c r="A2556" t="n">
        <v>174</v>
      </c>
      <c r="B2556" t="inlineStr">
        <is>
          <t>A</t>
        </is>
      </c>
      <c r="C2556" t="inlineStr">
        <is>
          <t>Coverage (Pers. 8)</t>
        </is>
      </c>
      <c r="D2556" s="3" t="inlineStr">
        <is>
          <t>Coverage = |{dᵢ ∈ TopK : sim(q,dᵢ) ≥ θc}| / K</t>
        </is>
      </c>
      <c r="E2556" s="3" t="inlineStr">
        <is>
          <t>skor = [0.7506, 0.7479, 0.7435, 0.7339, 0.7179, 0.7164] → 6 / 6</t>
        </is>
      </c>
      <c r="F2556" t="n">
        <v>1</v>
      </c>
      <c r="G2556" s="3" t="inlineStr"/>
    </row>
    <row r="2557">
      <c r="A2557" t="n">
        <v>174</v>
      </c>
      <c r="B2557" t="inlineStr">
        <is>
          <t>A</t>
        </is>
      </c>
      <c r="C2557" t="inlineStr">
        <is>
          <t>Source Diversity (Pers. 10)</t>
        </is>
      </c>
      <c r="D2557" s="3" t="inlineStr">
        <is>
          <t>Diversity = |sumber unik dalam TopK| / K</t>
        </is>
      </c>
      <c r="E2557" s="3" t="inlineStr">
        <is>
          <t>skor = ['GT_CT13.txt', 'GT_DETAIL_PT13_Struktur_Data.txt', 'GT_SUBTOPIK_13_Graph_Tree.txt'] → 3 / 6</t>
        </is>
      </c>
      <c r="F2557" t="n">
        <v>0.5</v>
      </c>
      <c r="G2557" s="3" t="inlineStr">
        <is>
          <t>file unik: GT_CT13.txt, GT_DETAIL_PT13_Struktur_Data.txt, GT_SUBTOPIK_13_Graph_Tree.txt</t>
        </is>
      </c>
    </row>
    <row r="2558">
      <c r="A2558" t="n">
        <v>174</v>
      </c>
      <c r="B2558" t="inlineStr">
        <is>
          <t>A</t>
        </is>
      </c>
      <c r="C2558" t="inlineStr">
        <is>
          <t>Faithfulness (Pers. 15)</t>
        </is>
      </c>
      <c r="D2558" s="3" t="inlineStr">
        <is>
          <t>F = 0,70×Entailment + 0,30×KWoverlap</t>
        </is>
      </c>
      <c r="E2558" s="3" t="inlineStr">
        <is>
          <t>Faithfulness = 0,70×Entailment + 0,30×KWoverlap = 0,70×1.0000 + 0,30×0.2575 = 0.7773  (entailment: 6/6 klaim didukung; KWoverlap = (|∩|/|ctx|)^0,65 = (32/258)^0,65 = 0.1240^0,65 = 0.2575)</t>
        </is>
      </c>
      <c r="F2558" t="n">
        <v>0.7773</v>
      </c>
      <c r="G2558" s="3" t="inlineStr">
        <is>
          <t>metode: llm_entailment + keyword</t>
        </is>
      </c>
    </row>
    <row r="2559">
      <c r="A2559" t="n">
        <v>174</v>
      </c>
      <c r="B2559" t="inlineStr">
        <is>
          <t>A</t>
        </is>
      </c>
      <c r="C2559" t="inlineStr">
        <is>
          <t>— Entailment (Pers. 12-13)</t>
        </is>
      </c>
      <c r="D2559" s="3" t="inlineStr">
        <is>
          <t>Entailment = Σverdict(sᵢ)/m</t>
        </is>
      </c>
      <c r="E2559" s="3" t="inlineStr">
        <is>
          <t>6 klaim YA dari 6 klaim dievaluasi</t>
        </is>
      </c>
      <c r="F2559" t="n">
        <v>1</v>
      </c>
      <c r="G2559" s="3" t="inlineStr">
        <is>
          <t>verdict per klaim: sheet 'Entailment Detail'</t>
        </is>
      </c>
    </row>
    <row r="2560">
      <c r="A2560" t="n">
        <v>174</v>
      </c>
      <c r="B2560" t="inlineStr">
        <is>
          <t>A</t>
        </is>
      </c>
      <c r="C2560" t="inlineStr">
        <is>
          <t>— Keyword Overlap (Pers. 14)</t>
        </is>
      </c>
      <c r="D2560" s="3" t="inlineStr">
        <is>
          <t>KWoverlap = (|Stems(ans)∩Stems(ctx)| / |Stems(ctx)|)^0,65</t>
        </is>
      </c>
      <c r="E2560" s="3" t="inlineStr">
        <is>
          <t>KWoverlap = (|∩|/|ctx|)^0,65 = (32/258)^0,65 = 0.1240^0,65 = 0.2575</t>
        </is>
      </c>
      <c r="F2560" t="n">
        <v>0.2575</v>
      </c>
      <c r="G2560" s="3" t="inlineStr"/>
    </row>
    <row r="2561">
      <c r="A2561" t="n">
        <v>174</v>
      </c>
      <c r="B2561" t="inlineStr">
        <is>
          <t>A</t>
        </is>
      </c>
      <c r="C2561" t="inlineStr">
        <is>
          <t>Hallucination Risk (Pers. 18)</t>
        </is>
      </c>
      <c r="D2561" s="3" t="inlineStr">
        <is>
          <t>Risk = 0,65×(1-F) + 0,20×Contradiction + 0,15×Uncertainty</t>
        </is>
      </c>
      <c r="E2561" s="3" t="inlineStr">
        <is>
          <t>Risk = 0,65×OutOfContext + 0,20×Contradiction + 0,15×Uncertainty = 0,65×0.2227 + 0,20×0.0000 + 0,15×0.00 = 0.1448 [RENDAH]</t>
        </is>
      </c>
      <c r="F2561" t="n">
        <v>0.1448</v>
      </c>
      <c r="G2561" s="3" t="inlineStr">
        <is>
          <t>label: RENDAH; kontradiksi 0/11 kalimat; uncertainty flag: False</t>
        </is>
      </c>
    </row>
    <row r="2562">
      <c r="A2562" t="n">
        <v>174</v>
      </c>
      <c r="B2562" t="inlineStr">
        <is>
          <t>A</t>
        </is>
      </c>
      <c r="C2562" t="inlineStr">
        <is>
          <t>Answer Accuracy (Pers. 20)</t>
        </is>
      </c>
      <c r="D2562" s="3" t="inlineStr">
        <is>
          <t>Correctᵢ ∈ {0,1} via LLM-as-Judge (HASIL: BENAR/SALAH)</t>
        </is>
      </c>
      <c r="E2562" s="3" t="inlineStr">
        <is>
          <t>Menurut referensi, graph berarah (Directed Graph) memiliki prinsip Last In First Out (LIFO), yang sesuai dengan istilah teknis "Stack" (Tumpukan piring). Dengan demikian, jawaban sistem:
Karena algoritma yang tepat untuk menyelesaikan soal ini adalah BFS (Breadth-First Search) yang menggunakan prinsip First In First Out (FIFO), yaitu "Queue" (Antrian lok).</t>
        </is>
      </c>
      <c r="F2562" t="inlineStr">
        <is>
          <t>SALAH</t>
        </is>
      </c>
      <c r="G2562" s="3" t="inlineStr">
        <is>
          <t>evaluator: ollama/llama3</t>
        </is>
      </c>
    </row>
    <row r="2563">
      <c r="A2563" t="n">
        <v>174</v>
      </c>
      <c r="B2563" t="inlineStr">
        <is>
          <t>B</t>
        </is>
      </c>
      <c r="C2563" t="inlineStr">
        <is>
          <t>Faithfulness (Pers. 15)</t>
        </is>
      </c>
      <c r="D2563" s="3" t="inlineStr">
        <is>
          <t>F = 0,70×Entailment + 0,30×KWoverlap</t>
        </is>
      </c>
      <c r="E2563" s="3" t="inlineStr">
        <is>
          <t>Faithfulness = 0,70×Entailment + 0,30×KWoverlap = 0,70×1.0000 + 0,30×0.2415 = 0.7725  (entailment: 6/6 klaim didukung; KWoverlap = (|∩|/|ctx|)^0,65 = (29/258)^0,65 = 0.1124^0,65 = 0.2415)</t>
        </is>
      </c>
      <c r="F2563" t="n">
        <v>0.7725</v>
      </c>
      <c r="G2563" s="3" t="inlineStr">
        <is>
          <t>metode: llm_entailment + keyword</t>
        </is>
      </c>
    </row>
    <row r="2564">
      <c r="A2564" t="n">
        <v>174</v>
      </c>
      <c r="B2564" t="inlineStr">
        <is>
          <t>B</t>
        </is>
      </c>
      <c r="C2564" t="inlineStr">
        <is>
          <t>— Entailment (Pers. 12-13)</t>
        </is>
      </c>
      <c r="D2564" s="3" t="inlineStr">
        <is>
          <t>Entailment = Σverdict(sᵢ)/m</t>
        </is>
      </c>
      <c r="E2564" s="3" t="inlineStr">
        <is>
          <t>6 klaim YA dari 6 klaim dievaluasi</t>
        </is>
      </c>
      <c r="F2564" t="n">
        <v>1</v>
      </c>
      <c r="G2564" s="3" t="inlineStr">
        <is>
          <t>verdict per klaim: sheet 'Entailment Detail'</t>
        </is>
      </c>
    </row>
    <row r="2565">
      <c r="A2565" t="n">
        <v>174</v>
      </c>
      <c r="B2565" t="inlineStr">
        <is>
          <t>B</t>
        </is>
      </c>
      <c r="C2565" t="inlineStr">
        <is>
          <t>— Keyword Overlap (Pers. 14)</t>
        </is>
      </c>
      <c r="D2565" s="3" t="inlineStr">
        <is>
          <t>KWoverlap = (|Stems(ans)∩Stems(ctx)| / |Stems(ctx)|)^0,65</t>
        </is>
      </c>
      <c r="E2565" s="3" t="inlineStr">
        <is>
          <t>KWoverlap = (|∩|/|ctx|)^0,65 = (29/258)^0,65 = 0.1124^0,65 = 0.2415</t>
        </is>
      </c>
      <c r="F2565" t="n">
        <v>0.2415</v>
      </c>
      <c r="G2565" s="3" t="inlineStr"/>
    </row>
    <row r="2566">
      <c r="A2566" t="n">
        <v>174</v>
      </c>
      <c r="B2566" t="inlineStr">
        <is>
          <t>B</t>
        </is>
      </c>
      <c r="C2566" t="inlineStr">
        <is>
          <t>Hallucination Risk (Pers. 18)</t>
        </is>
      </c>
      <c r="D2566" s="3" t="inlineStr">
        <is>
          <t>Risk = 0,65×(1-F) + 0,20×Contradiction + 0,15×Uncertainty</t>
        </is>
      </c>
      <c r="E2566" s="3" t="inlineStr">
        <is>
          <t>Risk = 0,65×OutOfContext + 0,20×Contradiction + 0,15×Uncertainty = 0,65×0.2275 + 0,20×0.0000 + 0,15×0.00 = 0.1479 [RENDAH]</t>
        </is>
      </c>
      <c r="F2566" t="n">
        <v>0.1479</v>
      </c>
      <c r="G2566" s="3" t="inlineStr">
        <is>
          <t>label: RENDAH; kontradiksi 0/36 kalimat; uncertainty flag: False</t>
        </is>
      </c>
    </row>
    <row r="2567">
      <c r="A2567" t="n">
        <v>174</v>
      </c>
      <c r="B2567" t="inlineStr">
        <is>
          <t>B</t>
        </is>
      </c>
      <c r="C2567" t="inlineStr">
        <is>
          <t>Answer Accuracy (Pers. 20)</t>
        </is>
      </c>
      <c r="D2567" s="3" t="inlineStr">
        <is>
          <t>Correctᵢ ∈ {0,1} via LLM-as-Judge (HASIL: BENAR/SALAH)</t>
        </is>
      </c>
      <c r="E2567" s="3" t="inlineStr">
        <is>
          <t>BENAR
Karena referensi dokumen materi GT memperlihatkan bahwa algoritma Breadth-First Search (BFS) digunakan untuk menyelesaikan masalah keterjangkauan setiap kota dari kota A, maka jawaban sistem yang menyarankan penggunaan BFS sebagai algoritma yang tepat untuk menyelesaikan masalah ini benar.</t>
        </is>
      </c>
      <c r="F2567" t="inlineStr">
        <is>
          <t>BENAR</t>
        </is>
      </c>
      <c r="G2567" s="3" t="inlineStr">
        <is>
          <t>evaluator: ollama/llama3</t>
        </is>
      </c>
    </row>
    <row r="2568">
      <c r="A2568" t="n">
        <v>175</v>
      </c>
      <c r="B2568" t="inlineStr">
        <is>
          <t>A</t>
        </is>
      </c>
      <c r="C2568" t="inlineStr">
        <is>
          <t>Precision@K (Pers. 2)</t>
        </is>
      </c>
      <c r="D2568" s="3" t="inlineStr">
        <is>
          <t>Precision@K = |{d ∈ TopK : sim(q,d) ≥ θ}| / K</t>
        </is>
      </c>
      <c r="E2568" s="3" t="inlineStr">
        <is>
          <t>skor = [0.7556, 0.7438, 0.7407, 0.7394, 0.7388, 0.7369] → 6 / 6</t>
        </is>
      </c>
      <c r="F2568" t="n">
        <v>1</v>
      </c>
      <c r="G2568" s="3" t="inlineStr">
        <is>
          <t>basis: skor chunk nyata (sesuai contoh Pers. 2 skripsi)</t>
        </is>
      </c>
    </row>
    <row r="2569">
      <c r="A2569" t="n">
        <v>175</v>
      </c>
      <c r="B2569" t="inlineStr">
        <is>
          <t>A</t>
        </is>
      </c>
      <c r="C2569" t="inlineStr">
        <is>
          <t>Recall@K (Pers. 4)</t>
        </is>
      </c>
      <c r="D2569" s="3" t="inlineStr">
        <is>
          <t>Recall@K = |{kata kunci ditemukan : sim ≥ θ}| / |R|</t>
        </is>
      </c>
      <c r="E2569" s="3" t="inlineStr">
        <is>
          <t>skor = [0.6628, 0.5773, 0.4564, 0.4564, 0.4358, 0.4344] → 6 / 7</t>
        </is>
      </c>
      <c r="F2569" t="n">
        <v>0.8571</v>
      </c>
      <c r="G2569" s="3" t="inlineStr"/>
    </row>
    <row r="2570">
      <c r="A2570" t="n">
        <v>175</v>
      </c>
      <c r="B2570" t="inlineStr">
        <is>
          <t>A</t>
        </is>
      </c>
      <c r="C2570" t="inlineStr">
        <is>
          <t>Mean Similarity (Pers. 6)</t>
        </is>
      </c>
      <c r="D2570" s="3" t="inlineStr">
        <is>
          <t>MeanSim = (1/K) × Σ sim(q, dᵢ)</t>
        </is>
      </c>
      <c r="E2570" s="3" t="inlineStr">
        <is>
          <t>skor = [0.7556, 0.7438, 0.7407, 0.7394, 0.7388, 0.7369] → (0.7556 + 0.7438 + 0.7407 + 0.7394 + 0.7388 + 0.7369) / 6</t>
        </is>
      </c>
      <c r="F2570" t="n">
        <v>0.7425</v>
      </c>
      <c r="G2570" s="3" t="inlineStr"/>
    </row>
    <row r="2571">
      <c r="A2571" t="n">
        <v>175</v>
      </c>
      <c r="B2571" t="inlineStr">
        <is>
          <t>A</t>
        </is>
      </c>
      <c r="C2571" t="inlineStr">
        <is>
          <t>Coverage (Pers. 8)</t>
        </is>
      </c>
      <c r="D2571" s="3" t="inlineStr">
        <is>
          <t>Coverage = |{dᵢ ∈ TopK : sim(q,dᵢ) ≥ θc}| / K</t>
        </is>
      </c>
      <c r="E2571" s="3" t="inlineStr">
        <is>
          <t>skor = [0.7556, 0.7438, 0.7407, 0.7394, 0.7388, 0.7369] → 6 / 6</t>
        </is>
      </c>
      <c r="F2571" t="n">
        <v>1</v>
      </c>
      <c r="G2571" s="3" t="inlineStr"/>
    </row>
    <row r="2572">
      <c r="A2572" t="n">
        <v>175</v>
      </c>
      <c r="B2572" t="inlineStr">
        <is>
          <t>A</t>
        </is>
      </c>
      <c r="C2572" t="inlineStr">
        <is>
          <t>Source Diversity (Pers. 10)</t>
        </is>
      </c>
      <c r="D2572" s="3" t="inlineStr">
        <is>
          <t>Diversity = |sumber unik dalam TopK| / K</t>
        </is>
      </c>
      <c r="E2572" s="3" t="inlineStr">
        <is>
          <t>skor = ['3TAR.txt', '3TGI.txt', '3TGR.txt', 'GT_CT01.txt', 'GT_CT03.txt', 'GT_DETAIL_PT01_Pendahuluan.txt'] → 6 / 6</t>
        </is>
      </c>
      <c r="F2572" t="n">
        <v>1</v>
      </c>
      <c r="G2572" s="3" t="inlineStr">
        <is>
          <t>file unik: 3TAR.txt, 3TGI.txt, 3TGR.txt, GT_CT01.txt, GT_CT03.txt, GT_DETAIL_PT01_Pendahuluan.txt</t>
        </is>
      </c>
    </row>
    <row r="2573">
      <c r="A2573" t="n">
        <v>175</v>
      </c>
      <c r="B2573" t="inlineStr">
        <is>
          <t>A</t>
        </is>
      </c>
      <c r="C2573" t="inlineStr">
        <is>
          <t>Faithfulness (Pers. 15)</t>
        </is>
      </c>
      <c r="D2573" s="3" t="inlineStr">
        <is>
          <t>F = 0,70×Entailment + 0,30×KWoverlap</t>
        </is>
      </c>
      <c r="E2573" s="3" t="inlineStr">
        <is>
          <t>Faithfulness = 0,70×Entailment + 0,30×KWoverlap = 0,70×0.6667 + 0,30×0.0881 = 0.4931  (entailment: 4/6 klaim didukung; KWoverlap = (|∩|/|ctx|)^0,65 = (6/252)^0,65 = 0.0238^0,65 = 0.0881)</t>
        </is>
      </c>
      <c r="F2573" t="n">
        <v>0.4931</v>
      </c>
      <c r="G2573" s="3" t="inlineStr">
        <is>
          <t>metode: llm_entailment + keyword</t>
        </is>
      </c>
    </row>
    <row r="2574">
      <c r="A2574" t="n">
        <v>175</v>
      </c>
      <c r="B2574" t="inlineStr">
        <is>
          <t>A</t>
        </is>
      </c>
      <c r="C2574" t="inlineStr">
        <is>
          <t>— Entailment (Pers. 12-13)</t>
        </is>
      </c>
      <c r="D2574" s="3" t="inlineStr">
        <is>
          <t>Entailment = Σverdict(sᵢ)/m</t>
        </is>
      </c>
      <c r="E2574" s="3" t="inlineStr">
        <is>
          <t>4 klaim YA dari 6 klaim dievaluasi</t>
        </is>
      </c>
      <c r="F2574" t="n">
        <v>0.6667</v>
      </c>
      <c r="G2574" s="3" t="inlineStr">
        <is>
          <t>verdict per klaim: sheet 'Entailment Detail'</t>
        </is>
      </c>
    </row>
    <row r="2575">
      <c r="A2575" t="n">
        <v>175</v>
      </c>
      <c r="B2575" t="inlineStr">
        <is>
          <t>A</t>
        </is>
      </c>
      <c r="C2575" t="inlineStr">
        <is>
          <t>— Keyword Overlap (Pers. 14)</t>
        </is>
      </c>
      <c r="D2575" s="3" t="inlineStr">
        <is>
          <t>KWoverlap = (|Stems(ans)∩Stems(ctx)| / |Stems(ctx)|)^0,65</t>
        </is>
      </c>
      <c r="E2575" s="3" t="inlineStr">
        <is>
          <t>KWoverlap = (|∩|/|ctx|)^0,65 = (6/252)^0,65 = 0.0238^0,65 = 0.0881</t>
        </is>
      </c>
      <c r="F2575" t="n">
        <v>0.0881</v>
      </c>
      <c r="G2575" s="3" t="inlineStr"/>
    </row>
    <row r="2576">
      <c r="A2576" t="n">
        <v>175</v>
      </c>
      <c r="B2576" t="inlineStr">
        <is>
          <t>A</t>
        </is>
      </c>
      <c r="C2576" t="inlineStr">
        <is>
          <t>Hallucination Risk (Pers. 18)</t>
        </is>
      </c>
      <c r="D2576" s="3" t="inlineStr">
        <is>
          <t>Risk = 0,65×(1-F) + 0,20×Contradiction + 0,15×Uncertainty</t>
        </is>
      </c>
      <c r="E2576" s="3" t="inlineStr">
        <is>
          <t>Risk = 0,65×OutOfContext + 0,20×Contradiction + 0,15×Uncertainty = 0,65×0.5069 + 0,20×0.0000 + 0,15×0.00 = 0.3295 [SEDANG]</t>
        </is>
      </c>
      <c r="F2576" t="n">
        <v>0.3295</v>
      </c>
      <c r="G2576" s="3" t="inlineStr">
        <is>
          <t>label: SEDANG; kontradiksi 0/19 kalimat; uncertainty flag: False</t>
        </is>
      </c>
    </row>
    <row r="2577">
      <c r="A2577" t="n">
        <v>175</v>
      </c>
      <c r="B2577" t="inlineStr">
        <is>
          <t>A</t>
        </is>
      </c>
      <c r="C2577" t="inlineStr">
        <is>
          <t>Answer Accuracy (Pers. 20)</t>
        </is>
      </c>
      <c r="D2577" s="3" t="inlineStr">
        <is>
          <t>Correctᵢ ∈ {0,1} via LLM-as-Judge (HASIL: BENAR/SALAH)</t>
        </is>
      </c>
      <c r="E2577" s="3" t="inlineStr">
        <is>
          <t>I see what you're asking!
The question is whether the system's answer is correct based on the reference material provided.
According to the reference material, the key concept of decomposition is "BREAKING BIG PROBLEMS INTO SMALLER AND EASIER TO MANAGE PROBLEMS". The principle of decomposition follows a hierarchical pattern, where a big problem (e.g., Problem A) is broken down into smaller sub-p</t>
        </is>
      </c>
      <c r="F2577" t="inlineStr">
        <is>
          <t>BENAR</t>
        </is>
      </c>
      <c r="G2577" s="3" t="inlineStr">
        <is>
          <t>evaluator: ollama/llama3</t>
        </is>
      </c>
    </row>
    <row r="2578">
      <c r="A2578" t="n">
        <v>175</v>
      </c>
      <c r="B2578" t="inlineStr">
        <is>
          <t>B</t>
        </is>
      </c>
      <c r="C2578" t="inlineStr">
        <is>
          <t>Faithfulness (Pers. 15)</t>
        </is>
      </c>
      <c r="D2578" s="3" t="inlineStr">
        <is>
          <t>F = 0,70×Entailment + 0,30×KWoverlap</t>
        </is>
      </c>
      <c r="E2578" s="3" t="inlineStr">
        <is>
          <t>Faithfulness = 0,70×Entailment + 0,30×KWoverlap = 0,70×0.8333 + 0,30×0.2615 = 0.6618  (entailment: 5/6 klaim didukung; KWoverlap = (|∩|/|ctx|)^0,65 = (32/252)^0,65 = 0.1270^0,65 = 0.2615)</t>
        </is>
      </c>
      <c r="F2578" t="n">
        <v>0.6618000000000001</v>
      </c>
      <c r="G2578" s="3" t="inlineStr">
        <is>
          <t>metode: llm_entailment + keyword</t>
        </is>
      </c>
    </row>
    <row r="2579">
      <c r="A2579" t="n">
        <v>175</v>
      </c>
      <c r="B2579" t="inlineStr">
        <is>
          <t>B</t>
        </is>
      </c>
      <c r="C2579" t="inlineStr">
        <is>
          <t>— Entailment (Pers. 12-13)</t>
        </is>
      </c>
      <c r="D2579" s="3" t="inlineStr">
        <is>
          <t>Entailment = Σverdict(sᵢ)/m</t>
        </is>
      </c>
      <c r="E2579" s="3" t="inlineStr">
        <is>
          <t>5 klaim YA dari 6 klaim dievaluasi</t>
        </is>
      </c>
      <c r="F2579" t="n">
        <v>0.8333</v>
      </c>
      <c r="G2579" s="3" t="inlineStr">
        <is>
          <t>verdict per klaim: sheet 'Entailment Detail'</t>
        </is>
      </c>
    </row>
    <row r="2580">
      <c r="A2580" t="n">
        <v>175</v>
      </c>
      <c r="B2580" t="inlineStr">
        <is>
          <t>B</t>
        </is>
      </c>
      <c r="C2580" t="inlineStr">
        <is>
          <t>— Keyword Overlap (Pers. 14)</t>
        </is>
      </c>
      <c r="D2580" s="3" t="inlineStr">
        <is>
          <t>KWoverlap = (|Stems(ans)∩Stems(ctx)| / |Stems(ctx)|)^0,65</t>
        </is>
      </c>
      <c r="E2580" s="3" t="inlineStr">
        <is>
          <t>KWoverlap = (|∩|/|ctx|)^0,65 = (32/252)^0,65 = 0.1270^0,65 = 0.2615</t>
        </is>
      </c>
      <c r="F2580" t="n">
        <v>0.2615</v>
      </c>
      <c r="G2580" s="3" t="inlineStr"/>
    </row>
    <row r="2581">
      <c r="A2581" t="n">
        <v>175</v>
      </c>
      <c r="B2581" t="inlineStr">
        <is>
          <t>B</t>
        </is>
      </c>
      <c r="C2581" t="inlineStr">
        <is>
          <t>Hallucination Risk (Pers. 18)</t>
        </is>
      </c>
      <c r="D2581" s="3" t="inlineStr">
        <is>
          <t>Risk = 0,65×(1-F) + 0,20×Contradiction + 0,15×Uncertainty</t>
        </is>
      </c>
      <c r="E2581" s="3" t="inlineStr">
        <is>
          <t>Risk = 0,65×OutOfContext + 0,20×Contradiction + 0,15×Uncertainty = 0,65×0.3382 + 0,20×0.0000 + 0,15×0.00 = 0.2198 [RENDAH]</t>
        </is>
      </c>
      <c r="F2581" t="n">
        <v>0.2198</v>
      </c>
      <c r="G2581" s="3" t="inlineStr">
        <is>
          <t>label: RENDAH; kontradiksi 0/33 kalimat; uncertainty flag: False</t>
        </is>
      </c>
    </row>
    <row r="2582">
      <c r="A2582" t="n">
        <v>175</v>
      </c>
      <c r="B2582" t="inlineStr">
        <is>
          <t>B</t>
        </is>
      </c>
      <c r="C2582" t="inlineStr">
        <is>
          <t>Answer Accuracy (Pers. 20)</t>
        </is>
      </c>
      <c r="D2582" s="3" t="inlineStr">
        <is>
          <t>Correctᵢ ∈ {0,1} via LLM-as-Judge (HASIL: BENAR/SALAH)</t>
        </is>
      </c>
      <c r="E2582" s="3" t="inlineStr">
        <is>
          <t>BENAR</t>
        </is>
      </c>
      <c r="F2582" t="inlineStr">
        <is>
          <t>BENAR</t>
        </is>
      </c>
      <c r="G2582" s="3" t="inlineStr">
        <is>
          <t>evaluator: ollama/llama3</t>
        </is>
      </c>
    </row>
    <row r="2583">
      <c r="A2583" t="n">
        <v>176</v>
      </c>
      <c r="B2583" t="inlineStr">
        <is>
          <t>A</t>
        </is>
      </c>
      <c r="C2583" t="inlineStr">
        <is>
          <t>Precision@K (Pers. 2)</t>
        </is>
      </c>
      <c r="D2583" s="3" t="inlineStr">
        <is>
          <t>Precision@K = |{d ∈ TopK : sim(q,d) ≥ θ}| / K</t>
        </is>
      </c>
      <c r="E2583" s="3" t="inlineStr">
        <is>
          <t>skor = [0.7532, 0.723, 0.7082, 0.7037, 0.7008, 0.6932] → 6 / 6</t>
        </is>
      </c>
      <c r="F2583" t="n">
        <v>1</v>
      </c>
      <c r="G2583" s="3" t="inlineStr">
        <is>
          <t>basis: skor chunk nyata (sesuai contoh Pers. 2 skripsi)</t>
        </is>
      </c>
    </row>
    <row r="2584">
      <c r="A2584" t="n">
        <v>176</v>
      </c>
      <c r="B2584" t="inlineStr">
        <is>
          <t>A</t>
        </is>
      </c>
      <c r="C2584" t="inlineStr">
        <is>
          <t>Recall@K (Pers. 4)</t>
        </is>
      </c>
      <c r="D2584" s="3" t="inlineStr">
        <is>
          <t>Recall@K = |{kata kunci ditemukan : sim ≥ θ}| / |R|</t>
        </is>
      </c>
      <c r="E2584" s="3" t="inlineStr">
        <is>
          <t>skor = [0.736, 0.6182, 0.5577, 0.5147, 0.4655, 0.4295] → 6 / 7</t>
        </is>
      </c>
      <c r="F2584" t="n">
        <v>0.8571</v>
      </c>
      <c r="G2584" s="3" t="inlineStr"/>
    </row>
    <row r="2585">
      <c r="A2585" t="n">
        <v>176</v>
      </c>
      <c r="B2585" t="inlineStr">
        <is>
          <t>A</t>
        </is>
      </c>
      <c r="C2585" t="inlineStr">
        <is>
          <t>Mean Similarity (Pers. 6)</t>
        </is>
      </c>
      <c r="D2585" s="3" t="inlineStr">
        <is>
          <t>MeanSim = (1/K) × Σ sim(q, dᵢ)</t>
        </is>
      </c>
      <c r="E2585" s="3" t="inlineStr">
        <is>
          <t>skor = [0.7532, 0.723, 0.7082, 0.7037, 0.7008, 0.6932] → (0.7532 + 0.7230 + 0.7082 + 0.7037 + 0.7008 + 0.6932) / 6</t>
        </is>
      </c>
      <c r="F2585" t="n">
        <v>0.7137</v>
      </c>
      <c r="G2585" s="3" t="inlineStr"/>
    </row>
    <row r="2586">
      <c r="A2586" t="n">
        <v>176</v>
      </c>
      <c r="B2586" t="inlineStr">
        <is>
          <t>A</t>
        </is>
      </c>
      <c r="C2586" t="inlineStr">
        <is>
          <t>Coverage (Pers. 8)</t>
        </is>
      </c>
      <c r="D2586" s="3" t="inlineStr">
        <is>
          <t>Coverage = |{dᵢ ∈ TopK : sim(q,dᵢ) ≥ θc}| / K</t>
        </is>
      </c>
      <c r="E2586" s="3" t="inlineStr">
        <is>
          <t>skor = [0.7532, 0.723, 0.7082, 0.7037, 0.7008, 0.6932] → 6 / 6</t>
        </is>
      </c>
      <c r="F2586" t="n">
        <v>1</v>
      </c>
      <c r="G2586" s="3" t="inlineStr"/>
    </row>
    <row r="2587">
      <c r="A2587" t="n">
        <v>176</v>
      </c>
      <c r="B2587" t="inlineStr">
        <is>
          <t>A</t>
        </is>
      </c>
      <c r="C2587" t="inlineStr">
        <is>
          <t>Source Diversity (Pers. 10)</t>
        </is>
      </c>
      <c r="D2587" s="3" t="inlineStr">
        <is>
          <t>Diversity = |sumber unik dalam TopK| / K</t>
        </is>
      </c>
      <c r="E2587" s="3" t="inlineStr">
        <is>
          <t>skor = ['GT_CT11.txt', 'GT_DETAIL_PT11_Perulangan.txt', 'GT_SUBTOPIK_08_Perulangan_For_While.txt'] → 3 / 6</t>
        </is>
      </c>
      <c r="F2587" t="n">
        <v>0.5</v>
      </c>
      <c r="G2587" s="3" t="inlineStr">
        <is>
          <t>file unik: GT_CT11.txt, GT_DETAIL_PT11_Perulangan.txt, GT_SUBTOPIK_08_Perulangan_For_While.txt</t>
        </is>
      </c>
    </row>
    <row r="2588">
      <c r="A2588" t="n">
        <v>176</v>
      </c>
      <c r="B2588" t="inlineStr">
        <is>
          <t>A</t>
        </is>
      </c>
      <c r="C2588" t="inlineStr">
        <is>
          <t>Faithfulness (Pers. 15)</t>
        </is>
      </c>
      <c r="D2588" s="3" t="inlineStr">
        <is>
          <t>F = 0,70×Entailment + 0,30×KWoverlap</t>
        </is>
      </c>
      <c r="E2588" s="3" t="inlineStr">
        <is>
          <t>Faithfulness = 0,70×Entailment + 0,30×KWoverlap = 0,70×1.0000 + 0,30×0.2772 = 0.7831  (entailment: 6/6 klaim didukung; KWoverlap = (|∩|/|ctx|)^0,65 = (20/144)^0,65 = 0.1389^0,65 = 0.2772)</t>
        </is>
      </c>
      <c r="F2588" t="n">
        <v>0.7831</v>
      </c>
      <c r="G2588" s="3" t="inlineStr">
        <is>
          <t>metode: llm_entailment + keyword</t>
        </is>
      </c>
    </row>
    <row r="2589">
      <c r="A2589" t="n">
        <v>176</v>
      </c>
      <c r="B2589" t="inlineStr">
        <is>
          <t>A</t>
        </is>
      </c>
      <c r="C2589" t="inlineStr">
        <is>
          <t>— Entailment (Pers. 12-13)</t>
        </is>
      </c>
      <c r="D2589" s="3" t="inlineStr">
        <is>
          <t>Entailment = Σverdict(sᵢ)/m</t>
        </is>
      </c>
      <c r="E2589" s="3" t="inlineStr">
        <is>
          <t>6 klaim YA dari 6 klaim dievaluasi</t>
        </is>
      </c>
      <c r="F2589" t="n">
        <v>1</v>
      </c>
      <c r="G2589" s="3" t="inlineStr">
        <is>
          <t>verdict per klaim: sheet 'Entailment Detail'</t>
        </is>
      </c>
    </row>
    <row r="2590">
      <c r="A2590" t="n">
        <v>176</v>
      </c>
      <c r="B2590" t="inlineStr">
        <is>
          <t>A</t>
        </is>
      </c>
      <c r="C2590" t="inlineStr">
        <is>
          <t>— Keyword Overlap (Pers. 14)</t>
        </is>
      </c>
      <c r="D2590" s="3" t="inlineStr">
        <is>
          <t>KWoverlap = (|Stems(ans)∩Stems(ctx)| / |Stems(ctx)|)^0,65</t>
        </is>
      </c>
      <c r="E2590" s="3" t="inlineStr">
        <is>
          <t>KWoverlap = (|∩|/|ctx|)^0,65 = (20/144)^0,65 = 0.1389^0,65 = 0.2772</t>
        </is>
      </c>
      <c r="F2590" t="n">
        <v>0.2772</v>
      </c>
      <c r="G2590" s="3" t="inlineStr"/>
    </row>
    <row r="2591">
      <c r="A2591" t="n">
        <v>176</v>
      </c>
      <c r="B2591" t="inlineStr">
        <is>
          <t>A</t>
        </is>
      </c>
      <c r="C2591" t="inlineStr">
        <is>
          <t>Hallucination Risk (Pers. 18)</t>
        </is>
      </c>
      <c r="D2591" s="3" t="inlineStr">
        <is>
          <t>Risk = 0,65×(1-F) + 0,20×Contradiction + 0,15×Uncertainty</t>
        </is>
      </c>
      <c r="E2591" s="3" t="inlineStr">
        <is>
          <t>Risk = 0,65×OutOfContext + 0,20×Contradiction + 0,15×Uncertainty = 0,65×0.2169 + 0,20×0.0000 + 0,15×0.00 = 0.1410 [RENDAH]</t>
        </is>
      </c>
      <c r="F2591" t="n">
        <v>0.141</v>
      </c>
      <c r="G2591" s="3" t="inlineStr">
        <is>
          <t>label: RENDAH; kontradiksi 0/11 kalimat; uncertainty flag: False</t>
        </is>
      </c>
    </row>
    <row r="2592">
      <c r="A2592" t="n">
        <v>176</v>
      </c>
      <c r="B2592" t="inlineStr">
        <is>
          <t>A</t>
        </is>
      </c>
      <c r="C2592" t="inlineStr">
        <is>
          <t>Answer Accuracy (Pers. 20)</t>
        </is>
      </c>
      <c r="D2592" s="3" t="inlineStr">
        <is>
          <t>Correctᵢ ∈ {0,1} via LLM-as-Judge (HASIL: BENAR/SALAH)</t>
        </is>
      </c>
      <c r="E2592" s="3" t="inlineStr">
        <is>
          <t>BENAR</t>
        </is>
      </c>
      <c r="F2592" t="inlineStr">
        <is>
          <t>BENAR</t>
        </is>
      </c>
      <c r="G2592" s="3" t="inlineStr">
        <is>
          <t>evaluator: ollama/llama3</t>
        </is>
      </c>
    </row>
    <row r="2593">
      <c r="A2593" t="n">
        <v>176</v>
      </c>
      <c r="B2593" t="inlineStr">
        <is>
          <t>B</t>
        </is>
      </c>
      <c r="C2593" t="inlineStr">
        <is>
          <t>Faithfulness (Pers. 15)</t>
        </is>
      </c>
      <c r="D2593" s="3" t="inlineStr">
        <is>
          <t>F = 0,70×Entailment + 0,30×KWoverlap</t>
        </is>
      </c>
      <c r="E2593" s="3" t="inlineStr">
        <is>
          <t>Faithfulness = 0,70×Entailment + 0,30×KWoverlap = 0,70×0.8333 + 0,30×0.2397 = 0.6552  (entailment: 5/6 klaim didukung; KWoverlap = (|∩|/|ctx|)^0,65 = (16/144)^0,65 = 0.1111^0,65 = 0.2397)</t>
        </is>
      </c>
      <c r="F2593" t="n">
        <v>0.6552</v>
      </c>
      <c r="G2593" s="3" t="inlineStr">
        <is>
          <t>metode: llm_entailment + keyword</t>
        </is>
      </c>
    </row>
    <row r="2594">
      <c r="A2594" t="n">
        <v>176</v>
      </c>
      <c r="B2594" t="inlineStr">
        <is>
          <t>B</t>
        </is>
      </c>
      <c r="C2594" t="inlineStr">
        <is>
          <t>— Entailment (Pers. 12-13)</t>
        </is>
      </c>
      <c r="D2594" s="3" t="inlineStr">
        <is>
          <t>Entailment = Σverdict(sᵢ)/m</t>
        </is>
      </c>
      <c r="E2594" s="3" t="inlineStr">
        <is>
          <t>5 klaim YA dari 6 klaim dievaluasi</t>
        </is>
      </c>
      <c r="F2594" t="n">
        <v>0.8333</v>
      </c>
      <c r="G2594" s="3" t="inlineStr">
        <is>
          <t>verdict per klaim: sheet 'Entailment Detail'</t>
        </is>
      </c>
    </row>
    <row r="2595">
      <c r="A2595" t="n">
        <v>176</v>
      </c>
      <c r="B2595" t="inlineStr">
        <is>
          <t>B</t>
        </is>
      </c>
      <c r="C2595" t="inlineStr">
        <is>
          <t>— Keyword Overlap (Pers. 14)</t>
        </is>
      </c>
      <c r="D2595" s="3" t="inlineStr">
        <is>
          <t>KWoverlap = (|Stems(ans)∩Stems(ctx)| / |Stems(ctx)|)^0,65</t>
        </is>
      </c>
      <c r="E2595" s="3" t="inlineStr">
        <is>
          <t>KWoverlap = (|∩|/|ctx|)^0,65 = (16/144)^0,65 = 0.1111^0,65 = 0.2397</t>
        </is>
      </c>
      <c r="F2595" t="n">
        <v>0.2397</v>
      </c>
      <c r="G2595" s="3" t="inlineStr"/>
    </row>
    <row r="2596">
      <c r="A2596" t="n">
        <v>176</v>
      </c>
      <c r="B2596" t="inlineStr">
        <is>
          <t>B</t>
        </is>
      </c>
      <c r="C2596" t="inlineStr">
        <is>
          <t>Hallucination Risk (Pers. 18)</t>
        </is>
      </c>
      <c r="D2596" s="3" t="inlineStr">
        <is>
          <t>Risk = 0,65×(1-F) + 0,20×Contradiction + 0,15×Uncertainty</t>
        </is>
      </c>
      <c r="E2596" s="3" t="inlineStr">
        <is>
          <t>Risk = 0,65×OutOfContext + 0,20×Contradiction + 0,15×Uncertainty = 0,65×0.3448 + 0,20×0.0000 + 0,15×0.00 = 0.2241 [RENDAH]</t>
        </is>
      </c>
      <c r="F2596" t="n">
        <v>0.2241</v>
      </c>
      <c r="G2596" s="3" t="inlineStr">
        <is>
          <t>label: RENDAH; kontradiksi 0/24 kalimat; uncertainty flag: False</t>
        </is>
      </c>
    </row>
    <row r="2597">
      <c r="A2597" t="n">
        <v>176</v>
      </c>
      <c r="B2597" t="inlineStr">
        <is>
          <t>B</t>
        </is>
      </c>
      <c r="C2597" t="inlineStr">
        <is>
          <t>Answer Accuracy (Pers. 20)</t>
        </is>
      </c>
      <c r="D2597" s="3" t="inlineStr">
        <is>
          <t>Correctᵢ ∈ {0,1} via LLM-as-Judge (HASIL: BENAR/SALAH)</t>
        </is>
      </c>
      <c r="E2597" s="3" t="inlineStr">
        <is>
          <t>BENAR</t>
        </is>
      </c>
      <c r="F2597" t="inlineStr">
        <is>
          <t>BENAR</t>
        </is>
      </c>
      <c r="G2597" s="3" t="inlineStr">
        <is>
          <t>evaluator: ollama/llama3</t>
        </is>
      </c>
    </row>
    <row r="2598">
      <c r="A2598" t="n">
        <v>177</v>
      </c>
      <c r="B2598" t="inlineStr">
        <is>
          <t>A</t>
        </is>
      </c>
      <c r="C2598" t="inlineStr">
        <is>
          <t>Precision@K (Pers. 2)</t>
        </is>
      </c>
      <c r="D2598" s="3" t="inlineStr">
        <is>
          <t>Precision@K = |{d ∈ TopK : sim(q,d) ≥ θ}| / K</t>
        </is>
      </c>
      <c r="E2598" s="3" t="inlineStr">
        <is>
          <t>skor = [0.7624, 0.7606, 0.7598, 0.7543, 0.7518, 0.7512] → 6 / 6</t>
        </is>
      </c>
      <c r="F2598" t="n">
        <v>1</v>
      </c>
      <c r="G2598" s="3" t="inlineStr">
        <is>
          <t>basis: skor chunk nyata (sesuai contoh Pers. 2 skripsi)</t>
        </is>
      </c>
    </row>
    <row r="2599">
      <c r="A2599" t="n">
        <v>177</v>
      </c>
      <c r="B2599" t="inlineStr">
        <is>
          <t>A</t>
        </is>
      </c>
      <c r="C2599" t="inlineStr">
        <is>
          <t>Recall@K (Pers. 4)</t>
        </is>
      </c>
      <c r="D2599" s="3" t="inlineStr">
        <is>
          <t>Recall@K = |{kata kunci ditemukan : sim ≥ θ}| / |R|</t>
        </is>
      </c>
      <c r="E2599" s="3" t="inlineStr">
        <is>
          <t>skor = [0.6419, 0.59, 0.5275, 0.4898, 0.4873, 0.4613] → 6 / 7</t>
        </is>
      </c>
      <c r="F2599" t="n">
        <v>0.8571</v>
      </c>
      <c r="G2599" s="3" t="inlineStr"/>
    </row>
    <row r="2600">
      <c r="A2600" t="n">
        <v>177</v>
      </c>
      <c r="B2600" t="inlineStr">
        <is>
          <t>A</t>
        </is>
      </c>
      <c r="C2600" t="inlineStr">
        <is>
          <t>Mean Similarity (Pers. 6)</t>
        </is>
      </c>
      <c r="D2600" s="3" t="inlineStr">
        <is>
          <t>MeanSim = (1/K) × Σ sim(q, dᵢ)</t>
        </is>
      </c>
      <c r="E2600" s="3" t="inlineStr">
        <is>
          <t>skor = [0.7624, 0.7606, 0.7598, 0.7543, 0.7518, 0.7512] → (0.7624 + 0.7606 + 0.7598 + 0.7543 + 0.7518 + 0.7512) / 6</t>
        </is>
      </c>
      <c r="F2600" t="n">
        <v>0.7567</v>
      </c>
      <c r="G2600" s="3" t="inlineStr"/>
    </row>
    <row r="2601">
      <c r="A2601" t="n">
        <v>177</v>
      </c>
      <c r="B2601" t="inlineStr">
        <is>
          <t>A</t>
        </is>
      </c>
      <c r="C2601" t="inlineStr">
        <is>
          <t>Coverage (Pers. 8)</t>
        </is>
      </c>
      <c r="D2601" s="3" t="inlineStr">
        <is>
          <t>Coverage = |{dᵢ ∈ TopK : sim(q,dᵢ) ≥ θc}| / K</t>
        </is>
      </c>
      <c r="E2601" s="3" t="inlineStr">
        <is>
          <t>skor = [0.7624, 0.7606, 0.7598, 0.7543, 0.7518, 0.7512] → 6 / 6</t>
        </is>
      </c>
      <c r="F2601" t="n">
        <v>1</v>
      </c>
      <c r="G2601" s="3" t="inlineStr"/>
    </row>
    <row r="2602">
      <c r="A2602" t="n">
        <v>177</v>
      </c>
      <c r="B2602" t="inlineStr">
        <is>
          <t>A</t>
        </is>
      </c>
      <c r="C2602" t="inlineStr">
        <is>
          <t>Source Diversity (Pers. 10)</t>
        </is>
      </c>
      <c r="D2602" s="3" t="inlineStr">
        <is>
          <t>Diversity = |sumber unik dalam TopK| / K</t>
        </is>
      </c>
      <c r="E2602" s="3" t="inlineStr">
        <is>
          <t>skor = ['GT_CT07.txt', 'GT_CT09.txt', 'GT_CT10.txt', 'GT_DETAIL_PT05_Pattern_Recognition.txt', 'GT_DETAIL_PT11_Perulangan.txt'] → 5 / 6</t>
        </is>
      </c>
      <c r="F2602" t="n">
        <v>0.8333</v>
      </c>
      <c r="G2602" s="3" t="inlineStr">
        <is>
          <t>file unik: GT_CT07.txt, GT_CT09.txt, GT_CT10.txt, GT_DETAIL_PT05_Pattern_Recognition.txt, GT_DETAIL_PT11_Perulangan.txt</t>
        </is>
      </c>
    </row>
    <row r="2603">
      <c r="A2603" t="n">
        <v>177</v>
      </c>
      <c r="B2603" t="inlineStr">
        <is>
          <t>A</t>
        </is>
      </c>
      <c r="C2603" t="inlineStr">
        <is>
          <t>Faithfulness (Pers. 15)</t>
        </is>
      </c>
      <c r="D2603" s="3" t="inlineStr">
        <is>
          <t>F = 0,70×Entailment + 0,30×KWoverlap</t>
        </is>
      </c>
      <c r="E2603" s="3" t="inlineStr">
        <is>
          <t>Faithfulness = 0,70×Entailment + 0,30×KWoverlap = 0,70×0.6667 + 0,30×0.2246 = 0.5341  (entailment: 4/6 klaim didukung; KWoverlap = (|∩|/|ctx|)^0,65 = (21/209)^0,65 = 0.1005^0,65 = 0.2246)</t>
        </is>
      </c>
      <c r="F2603" t="n">
        <v>0.5341</v>
      </c>
      <c r="G2603" s="3" t="inlineStr">
        <is>
          <t>metode: llm_entailment + keyword</t>
        </is>
      </c>
    </row>
    <row r="2604">
      <c r="A2604" t="n">
        <v>177</v>
      </c>
      <c r="B2604" t="inlineStr">
        <is>
          <t>A</t>
        </is>
      </c>
      <c r="C2604" t="inlineStr">
        <is>
          <t>— Entailment (Pers. 12-13)</t>
        </is>
      </c>
      <c r="D2604" s="3" t="inlineStr">
        <is>
          <t>Entailment = Σverdict(sᵢ)/m</t>
        </is>
      </c>
      <c r="E2604" s="3" t="inlineStr">
        <is>
          <t>4 klaim YA dari 6 klaim dievaluasi</t>
        </is>
      </c>
      <c r="F2604" t="n">
        <v>0.6667</v>
      </c>
      <c r="G2604" s="3" t="inlineStr">
        <is>
          <t>verdict per klaim: sheet 'Entailment Detail'</t>
        </is>
      </c>
    </row>
    <row r="2605">
      <c r="A2605" t="n">
        <v>177</v>
      </c>
      <c r="B2605" t="inlineStr">
        <is>
          <t>A</t>
        </is>
      </c>
      <c r="C2605" t="inlineStr">
        <is>
          <t>— Keyword Overlap (Pers. 14)</t>
        </is>
      </c>
      <c r="D2605" s="3" t="inlineStr">
        <is>
          <t>KWoverlap = (|Stems(ans)∩Stems(ctx)| / |Stems(ctx)|)^0,65</t>
        </is>
      </c>
      <c r="E2605" s="3" t="inlineStr">
        <is>
          <t>KWoverlap = (|∩|/|ctx|)^0,65 = (21/209)^0,65 = 0.1005^0,65 = 0.2246</t>
        </is>
      </c>
      <c r="F2605" t="n">
        <v>0.2246</v>
      </c>
      <c r="G2605" s="3" t="inlineStr"/>
    </row>
    <row r="2606">
      <c r="A2606" t="n">
        <v>177</v>
      </c>
      <c r="B2606" t="inlineStr">
        <is>
          <t>A</t>
        </is>
      </c>
      <c r="C2606" t="inlineStr">
        <is>
          <t>Hallucination Risk (Pers. 18)</t>
        </is>
      </c>
      <c r="D2606" s="3" t="inlineStr">
        <is>
          <t>Risk = 0,65×(1-F) + 0,20×Contradiction + 0,15×Uncertainty</t>
        </is>
      </c>
      <c r="E2606" s="3" t="inlineStr">
        <is>
          <t>Risk = 0,65×OutOfContext + 0,20×Contradiction + 0,15×Uncertainty = 0,65×0.4659 + 0,20×0.0000 + 0,15×0.00 = 0.3028 [RENDAH]</t>
        </is>
      </c>
      <c r="F2606" t="n">
        <v>0.3028</v>
      </c>
      <c r="G2606" s="3" t="inlineStr">
        <is>
          <t>label: RENDAH; kontradiksi 0/17 kalimat; uncertainty flag: False</t>
        </is>
      </c>
    </row>
    <row r="2607">
      <c r="A2607" t="n">
        <v>177</v>
      </c>
      <c r="B2607" t="inlineStr">
        <is>
          <t>A</t>
        </is>
      </c>
      <c r="C2607" t="inlineStr">
        <is>
          <t>Answer Accuracy (Pers. 20)</t>
        </is>
      </c>
      <c r="D2607" s="3" t="inlineStr">
        <is>
          <t>Correctᵢ ∈ {0,1} via LLM-as-Judge (HASIL: BENAR/SALAH)</t>
        </is>
      </c>
      <c r="E2607" s="3" t="inlineStr">
        <is>
          <t>BENAR</t>
        </is>
      </c>
      <c r="F2607" t="inlineStr">
        <is>
          <t>BENAR</t>
        </is>
      </c>
      <c r="G2607" s="3" t="inlineStr">
        <is>
          <t>evaluator: ollama/llama3</t>
        </is>
      </c>
    </row>
    <row r="2608">
      <c r="A2608" t="n">
        <v>177</v>
      </c>
      <c r="B2608" t="inlineStr">
        <is>
          <t>B</t>
        </is>
      </c>
      <c r="C2608" t="inlineStr">
        <is>
          <t>Faithfulness (Pers. 15)</t>
        </is>
      </c>
      <c r="D2608" s="3" t="inlineStr">
        <is>
          <t>F = 0,70×Entailment + 0,30×KWoverlap</t>
        </is>
      </c>
      <c r="E2608" s="3" t="inlineStr">
        <is>
          <t>Faithfulness = 0,70×Entailment + 0,30×KWoverlap = 0,70×0.6667 + 0,30×0.1882 = 0.5231  (entailment: 4/6 klaim didukung; KWoverlap = (|∩|/|ctx|)^0,65 = (16/209)^0,65 = 0.0766^0,65 = 0.1882)</t>
        </is>
      </c>
      <c r="F2608" t="n">
        <v>0.5231</v>
      </c>
      <c r="G2608" s="3" t="inlineStr">
        <is>
          <t>metode: llm_entailment + keyword</t>
        </is>
      </c>
    </row>
    <row r="2609">
      <c r="A2609" t="n">
        <v>177</v>
      </c>
      <c r="B2609" t="inlineStr">
        <is>
          <t>B</t>
        </is>
      </c>
      <c r="C2609" t="inlineStr">
        <is>
          <t>— Entailment (Pers. 12-13)</t>
        </is>
      </c>
      <c r="D2609" s="3" t="inlineStr">
        <is>
          <t>Entailment = Σverdict(sᵢ)/m</t>
        </is>
      </c>
      <c r="E2609" s="3" t="inlineStr">
        <is>
          <t>4 klaim YA dari 6 klaim dievaluasi</t>
        </is>
      </c>
      <c r="F2609" t="n">
        <v>0.6667</v>
      </c>
      <c r="G2609" s="3" t="inlineStr">
        <is>
          <t>verdict per klaim: sheet 'Entailment Detail'</t>
        </is>
      </c>
    </row>
    <row r="2610">
      <c r="A2610" t="n">
        <v>177</v>
      </c>
      <c r="B2610" t="inlineStr">
        <is>
          <t>B</t>
        </is>
      </c>
      <c r="C2610" t="inlineStr">
        <is>
          <t>— Keyword Overlap (Pers. 14)</t>
        </is>
      </c>
      <c r="D2610" s="3" t="inlineStr">
        <is>
          <t>KWoverlap = (|Stems(ans)∩Stems(ctx)| / |Stems(ctx)|)^0,65</t>
        </is>
      </c>
      <c r="E2610" s="3" t="inlineStr">
        <is>
          <t>KWoverlap = (|∩|/|ctx|)^0,65 = (16/209)^0,65 = 0.0766^0,65 = 0.1882</t>
        </is>
      </c>
      <c r="F2610" t="n">
        <v>0.1882</v>
      </c>
      <c r="G2610" s="3" t="inlineStr"/>
    </row>
    <row r="2611">
      <c r="A2611" t="n">
        <v>177</v>
      </c>
      <c r="B2611" t="inlineStr">
        <is>
          <t>B</t>
        </is>
      </c>
      <c r="C2611" t="inlineStr">
        <is>
          <t>Hallucination Risk (Pers. 18)</t>
        </is>
      </c>
      <c r="D2611" s="3" t="inlineStr">
        <is>
          <t>Risk = 0,65×(1-F) + 0,20×Contradiction + 0,15×Uncertainty</t>
        </is>
      </c>
      <c r="E2611" s="3" t="inlineStr">
        <is>
          <t>Risk = 0,65×OutOfContext + 0,20×Contradiction + 0,15×Uncertainty = 0,65×0.4769 + 0,20×0.1111 + 0,15×0.00 = 0.3322 [SEDANG]</t>
        </is>
      </c>
      <c r="F2611" t="n">
        <v>0.3322</v>
      </c>
      <c r="G2611" s="3" t="inlineStr">
        <is>
          <t>label: SEDANG; kontradiksi 1/9 kalimat; uncertainty flag: False</t>
        </is>
      </c>
    </row>
    <row r="2612">
      <c r="A2612" t="n">
        <v>177</v>
      </c>
      <c r="B2612" t="inlineStr">
        <is>
          <t>B</t>
        </is>
      </c>
      <c r="C2612" t="inlineStr">
        <is>
          <t>Answer Accuracy (Pers. 20)</t>
        </is>
      </c>
      <c r="D2612" s="3" t="inlineStr">
        <is>
          <t>Correctᵢ ∈ {0,1} via LLM-as-Judge (HASIL: BENAR/SALAH)</t>
        </is>
      </c>
      <c r="E2612" s="3" t="inlineStr">
        <is>
          <t>Jawaban sistem:</t>
        </is>
      </c>
      <c r="F2612" t="inlineStr">
        <is>
          <t>BENAR</t>
        </is>
      </c>
      <c r="G2612" s="3" t="inlineStr">
        <is>
          <t>evaluator: ollama/llama3</t>
        </is>
      </c>
    </row>
    <row r="2613">
      <c r="A2613" t="n">
        <v>178</v>
      </c>
      <c r="B2613" t="inlineStr">
        <is>
          <t>A</t>
        </is>
      </c>
      <c r="C2613" t="inlineStr">
        <is>
          <t>Precision@K (Pers. 2)</t>
        </is>
      </c>
      <c r="D2613" s="3" t="inlineStr">
        <is>
          <t>Precision@K = |{d ∈ TopK : sim(q,d) ≥ θ}| / K</t>
        </is>
      </c>
      <c r="E2613" s="3" t="inlineStr">
        <is>
          <t>skor = [0.7455, 0.7296, 0.7157, 0.7134, 0.7099, 0.6937] → 6 / 6</t>
        </is>
      </c>
      <c r="F2613" t="n">
        <v>1</v>
      </c>
      <c r="G2613" s="3" t="inlineStr">
        <is>
          <t>basis: skor chunk nyata (sesuai contoh Pers. 2 skripsi)</t>
        </is>
      </c>
    </row>
    <row r="2614">
      <c r="A2614" t="n">
        <v>178</v>
      </c>
      <c r="B2614" t="inlineStr">
        <is>
          <t>A</t>
        </is>
      </c>
      <c r="C2614" t="inlineStr">
        <is>
          <t>Recall@K (Pers. 4)</t>
        </is>
      </c>
      <c r="D2614" s="3" t="inlineStr">
        <is>
          <t>Recall@K = |{kata kunci ditemukan : sim ≥ θ}| / |R|</t>
        </is>
      </c>
      <c r="E2614" s="3" t="inlineStr">
        <is>
          <t>skor = [0.6726, 0.6309, 0.5374, 0.49, 0.4587, 0.456] → 6 / 7</t>
        </is>
      </c>
      <c r="F2614" t="n">
        <v>0.8571</v>
      </c>
      <c r="G2614" s="3" t="inlineStr"/>
    </row>
    <row r="2615">
      <c r="A2615" t="n">
        <v>178</v>
      </c>
      <c r="B2615" t="inlineStr">
        <is>
          <t>A</t>
        </is>
      </c>
      <c r="C2615" t="inlineStr">
        <is>
          <t>Mean Similarity (Pers. 6)</t>
        </is>
      </c>
      <c r="D2615" s="3" t="inlineStr">
        <is>
          <t>MeanSim = (1/K) × Σ sim(q, dᵢ)</t>
        </is>
      </c>
      <c r="E2615" s="3" t="inlineStr">
        <is>
          <t>skor = [0.7455, 0.7296, 0.7157, 0.7134, 0.7099, 0.6937] → (0.7455 + 0.7296 + 0.7157 + 0.7134 + 0.7099 + 0.6937) / 6</t>
        </is>
      </c>
      <c r="F2615" t="n">
        <v>0.718</v>
      </c>
      <c r="G2615" s="3" t="inlineStr"/>
    </row>
    <row r="2616">
      <c r="A2616" t="n">
        <v>178</v>
      </c>
      <c r="B2616" t="inlineStr">
        <is>
          <t>A</t>
        </is>
      </c>
      <c r="C2616" t="inlineStr">
        <is>
          <t>Coverage (Pers. 8)</t>
        </is>
      </c>
      <c r="D2616" s="3" t="inlineStr">
        <is>
          <t>Coverage = |{dᵢ ∈ TopK : sim(q,dᵢ) ≥ θc}| / K</t>
        </is>
      </c>
      <c r="E2616" s="3" t="inlineStr">
        <is>
          <t>skor = [0.7455, 0.7296, 0.7157, 0.7134, 0.7099, 0.6937] → 6 / 6</t>
        </is>
      </c>
      <c r="F2616" t="n">
        <v>1</v>
      </c>
      <c r="G2616" s="3" t="inlineStr"/>
    </row>
    <row r="2617">
      <c r="A2617" t="n">
        <v>178</v>
      </c>
      <c r="B2617" t="inlineStr">
        <is>
          <t>A</t>
        </is>
      </c>
      <c r="C2617" t="inlineStr">
        <is>
          <t>Source Diversity (Pers. 10)</t>
        </is>
      </c>
      <c r="D2617" s="3" t="inlineStr">
        <is>
          <t>Diversity = |sumber unik dalam TopK| / K</t>
        </is>
      </c>
      <c r="E2617" s="3" t="inlineStr">
        <is>
          <t>skor = ['GT_CT07.txt', 'GT_CT11.txt', 'GT_DETAIL_PT11_Perulangan.txt', 'GT_SUBTOPIK_14_Kompleksitas_BigO.txt'] → 4 / 6</t>
        </is>
      </c>
      <c r="F2617" t="n">
        <v>0.6667</v>
      </c>
      <c r="G2617" s="3" t="inlineStr">
        <is>
          <t>file unik: GT_CT07.txt, GT_CT11.txt, GT_DETAIL_PT11_Perulangan.txt, GT_SUBTOPIK_14_Kompleksitas_BigO.txt</t>
        </is>
      </c>
    </row>
    <row r="2618">
      <c r="A2618" t="n">
        <v>178</v>
      </c>
      <c r="B2618" t="inlineStr">
        <is>
          <t>A</t>
        </is>
      </c>
      <c r="C2618" t="inlineStr">
        <is>
          <t>Faithfulness (Pers. 15)</t>
        </is>
      </c>
      <c r="D2618" s="3" t="inlineStr">
        <is>
          <t>F = 0,70×Entailment + 0,30×KWoverlap</t>
        </is>
      </c>
      <c r="E2618" s="3" t="inlineStr">
        <is>
          <t>Faithfulness = 0,70×Entailment + 0,30×KWoverlap = 0,70×1.0000 + 0,30×0.1223 = 0.7367  (entailment: 6/6 klaim didukung; KWoverlap = (|∩|/|ctx|)^0,65 = (9/228)^0,65 = 0.0395^0,65 = 0.1223)</t>
        </is>
      </c>
      <c r="F2618" t="n">
        <v>0.7367</v>
      </c>
      <c r="G2618" s="3" t="inlineStr">
        <is>
          <t>metode: llm_entailment + keyword</t>
        </is>
      </c>
    </row>
    <row r="2619">
      <c r="A2619" t="n">
        <v>178</v>
      </c>
      <c r="B2619" t="inlineStr">
        <is>
          <t>A</t>
        </is>
      </c>
      <c r="C2619" t="inlineStr">
        <is>
          <t>— Entailment (Pers. 12-13)</t>
        </is>
      </c>
      <c r="D2619" s="3" t="inlineStr">
        <is>
          <t>Entailment = Σverdict(sᵢ)/m</t>
        </is>
      </c>
      <c r="E2619" s="3" t="inlineStr">
        <is>
          <t>6 klaim YA dari 6 klaim dievaluasi</t>
        </is>
      </c>
      <c r="F2619" t="n">
        <v>1</v>
      </c>
      <c r="G2619" s="3" t="inlineStr">
        <is>
          <t>verdict per klaim: sheet 'Entailment Detail'</t>
        </is>
      </c>
    </row>
    <row r="2620">
      <c r="A2620" t="n">
        <v>178</v>
      </c>
      <c r="B2620" t="inlineStr">
        <is>
          <t>A</t>
        </is>
      </c>
      <c r="C2620" t="inlineStr">
        <is>
          <t>— Keyword Overlap (Pers. 14)</t>
        </is>
      </c>
      <c r="D2620" s="3" t="inlineStr">
        <is>
          <t>KWoverlap = (|Stems(ans)∩Stems(ctx)| / |Stems(ctx)|)^0,65</t>
        </is>
      </c>
      <c r="E2620" s="3" t="inlineStr">
        <is>
          <t>KWoverlap = (|∩|/|ctx|)^0,65 = (9/228)^0,65 = 0.0395^0,65 = 0.1223</t>
        </is>
      </c>
      <c r="F2620" t="n">
        <v>0.1223</v>
      </c>
      <c r="G2620" s="3" t="inlineStr"/>
    </row>
    <row r="2621">
      <c r="A2621" t="n">
        <v>178</v>
      </c>
      <c r="B2621" t="inlineStr">
        <is>
          <t>A</t>
        </is>
      </c>
      <c r="C2621" t="inlineStr">
        <is>
          <t>Hallucination Risk (Pers. 18)</t>
        </is>
      </c>
      <c r="D2621" s="3" t="inlineStr">
        <is>
          <t>Risk = 0,65×(1-F) + 0,20×Contradiction + 0,15×Uncertainty</t>
        </is>
      </c>
      <c r="E2621" s="3" t="inlineStr">
        <is>
          <t>Risk = 0,65×OutOfContext + 0,20×Contradiction + 0,15×Uncertainty = 0,65×0.2633 + 0,20×0.0000 + 0,15×0.00 = 0.1711 [RENDAH]</t>
        </is>
      </c>
      <c r="F2621" t="n">
        <v>0.1711</v>
      </c>
      <c r="G2621" s="3" t="inlineStr">
        <is>
          <t>label: RENDAH; kontradiksi 0/27 kalimat; uncertainty flag: False</t>
        </is>
      </c>
    </row>
    <row r="2622">
      <c r="A2622" t="n">
        <v>178</v>
      </c>
      <c r="B2622" t="inlineStr">
        <is>
          <t>A</t>
        </is>
      </c>
      <c r="C2622" t="inlineStr">
        <is>
          <t>Answer Accuracy (Pers. 20)</t>
        </is>
      </c>
      <c r="D2622" s="3" t="inlineStr">
        <is>
          <t>Correctᵢ ∈ {0,1} via LLM-as-Judge (HASIL: BENAR/SALAH)</t>
        </is>
      </c>
      <c r="E2622" s="3" t="inlineStr">
        <is>
          <t>BENAR.
Sistem jawaban menjawab pertanyaan dengan benar berdasarkan referensi. Sistem memahami konsep perulangan bersarang dan menjelaskan pentingnya posisi assignment x = x + 1 dalam loop, yang disebutkan sebagai "satu-satunya hal yang sangat penting" oleh dosen.</t>
        </is>
      </c>
      <c r="F2622" t="inlineStr">
        <is>
          <t>BENAR</t>
        </is>
      </c>
      <c r="G2622" s="3" t="inlineStr">
        <is>
          <t>evaluator: ollama/llama3</t>
        </is>
      </c>
    </row>
    <row r="2623">
      <c r="A2623" t="n">
        <v>178</v>
      </c>
      <c r="B2623" t="inlineStr">
        <is>
          <t>B</t>
        </is>
      </c>
      <c r="C2623" t="inlineStr">
        <is>
          <t>Faithfulness (Pers. 15)</t>
        </is>
      </c>
      <c r="D2623" s="3" t="inlineStr">
        <is>
          <t>F = 0,70×Entailment + 0,30×KWoverlap</t>
        </is>
      </c>
      <c r="E2623" s="3" t="inlineStr">
        <is>
          <t>Faithfulness = 0,70×Entailment + 0,30×KWoverlap = 0,70×1.0000 + 0,30×0.2438 = 0.7731  (entailment: 6/6 klaim didukung; KWoverlap = (|∩|/|ctx|)^0,65 = (26/228)^0,65 = 0.1140^0,65 = 0.2438)</t>
        </is>
      </c>
      <c r="F2623" t="n">
        <v>0.7731</v>
      </c>
      <c r="G2623" s="3" t="inlineStr">
        <is>
          <t>metode: llm_entailment + keyword</t>
        </is>
      </c>
    </row>
    <row r="2624">
      <c r="A2624" t="n">
        <v>178</v>
      </c>
      <c r="B2624" t="inlineStr">
        <is>
          <t>B</t>
        </is>
      </c>
      <c r="C2624" t="inlineStr">
        <is>
          <t>— Entailment (Pers. 12-13)</t>
        </is>
      </c>
      <c r="D2624" s="3" t="inlineStr">
        <is>
          <t>Entailment = Σverdict(sᵢ)/m</t>
        </is>
      </c>
      <c r="E2624" s="3" t="inlineStr">
        <is>
          <t>6 klaim YA dari 6 klaim dievaluasi</t>
        </is>
      </c>
      <c r="F2624" t="n">
        <v>1</v>
      </c>
      <c r="G2624" s="3" t="inlineStr">
        <is>
          <t>verdict per klaim: sheet 'Entailment Detail'</t>
        </is>
      </c>
    </row>
    <row r="2625">
      <c r="A2625" t="n">
        <v>178</v>
      </c>
      <c r="B2625" t="inlineStr">
        <is>
          <t>B</t>
        </is>
      </c>
      <c r="C2625" t="inlineStr">
        <is>
          <t>— Keyword Overlap (Pers. 14)</t>
        </is>
      </c>
      <c r="D2625" s="3" t="inlineStr">
        <is>
          <t>KWoverlap = (|Stems(ans)∩Stems(ctx)| / |Stems(ctx)|)^0,65</t>
        </is>
      </c>
      <c r="E2625" s="3" t="inlineStr">
        <is>
          <t>KWoverlap = (|∩|/|ctx|)^0,65 = (26/228)^0,65 = 0.1140^0,65 = 0.2438</t>
        </is>
      </c>
      <c r="F2625" t="n">
        <v>0.2438</v>
      </c>
      <c r="G2625" s="3" t="inlineStr"/>
    </row>
    <row r="2626">
      <c r="A2626" t="n">
        <v>178</v>
      </c>
      <c r="B2626" t="inlineStr">
        <is>
          <t>B</t>
        </is>
      </c>
      <c r="C2626" t="inlineStr">
        <is>
          <t>Hallucination Risk (Pers. 18)</t>
        </is>
      </c>
      <c r="D2626" s="3" t="inlineStr">
        <is>
          <t>Risk = 0,65×(1-F) + 0,20×Contradiction + 0,15×Uncertainty</t>
        </is>
      </c>
      <c r="E2626" s="3" t="inlineStr">
        <is>
          <t>Risk = 0,65×OutOfContext + 0,20×Contradiction + 0,15×Uncertainty = 0,65×0.2269 + 0,20×0.0000 + 0,15×0.00 = 0.1475 [RENDAH]</t>
        </is>
      </c>
      <c r="F2626" t="n">
        <v>0.1475</v>
      </c>
      <c r="G2626" s="3" t="inlineStr">
        <is>
          <t>label: RENDAH; kontradiksi 0/18 kalimat; uncertainty flag: False</t>
        </is>
      </c>
    </row>
    <row r="2627">
      <c r="A2627" t="n">
        <v>178</v>
      </c>
      <c r="B2627" t="inlineStr">
        <is>
          <t>B</t>
        </is>
      </c>
      <c r="C2627" t="inlineStr">
        <is>
          <t>Answer Accuracy (Pers. 20)</t>
        </is>
      </c>
      <c r="D2627" s="3" t="inlineStr">
        <is>
          <t>Correctᵢ ∈ {0,1} via LLM-as-Judge (HASIL: BENAR/SALAH)</t>
        </is>
      </c>
      <c r="E2627" s="3" t="inlineStr">
        <is>
          <t>BENAR</t>
        </is>
      </c>
      <c r="F2627" t="inlineStr">
        <is>
          <t>BENAR</t>
        </is>
      </c>
      <c r="G2627" s="3" t="inlineStr">
        <is>
          <t>evaluator: ollama/llama3</t>
        </is>
      </c>
    </row>
    <row r="2628">
      <c r="A2628" t="n">
        <v>179</v>
      </c>
      <c r="B2628" t="inlineStr">
        <is>
          <t>A</t>
        </is>
      </c>
      <c r="C2628" t="inlineStr">
        <is>
          <t>Precision@K (Pers. 2)</t>
        </is>
      </c>
      <c r="D2628" s="3" t="inlineStr">
        <is>
          <t>Precision@K = |{d ∈ TopK : sim(q,d) ≥ θ}| / K</t>
        </is>
      </c>
      <c r="E2628" s="3" t="inlineStr">
        <is>
          <t>skor = [0.8143, 0.771, 0.7705, 0.7682, 0.7516, 0.7438] → 6 / 6</t>
        </is>
      </c>
      <c r="F2628" t="n">
        <v>1</v>
      </c>
      <c r="G2628" s="3" t="inlineStr">
        <is>
          <t>basis: skor chunk nyata (sesuai contoh Pers. 2 skripsi)</t>
        </is>
      </c>
    </row>
    <row r="2629">
      <c r="A2629" t="n">
        <v>179</v>
      </c>
      <c r="B2629" t="inlineStr">
        <is>
          <t>A</t>
        </is>
      </c>
      <c r="C2629" t="inlineStr">
        <is>
          <t>Recall@K (Pers. 4)</t>
        </is>
      </c>
      <c r="D2629" s="3" t="inlineStr">
        <is>
          <t>Recall@K = |{kata kunci ditemukan : sim ≥ θ}| / |R|</t>
        </is>
      </c>
      <c r="E2629" s="3" t="inlineStr">
        <is>
          <t>skor = [0.589, 0.5861, 0.5674, 0.5186, 0.5026, 0.4333] → 6 / 7</t>
        </is>
      </c>
      <c r="F2629" t="n">
        <v>0.8571</v>
      </c>
      <c r="G2629" s="3" t="inlineStr"/>
    </row>
    <row r="2630">
      <c r="A2630" t="n">
        <v>179</v>
      </c>
      <c r="B2630" t="inlineStr">
        <is>
          <t>A</t>
        </is>
      </c>
      <c r="C2630" t="inlineStr">
        <is>
          <t>Mean Similarity (Pers. 6)</t>
        </is>
      </c>
      <c r="D2630" s="3" t="inlineStr">
        <is>
          <t>MeanSim = (1/K) × Σ sim(q, dᵢ)</t>
        </is>
      </c>
      <c r="E2630" s="3" t="inlineStr">
        <is>
          <t>skor = [0.8143, 0.771, 0.7705, 0.7682, 0.7516, 0.7438] → (0.8143 + 0.7710 + 0.7705 + 0.7682 + 0.7516 + 0.7438) / 6</t>
        </is>
      </c>
      <c r="F2630" t="n">
        <v>0.7699</v>
      </c>
      <c r="G2630" s="3" t="inlineStr"/>
    </row>
    <row r="2631">
      <c r="A2631" t="n">
        <v>179</v>
      </c>
      <c r="B2631" t="inlineStr">
        <is>
          <t>A</t>
        </is>
      </c>
      <c r="C2631" t="inlineStr">
        <is>
          <t>Coverage (Pers. 8)</t>
        </is>
      </c>
      <c r="D2631" s="3" t="inlineStr">
        <is>
          <t>Coverage = |{dᵢ ∈ TopK : sim(q,dᵢ) ≥ θc}| / K</t>
        </is>
      </c>
      <c r="E2631" s="3" t="inlineStr">
        <is>
          <t>skor = [0.8143, 0.771, 0.7705, 0.7682, 0.7516, 0.7438] → 6 / 6</t>
        </is>
      </c>
      <c r="F2631" t="n">
        <v>1</v>
      </c>
      <c r="G2631" s="3" t="inlineStr"/>
    </row>
    <row r="2632">
      <c r="A2632" t="n">
        <v>179</v>
      </c>
      <c r="B2632" t="inlineStr">
        <is>
          <t>A</t>
        </is>
      </c>
      <c r="C2632" t="inlineStr">
        <is>
          <t>Source Diversity (Pers. 10)</t>
        </is>
      </c>
      <c r="D2632" s="3" t="inlineStr">
        <is>
          <t>Diversity = |sumber unik dalam TopK| / K</t>
        </is>
      </c>
      <c r="E2632" s="3" t="inlineStr">
        <is>
          <t>skor = ['GT_CT11.txt', 'GT_DETAIL_PT11_Perulangan.txt'] → 2 / 6</t>
        </is>
      </c>
      <c r="F2632" t="n">
        <v>0.3333</v>
      </c>
      <c r="G2632" s="3" t="inlineStr">
        <is>
          <t>file unik: GT_CT11.txt, GT_DETAIL_PT11_Perulangan.txt</t>
        </is>
      </c>
    </row>
    <row r="2633">
      <c r="A2633" t="n">
        <v>179</v>
      </c>
      <c r="B2633" t="inlineStr">
        <is>
          <t>A</t>
        </is>
      </c>
      <c r="C2633" t="inlineStr">
        <is>
          <t>Faithfulness (Pers. 15)</t>
        </is>
      </c>
      <c r="D2633" s="3" t="inlineStr">
        <is>
          <t>F = 0,70×Entailment + 0,30×KWoverlap</t>
        </is>
      </c>
      <c r="E2633" s="3" t="inlineStr">
        <is>
          <t>Faithfulness = 0,70×Entailment + 0,30×KWoverlap = 0,70×0.6667 + 0,30×0.3434 = 0.5697  (entailment: 4/6 klaim didukung; KWoverlap = (|∩|/|ctx|)^0,65 = (28/145)^0,65 = 0.1931^0,65 = 0.3434)</t>
        </is>
      </c>
      <c r="F2633" t="n">
        <v>0.5697</v>
      </c>
      <c r="G2633" s="3" t="inlineStr">
        <is>
          <t>metode: llm_entailment + keyword</t>
        </is>
      </c>
    </row>
    <row r="2634">
      <c r="A2634" t="n">
        <v>179</v>
      </c>
      <c r="B2634" t="inlineStr">
        <is>
          <t>A</t>
        </is>
      </c>
      <c r="C2634" t="inlineStr">
        <is>
          <t>— Entailment (Pers. 12-13)</t>
        </is>
      </c>
      <c r="D2634" s="3" t="inlineStr">
        <is>
          <t>Entailment = Σverdict(sᵢ)/m</t>
        </is>
      </c>
      <c r="E2634" s="3" t="inlineStr">
        <is>
          <t>4 klaim YA dari 6 klaim dievaluasi</t>
        </is>
      </c>
      <c r="F2634" t="n">
        <v>0.6667</v>
      </c>
      <c r="G2634" s="3" t="inlineStr">
        <is>
          <t>verdict per klaim: sheet 'Entailment Detail'</t>
        </is>
      </c>
    </row>
    <row r="2635">
      <c r="A2635" t="n">
        <v>179</v>
      </c>
      <c r="B2635" t="inlineStr">
        <is>
          <t>A</t>
        </is>
      </c>
      <c r="C2635" t="inlineStr">
        <is>
          <t>— Keyword Overlap (Pers. 14)</t>
        </is>
      </c>
      <c r="D2635" s="3" t="inlineStr">
        <is>
          <t>KWoverlap = (|Stems(ans)∩Stems(ctx)| / |Stems(ctx)|)^0,65</t>
        </is>
      </c>
      <c r="E2635" s="3" t="inlineStr">
        <is>
          <t>KWoverlap = (|∩|/|ctx|)^0,65 = (28/145)^0,65 = 0.1931^0,65 = 0.3434</t>
        </is>
      </c>
      <c r="F2635" t="n">
        <v>0.3434</v>
      </c>
      <c r="G2635" s="3" t="inlineStr"/>
    </row>
    <row r="2636">
      <c r="A2636" t="n">
        <v>179</v>
      </c>
      <c r="B2636" t="inlineStr">
        <is>
          <t>A</t>
        </is>
      </c>
      <c r="C2636" t="inlineStr">
        <is>
          <t>Hallucination Risk (Pers. 18)</t>
        </is>
      </c>
      <c r="D2636" s="3" t="inlineStr">
        <is>
          <t>Risk = 0,65×(1-F) + 0,20×Contradiction + 0,15×Uncertainty</t>
        </is>
      </c>
      <c r="E2636" s="3" t="inlineStr">
        <is>
          <t>Risk = 0,65×OutOfContext + 0,20×Contradiction + 0,15×Uncertainty = 0,65×0.4303 + 0,20×0.0000 + 0,15×0.00 = 0.2797 [RENDAH]</t>
        </is>
      </c>
      <c r="F2636" t="n">
        <v>0.2797</v>
      </c>
      <c r="G2636" s="3" t="inlineStr">
        <is>
          <t>label: RENDAH; kontradiksi 0/19 kalimat; uncertainty flag: False</t>
        </is>
      </c>
    </row>
    <row r="2637">
      <c r="A2637" t="n">
        <v>179</v>
      </c>
      <c r="B2637" t="inlineStr">
        <is>
          <t>A</t>
        </is>
      </c>
      <c r="C2637" t="inlineStr">
        <is>
          <t>Answer Accuracy (Pers. 20)</t>
        </is>
      </c>
      <c r="D2637" s="3" t="inlineStr">
        <is>
          <t>Correctᵢ ∈ {0,1} via LLM-as-Judge (HASIL: BENAR/SALAH)</t>
        </is>
      </c>
      <c r="E2637" s="3" t="inlineStr"/>
      <c r="F2637" t="inlineStr">
        <is>
          <t>BENAR</t>
        </is>
      </c>
      <c r="G2637" s="3" t="inlineStr">
        <is>
          <t>evaluator: ollama/llama3</t>
        </is>
      </c>
    </row>
    <row r="2638">
      <c r="A2638" t="n">
        <v>179</v>
      </c>
      <c r="B2638" t="inlineStr">
        <is>
          <t>B</t>
        </is>
      </c>
      <c r="C2638" t="inlineStr">
        <is>
          <t>Faithfulness (Pers. 15)</t>
        </is>
      </c>
      <c r="D2638" s="3" t="inlineStr">
        <is>
          <t>F = 0,70×Entailment + 0,30×KWoverlap</t>
        </is>
      </c>
      <c r="E2638" s="3" t="inlineStr">
        <is>
          <t>Faithfulness = 0,70×Entailment + 0,30×KWoverlap = 0,70×0.5000 + 0,30×0.2188 = 0.4156  (entailment: 3/6 klaim didukung; KWoverlap = (|∩|/|ctx|)^0,65 = (14/145)^0,65 = 0.0966^0,65 = 0.2188)</t>
        </is>
      </c>
      <c r="F2638" t="n">
        <v>0.4156</v>
      </c>
      <c r="G2638" s="3" t="inlineStr">
        <is>
          <t>metode: llm_entailment + keyword</t>
        </is>
      </c>
    </row>
    <row r="2639">
      <c r="A2639" t="n">
        <v>179</v>
      </c>
      <c r="B2639" t="inlineStr">
        <is>
          <t>B</t>
        </is>
      </c>
      <c r="C2639" t="inlineStr">
        <is>
          <t>— Entailment (Pers. 12-13)</t>
        </is>
      </c>
      <c r="D2639" s="3" t="inlineStr">
        <is>
          <t>Entailment = Σverdict(sᵢ)/m</t>
        </is>
      </c>
      <c r="E2639" s="3" t="inlineStr">
        <is>
          <t>3 klaim YA dari 6 klaim dievaluasi</t>
        </is>
      </c>
      <c r="F2639" t="n">
        <v>0.5</v>
      </c>
      <c r="G2639" s="3" t="inlineStr">
        <is>
          <t>verdict per klaim: sheet 'Entailment Detail'</t>
        </is>
      </c>
    </row>
    <row r="2640">
      <c r="A2640" t="n">
        <v>179</v>
      </c>
      <c r="B2640" t="inlineStr">
        <is>
          <t>B</t>
        </is>
      </c>
      <c r="C2640" t="inlineStr">
        <is>
          <t>— Keyword Overlap (Pers. 14)</t>
        </is>
      </c>
      <c r="D2640" s="3" t="inlineStr">
        <is>
          <t>KWoverlap = (|Stems(ans)∩Stems(ctx)| / |Stems(ctx)|)^0,65</t>
        </is>
      </c>
      <c r="E2640" s="3" t="inlineStr">
        <is>
          <t>KWoverlap = (|∩|/|ctx|)^0,65 = (14/145)^0,65 = 0.0966^0,65 = 0.2188</t>
        </is>
      </c>
      <c r="F2640" t="n">
        <v>0.2188</v>
      </c>
      <c r="G2640" s="3" t="inlineStr"/>
    </row>
    <row r="2641">
      <c r="A2641" t="n">
        <v>179</v>
      </c>
      <c r="B2641" t="inlineStr">
        <is>
          <t>B</t>
        </is>
      </c>
      <c r="C2641" t="inlineStr">
        <is>
          <t>Hallucination Risk (Pers. 18)</t>
        </is>
      </c>
      <c r="D2641" s="3" t="inlineStr">
        <is>
          <t>Risk = 0,65×(1-F) + 0,20×Contradiction + 0,15×Uncertainty</t>
        </is>
      </c>
      <c r="E2641" s="3" t="inlineStr">
        <is>
          <t>Risk = 0,65×OutOfContext + 0,20×Contradiction + 0,15×Uncertainty = 0,65×0.5844 + 0,20×0.0000 + 0,15×0.00 = 0.3799 [SEDANG]</t>
        </is>
      </c>
      <c r="F2641" t="n">
        <v>0.3799</v>
      </c>
      <c r="G2641" s="3" t="inlineStr">
        <is>
          <t>label: SEDANG; kontradiksi 0/19 kalimat; uncertainty flag: False</t>
        </is>
      </c>
    </row>
    <row r="2642">
      <c r="A2642" t="n">
        <v>179</v>
      </c>
      <c r="B2642" t="inlineStr">
        <is>
          <t>B</t>
        </is>
      </c>
      <c r="C2642" t="inlineStr">
        <is>
          <t>Answer Accuracy (Pers. 20)</t>
        </is>
      </c>
      <c r="D2642" s="3" t="inlineStr">
        <is>
          <t>Correctᵢ ∈ {0,1} via LLM-as-Judge (HASIL: BENAR/SALAH)</t>
        </is>
      </c>
      <c r="E2642" s="3" t="inlineStr">
        <is>
          <t>Jawaban sistem: BENAR</t>
        </is>
      </c>
      <c r="F2642" t="inlineStr">
        <is>
          <t>BENAR</t>
        </is>
      </c>
      <c r="G2642" s="3" t="inlineStr">
        <is>
          <t>evaluator: ollama/llama3</t>
        </is>
      </c>
    </row>
    <row r="2643">
      <c r="A2643" t="n">
        <v>180</v>
      </c>
      <c r="B2643" t="inlineStr">
        <is>
          <t>A</t>
        </is>
      </c>
      <c r="C2643" t="inlineStr">
        <is>
          <t>Precision@K (Pers. 2)</t>
        </is>
      </c>
      <c r="D2643" s="3" t="inlineStr">
        <is>
          <t>Precision@K = |{d ∈ TopK : sim(q,d) ≥ θ}| / K</t>
        </is>
      </c>
      <c r="E2643" s="3" t="inlineStr">
        <is>
          <t>skor = [0.8189, 0.8134, 0.8119, 0.8109, 0.8087, 0.8018] → 6 / 6</t>
        </is>
      </c>
      <c r="F2643" t="n">
        <v>1</v>
      </c>
      <c r="G2643" s="3" t="inlineStr">
        <is>
          <t>basis: skor chunk nyata (sesuai contoh Pers. 2 skripsi)</t>
        </is>
      </c>
    </row>
    <row r="2644">
      <c r="A2644" t="n">
        <v>180</v>
      </c>
      <c r="B2644" t="inlineStr">
        <is>
          <t>A</t>
        </is>
      </c>
      <c r="C2644" t="inlineStr">
        <is>
          <t>Recall@K (Pers. 4)</t>
        </is>
      </c>
      <c r="D2644" s="3" t="inlineStr">
        <is>
          <t>Recall@K = |{kata kunci ditemukan : sim ≥ θ}| / |R|</t>
        </is>
      </c>
      <c r="E2644" s="3" t="inlineStr">
        <is>
          <t>skor = [0.6307, 0.5894, 0.521, 0.4873, 0.4588, 0.4259] → 6 / 7</t>
        </is>
      </c>
      <c r="F2644" t="n">
        <v>0.8571</v>
      </c>
      <c r="G2644" s="3" t="inlineStr"/>
    </row>
    <row r="2645">
      <c r="A2645" t="n">
        <v>180</v>
      </c>
      <c r="B2645" t="inlineStr">
        <is>
          <t>A</t>
        </is>
      </c>
      <c r="C2645" t="inlineStr">
        <is>
          <t>Mean Similarity (Pers. 6)</t>
        </is>
      </c>
      <c r="D2645" s="3" t="inlineStr">
        <is>
          <t>MeanSim = (1/K) × Σ sim(q, dᵢ)</t>
        </is>
      </c>
      <c r="E2645" s="3" t="inlineStr">
        <is>
          <t>skor = [0.8189, 0.8134, 0.8119, 0.8109, 0.8087, 0.8018] → (0.8189 + 0.8134 + 0.8119 + 0.8109 + 0.8087 + 0.8018) / 6</t>
        </is>
      </c>
      <c r="F2645" t="n">
        <v>0.8109</v>
      </c>
      <c r="G2645" s="3" t="inlineStr"/>
    </row>
    <row r="2646">
      <c r="A2646" t="n">
        <v>180</v>
      </c>
      <c r="B2646" t="inlineStr">
        <is>
          <t>A</t>
        </is>
      </c>
      <c r="C2646" t="inlineStr">
        <is>
          <t>Coverage (Pers. 8)</t>
        </is>
      </c>
      <c r="D2646" s="3" t="inlineStr">
        <is>
          <t>Coverage = |{dᵢ ∈ TopK : sim(q,dᵢ) ≥ θc}| / K</t>
        </is>
      </c>
      <c r="E2646" s="3" t="inlineStr">
        <is>
          <t>skor = [0.8189, 0.8134, 0.8119, 0.8109, 0.8087, 0.8018] → 6 / 6</t>
        </is>
      </c>
      <c r="F2646" t="n">
        <v>1</v>
      </c>
      <c r="G2646" s="3" t="inlineStr"/>
    </row>
    <row r="2647">
      <c r="A2647" t="n">
        <v>180</v>
      </c>
      <c r="B2647" t="inlineStr">
        <is>
          <t>A</t>
        </is>
      </c>
      <c r="C2647" t="inlineStr">
        <is>
          <t>Source Diversity (Pers. 10)</t>
        </is>
      </c>
      <c r="D2647" s="3" t="inlineStr">
        <is>
          <t>Diversity = |sumber unik dalam TopK| / K</t>
        </is>
      </c>
      <c r="E2647" s="3" t="inlineStr">
        <is>
          <t>skor = ['GT_CT07.txt', 'GT_CT11.txt', 'GT_DETAIL_PT07_Notasi_Algoritme.txt', 'GT_DETAIL_PT10_Percabangan.txt', 'GT_DETAIL_PT11_Perulangan.txt'] → 5 / 6</t>
        </is>
      </c>
      <c r="F2647" t="n">
        <v>0.8333</v>
      </c>
      <c r="G2647" s="3" t="inlineStr">
        <is>
          <t>file unik: GT_CT07.txt, GT_CT11.txt, GT_DETAIL_PT07_Notasi_Algoritme.txt, GT_DETAIL_PT10_Percabangan.txt, GT_DETAIL_PT11_Perulangan.txt</t>
        </is>
      </c>
    </row>
    <row r="2648">
      <c r="A2648" t="n">
        <v>180</v>
      </c>
      <c r="B2648" t="inlineStr">
        <is>
          <t>A</t>
        </is>
      </c>
      <c r="C2648" t="inlineStr">
        <is>
          <t>Faithfulness (Pers. 15)</t>
        </is>
      </c>
      <c r="D2648" s="3" t="inlineStr">
        <is>
          <t>F = 0,70×Entailment + 0,30×KWoverlap</t>
        </is>
      </c>
      <c r="E2648" s="3" t="inlineStr">
        <is>
          <t>Faithfulness = 0,70×Entailment + 0,30×KWoverlap = 0,70×1.0000 + 0,30×0.2291 = 0.7687  (entailment: 6/6 klaim didukung; KWoverlap = (|∩|/|ctx|)^0,65 = (20/193)^0,65 = 0.1036^0,65 = 0.2291)</t>
        </is>
      </c>
      <c r="F2648" t="n">
        <v>0.7687</v>
      </c>
      <c r="G2648" s="3" t="inlineStr">
        <is>
          <t>metode: llm_entailment + keyword</t>
        </is>
      </c>
    </row>
    <row r="2649">
      <c r="A2649" t="n">
        <v>180</v>
      </c>
      <c r="B2649" t="inlineStr">
        <is>
          <t>A</t>
        </is>
      </c>
      <c r="C2649" t="inlineStr">
        <is>
          <t>— Entailment (Pers. 12-13)</t>
        </is>
      </c>
      <c r="D2649" s="3" t="inlineStr">
        <is>
          <t>Entailment = Σverdict(sᵢ)/m</t>
        </is>
      </c>
      <c r="E2649" s="3" t="inlineStr">
        <is>
          <t>6 klaim YA dari 6 klaim dievaluasi</t>
        </is>
      </c>
      <c r="F2649" t="n">
        <v>1</v>
      </c>
      <c r="G2649" s="3" t="inlineStr">
        <is>
          <t>verdict per klaim: sheet 'Entailment Detail'</t>
        </is>
      </c>
    </row>
    <row r="2650">
      <c r="A2650" t="n">
        <v>180</v>
      </c>
      <c r="B2650" t="inlineStr">
        <is>
          <t>A</t>
        </is>
      </c>
      <c r="C2650" t="inlineStr">
        <is>
          <t>— Keyword Overlap (Pers. 14)</t>
        </is>
      </c>
      <c r="D2650" s="3" t="inlineStr">
        <is>
          <t>KWoverlap = (|Stems(ans)∩Stems(ctx)| / |Stems(ctx)|)^0,65</t>
        </is>
      </c>
      <c r="E2650" s="3" t="inlineStr">
        <is>
          <t>KWoverlap = (|∩|/|ctx|)^0,65 = (20/193)^0,65 = 0.1036^0,65 = 0.2291</t>
        </is>
      </c>
      <c r="F2650" t="n">
        <v>0.2291</v>
      </c>
      <c r="G2650" s="3" t="inlineStr"/>
    </row>
    <row r="2651">
      <c r="A2651" t="n">
        <v>180</v>
      </c>
      <c r="B2651" t="inlineStr">
        <is>
          <t>A</t>
        </is>
      </c>
      <c r="C2651" t="inlineStr">
        <is>
          <t>Hallucination Risk (Pers. 18)</t>
        </is>
      </c>
      <c r="D2651" s="3" t="inlineStr">
        <is>
          <t>Risk = 0,65×(1-F) + 0,20×Contradiction + 0,15×Uncertainty</t>
        </is>
      </c>
      <c r="E2651" s="3" t="inlineStr">
        <is>
          <t>Risk = 0,65×OutOfContext + 0,20×Contradiction + 0,15×Uncertainty = 0,65×0.2313 + 0,20×0.0000 + 0,15×0.00 = 0.1503 [RENDAH]</t>
        </is>
      </c>
      <c r="F2651" t="n">
        <v>0.1503</v>
      </c>
      <c r="G2651" s="3" t="inlineStr">
        <is>
          <t>label: RENDAH; kontradiksi 0/9 kalimat; uncertainty flag: False</t>
        </is>
      </c>
    </row>
    <row r="2652">
      <c r="A2652" t="n">
        <v>180</v>
      </c>
      <c r="B2652" t="inlineStr">
        <is>
          <t>A</t>
        </is>
      </c>
      <c r="C2652" t="inlineStr">
        <is>
          <t>Answer Accuracy (Pers. 20)</t>
        </is>
      </c>
      <c r="D2652" s="3" t="inlineStr">
        <is>
          <t>Correctᵢ ∈ {0,1} via LLM-as-Judge (HASIL: BENAR/SALAH)</t>
        </is>
      </c>
      <c r="E2652" s="3" t="inlineStr">
        <is>
          <t>Jawaban sistem:</t>
        </is>
      </c>
      <c r="F2652" t="inlineStr">
        <is>
          <t>BENAR</t>
        </is>
      </c>
      <c r="G2652" s="3" t="inlineStr">
        <is>
          <t>evaluator: ollama/llama3</t>
        </is>
      </c>
    </row>
    <row r="2653">
      <c r="A2653" t="n">
        <v>180</v>
      </c>
      <c r="B2653" t="inlineStr">
        <is>
          <t>B</t>
        </is>
      </c>
      <c r="C2653" t="inlineStr">
        <is>
          <t>Faithfulness (Pers. 15)</t>
        </is>
      </c>
      <c r="D2653" s="3" t="inlineStr">
        <is>
          <t>F = 0,70×Entailment + 0,30×KWoverlap</t>
        </is>
      </c>
      <c r="E2653" s="3" t="inlineStr">
        <is>
          <t>Faithfulness = 0,70×Entailment + 0,30×KWoverlap = 0,70×0.8333 + 0,30×0.1644 = 0.6326  (entailment: 5/6 klaim didukung; KWoverlap = (|∩|/|ctx|)^0,65 = (12/193)^0,65 = 0.0622^0,65 = 0.1644)</t>
        </is>
      </c>
      <c r="F2653" t="n">
        <v>0.6326000000000001</v>
      </c>
      <c r="G2653" s="3" t="inlineStr">
        <is>
          <t>metode: llm_entailment + keyword</t>
        </is>
      </c>
    </row>
    <row r="2654">
      <c r="A2654" t="n">
        <v>180</v>
      </c>
      <c r="B2654" t="inlineStr">
        <is>
          <t>B</t>
        </is>
      </c>
      <c r="C2654" t="inlineStr">
        <is>
          <t>— Entailment (Pers. 12-13)</t>
        </is>
      </c>
      <c r="D2654" s="3" t="inlineStr">
        <is>
          <t>Entailment = Σverdict(sᵢ)/m</t>
        </is>
      </c>
      <c r="E2654" s="3" t="inlineStr">
        <is>
          <t>5 klaim YA dari 6 klaim dievaluasi</t>
        </is>
      </c>
      <c r="F2654" t="n">
        <v>0.8333</v>
      </c>
      <c r="G2654" s="3" t="inlineStr">
        <is>
          <t>verdict per klaim: sheet 'Entailment Detail'</t>
        </is>
      </c>
    </row>
    <row r="2655">
      <c r="A2655" t="n">
        <v>180</v>
      </c>
      <c r="B2655" t="inlineStr">
        <is>
          <t>B</t>
        </is>
      </c>
      <c r="C2655" t="inlineStr">
        <is>
          <t>— Keyword Overlap (Pers. 14)</t>
        </is>
      </c>
      <c r="D2655" s="3" t="inlineStr">
        <is>
          <t>KWoverlap = (|Stems(ans)∩Stems(ctx)| / |Stems(ctx)|)^0,65</t>
        </is>
      </c>
      <c r="E2655" s="3" t="inlineStr">
        <is>
          <t>KWoverlap = (|∩|/|ctx|)^0,65 = (12/193)^0,65 = 0.0622^0,65 = 0.1644</t>
        </is>
      </c>
      <c r="F2655" t="n">
        <v>0.1644</v>
      </c>
      <c r="G2655" s="3" t="inlineStr"/>
    </row>
    <row r="2656">
      <c r="A2656" t="n">
        <v>180</v>
      </c>
      <c r="B2656" t="inlineStr">
        <is>
          <t>B</t>
        </is>
      </c>
      <c r="C2656" t="inlineStr">
        <is>
          <t>Hallucination Risk (Pers. 18)</t>
        </is>
      </c>
      <c r="D2656" s="3" t="inlineStr">
        <is>
          <t>Risk = 0,65×(1-F) + 0,20×Contradiction + 0,15×Uncertainty</t>
        </is>
      </c>
      <c r="E2656" s="3" t="inlineStr">
        <is>
          <t>Risk = 0,65×OutOfContext + 0,20×Contradiction + 0,15×Uncertainty = 0,65×0.3674 + 0,20×0.0000 + 0,15×0.00 = 0.2388 [RENDAH]</t>
        </is>
      </c>
      <c r="F2656" t="n">
        <v>0.2388</v>
      </c>
      <c r="G2656" s="3" t="inlineStr">
        <is>
          <t>label: RENDAH; kontradiksi 0/9 kalimat; uncertainty flag: False</t>
        </is>
      </c>
    </row>
    <row r="2657">
      <c r="A2657" t="n">
        <v>180</v>
      </c>
      <c r="B2657" t="inlineStr">
        <is>
          <t>B</t>
        </is>
      </c>
      <c r="C2657" t="inlineStr">
        <is>
          <t>Answer Accuracy (Pers. 20)</t>
        </is>
      </c>
      <c r="D2657" s="3" t="inlineStr">
        <is>
          <t>Correctᵢ ∈ {0,1} via LLM-as-Judge (HASIL: BENAR/SALAH)</t>
        </is>
      </c>
      <c r="E2657" s="3" t="inlineStr">
        <is>
          <t>Menurut referensi (dokumen materi GT) yang dijabarkan, jawaban sistem untuk pertanyaan tersebut adalah:
JAWABAN: 
Karena dalam pseudocode CT, "selalu dijalankan MINIMAL SATU KALI" dan tidak ada petunjuk khusus bahwa indeks 0-9 lebih "benar" daripada 1-10. Dalam programming, kedua cara pengulangan tersebut memang memiliki 10 iterasi dan sama-sama dapat digunakan untuk mengakses elemen array di da</t>
        </is>
      </c>
      <c r="F2657" t="inlineStr">
        <is>
          <t>SALAH</t>
        </is>
      </c>
      <c r="G2657" s="3" t="inlineStr">
        <is>
          <t>evaluator: ollama/llama3</t>
        </is>
      </c>
    </row>
    <row r="2658">
      <c r="A2658" t="n">
        <v>181</v>
      </c>
      <c r="B2658" t="inlineStr">
        <is>
          <t>A</t>
        </is>
      </c>
      <c r="C2658" t="inlineStr">
        <is>
          <t>Precision@K (Pers. 2)</t>
        </is>
      </c>
      <c r="D2658" s="3" t="inlineStr">
        <is>
          <t>Precision@K = |{d ∈ TopK : sim(q,d) ≥ θ}| / K</t>
        </is>
      </c>
      <c r="E2658" s="3" t="inlineStr">
        <is>
          <t>skor = [0.8257, 0.8162, 0.8112, 0.8037, 0.7997, 0.7966] → 6 / 6</t>
        </is>
      </c>
      <c r="F2658" t="n">
        <v>1</v>
      </c>
      <c r="G2658" s="3" t="inlineStr">
        <is>
          <t>basis: skor chunk nyata (sesuai contoh Pers. 2 skripsi)</t>
        </is>
      </c>
    </row>
    <row r="2659">
      <c r="A2659" t="n">
        <v>181</v>
      </c>
      <c r="B2659" t="inlineStr">
        <is>
          <t>A</t>
        </is>
      </c>
      <c r="C2659" t="inlineStr">
        <is>
          <t>Recall@K (Pers. 4)</t>
        </is>
      </c>
      <c r="D2659" s="3" t="inlineStr">
        <is>
          <t>Recall@K = |{kata kunci ditemukan : sim ≥ θ}| / |R|</t>
        </is>
      </c>
      <c r="E2659" s="3" t="inlineStr">
        <is>
          <t>skor = [0.6339, 0.6272, 0.6014, 0.5532, 0.5048, 0.4787] → 6 / 6</t>
        </is>
      </c>
      <c r="F2659" t="n">
        <v>1</v>
      </c>
      <c r="G2659" s="3" t="inlineStr"/>
    </row>
    <row r="2660">
      <c r="A2660" t="n">
        <v>181</v>
      </c>
      <c r="B2660" t="inlineStr">
        <is>
          <t>A</t>
        </is>
      </c>
      <c r="C2660" t="inlineStr">
        <is>
          <t>Mean Similarity (Pers. 6)</t>
        </is>
      </c>
      <c r="D2660" s="3" t="inlineStr">
        <is>
          <t>MeanSim = (1/K) × Σ sim(q, dᵢ)</t>
        </is>
      </c>
      <c r="E2660" s="3" t="inlineStr">
        <is>
          <t>skor = [0.8257, 0.8162, 0.8112, 0.8037, 0.7997, 0.7966] → (0.8257 + 0.8162 + 0.8112 + 0.8037 + 0.7997 + 0.7966) / 6</t>
        </is>
      </c>
      <c r="F2660" t="n">
        <v>0.8088</v>
      </c>
      <c r="G2660" s="3" t="inlineStr"/>
    </row>
    <row r="2661">
      <c r="A2661" t="n">
        <v>181</v>
      </c>
      <c r="B2661" t="inlineStr">
        <is>
          <t>A</t>
        </is>
      </c>
      <c r="C2661" t="inlineStr">
        <is>
          <t>Coverage (Pers. 8)</t>
        </is>
      </c>
      <c r="D2661" s="3" t="inlineStr">
        <is>
          <t>Coverage = |{dᵢ ∈ TopK : sim(q,dᵢ) ≥ θc}| / K</t>
        </is>
      </c>
      <c r="E2661" s="3" t="inlineStr">
        <is>
          <t>skor = [0.8257, 0.8162, 0.8112, 0.8037, 0.7997, 0.7966] → 6 / 6</t>
        </is>
      </c>
      <c r="F2661" t="n">
        <v>1</v>
      </c>
      <c r="G2661" s="3" t="inlineStr"/>
    </row>
    <row r="2662">
      <c r="A2662" t="n">
        <v>181</v>
      </c>
      <c r="B2662" t="inlineStr">
        <is>
          <t>A</t>
        </is>
      </c>
      <c r="C2662" t="inlineStr">
        <is>
          <t>Source Diversity (Pers. 10)</t>
        </is>
      </c>
      <c r="D2662" s="3" t="inlineStr">
        <is>
          <t>Diversity = |sumber unik dalam TopK| / K</t>
        </is>
      </c>
      <c r="E2662" s="3" t="inlineStr">
        <is>
          <t>skor = ['GT_CT05.txt', 'GT_DETAIL_PT05_Pattern_Recognition.txt', 'GT_SUBTOPIK_03_Pola_Bilangan_Deret.txt'] → 3 / 6</t>
        </is>
      </c>
      <c r="F2662" t="n">
        <v>0.5</v>
      </c>
      <c r="G2662" s="3" t="inlineStr">
        <is>
          <t>file unik: GT_CT05.txt, GT_DETAIL_PT05_Pattern_Recognition.txt, GT_SUBTOPIK_03_Pola_Bilangan_Deret.txt</t>
        </is>
      </c>
    </row>
    <row r="2663">
      <c r="A2663" t="n">
        <v>181</v>
      </c>
      <c r="B2663" t="inlineStr">
        <is>
          <t>A</t>
        </is>
      </c>
      <c r="C2663" t="inlineStr">
        <is>
          <t>Faithfulness (Pers. 15)</t>
        </is>
      </c>
      <c r="D2663" s="3" t="inlineStr">
        <is>
          <t>F = 0,70×Entailment + 0,30×KWoverlap</t>
        </is>
      </c>
      <c r="E2663" s="3" t="inlineStr">
        <is>
          <t>Faithfulness = 0,70×Entailment + 0,30×KWoverlap = 0,70×0.8333 + 0,30×0.1438 = 0.6265  (entailment: 5/6 klaim didukung; KWoverlap = (|∩|/|ctx|)^0,65 = (8/158)^0,65 = 0.0506^0,65 = 0.1438)</t>
        </is>
      </c>
      <c r="F2663" t="n">
        <v>0.6264999999999999</v>
      </c>
      <c r="G2663" s="3" t="inlineStr">
        <is>
          <t>metode: llm_entailment + keyword</t>
        </is>
      </c>
    </row>
    <row r="2664">
      <c r="A2664" t="n">
        <v>181</v>
      </c>
      <c r="B2664" t="inlineStr">
        <is>
          <t>A</t>
        </is>
      </c>
      <c r="C2664" t="inlineStr">
        <is>
          <t>— Entailment (Pers. 12-13)</t>
        </is>
      </c>
      <c r="D2664" s="3" t="inlineStr">
        <is>
          <t>Entailment = Σverdict(sᵢ)/m</t>
        </is>
      </c>
      <c r="E2664" s="3" t="inlineStr">
        <is>
          <t>5 klaim YA dari 6 klaim dievaluasi</t>
        </is>
      </c>
      <c r="F2664" t="n">
        <v>0.8333</v>
      </c>
      <c r="G2664" s="3" t="inlineStr">
        <is>
          <t>verdict per klaim: sheet 'Entailment Detail'</t>
        </is>
      </c>
    </row>
    <row r="2665">
      <c r="A2665" t="n">
        <v>181</v>
      </c>
      <c r="B2665" t="inlineStr">
        <is>
          <t>A</t>
        </is>
      </c>
      <c r="C2665" t="inlineStr">
        <is>
          <t>— Keyword Overlap (Pers. 14)</t>
        </is>
      </c>
      <c r="D2665" s="3" t="inlineStr">
        <is>
          <t>KWoverlap = (|Stems(ans)∩Stems(ctx)| / |Stems(ctx)|)^0,65</t>
        </is>
      </c>
      <c r="E2665" s="3" t="inlineStr">
        <is>
          <t>KWoverlap = (|∩|/|ctx|)^0,65 = (8/158)^0,65 = 0.0506^0,65 = 0.1438</t>
        </is>
      </c>
      <c r="F2665" t="n">
        <v>0.1438</v>
      </c>
      <c r="G2665" s="3" t="inlineStr"/>
    </row>
    <row r="2666">
      <c r="A2666" t="n">
        <v>181</v>
      </c>
      <c r="B2666" t="inlineStr">
        <is>
          <t>A</t>
        </is>
      </c>
      <c r="C2666" t="inlineStr">
        <is>
          <t>Hallucination Risk (Pers. 18)</t>
        </is>
      </c>
      <c r="D2666" s="3" t="inlineStr">
        <is>
          <t>Risk = 0,65×(1-F) + 0,20×Contradiction + 0,15×Uncertainty</t>
        </is>
      </c>
      <c r="E2666" s="3" t="inlineStr">
        <is>
          <t>Risk = 0,65×OutOfContext + 0,20×Contradiction + 0,15×Uncertainty = 0,65×0.3735 + 0,20×0.0000 + 0,15×0.00 = 0.2428 [RENDAH]</t>
        </is>
      </c>
      <c r="F2666" t="n">
        <v>0.2428</v>
      </c>
      <c r="G2666" s="3" t="inlineStr">
        <is>
          <t>label: RENDAH; kontradiksi 0/38 kalimat; uncertainty flag: False</t>
        </is>
      </c>
    </row>
    <row r="2667">
      <c r="A2667" t="n">
        <v>181</v>
      </c>
      <c r="B2667" t="inlineStr">
        <is>
          <t>A</t>
        </is>
      </c>
      <c r="C2667" t="inlineStr">
        <is>
          <t>Answer Accuracy (Pers. 20)</t>
        </is>
      </c>
      <c r="D2667" s="3" t="inlineStr">
        <is>
          <t>Correctᵢ ∈ {0,1} via LLM-as-Judge (HASIL: BENAR/SALAH)</t>
        </is>
      </c>
      <c r="E2667" s="3" t="inlineStr">
        <is>
          <t>BENAR.
Jawaban sistem menjawab pertanyaan dengan benar berdasarkan referensi, yaitu dengan identifikasi pola arithmetic sequence dengan common difference 3 dan menentukan suku ke-10 menggunakan rumus eksplisit.</t>
        </is>
      </c>
      <c r="F2667" t="inlineStr">
        <is>
          <t>BENAR</t>
        </is>
      </c>
      <c r="G2667" s="3" t="inlineStr">
        <is>
          <t>evaluator: ollama/llama3</t>
        </is>
      </c>
    </row>
    <row r="2668">
      <c r="A2668" t="n">
        <v>181</v>
      </c>
      <c r="B2668" t="inlineStr">
        <is>
          <t>B</t>
        </is>
      </c>
      <c r="C2668" t="inlineStr">
        <is>
          <t>Faithfulness (Pers. 15)</t>
        </is>
      </c>
      <c r="D2668" s="3" t="inlineStr">
        <is>
          <t>F = 0,70×Entailment + 0,30×KWoverlap</t>
        </is>
      </c>
      <c r="E2668" s="3" t="inlineStr">
        <is>
          <t>Faithfulness = 0,70×Entailment + 0,30×KWoverlap = 0,70×0.8333 + 0,30×0.2524 = 0.6590  (entailment: 5/6 klaim didukung; KWoverlap = (|∩|/|ctx|)^0,65 = (19/158)^0,65 = 0.1203^0,65 = 0.2524)</t>
        </is>
      </c>
      <c r="F2668" t="n">
        <v>0.659</v>
      </c>
      <c r="G2668" s="3" t="inlineStr">
        <is>
          <t>metode: llm_entailment + keyword</t>
        </is>
      </c>
    </row>
    <row r="2669">
      <c r="A2669" t="n">
        <v>181</v>
      </c>
      <c r="B2669" t="inlineStr">
        <is>
          <t>B</t>
        </is>
      </c>
      <c r="C2669" t="inlineStr">
        <is>
          <t>— Entailment (Pers. 12-13)</t>
        </is>
      </c>
      <c r="D2669" s="3" t="inlineStr">
        <is>
          <t>Entailment = Σverdict(sᵢ)/m</t>
        </is>
      </c>
      <c r="E2669" s="3" t="inlineStr">
        <is>
          <t>5 klaim YA dari 6 klaim dievaluasi</t>
        </is>
      </c>
      <c r="F2669" t="n">
        <v>0.8333</v>
      </c>
      <c r="G2669" s="3" t="inlineStr">
        <is>
          <t>verdict per klaim: sheet 'Entailment Detail'</t>
        </is>
      </c>
    </row>
    <row r="2670">
      <c r="A2670" t="n">
        <v>181</v>
      </c>
      <c r="B2670" t="inlineStr">
        <is>
          <t>B</t>
        </is>
      </c>
      <c r="C2670" t="inlineStr">
        <is>
          <t>— Keyword Overlap (Pers. 14)</t>
        </is>
      </c>
      <c r="D2670" s="3" t="inlineStr">
        <is>
          <t>KWoverlap = (|Stems(ans)∩Stems(ctx)| / |Stems(ctx)|)^0,65</t>
        </is>
      </c>
      <c r="E2670" s="3" t="inlineStr">
        <is>
          <t>KWoverlap = (|∩|/|ctx|)^0,65 = (19/158)^0,65 = 0.1203^0,65 = 0.2524</t>
        </is>
      </c>
      <c r="F2670" t="n">
        <v>0.2524</v>
      </c>
      <c r="G2670" s="3" t="inlineStr"/>
    </row>
    <row r="2671">
      <c r="A2671" t="n">
        <v>181</v>
      </c>
      <c r="B2671" t="inlineStr">
        <is>
          <t>B</t>
        </is>
      </c>
      <c r="C2671" t="inlineStr">
        <is>
          <t>Hallucination Risk (Pers. 18)</t>
        </is>
      </c>
      <c r="D2671" s="3" t="inlineStr">
        <is>
          <t>Risk = 0,65×(1-F) + 0,20×Contradiction + 0,15×Uncertainty</t>
        </is>
      </c>
      <c r="E2671" s="3" t="inlineStr">
        <is>
          <t>Risk = 0,65×OutOfContext + 0,20×Contradiction + 0,15×Uncertainty = 0,65×0.3410 + 0,20×0.0000 + 0,15×0.00 = 0.2216 [RENDAH]</t>
        </is>
      </c>
      <c r="F2671" t="n">
        <v>0.2216</v>
      </c>
      <c r="G2671" s="3" t="inlineStr">
        <is>
          <t>label: RENDAH; kontradiksi 0/14 kalimat; uncertainty flag: False</t>
        </is>
      </c>
    </row>
    <row r="2672">
      <c r="A2672" t="n">
        <v>181</v>
      </c>
      <c r="B2672" t="inlineStr">
        <is>
          <t>B</t>
        </is>
      </c>
      <c r="C2672" t="inlineStr">
        <is>
          <t>Answer Accuracy (Pers. 20)</t>
        </is>
      </c>
      <c r="D2672" s="3" t="inlineStr">
        <is>
          <t>Correctᵢ ∈ {0,1} via LLM-as-Judge (HASIL: BENAR/SALAH)</t>
        </is>
      </c>
      <c r="E2672" s="3" t="inlineStr"/>
      <c r="F2672" t="inlineStr">
        <is>
          <t>BENAR</t>
        </is>
      </c>
      <c r="G2672" s="3" t="inlineStr">
        <is>
          <t>evaluator: ollama/llama3</t>
        </is>
      </c>
    </row>
    <row r="2673">
      <c r="A2673" t="n">
        <v>182</v>
      </c>
      <c r="B2673" t="inlineStr">
        <is>
          <t>A</t>
        </is>
      </c>
      <c r="C2673" t="inlineStr">
        <is>
          <t>Precision@K (Pers. 2)</t>
        </is>
      </c>
      <c r="D2673" s="3" t="inlineStr">
        <is>
          <t>Precision@K = |{d ∈ TopK : sim(q,d) ≥ θ}| / K</t>
        </is>
      </c>
      <c r="E2673" s="3" t="inlineStr">
        <is>
          <t>skor = [0.7494, 0.7421, 0.7389, 0.733, 0.731, 0.7296] → 6 / 6</t>
        </is>
      </c>
      <c r="F2673" t="n">
        <v>1</v>
      </c>
      <c r="G2673" s="3" t="inlineStr">
        <is>
          <t>basis: skor chunk nyata (sesuai contoh Pers. 2 skripsi)</t>
        </is>
      </c>
    </row>
    <row r="2674">
      <c r="A2674" t="n">
        <v>182</v>
      </c>
      <c r="B2674" t="inlineStr">
        <is>
          <t>A</t>
        </is>
      </c>
      <c r="C2674" t="inlineStr">
        <is>
          <t>Recall@K (Pers. 4)</t>
        </is>
      </c>
      <c r="D2674" s="3" t="inlineStr">
        <is>
          <t>Recall@K = |{kata kunci ditemukan : sim ≥ θ}| / |R|</t>
        </is>
      </c>
      <c r="E2674" s="3" t="inlineStr">
        <is>
          <t>skor = [0.7131, 0.6287, 0.616, 0.5982, 0.4847, 0.4794] → 6 / 6</t>
        </is>
      </c>
      <c r="F2674" t="n">
        <v>1</v>
      </c>
      <c r="G2674" s="3" t="inlineStr"/>
    </row>
    <row r="2675">
      <c r="A2675" t="n">
        <v>182</v>
      </c>
      <c r="B2675" t="inlineStr">
        <is>
          <t>A</t>
        </is>
      </c>
      <c r="C2675" t="inlineStr">
        <is>
          <t>Mean Similarity (Pers. 6)</t>
        </is>
      </c>
      <c r="D2675" s="3" t="inlineStr">
        <is>
          <t>MeanSim = (1/K) × Σ sim(q, dᵢ)</t>
        </is>
      </c>
      <c r="E2675" s="3" t="inlineStr">
        <is>
          <t>skor = [0.7494, 0.7421, 0.7389, 0.733, 0.731, 0.7296] → (0.7494 + 0.7421 + 0.7389 + 0.7330 + 0.7310 + 0.7296) / 6</t>
        </is>
      </c>
      <c r="F2675" t="n">
        <v>0.7373</v>
      </c>
      <c r="G2675" s="3" t="inlineStr"/>
    </row>
    <row r="2676">
      <c r="A2676" t="n">
        <v>182</v>
      </c>
      <c r="B2676" t="inlineStr">
        <is>
          <t>A</t>
        </is>
      </c>
      <c r="C2676" t="inlineStr">
        <is>
          <t>Coverage (Pers. 8)</t>
        </is>
      </c>
      <c r="D2676" s="3" t="inlineStr">
        <is>
          <t>Coverage = |{dᵢ ∈ TopK : sim(q,dᵢ) ≥ θc}| / K</t>
        </is>
      </c>
      <c r="E2676" s="3" t="inlineStr">
        <is>
          <t>skor = [0.7494, 0.7421, 0.7389, 0.733, 0.731, 0.7296] → 6 / 6</t>
        </is>
      </c>
      <c r="F2676" t="n">
        <v>1</v>
      </c>
      <c r="G2676" s="3" t="inlineStr"/>
    </row>
    <row r="2677">
      <c r="A2677" t="n">
        <v>182</v>
      </c>
      <c r="B2677" t="inlineStr">
        <is>
          <t>A</t>
        </is>
      </c>
      <c r="C2677" t="inlineStr">
        <is>
          <t>Source Diversity (Pers. 10)</t>
        </is>
      </c>
      <c r="D2677" s="3" t="inlineStr">
        <is>
          <t>Diversity = |sumber unik dalam TopK| / K</t>
        </is>
      </c>
      <c r="E2677" s="3" t="inlineStr">
        <is>
          <t>skor = ['GT_CT05.txt', 'GT_CT07.txt', 'GT_CT09.txt', 'GT_DETAIL_PT09_Variabel_TipeData_Operator_List.txt', 'GT_SUBTOPIK_02_Abstraksi_Formulasi.txt'] → 5 / 6</t>
        </is>
      </c>
      <c r="F2677" t="n">
        <v>0.8333</v>
      </c>
      <c r="G2677" s="3" t="inlineStr">
        <is>
          <t>file unik: GT_CT05.txt, GT_CT07.txt, GT_CT09.txt, GT_DETAIL_PT09_Variabel_TipeData_Operator_List.txt, GT_SUBTOPIK_02_Abstraksi_Formulasi.txt</t>
        </is>
      </c>
    </row>
    <row r="2678">
      <c r="A2678" t="n">
        <v>182</v>
      </c>
      <c r="B2678" t="inlineStr">
        <is>
          <t>A</t>
        </is>
      </c>
      <c r="C2678" t="inlineStr">
        <is>
          <t>Faithfulness (Pers. 15)</t>
        </is>
      </c>
      <c r="D2678" s="3" t="inlineStr">
        <is>
          <t>F = 0,70×Entailment + 0,30×KWoverlap</t>
        </is>
      </c>
      <c r="E2678" s="3" t="inlineStr">
        <is>
          <t>Faithfulness = 0,70×Entailment + 0,30×KWoverlap = 0,70×1.0000 + 0,30×0.3998 = 0.8200  (entailment: 6/6 klaim didukung; KWoverlap = (|∩|/|ctx|)^0,65 = (72/295)^0,65 = 0.2441^0,65 = 0.3998)</t>
        </is>
      </c>
      <c r="F2678" t="n">
        <v>0.82</v>
      </c>
      <c r="G2678" s="3" t="inlineStr">
        <is>
          <t>metode: llm_entailment + keyword</t>
        </is>
      </c>
    </row>
    <row r="2679">
      <c r="A2679" t="n">
        <v>182</v>
      </c>
      <c r="B2679" t="inlineStr">
        <is>
          <t>A</t>
        </is>
      </c>
      <c r="C2679" t="inlineStr">
        <is>
          <t>— Entailment (Pers. 12-13)</t>
        </is>
      </c>
      <c r="D2679" s="3" t="inlineStr">
        <is>
          <t>Entailment = Σverdict(sᵢ)/m</t>
        </is>
      </c>
      <c r="E2679" s="3" t="inlineStr">
        <is>
          <t>6 klaim YA dari 6 klaim dievaluasi</t>
        </is>
      </c>
      <c r="F2679" t="n">
        <v>1</v>
      </c>
      <c r="G2679" s="3" t="inlineStr">
        <is>
          <t>verdict per klaim: sheet 'Entailment Detail'</t>
        </is>
      </c>
    </row>
    <row r="2680">
      <c r="A2680" t="n">
        <v>182</v>
      </c>
      <c r="B2680" t="inlineStr">
        <is>
          <t>A</t>
        </is>
      </c>
      <c r="C2680" t="inlineStr">
        <is>
          <t>— Keyword Overlap (Pers. 14)</t>
        </is>
      </c>
      <c r="D2680" s="3" t="inlineStr">
        <is>
          <t>KWoverlap = (|Stems(ans)∩Stems(ctx)| / |Stems(ctx)|)^0,65</t>
        </is>
      </c>
      <c r="E2680" s="3" t="inlineStr">
        <is>
          <t>KWoverlap = (|∩|/|ctx|)^0,65 = (72/295)^0,65 = 0.2441^0,65 = 0.3998</t>
        </is>
      </c>
      <c r="F2680" t="n">
        <v>0.3998</v>
      </c>
      <c r="G2680" s="3" t="inlineStr"/>
    </row>
    <row r="2681">
      <c r="A2681" t="n">
        <v>182</v>
      </c>
      <c r="B2681" t="inlineStr">
        <is>
          <t>A</t>
        </is>
      </c>
      <c r="C2681" t="inlineStr">
        <is>
          <t>Hallucination Risk (Pers. 18)</t>
        </is>
      </c>
      <c r="D2681" s="3" t="inlineStr">
        <is>
          <t>Risk = 0,65×(1-F) + 0,20×Contradiction + 0,15×Uncertainty</t>
        </is>
      </c>
      <c r="E2681" s="3" t="inlineStr">
        <is>
          <t>Risk = 0,65×OutOfContext + 0,20×Contradiction + 0,15×Uncertainty = 0,65×0.1800 + 0,20×0.0000 + 0,15×0.00 = 0.1170 [RENDAH]</t>
        </is>
      </c>
      <c r="F2681" t="n">
        <v>0.117</v>
      </c>
      <c r="G2681" s="3" t="inlineStr">
        <is>
          <t>label: RENDAH; kontradiksi 0/21 kalimat; uncertainty flag: False</t>
        </is>
      </c>
    </row>
    <row r="2682">
      <c r="A2682" t="n">
        <v>182</v>
      </c>
      <c r="B2682" t="inlineStr">
        <is>
          <t>A</t>
        </is>
      </c>
      <c r="C2682" t="inlineStr">
        <is>
          <t>Answer Accuracy (Pers. 20)</t>
        </is>
      </c>
      <c r="D2682" s="3" t="inlineStr">
        <is>
          <t>Correctᵢ ∈ {0,1} via LLM-as-Judge (HASIL: BENAR/SALAH)</t>
        </is>
      </c>
      <c r="E2682" s="3" t="inlineStr">
        <is>
          <t>Menurut referensi yang diberikan, jawaban sistem TIDAK SEBENARNYA menjawab pertanyaan dengan benar.
Pertanyaan awal adalah berapa banyak jabat tangan yang terjadi jika ada 20 orang di sebuah ruangan dan setiap orang berjabat tangan dengan semua orang lain. Jawaban sistem tidak memberikan jawaban yang jelas dan relevan dengan pola deret segitiga seperti yang dosen bilang.
Sebagai gantinya, jawaba</t>
        </is>
      </c>
      <c r="F2682" t="inlineStr">
        <is>
          <t>SALAH</t>
        </is>
      </c>
      <c r="G2682" s="3" t="inlineStr">
        <is>
          <t>evaluator: ollama/llama3</t>
        </is>
      </c>
    </row>
    <row r="2683">
      <c r="A2683" t="n">
        <v>182</v>
      </c>
      <c r="B2683" t="inlineStr">
        <is>
          <t>B</t>
        </is>
      </c>
      <c r="C2683" t="inlineStr">
        <is>
          <t>Faithfulness (Pers. 15)</t>
        </is>
      </c>
      <c r="D2683" s="3" t="inlineStr">
        <is>
          <t>F = 0,70×Entailment + 0,30×KWoverlap</t>
        </is>
      </c>
      <c r="E2683" s="3" t="inlineStr">
        <is>
          <t>Faithfulness = 0,70×Entailment + 0,30×KWoverlap = 0,70×0.0000 + 0,30×0.1624 = 0.0487  (entailment: 0/6 klaim didukung; KWoverlap = (|∩|/|ctx|)^0,65 = (18/295)^0,65 = 0.0610^0,65 = 0.1624)</t>
        </is>
      </c>
      <c r="F2683" t="n">
        <v>0.0487</v>
      </c>
      <c r="G2683" s="3" t="inlineStr">
        <is>
          <t>metode: llm_entailment + keyword</t>
        </is>
      </c>
    </row>
    <row r="2684">
      <c r="A2684" t="n">
        <v>182</v>
      </c>
      <c r="B2684" t="inlineStr">
        <is>
          <t>B</t>
        </is>
      </c>
      <c r="C2684" t="inlineStr">
        <is>
          <t>— Entailment (Pers. 12-13)</t>
        </is>
      </c>
      <c r="D2684" s="3" t="inlineStr">
        <is>
          <t>Entailment = Σverdict(sᵢ)/m</t>
        </is>
      </c>
      <c r="E2684" s="3" t="inlineStr">
        <is>
          <t>0 klaim YA dari 6 klaim dievaluasi</t>
        </is>
      </c>
      <c r="F2684" t="n">
        <v>0</v>
      </c>
      <c r="G2684" s="3" t="inlineStr">
        <is>
          <t>verdict per klaim: sheet 'Entailment Detail'</t>
        </is>
      </c>
    </row>
    <row r="2685">
      <c r="A2685" t="n">
        <v>182</v>
      </c>
      <c r="B2685" t="inlineStr">
        <is>
          <t>B</t>
        </is>
      </c>
      <c r="C2685" t="inlineStr">
        <is>
          <t>— Keyword Overlap (Pers. 14)</t>
        </is>
      </c>
      <c r="D2685" s="3" t="inlineStr">
        <is>
          <t>KWoverlap = (|Stems(ans)∩Stems(ctx)| / |Stems(ctx)|)^0,65</t>
        </is>
      </c>
      <c r="E2685" s="3" t="inlineStr">
        <is>
          <t>KWoverlap = (|∩|/|ctx|)^0,65 = (18/295)^0,65 = 0.0610^0,65 = 0.1624</t>
        </is>
      </c>
      <c r="F2685" t="n">
        <v>0.1624</v>
      </c>
      <c r="G2685" s="3" t="inlineStr"/>
    </row>
    <row r="2686">
      <c r="A2686" t="n">
        <v>182</v>
      </c>
      <c r="B2686" t="inlineStr">
        <is>
          <t>B</t>
        </is>
      </c>
      <c r="C2686" t="inlineStr">
        <is>
          <t>Hallucination Risk (Pers. 18)</t>
        </is>
      </c>
      <c r="D2686" s="3" t="inlineStr">
        <is>
          <t>Risk = 0,65×(1-F) + 0,20×Contradiction + 0,15×Uncertainty</t>
        </is>
      </c>
      <c r="E2686" s="3" t="inlineStr">
        <is>
          <t>Risk = 0,65×OutOfContext + 0,20×Contradiction + 0,15×Uncertainty = 0,65×0.9513 + 0,20×0.0000 + 0,15×0.20 = 0.6483 [TINGGI]</t>
        </is>
      </c>
      <c r="F2686" t="n">
        <v>0.6483</v>
      </c>
      <c r="G2686" s="3" t="inlineStr">
        <is>
          <t>label: TINGGI; kontradiksi 0/21 kalimat; uncertainty flag: True</t>
        </is>
      </c>
    </row>
    <row r="2687">
      <c r="A2687" t="n">
        <v>182</v>
      </c>
      <c r="B2687" t="inlineStr">
        <is>
          <t>B</t>
        </is>
      </c>
      <c r="C2687" t="inlineStr">
        <is>
          <t>Answer Accuracy (Pers. 20)</t>
        </is>
      </c>
      <c r="D2687" s="3" t="inlineStr">
        <is>
          <t>Correctᵢ ∈ {0,1} via LLM-as-Judge (HASIL: BENAR/SALAH)</t>
        </is>
      </c>
      <c r="E2687" s="3" t="inlineStr">
        <is>
          <t>BENAR</t>
        </is>
      </c>
      <c r="F2687" t="inlineStr">
        <is>
          <t>BENAR</t>
        </is>
      </c>
      <c r="G2687" s="3" t="inlineStr">
        <is>
          <t>evaluator: ollama/llama3</t>
        </is>
      </c>
    </row>
    <row r="2688">
      <c r="A2688" t="n">
        <v>183</v>
      </c>
      <c r="B2688" t="inlineStr">
        <is>
          <t>A</t>
        </is>
      </c>
      <c r="C2688" t="inlineStr">
        <is>
          <t>Precision@K (Pers. 2)</t>
        </is>
      </c>
      <c r="D2688" s="3" t="inlineStr">
        <is>
          <t>Precision@K = |{d ∈ TopK : sim(q,d) ≥ θ}| / K</t>
        </is>
      </c>
      <c r="E2688" s="3" t="inlineStr">
        <is>
          <t>skor = [0.7452, 0.7435, 0.7297, 0.7286, 0.7254, 0.7239] → 6 / 6</t>
        </is>
      </c>
      <c r="F2688" t="n">
        <v>1</v>
      </c>
      <c r="G2688" s="3" t="inlineStr">
        <is>
          <t>basis: skor chunk nyata (sesuai contoh Pers. 2 skripsi)</t>
        </is>
      </c>
    </row>
    <row r="2689">
      <c r="A2689" t="n">
        <v>183</v>
      </c>
      <c r="B2689" t="inlineStr">
        <is>
          <t>A</t>
        </is>
      </c>
      <c r="C2689" t="inlineStr">
        <is>
          <t>Recall@K (Pers. 4)</t>
        </is>
      </c>
      <c r="D2689" s="3" t="inlineStr">
        <is>
          <t>Recall@K = |{kata kunci ditemukan : sim ≥ θ}| / |R|</t>
        </is>
      </c>
      <c r="E2689" s="3" t="inlineStr">
        <is>
          <t>skor = [0.6905, 0.6322, 0.6136, 0.5421, 0.5056, 0.4476] → 6 / 6</t>
        </is>
      </c>
      <c r="F2689" t="n">
        <v>1</v>
      </c>
      <c r="G2689" s="3" t="inlineStr"/>
    </row>
    <row r="2690">
      <c r="A2690" t="n">
        <v>183</v>
      </c>
      <c r="B2690" t="inlineStr">
        <is>
          <t>A</t>
        </is>
      </c>
      <c r="C2690" t="inlineStr">
        <is>
          <t>Mean Similarity (Pers. 6)</t>
        </is>
      </c>
      <c r="D2690" s="3" t="inlineStr">
        <is>
          <t>MeanSim = (1/K) × Σ sim(q, dᵢ)</t>
        </is>
      </c>
      <c r="E2690" s="3" t="inlineStr">
        <is>
          <t>skor = [0.7452, 0.7435, 0.7297, 0.7286, 0.7254, 0.7239] → (0.7452 + 0.7435 + 0.7297 + 0.7286 + 0.7254 + 0.7239) / 6</t>
        </is>
      </c>
      <c r="F2690" t="n">
        <v>0.7327</v>
      </c>
      <c r="G2690" s="3" t="inlineStr"/>
    </row>
    <row r="2691">
      <c r="A2691" t="n">
        <v>183</v>
      </c>
      <c r="B2691" t="inlineStr">
        <is>
          <t>A</t>
        </is>
      </c>
      <c r="C2691" t="inlineStr">
        <is>
          <t>Coverage (Pers. 8)</t>
        </is>
      </c>
      <c r="D2691" s="3" t="inlineStr">
        <is>
          <t>Coverage = |{dᵢ ∈ TopK : sim(q,dᵢ) ≥ θc}| / K</t>
        </is>
      </c>
      <c r="E2691" s="3" t="inlineStr">
        <is>
          <t>skor = [0.7452, 0.7435, 0.7297, 0.7286, 0.7254, 0.7239] → 6 / 6</t>
        </is>
      </c>
      <c r="F2691" t="n">
        <v>1</v>
      </c>
      <c r="G2691" s="3" t="inlineStr"/>
    </row>
    <row r="2692">
      <c r="A2692" t="n">
        <v>183</v>
      </c>
      <c r="B2692" t="inlineStr">
        <is>
          <t>A</t>
        </is>
      </c>
      <c r="C2692" t="inlineStr">
        <is>
          <t>Source Diversity (Pers. 10)</t>
        </is>
      </c>
      <c r="D2692" s="3" t="inlineStr">
        <is>
          <t>Diversity = |sumber unik dalam TopK| / K</t>
        </is>
      </c>
      <c r="E2692" s="3" t="inlineStr">
        <is>
          <t>skor = ['GT_CT01.txt', 'GT_CT03.txt', 'GT_CT13.txt', 'GT_DETAIL_PT05_Pattern_Recognition.txt', 'GT_SUBTOPIK_02_Abstraksi_Formulasi.txt', 'GT_SUBTOPIK_11_Rekursi.txt'] → 6 / 6</t>
        </is>
      </c>
      <c r="F2692" t="n">
        <v>1</v>
      </c>
      <c r="G2692" s="3" t="inlineStr">
        <is>
          <t>file unik: GT_CT01.txt, GT_CT03.txt, GT_CT13.txt, GT_DETAIL_PT05_Pattern_Recognition.txt, GT_SUBTOPIK_02_Abstraksi_Formulasi.txt, GT_SUBTOPIK_11_Rekursi.txt</t>
        </is>
      </c>
    </row>
    <row r="2693">
      <c r="A2693" t="n">
        <v>183</v>
      </c>
      <c r="B2693" t="inlineStr">
        <is>
          <t>A</t>
        </is>
      </c>
      <c r="C2693" t="inlineStr">
        <is>
          <t>Faithfulness (Pers. 15)</t>
        </is>
      </c>
      <c r="D2693" s="3" t="inlineStr">
        <is>
          <t>F = 0,70×Entailment + 0,30×KWoverlap</t>
        </is>
      </c>
      <c r="E2693" s="3" t="inlineStr">
        <is>
          <t>Faithfulness = 0,70×Entailment + 0,30×KWoverlap = 0,70×0.6667 + 0,30×0.2425 = 0.5394  (entailment: 4/6 klaim didukung; KWoverlap = (|∩|/|ctx|)^0,65 = (32/283)^0,65 = 0.1131^0,65 = 0.2425)</t>
        </is>
      </c>
      <c r="F2693" t="n">
        <v>0.5394</v>
      </c>
      <c r="G2693" s="3" t="inlineStr">
        <is>
          <t>metode: llm_entailment + keyword</t>
        </is>
      </c>
    </row>
    <row r="2694">
      <c r="A2694" t="n">
        <v>183</v>
      </c>
      <c r="B2694" t="inlineStr">
        <is>
          <t>A</t>
        </is>
      </c>
      <c r="C2694" t="inlineStr">
        <is>
          <t>— Entailment (Pers. 12-13)</t>
        </is>
      </c>
      <c r="D2694" s="3" t="inlineStr">
        <is>
          <t>Entailment = Σverdict(sᵢ)/m</t>
        </is>
      </c>
      <c r="E2694" s="3" t="inlineStr">
        <is>
          <t>4 klaim YA dari 6 klaim dievaluasi</t>
        </is>
      </c>
      <c r="F2694" t="n">
        <v>0.6667</v>
      </c>
      <c r="G2694" s="3" t="inlineStr">
        <is>
          <t>verdict per klaim: sheet 'Entailment Detail'</t>
        </is>
      </c>
    </row>
    <row r="2695">
      <c r="A2695" t="n">
        <v>183</v>
      </c>
      <c r="B2695" t="inlineStr">
        <is>
          <t>A</t>
        </is>
      </c>
      <c r="C2695" t="inlineStr">
        <is>
          <t>— Keyword Overlap (Pers. 14)</t>
        </is>
      </c>
      <c r="D2695" s="3" t="inlineStr">
        <is>
          <t>KWoverlap = (|Stems(ans)∩Stems(ctx)| / |Stems(ctx)|)^0,65</t>
        </is>
      </c>
      <c r="E2695" s="3" t="inlineStr">
        <is>
          <t>KWoverlap = (|∩|/|ctx|)^0,65 = (32/283)^0,65 = 0.1131^0,65 = 0.2425</t>
        </is>
      </c>
      <c r="F2695" t="n">
        <v>0.2425</v>
      </c>
      <c r="G2695" s="3" t="inlineStr"/>
    </row>
    <row r="2696">
      <c r="A2696" t="n">
        <v>183</v>
      </c>
      <c r="B2696" t="inlineStr">
        <is>
          <t>A</t>
        </is>
      </c>
      <c r="C2696" t="inlineStr">
        <is>
          <t>Hallucination Risk (Pers. 18)</t>
        </is>
      </c>
      <c r="D2696" s="3" t="inlineStr">
        <is>
          <t>Risk = 0,65×(1-F) + 0,20×Contradiction + 0,15×Uncertainty</t>
        </is>
      </c>
      <c r="E2696" s="3" t="inlineStr">
        <is>
          <t>Risk = 0,65×OutOfContext + 0,20×Contradiction + 0,15×Uncertainty = 0,65×0.4606 + 0,20×0.0000 + 0,15×0.00 = 0.2994 [RENDAH]</t>
        </is>
      </c>
      <c r="F2696" t="n">
        <v>0.2994</v>
      </c>
      <c r="G2696" s="3" t="inlineStr">
        <is>
          <t>label: RENDAH; kontradiksi 0/10 kalimat; uncertainty flag: False</t>
        </is>
      </c>
    </row>
    <row r="2697">
      <c r="A2697" t="n">
        <v>183</v>
      </c>
      <c r="B2697" t="inlineStr">
        <is>
          <t>A</t>
        </is>
      </c>
      <c r="C2697" t="inlineStr">
        <is>
          <t>Answer Accuracy (Pers. 20)</t>
        </is>
      </c>
      <c r="D2697" s="3" t="inlineStr">
        <is>
          <t>Correctᵢ ∈ {0,1} via LLM-as-Judge (HASIL: BENAR/SALAH)</t>
        </is>
      </c>
      <c r="E2697" s="3" t="inlineStr">
        <is>
          <t>I would answer:
BENAR
The system's answer is based on the concept of dekomposisi (decomposition) and pattern recognition, which are both relevant to the given problem. The system correctly identifies the pattern as exponential and provides a formula for the nth term: kn = n(n+1). This matches the given sequence: 1, 3, 6, 10, ...</t>
        </is>
      </c>
      <c r="F2697" t="inlineStr">
        <is>
          <t>BENAR</t>
        </is>
      </c>
      <c r="G2697" s="3" t="inlineStr">
        <is>
          <t>evaluator: ollama/llama3</t>
        </is>
      </c>
    </row>
    <row r="2698">
      <c r="A2698" t="n">
        <v>183</v>
      </c>
      <c r="B2698" t="inlineStr">
        <is>
          <t>B</t>
        </is>
      </c>
      <c r="C2698" t="inlineStr">
        <is>
          <t>Faithfulness (Pers. 15)</t>
        </is>
      </c>
      <c r="D2698" s="3" t="inlineStr">
        <is>
          <t>F = 0,70×Entailment + 0,30×KWoverlap</t>
        </is>
      </c>
      <c r="E2698" s="3" t="inlineStr">
        <is>
          <t>Faithfulness = 0,70×Entailment + 0,30×KWoverlap = 0,70×0.8333 + 0,30×0.1350 = 0.6238  (entailment: 5/6 klaim didukung; KWoverlap = (|∩|/|ctx|)^0,65 = (13/283)^0,65 = 0.0459^0,65 = 0.1350)</t>
        </is>
      </c>
      <c r="F2698" t="n">
        <v>0.6238</v>
      </c>
      <c r="G2698" s="3" t="inlineStr">
        <is>
          <t>metode: llm_entailment + keyword</t>
        </is>
      </c>
    </row>
    <row r="2699">
      <c r="A2699" t="n">
        <v>183</v>
      </c>
      <c r="B2699" t="inlineStr">
        <is>
          <t>B</t>
        </is>
      </c>
      <c r="C2699" t="inlineStr">
        <is>
          <t>— Entailment (Pers. 12-13)</t>
        </is>
      </c>
      <c r="D2699" s="3" t="inlineStr">
        <is>
          <t>Entailment = Σverdict(sᵢ)/m</t>
        </is>
      </c>
      <c r="E2699" s="3" t="inlineStr">
        <is>
          <t>5 klaim YA dari 6 klaim dievaluasi</t>
        </is>
      </c>
      <c r="F2699" t="n">
        <v>0.8333</v>
      </c>
      <c r="G2699" s="3" t="inlineStr">
        <is>
          <t>verdict per klaim: sheet 'Entailment Detail'</t>
        </is>
      </c>
    </row>
    <row r="2700">
      <c r="A2700" t="n">
        <v>183</v>
      </c>
      <c r="B2700" t="inlineStr">
        <is>
          <t>B</t>
        </is>
      </c>
      <c r="C2700" t="inlineStr">
        <is>
          <t>— Keyword Overlap (Pers. 14)</t>
        </is>
      </c>
      <c r="D2700" s="3" t="inlineStr">
        <is>
          <t>KWoverlap = (|Stems(ans)∩Stems(ctx)| / |Stems(ctx)|)^0,65</t>
        </is>
      </c>
      <c r="E2700" s="3" t="inlineStr">
        <is>
          <t>KWoverlap = (|∩|/|ctx|)^0,65 = (13/283)^0,65 = 0.0459^0,65 = 0.1350</t>
        </is>
      </c>
      <c r="F2700" t="n">
        <v>0.135</v>
      </c>
      <c r="G2700" s="3" t="inlineStr"/>
    </row>
    <row r="2701">
      <c r="A2701" t="n">
        <v>183</v>
      </c>
      <c r="B2701" t="inlineStr">
        <is>
          <t>B</t>
        </is>
      </c>
      <c r="C2701" t="inlineStr">
        <is>
          <t>Hallucination Risk (Pers. 18)</t>
        </is>
      </c>
      <c r="D2701" s="3" t="inlineStr">
        <is>
          <t>Risk = 0,65×(1-F) + 0,20×Contradiction + 0,15×Uncertainty</t>
        </is>
      </c>
      <c r="E2701" s="3" t="inlineStr">
        <is>
          <t>Risk = 0,65×OutOfContext + 0,20×Contradiction + 0,15×Uncertainty = 0,65×0.3762 + 0,20×0.0000 + 0,15×0.00 = 0.2445 [RENDAH]</t>
        </is>
      </c>
      <c r="F2701" t="n">
        <v>0.2445</v>
      </c>
      <c r="G2701" s="3" t="inlineStr">
        <is>
          <t>label: RENDAH; kontradiksi 0/18 kalimat; uncertainty flag: False</t>
        </is>
      </c>
    </row>
    <row r="2702">
      <c r="A2702" t="n">
        <v>183</v>
      </c>
      <c r="B2702" t="inlineStr">
        <is>
          <t>B</t>
        </is>
      </c>
      <c r="C2702" t="inlineStr">
        <is>
          <t>Answer Accuracy (Pers. 20)</t>
        </is>
      </c>
      <c r="D2702" s="3" t="inlineStr">
        <is>
          <t>Correctᵢ ∈ {0,1} via LLM-as-Judge (HASIL: BENAR/SALAH)</t>
        </is>
      </c>
      <c r="E2702" s="3" t="inlineStr">
        <is>
          <t>BENAR
Penjelasan sistem bahwa pola kotak-kotak tersebut adalah contoh pola aritmetik dengan perbedaan antara dua bilangan berikutnya yang sama (2) dan menggunakan prinsip pengurangan untuk menemukan rumus ke-n-nya sesuai dengan referensi dokumen materi GT tentang dekomposisi, abstraksi, dan pattern recognition.</t>
        </is>
      </c>
      <c r="F2702" t="inlineStr">
        <is>
          <t>BENAR</t>
        </is>
      </c>
      <c r="G2702" s="3" t="inlineStr">
        <is>
          <t>evaluator: ollama/llama3</t>
        </is>
      </c>
    </row>
    <row r="2703">
      <c r="A2703" t="n">
        <v>184</v>
      </c>
      <c r="B2703" t="inlineStr">
        <is>
          <t>A</t>
        </is>
      </c>
      <c r="C2703" t="inlineStr">
        <is>
          <t>Precision@K (Pers. 2)</t>
        </is>
      </c>
      <c r="D2703" s="3" t="inlineStr">
        <is>
          <t>Precision@K = |{d ∈ TopK : sim(q,d) ≥ θ}| / K</t>
        </is>
      </c>
      <c r="E2703" s="3" t="inlineStr">
        <is>
          <t>skor = [0.8051, 0.7761, 0.7568, 0.7342, 0.7231, 0.7216] → 6 / 6</t>
        </is>
      </c>
      <c r="F2703" t="n">
        <v>1</v>
      </c>
      <c r="G2703" s="3" t="inlineStr">
        <is>
          <t>basis: skor chunk nyata (sesuai contoh Pers. 2 skripsi)</t>
        </is>
      </c>
    </row>
    <row r="2704">
      <c r="A2704" t="n">
        <v>184</v>
      </c>
      <c r="B2704" t="inlineStr">
        <is>
          <t>A</t>
        </is>
      </c>
      <c r="C2704" t="inlineStr">
        <is>
          <t>Recall@K (Pers. 4)</t>
        </is>
      </c>
      <c r="D2704" s="3" t="inlineStr">
        <is>
          <t>Recall@K = |{kata kunci ditemukan : sim ≥ θ}| / |R|</t>
        </is>
      </c>
      <c r="E2704" s="3" t="inlineStr">
        <is>
          <t>skor = [0.7246, 0.6757, 0.6059, 0.5654, 0.5316, 0.5035] → 6 / 6</t>
        </is>
      </c>
      <c r="F2704" t="n">
        <v>1</v>
      </c>
      <c r="G2704" s="3" t="inlineStr"/>
    </row>
    <row r="2705">
      <c r="A2705" t="n">
        <v>184</v>
      </c>
      <c r="B2705" t="inlineStr">
        <is>
          <t>A</t>
        </is>
      </c>
      <c r="C2705" t="inlineStr">
        <is>
          <t>Mean Similarity (Pers. 6)</t>
        </is>
      </c>
      <c r="D2705" s="3" t="inlineStr">
        <is>
          <t>MeanSim = (1/K) × Σ sim(q, dᵢ)</t>
        </is>
      </c>
      <c r="E2705" s="3" t="inlineStr">
        <is>
          <t>skor = [0.8051, 0.7761, 0.7568, 0.7342, 0.7231, 0.7216] → (0.8051 + 0.7761 + 0.7568 + 0.7342 + 0.7231 + 0.7216) / 6</t>
        </is>
      </c>
      <c r="F2705" t="n">
        <v>0.7528</v>
      </c>
      <c r="G2705" s="3" t="inlineStr"/>
    </row>
    <row r="2706">
      <c r="A2706" t="n">
        <v>184</v>
      </c>
      <c r="B2706" t="inlineStr">
        <is>
          <t>A</t>
        </is>
      </c>
      <c r="C2706" t="inlineStr">
        <is>
          <t>Coverage (Pers. 8)</t>
        </is>
      </c>
      <c r="D2706" s="3" t="inlineStr">
        <is>
          <t>Coverage = |{dᵢ ∈ TopK : sim(q,dᵢ) ≥ θc}| / K</t>
        </is>
      </c>
      <c r="E2706" s="3" t="inlineStr">
        <is>
          <t>skor = [0.8051, 0.7761, 0.7568, 0.7342, 0.7231, 0.7216] → 6 / 6</t>
        </is>
      </c>
      <c r="F2706" t="n">
        <v>1</v>
      </c>
      <c r="G2706" s="3" t="inlineStr"/>
    </row>
    <row r="2707">
      <c r="A2707" t="n">
        <v>184</v>
      </c>
      <c r="B2707" t="inlineStr">
        <is>
          <t>A</t>
        </is>
      </c>
      <c r="C2707" t="inlineStr">
        <is>
          <t>Source Diversity (Pers. 10)</t>
        </is>
      </c>
      <c r="D2707" s="3" t="inlineStr">
        <is>
          <t>Diversity = |sumber unik dalam TopK| / K</t>
        </is>
      </c>
      <c r="E2707" s="3" t="inlineStr">
        <is>
          <t>skor = ['GT_CT09.txt', 'GT_DETAIL_PT07_Notasi_Algoritme.txt', 'GT_SUBTOPIK_14_Kompleksitas_BigO.txt'] → 3 / 6</t>
        </is>
      </c>
      <c r="F2707" t="n">
        <v>0.5</v>
      </c>
      <c r="G2707" s="3" t="inlineStr">
        <is>
          <t>file unik: GT_CT09.txt, GT_DETAIL_PT07_Notasi_Algoritme.txt, GT_SUBTOPIK_14_Kompleksitas_BigO.txt</t>
        </is>
      </c>
    </row>
    <row r="2708">
      <c r="A2708" t="n">
        <v>184</v>
      </c>
      <c r="B2708" t="inlineStr">
        <is>
          <t>A</t>
        </is>
      </c>
      <c r="C2708" t="inlineStr">
        <is>
          <t>Faithfulness (Pers. 15)</t>
        </is>
      </c>
      <c r="D2708" s="3" t="inlineStr">
        <is>
          <t>F = 0,70×Entailment + 0,30×KWoverlap</t>
        </is>
      </c>
      <c r="E2708" s="3" t="inlineStr">
        <is>
          <t>Faithfulness = 0,70×Entailment + 0,30×KWoverlap = 0,70×1.0000 + 0,30×0.2104 = 0.7631  (entailment: 6/6 klaim didukung; KWoverlap = (|∩|/|ctx|)^0,65 = (22/242)^0,65 = 0.0909^0,65 = 0.2104)</t>
        </is>
      </c>
      <c r="F2708" t="n">
        <v>0.7631</v>
      </c>
      <c r="G2708" s="3" t="inlineStr">
        <is>
          <t>metode: llm_entailment + keyword</t>
        </is>
      </c>
    </row>
    <row r="2709">
      <c r="A2709" t="n">
        <v>184</v>
      </c>
      <c r="B2709" t="inlineStr">
        <is>
          <t>A</t>
        </is>
      </c>
      <c r="C2709" t="inlineStr">
        <is>
          <t>— Entailment (Pers. 12-13)</t>
        </is>
      </c>
      <c r="D2709" s="3" t="inlineStr">
        <is>
          <t>Entailment = Σverdict(sᵢ)/m</t>
        </is>
      </c>
      <c r="E2709" s="3" t="inlineStr">
        <is>
          <t>6 klaim YA dari 6 klaim dievaluasi</t>
        </is>
      </c>
      <c r="F2709" t="n">
        <v>1</v>
      </c>
      <c r="G2709" s="3" t="inlineStr">
        <is>
          <t>verdict per klaim: sheet 'Entailment Detail'</t>
        </is>
      </c>
    </row>
    <row r="2710">
      <c r="A2710" t="n">
        <v>184</v>
      </c>
      <c r="B2710" t="inlineStr">
        <is>
          <t>A</t>
        </is>
      </c>
      <c r="C2710" t="inlineStr">
        <is>
          <t>— Keyword Overlap (Pers. 14)</t>
        </is>
      </c>
      <c r="D2710" s="3" t="inlineStr">
        <is>
          <t>KWoverlap = (|Stems(ans)∩Stems(ctx)| / |Stems(ctx)|)^0,65</t>
        </is>
      </c>
      <c r="E2710" s="3" t="inlineStr">
        <is>
          <t>KWoverlap = (|∩|/|ctx|)^0,65 = (22/242)^0,65 = 0.0909^0,65 = 0.2104</t>
        </is>
      </c>
      <c r="F2710" t="n">
        <v>0.2104</v>
      </c>
      <c r="G2710" s="3" t="inlineStr"/>
    </row>
    <row r="2711">
      <c r="A2711" t="n">
        <v>184</v>
      </c>
      <c r="B2711" t="inlineStr">
        <is>
          <t>A</t>
        </is>
      </c>
      <c r="C2711" t="inlineStr">
        <is>
          <t>Hallucination Risk (Pers. 18)</t>
        </is>
      </c>
      <c r="D2711" s="3" t="inlineStr">
        <is>
          <t>Risk = 0,65×(1-F) + 0,20×Contradiction + 0,15×Uncertainty</t>
        </is>
      </c>
      <c r="E2711" s="3" t="inlineStr">
        <is>
          <t>Risk = 0,65×OutOfContext + 0,20×Contradiction + 0,15×Uncertainty = 0,65×0.2369 + 0,20×0.0000 + 0,15×0.00 = 0.1540 [RENDAH]</t>
        </is>
      </c>
      <c r="F2711" t="n">
        <v>0.154</v>
      </c>
      <c r="G2711" s="3" t="inlineStr">
        <is>
          <t>label: RENDAH; kontradiksi 0/9 kalimat; uncertainty flag: False</t>
        </is>
      </c>
    </row>
    <row r="2712">
      <c r="A2712" t="n">
        <v>184</v>
      </c>
      <c r="B2712" t="inlineStr">
        <is>
          <t>A</t>
        </is>
      </c>
      <c r="C2712" t="inlineStr">
        <is>
          <t>Answer Accuracy (Pers. 20)</t>
        </is>
      </c>
      <c r="D2712" s="3" t="inlineStr">
        <is>
          <t>Correctᵢ ∈ {0,1} via LLM-as-Judge (HASIL: BENAR/SALAH)</t>
        </is>
      </c>
      <c r="E2712" s="3" t="inlineStr">
        <is>
          <t>BENAR</t>
        </is>
      </c>
      <c r="F2712" t="inlineStr">
        <is>
          <t>BENAR</t>
        </is>
      </c>
      <c r="G2712" s="3" t="inlineStr">
        <is>
          <t>evaluator: ollama/llama3</t>
        </is>
      </c>
    </row>
    <row r="2713">
      <c r="A2713" t="n">
        <v>184</v>
      </c>
      <c r="B2713" t="inlineStr">
        <is>
          <t>B</t>
        </is>
      </c>
      <c r="C2713" t="inlineStr">
        <is>
          <t>Faithfulness (Pers. 15)</t>
        </is>
      </c>
      <c r="D2713" s="3" t="inlineStr">
        <is>
          <t>F = 0,70×Entailment + 0,30×KWoverlap</t>
        </is>
      </c>
      <c r="E2713" s="3" t="inlineStr">
        <is>
          <t>Faithfulness = 0,70×Entailment + 0,30×KWoverlap = 0,70×1.0000 + 0,30×0.2227 = 0.7668  (entailment: 6/6 klaim didukung; KWoverlap = (|∩|/|ctx|)^0,65 = (24/242)^0,65 = 0.0992^0,65 = 0.2227)</t>
        </is>
      </c>
      <c r="F2713" t="n">
        <v>0.7668</v>
      </c>
      <c r="G2713" s="3" t="inlineStr">
        <is>
          <t>metode: llm_entailment + keyword</t>
        </is>
      </c>
    </row>
    <row r="2714">
      <c r="A2714" t="n">
        <v>184</v>
      </c>
      <c r="B2714" t="inlineStr">
        <is>
          <t>B</t>
        </is>
      </c>
      <c r="C2714" t="inlineStr">
        <is>
          <t>— Entailment (Pers. 12-13)</t>
        </is>
      </c>
      <c r="D2714" s="3" t="inlineStr">
        <is>
          <t>Entailment = Σverdict(sᵢ)/m</t>
        </is>
      </c>
      <c r="E2714" s="3" t="inlineStr">
        <is>
          <t>6 klaim YA dari 6 klaim dievaluasi</t>
        </is>
      </c>
      <c r="F2714" t="n">
        <v>1</v>
      </c>
      <c r="G2714" s="3" t="inlineStr">
        <is>
          <t>verdict per klaim: sheet 'Entailment Detail'</t>
        </is>
      </c>
    </row>
    <row r="2715">
      <c r="A2715" t="n">
        <v>184</v>
      </c>
      <c r="B2715" t="inlineStr">
        <is>
          <t>B</t>
        </is>
      </c>
      <c r="C2715" t="inlineStr">
        <is>
          <t>— Keyword Overlap (Pers. 14)</t>
        </is>
      </c>
      <c r="D2715" s="3" t="inlineStr">
        <is>
          <t>KWoverlap = (|Stems(ans)∩Stems(ctx)| / |Stems(ctx)|)^0,65</t>
        </is>
      </c>
      <c r="E2715" s="3" t="inlineStr">
        <is>
          <t>KWoverlap = (|∩|/|ctx|)^0,65 = (24/242)^0,65 = 0.0992^0,65 = 0.2227</t>
        </is>
      </c>
      <c r="F2715" t="n">
        <v>0.2227</v>
      </c>
      <c r="G2715" s="3" t="inlineStr"/>
    </row>
    <row r="2716">
      <c r="A2716" t="n">
        <v>184</v>
      </c>
      <c r="B2716" t="inlineStr">
        <is>
          <t>B</t>
        </is>
      </c>
      <c r="C2716" t="inlineStr">
        <is>
          <t>Hallucination Risk (Pers. 18)</t>
        </is>
      </c>
      <c r="D2716" s="3" t="inlineStr">
        <is>
          <t>Risk = 0,65×(1-F) + 0,20×Contradiction + 0,15×Uncertainty</t>
        </is>
      </c>
      <c r="E2716" s="3" t="inlineStr">
        <is>
          <t>Risk = 0,65×OutOfContext + 0,20×Contradiction + 0,15×Uncertainty = 0,65×0.2332 + 0,20×0.0000 + 0,15×0.00 = 0.1516 [RENDAH]</t>
        </is>
      </c>
      <c r="F2716" t="n">
        <v>0.1516</v>
      </c>
      <c r="G2716" s="3" t="inlineStr">
        <is>
          <t>label: RENDAH; kontradiksi 0/11 kalimat; uncertainty flag: False</t>
        </is>
      </c>
    </row>
    <row r="2717">
      <c r="A2717" t="n">
        <v>184</v>
      </c>
      <c r="B2717" t="inlineStr">
        <is>
          <t>B</t>
        </is>
      </c>
      <c r="C2717" t="inlineStr">
        <is>
          <t>Answer Accuracy (Pers. 20)</t>
        </is>
      </c>
      <c r="D2717" s="3" t="inlineStr">
        <is>
          <t>Correctᵢ ∈ {0,1} via LLM-as-Judge (HASIL: BENAR/SALAH)</t>
        </is>
      </c>
      <c r="E2717" s="3" t="inlineStr">
        <is>
          <t>BENAR</t>
        </is>
      </c>
      <c r="F2717" t="inlineStr">
        <is>
          <t>BENAR</t>
        </is>
      </c>
      <c r="G2717" s="3" t="inlineStr">
        <is>
          <t>evaluator: ollama/llama3</t>
        </is>
      </c>
    </row>
    <row r="2718">
      <c r="A2718" t="n">
        <v>185</v>
      </c>
      <c r="B2718" t="inlineStr">
        <is>
          <t>A</t>
        </is>
      </c>
      <c r="C2718" t="inlineStr">
        <is>
          <t>Precision@K (Pers. 2)</t>
        </is>
      </c>
      <c r="D2718" s="3" t="inlineStr">
        <is>
          <t>Precision@K = |{d ∈ TopK : sim(q,d) ≥ θ}| / K</t>
        </is>
      </c>
      <c r="E2718" s="3" t="inlineStr">
        <is>
          <t>skor = [0.773, 0.7649, 0.7513, 0.747, 0.7369, 0.7342] → 6 / 6</t>
        </is>
      </c>
      <c r="F2718" t="n">
        <v>1</v>
      </c>
      <c r="G2718" s="3" t="inlineStr">
        <is>
          <t>basis: skor chunk nyata (sesuai contoh Pers. 2 skripsi)</t>
        </is>
      </c>
    </row>
    <row r="2719">
      <c r="A2719" t="n">
        <v>185</v>
      </c>
      <c r="B2719" t="inlineStr">
        <is>
          <t>A</t>
        </is>
      </c>
      <c r="C2719" t="inlineStr">
        <is>
          <t>Recall@K (Pers. 4)</t>
        </is>
      </c>
      <c r="D2719" s="3" t="inlineStr">
        <is>
          <t>Recall@K = |{kata kunci ditemukan : sim ≥ θ}| / |R|</t>
        </is>
      </c>
      <c r="E2719" s="3" t="inlineStr">
        <is>
          <t>skor = [0.6883, 0.5873, 0.5205, 0.4743, 0.4646, 0.4207] → 6 / 6</t>
        </is>
      </c>
      <c r="F2719" t="n">
        <v>1</v>
      </c>
      <c r="G2719" s="3" t="inlineStr"/>
    </row>
    <row r="2720">
      <c r="A2720" t="n">
        <v>185</v>
      </c>
      <c r="B2720" t="inlineStr">
        <is>
          <t>A</t>
        </is>
      </c>
      <c r="C2720" t="inlineStr">
        <is>
          <t>Mean Similarity (Pers. 6)</t>
        </is>
      </c>
      <c r="D2720" s="3" t="inlineStr">
        <is>
          <t>MeanSim = (1/K) × Σ sim(q, dᵢ)</t>
        </is>
      </c>
      <c r="E2720" s="3" t="inlineStr">
        <is>
          <t>skor = [0.773, 0.7649, 0.7513, 0.747, 0.7369, 0.7342] → (0.7730 + 0.7649 + 0.7513 + 0.7470 + 0.7369 + 0.7342) / 6</t>
        </is>
      </c>
      <c r="F2720" t="n">
        <v>0.7512</v>
      </c>
      <c r="G2720" s="3" t="inlineStr"/>
    </row>
    <row r="2721">
      <c r="A2721" t="n">
        <v>185</v>
      </c>
      <c r="B2721" t="inlineStr">
        <is>
          <t>A</t>
        </is>
      </c>
      <c r="C2721" t="inlineStr">
        <is>
          <t>Coverage (Pers. 8)</t>
        </is>
      </c>
      <c r="D2721" s="3" t="inlineStr">
        <is>
          <t>Coverage = |{dᵢ ∈ TopK : sim(q,dᵢ) ≥ θc}| / K</t>
        </is>
      </c>
      <c r="E2721" s="3" t="inlineStr">
        <is>
          <t>skor = [0.773, 0.7649, 0.7513, 0.747, 0.7369, 0.7342] → 6 / 6</t>
        </is>
      </c>
      <c r="F2721" t="n">
        <v>1</v>
      </c>
      <c r="G2721" s="3" t="inlineStr"/>
    </row>
    <row r="2722">
      <c r="A2722" t="n">
        <v>185</v>
      </c>
      <c r="B2722" t="inlineStr">
        <is>
          <t>A</t>
        </is>
      </c>
      <c r="C2722" t="inlineStr">
        <is>
          <t>Source Diversity (Pers. 10)</t>
        </is>
      </c>
      <c r="D2722" s="3" t="inlineStr">
        <is>
          <t>Diversity = |sumber unik dalam TopK| / K</t>
        </is>
      </c>
      <c r="E2722" s="3" t="inlineStr">
        <is>
          <t>skor = ['GT_CT01.txt', 'GT_CT06.txt', 'GT_SUBTOPIK_02_Abstraksi_Formulasi.txt'] → 3 / 6</t>
        </is>
      </c>
      <c r="F2722" t="n">
        <v>0.5</v>
      </c>
      <c r="G2722" s="3" t="inlineStr">
        <is>
          <t>file unik: GT_CT01.txt, GT_CT06.txt, GT_SUBTOPIK_02_Abstraksi_Formulasi.txt</t>
        </is>
      </c>
    </row>
    <row r="2723">
      <c r="A2723" t="n">
        <v>185</v>
      </c>
      <c r="B2723" t="inlineStr">
        <is>
          <t>A</t>
        </is>
      </c>
      <c r="C2723" t="inlineStr">
        <is>
          <t>Faithfulness (Pers. 15)</t>
        </is>
      </c>
      <c r="D2723" s="3" t="inlineStr">
        <is>
          <t>F = 0,70×Entailment + 0,30×KWoverlap</t>
        </is>
      </c>
      <c r="E2723" s="3" t="inlineStr">
        <is>
          <t>Faithfulness = 0,70×Entailment + 0,30×KWoverlap = 0,70×1.0000 + 0,30×0.2357 = 0.7707  (entailment: 6/6 klaim didukung; KWoverlap = (|∩|/|ctx|)^0,65 = (38/351)^0,65 = 0.1083^0,65 = 0.2357)</t>
        </is>
      </c>
      <c r="F2723" t="n">
        <v>0.7707000000000001</v>
      </c>
      <c r="G2723" s="3" t="inlineStr">
        <is>
          <t>metode: llm_entailment + keyword</t>
        </is>
      </c>
    </row>
    <row r="2724">
      <c r="A2724" t="n">
        <v>185</v>
      </c>
      <c r="B2724" t="inlineStr">
        <is>
          <t>A</t>
        </is>
      </c>
      <c r="C2724" t="inlineStr">
        <is>
          <t>— Entailment (Pers. 12-13)</t>
        </is>
      </c>
      <c r="D2724" s="3" t="inlineStr">
        <is>
          <t>Entailment = Σverdict(sᵢ)/m</t>
        </is>
      </c>
      <c r="E2724" s="3" t="inlineStr">
        <is>
          <t>6 klaim YA dari 6 klaim dievaluasi</t>
        </is>
      </c>
      <c r="F2724" t="n">
        <v>1</v>
      </c>
      <c r="G2724" s="3" t="inlineStr">
        <is>
          <t>verdict per klaim: sheet 'Entailment Detail'</t>
        </is>
      </c>
    </row>
    <row r="2725">
      <c r="A2725" t="n">
        <v>185</v>
      </c>
      <c r="B2725" t="inlineStr">
        <is>
          <t>A</t>
        </is>
      </c>
      <c r="C2725" t="inlineStr">
        <is>
          <t>— Keyword Overlap (Pers. 14)</t>
        </is>
      </c>
      <c r="D2725" s="3" t="inlineStr">
        <is>
          <t>KWoverlap = (|Stems(ans)∩Stems(ctx)| / |Stems(ctx)|)^0,65</t>
        </is>
      </c>
      <c r="E2725" s="3" t="inlineStr">
        <is>
          <t>KWoverlap = (|∩|/|ctx|)^0,65 = (38/351)^0,65 = 0.1083^0,65 = 0.2357</t>
        </is>
      </c>
      <c r="F2725" t="n">
        <v>0.2357</v>
      </c>
      <c r="G2725" s="3" t="inlineStr"/>
    </row>
    <row r="2726">
      <c r="A2726" t="n">
        <v>185</v>
      </c>
      <c r="B2726" t="inlineStr">
        <is>
          <t>A</t>
        </is>
      </c>
      <c r="C2726" t="inlineStr">
        <is>
          <t>Hallucination Risk (Pers. 18)</t>
        </is>
      </c>
      <c r="D2726" s="3" t="inlineStr">
        <is>
          <t>Risk = 0,65×(1-F) + 0,20×Contradiction + 0,15×Uncertainty</t>
        </is>
      </c>
      <c r="E2726" s="3" t="inlineStr">
        <is>
          <t>Risk = 0,65×OutOfContext + 0,20×Contradiction + 0,15×Uncertainty = 0,65×0.2293 + 0,20×0.0000 + 0,15×0.00 = 0.1490 [RENDAH]</t>
        </is>
      </c>
      <c r="F2726" t="n">
        <v>0.149</v>
      </c>
      <c r="G2726" s="3" t="inlineStr">
        <is>
          <t>label: RENDAH; kontradiksi 0/9 kalimat; uncertainty flag: False</t>
        </is>
      </c>
    </row>
    <row r="2727">
      <c r="A2727" t="n">
        <v>185</v>
      </c>
      <c r="B2727" t="inlineStr">
        <is>
          <t>A</t>
        </is>
      </c>
      <c r="C2727" t="inlineStr">
        <is>
          <t>Answer Accuracy (Pers. 20)</t>
        </is>
      </c>
      <c r="D2727" s="3" t="inlineStr">
        <is>
          <t>Correctᵢ ∈ {0,1} via LLM-as-Judge (HASIL: BENAR/SALAH)</t>
        </is>
      </c>
      <c r="E2727" s="3" t="inlineStr"/>
      <c r="F2727" t="inlineStr">
        <is>
          <t>BENAR</t>
        </is>
      </c>
      <c r="G2727" s="3" t="inlineStr">
        <is>
          <t>evaluator: ollama/llama3</t>
        </is>
      </c>
    </row>
    <row r="2728">
      <c r="A2728" t="n">
        <v>185</v>
      </c>
      <c r="B2728" t="inlineStr">
        <is>
          <t>B</t>
        </is>
      </c>
      <c r="C2728" t="inlineStr">
        <is>
          <t>Faithfulness (Pers. 15)</t>
        </is>
      </c>
      <c r="D2728" s="3" t="inlineStr">
        <is>
          <t>F = 0,70×Entailment + 0,30×KWoverlap</t>
        </is>
      </c>
      <c r="E2728" s="3" t="inlineStr">
        <is>
          <t>Faithfulness = 0,70×Entailment + 0,30×KWoverlap = 0,70×0.5000 + 0,30×0.2707 = 0.4312  (entailment: 3/6 klaim didukung; KWoverlap = (|∩|/|ctx|)^0,65 = (47/351)^0,65 = 0.1339^0,65 = 0.2707)</t>
        </is>
      </c>
      <c r="F2728" t="n">
        <v>0.4312</v>
      </c>
      <c r="G2728" s="3" t="inlineStr">
        <is>
          <t>metode: llm_entailment + keyword</t>
        </is>
      </c>
    </row>
    <row r="2729">
      <c r="A2729" t="n">
        <v>185</v>
      </c>
      <c r="B2729" t="inlineStr">
        <is>
          <t>B</t>
        </is>
      </c>
      <c r="C2729" t="inlineStr">
        <is>
          <t>— Entailment (Pers. 12-13)</t>
        </is>
      </c>
      <c r="D2729" s="3" t="inlineStr">
        <is>
          <t>Entailment = Σverdict(sᵢ)/m</t>
        </is>
      </c>
      <c r="E2729" s="3" t="inlineStr">
        <is>
          <t>3 klaim YA dari 6 klaim dievaluasi</t>
        </is>
      </c>
      <c r="F2729" t="n">
        <v>0.5</v>
      </c>
      <c r="G2729" s="3" t="inlineStr">
        <is>
          <t>verdict per klaim: sheet 'Entailment Detail'</t>
        </is>
      </c>
    </row>
    <row r="2730">
      <c r="A2730" t="n">
        <v>185</v>
      </c>
      <c r="B2730" t="inlineStr">
        <is>
          <t>B</t>
        </is>
      </c>
      <c r="C2730" t="inlineStr">
        <is>
          <t>— Keyword Overlap (Pers. 14)</t>
        </is>
      </c>
      <c r="D2730" s="3" t="inlineStr">
        <is>
          <t>KWoverlap = (|Stems(ans)∩Stems(ctx)| / |Stems(ctx)|)^0,65</t>
        </is>
      </c>
      <c r="E2730" s="3" t="inlineStr">
        <is>
          <t>KWoverlap = (|∩|/|ctx|)^0,65 = (47/351)^0,65 = 0.1339^0,65 = 0.2707</t>
        </is>
      </c>
      <c r="F2730" t="n">
        <v>0.2707</v>
      </c>
      <c r="G2730" s="3" t="inlineStr"/>
    </row>
    <row r="2731">
      <c r="A2731" t="n">
        <v>185</v>
      </c>
      <c r="B2731" t="inlineStr">
        <is>
          <t>B</t>
        </is>
      </c>
      <c r="C2731" t="inlineStr">
        <is>
          <t>Hallucination Risk (Pers. 18)</t>
        </is>
      </c>
      <c r="D2731" s="3" t="inlineStr">
        <is>
          <t>Risk = 0,65×(1-F) + 0,20×Contradiction + 0,15×Uncertainty</t>
        </is>
      </c>
      <c r="E2731" s="3" t="inlineStr">
        <is>
          <t>Risk = 0,65×OutOfContext + 0,20×Contradiction + 0,15×Uncertainty = 0,65×0.5688 + 0,20×0.0000 + 0,15×0.00 = 0.3697 [SEDANG]</t>
        </is>
      </c>
      <c r="F2731" t="n">
        <v>0.3697</v>
      </c>
      <c r="G2731" s="3" t="inlineStr">
        <is>
          <t>label: SEDANG; kontradiksi 0/9 kalimat; uncertainty flag: False</t>
        </is>
      </c>
    </row>
    <row r="2732">
      <c r="A2732" t="n">
        <v>185</v>
      </c>
      <c r="B2732" t="inlineStr">
        <is>
          <t>B</t>
        </is>
      </c>
      <c r="C2732" t="inlineStr">
        <is>
          <t>Answer Accuracy (Pers. 20)</t>
        </is>
      </c>
      <c r="D2732" s="3" t="inlineStr">
        <is>
          <t>Correctᵢ ∈ {0,1} via LLM-as-Judge (HASIL: BENAR/SALAH)</t>
        </is>
      </c>
      <c r="E2732" s="3" t="inlineStr"/>
      <c r="F2732" t="inlineStr">
        <is>
          <t>BENAR</t>
        </is>
      </c>
      <c r="G2732" s="3" t="inlineStr">
        <is>
          <t>evaluator: ollama/llama3</t>
        </is>
      </c>
    </row>
    <row r="2733">
      <c r="A2733" t="n">
        <v>186</v>
      </c>
      <c r="B2733" t="inlineStr">
        <is>
          <t>A</t>
        </is>
      </c>
      <c r="C2733" t="inlineStr">
        <is>
          <t>Precision@K (Pers. 2)</t>
        </is>
      </c>
      <c r="D2733" s="3" t="inlineStr">
        <is>
          <t>Precision@K = |{d ∈ TopK : sim(q,d) ≥ θ}| / K</t>
        </is>
      </c>
      <c r="E2733" s="3" t="inlineStr">
        <is>
          <t>skor = [0.7825, 0.7786, 0.775, 0.7675, 0.7597, 0.7546] → 6 / 6</t>
        </is>
      </c>
      <c r="F2733" t="n">
        <v>1</v>
      </c>
      <c r="G2733" s="3" t="inlineStr">
        <is>
          <t>basis: skor chunk nyata (sesuai contoh Pers. 2 skripsi)</t>
        </is>
      </c>
    </row>
    <row r="2734">
      <c r="A2734" t="n">
        <v>186</v>
      </c>
      <c r="B2734" t="inlineStr">
        <is>
          <t>A</t>
        </is>
      </c>
      <c r="C2734" t="inlineStr">
        <is>
          <t>Recall@K (Pers. 4)</t>
        </is>
      </c>
      <c r="D2734" s="3" t="inlineStr">
        <is>
          <t>Recall@K = |{kata kunci ditemukan : sim ≥ θ}| / |R|</t>
        </is>
      </c>
      <c r="E2734" s="3" t="inlineStr">
        <is>
          <t>skor = [0.6226, 0.5595, 0.5322, 0.4967, 0.4731, 0.4567] → 6 / 6</t>
        </is>
      </c>
      <c r="F2734" t="n">
        <v>1</v>
      </c>
      <c r="G2734" s="3" t="inlineStr"/>
    </row>
    <row r="2735">
      <c r="A2735" t="n">
        <v>186</v>
      </c>
      <c r="B2735" t="inlineStr">
        <is>
          <t>A</t>
        </is>
      </c>
      <c r="C2735" t="inlineStr">
        <is>
          <t>Mean Similarity (Pers. 6)</t>
        </is>
      </c>
      <c r="D2735" s="3" t="inlineStr">
        <is>
          <t>MeanSim = (1/K) × Σ sim(q, dᵢ)</t>
        </is>
      </c>
      <c r="E2735" s="3" t="inlineStr">
        <is>
          <t>skor = [0.7825, 0.7786, 0.775, 0.7675, 0.7597, 0.7546] → (0.7825 + 0.7786 + 0.7750 + 0.7675 + 0.7597 + 0.7546) / 6</t>
        </is>
      </c>
      <c r="F2735" t="n">
        <v>0.7696</v>
      </c>
      <c r="G2735" s="3" t="inlineStr"/>
    </row>
    <row r="2736">
      <c r="A2736" t="n">
        <v>186</v>
      </c>
      <c r="B2736" t="inlineStr">
        <is>
          <t>A</t>
        </is>
      </c>
      <c r="C2736" t="inlineStr">
        <is>
          <t>Coverage (Pers. 8)</t>
        </is>
      </c>
      <c r="D2736" s="3" t="inlineStr">
        <is>
          <t>Coverage = |{dᵢ ∈ TopK : sim(q,dᵢ) ≥ θc}| / K</t>
        </is>
      </c>
      <c r="E2736" s="3" t="inlineStr">
        <is>
          <t>skor = [0.7825, 0.7786, 0.775, 0.7675, 0.7597, 0.7546] → 6 / 6</t>
        </is>
      </c>
      <c r="F2736" t="n">
        <v>1</v>
      </c>
      <c r="G2736" s="3" t="inlineStr"/>
    </row>
    <row r="2737">
      <c r="A2737" t="n">
        <v>186</v>
      </c>
      <c r="B2737" t="inlineStr">
        <is>
          <t>A</t>
        </is>
      </c>
      <c r="C2737" t="inlineStr">
        <is>
          <t>Source Diversity (Pers. 10)</t>
        </is>
      </c>
      <c r="D2737" s="3" t="inlineStr">
        <is>
          <t>Diversity = |sumber unik dalam TopK| / K</t>
        </is>
      </c>
      <c r="E2737" s="3" t="inlineStr">
        <is>
          <t>skor = ['GT_CT01.txt', 'GT_CT04.txt', 'GT_DETAIL_PT01_Pendahuluan.txt', 'GT_DETAIL_PT02_ICT_Literacy_Ethics.txt', 'GT_DETAIL_PT04_Abstraksi.txt', 'GT_SUBTOPIK_02_Abstraksi_Formulasi.txt'] → 6 / 6</t>
        </is>
      </c>
      <c r="F2737" t="n">
        <v>1</v>
      </c>
      <c r="G2737" s="3" t="inlineStr">
        <is>
          <t>file unik: GT_CT01.txt, GT_CT04.txt, GT_DETAIL_PT01_Pendahuluan.txt, GT_DETAIL_PT02_ICT_Literacy_Ethics.txt, GT_DETAIL_PT04_Abstraksi.txt, GT_SUBTOPIK_02_Abstraksi_Formulasi.txt</t>
        </is>
      </c>
    </row>
    <row r="2738">
      <c r="A2738" t="n">
        <v>186</v>
      </c>
      <c r="B2738" t="inlineStr">
        <is>
          <t>A</t>
        </is>
      </c>
      <c r="C2738" t="inlineStr">
        <is>
          <t>Faithfulness (Pers. 15)</t>
        </is>
      </c>
      <c r="D2738" s="3" t="inlineStr">
        <is>
          <t>F = 0,70×Entailment + 0,30×KWoverlap</t>
        </is>
      </c>
      <c r="E2738" s="3" t="inlineStr">
        <is>
          <t>Faithfulness = 0,70×Entailment + 0,30×KWoverlap = 0,70×1.0000 + 0,30×0.1589 = 0.7477  (entailment: 6/6 klaim didukung; KWoverlap = (|∩|/|ctx|)^0,65 = (20/339)^0,65 = 0.0590^0,65 = 0.1589)</t>
        </is>
      </c>
      <c r="F2738" t="n">
        <v>0.7477</v>
      </c>
      <c r="G2738" s="3" t="inlineStr">
        <is>
          <t>metode: llm_entailment + keyword</t>
        </is>
      </c>
    </row>
    <row r="2739">
      <c r="A2739" t="n">
        <v>186</v>
      </c>
      <c r="B2739" t="inlineStr">
        <is>
          <t>A</t>
        </is>
      </c>
      <c r="C2739" t="inlineStr">
        <is>
          <t>— Entailment (Pers. 12-13)</t>
        </is>
      </c>
      <c r="D2739" s="3" t="inlineStr">
        <is>
          <t>Entailment = Σverdict(sᵢ)/m</t>
        </is>
      </c>
      <c r="E2739" s="3" t="inlineStr">
        <is>
          <t>6 klaim YA dari 6 klaim dievaluasi</t>
        </is>
      </c>
      <c r="F2739" t="n">
        <v>1</v>
      </c>
      <c r="G2739" s="3" t="inlineStr">
        <is>
          <t>verdict per klaim: sheet 'Entailment Detail'</t>
        </is>
      </c>
    </row>
    <row r="2740">
      <c r="A2740" t="n">
        <v>186</v>
      </c>
      <c r="B2740" t="inlineStr">
        <is>
          <t>A</t>
        </is>
      </c>
      <c r="C2740" t="inlineStr">
        <is>
          <t>— Keyword Overlap (Pers. 14)</t>
        </is>
      </c>
      <c r="D2740" s="3" t="inlineStr">
        <is>
          <t>KWoverlap = (|Stems(ans)∩Stems(ctx)| / |Stems(ctx)|)^0,65</t>
        </is>
      </c>
      <c r="E2740" s="3" t="inlineStr">
        <is>
          <t>KWoverlap = (|∩|/|ctx|)^0,65 = (20/339)^0,65 = 0.0590^0,65 = 0.1589</t>
        </is>
      </c>
      <c r="F2740" t="n">
        <v>0.1589</v>
      </c>
      <c r="G2740" s="3" t="inlineStr"/>
    </row>
    <row r="2741">
      <c r="A2741" t="n">
        <v>186</v>
      </c>
      <c r="B2741" t="inlineStr">
        <is>
          <t>A</t>
        </is>
      </c>
      <c r="C2741" t="inlineStr">
        <is>
          <t>Hallucination Risk (Pers. 18)</t>
        </is>
      </c>
      <c r="D2741" s="3" t="inlineStr">
        <is>
          <t>Risk = 0,65×(1-F) + 0,20×Contradiction + 0,15×Uncertainty</t>
        </is>
      </c>
      <c r="E2741" s="3" t="inlineStr">
        <is>
          <t>Risk = 0,65×OutOfContext + 0,20×Contradiction + 0,15×Uncertainty = 0,65×0.2523 + 0,20×0.0000 + 0,15×0.20 = 0.1940 [RENDAH]</t>
        </is>
      </c>
      <c r="F2741" t="n">
        <v>0.194</v>
      </c>
      <c r="G2741" s="3" t="inlineStr">
        <is>
          <t>label: RENDAH; kontradiksi 0/19 kalimat; uncertainty flag: True</t>
        </is>
      </c>
    </row>
    <row r="2742">
      <c r="A2742" t="n">
        <v>186</v>
      </c>
      <c r="B2742" t="inlineStr">
        <is>
          <t>A</t>
        </is>
      </c>
      <c r="C2742" t="inlineStr">
        <is>
          <t>Answer Accuracy (Pers. 20)</t>
        </is>
      </c>
      <c r="D2742" s="3" t="inlineStr">
        <is>
          <t>Correctᵢ ∈ {0,1} via LLM-as-Judge (HASIL: BENAR/SALAH)</t>
        </is>
      </c>
      <c r="E2742" s="3" t="inlineStr">
        <is>
          <t>Menurut jawaban sistem, .
Pembuktian:
* Jawaban sistem menjelaskan konsep Symptom vs Problem dengan contoh yang jelas dan mudah dipahami.
* Dalam jawaban sistem, "P vs NP problem" tidak dihubungkan dengan kompleksitas Big-O, padahal pertanyaan asli meminta hubungan antara keduanya. Maka, jawaban sistem tidak menjawab pertanyaan asli dengan benar berdasarkan referensi.
* Namun, jawaban sistem tel</t>
        </is>
      </c>
      <c r="F2742" t="inlineStr">
        <is>
          <t>BENAR</t>
        </is>
      </c>
      <c r="G2742" s="3" t="inlineStr">
        <is>
          <t>evaluator: ollama/llama3</t>
        </is>
      </c>
    </row>
    <row r="2743">
      <c r="A2743" t="n">
        <v>186</v>
      </c>
      <c r="B2743" t="inlineStr">
        <is>
          <t>B</t>
        </is>
      </c>
      <c r="C2743" t="inlineStr">
        <is>
          <t>Faithfulness (Pers. 15)</t>
        </is>
      </c>
      <c r="D2743" s="3" t="inlineStr">
        <is>
          <t>F = 0,70×Entailment + 0,30×KWoverlap</t>
        </is>
      </c>
      <c r="E2743" s="3" t="inlineStr">
        <is>
          <t>Faithfulness = 0,70×Entailment + 0,30×KWoverlap = 0,70×0.8333 + 0,30×0.2533 = 0.6593  (entailment: 5/6 klaim didukung; KWoverlap = (|∩|/|ctx|)^0,65 = (41/339)^0,65 = 0.1209^0,65 = 0.2533)</t>
        </is>
      </c>
      <c r="F2743" t="n">
        <v>0.6593</v>
      </c>
      <c r="G2743" s="3" t="inlineStr">
        <is>
          <t>metode: llm_entailment + keyword</t>
        </is>
      </c>
    </row>
    <row r="2744">
      <c r="A2744" t="n">
        <v>186</v>
      </c>
      <c r="B2744" t="inlineStr">
        <is>
          <t>B</t>
        </is>
      </c>
      <c r="C2744" t="inlineStr">
        <is>
          <t>— Entailment (Pers. 12-13)</t>
        </is>
      </c>
      <c r="D2744" s="3" t="inlineStr">
        <is>
          <t>Entailment = Σverdict(sᵢ)/m</t>
        </is>
      </c>
      <c r="E2744" s="3" t="inlineStr">
        <is>
          <t>5 klaim YA dari 6 klaim dievaluasi</t>
        </is>
      </c>
      <c r="F2744" t="n">
        <v>0.8333</v>
      </c>
      <c r="G2744" s="3" t="inlineStr">
        <is>
          <t>verdict per klaim: sheet 'Entailment Detail'</t>
        </is>
      </c>
    </row>
    <row r="2745">
      <c r="A2745" t="n">
        <v>186</v>
      </c>
      <c r="B2745" t="inlineStr">
        <is>
          <t>B</t>
        </is>
      </c>
      <c r="C2745" t="inlineStr">
        <is>
          <t>— Keyword Overlap (Pers. 14)</t>
        </is>
      </c>
      <c r="D2745" s="3" t="inlineStr">
        <is>
          <t>KWoverlap = (|Stems(ans)∩Stems(ctx)| / |Stems(ctx)|)^0,65</t>
        </is>
      </c>
      <c r="E2745" s="3" t="inlineStr">
        <is>
          <t>KWoverlap = (|∩|/|ctx|)^0,65 = (41/339)^0,65 = 0.1209^0,65 = 0.2533</t>
        </is>
      </c>
      <c r="F2745" t="n">
        <v>0.2533</v>
      </c>
      <c r="G2745" s="3" t="inlineStr"/>
    </row>
    <row r="2746">
      <c r="A2746" t="n">
        <v>186</v>
      </c>
      <c r="B2746" t="inlineStr">
        <is>
          <t>B</t>
        </is>
      </c>
      <c r="C2746" t="inlineStr">
        <is>
          <t>Hallucination Risk (Pers. 18)</t>
        </is>
      </c>
      <c r="D2746" s="3" t="inlineStr">
        <is>
          <t>Risk = 0,65×(1-F) + 0,20×Contradiction + 0,15×Uncertainty</t>
        </is>
      </c>
      <c r="E2746" s="3" t="inlineStr">
        <is>
          <t>Risk = 0,65×OutOfContext + 0,20×Contradiction + 0,15×Uncertainty = 0,65×0.3407 + 0,20×0.0000 + 0,15×0.20 = 0.2515 [RENDAH]</t>
        </is>
      </c>
      <c r="F2746" t="n">
        <v>0.2515</v>
      </c>
      <c r="G2746" s="3" t="inlineStr">
        <is>
          <t>label: RENDAH; kontradiksi 0/15 kalimat; uncertainty flag: True</t>
        </is>
      </c>
    </row>
    <row r="2747">
      <c r="A2747" t="n">
        <v>186</v>
      </c>
      <c r="B2747" t="inlineStr">
        <is>
          <t>B</t>
        </is>
      </c>
      <c r="C2747" t="inlineStr">
        <is>
          <t>Answer Accuracy (Pers. 20)</t>
        </is>
      </c>
      <c r="D2747" s="3" t="inlineStr">
        <is>
          <t>Correctᵢ ∈ {0,1} via LLM-as-Judge (HASIL: BENAR/SALAH)</t>
        </is>
      </c>
      <c r="E2747" s="3" t="inlineStr">
        <is>
          <t>Berdasarkan referensi, jawaban sistem adalah:
Alasan: Jawaban sistem menjelaskan bahwa "P vs NP problem" terkait dengan kompleksitas Big-O, yang sesuai dengan referensi materi GT. Selain itu, jawaban sistem juga menjelaskan konsep utama "P vs NP problem", yakni apakah setiap masalah dapat dipecahkan secara cepat oleh mesin (dalam waktu polynomial). Hal ini sesuai dengan definisi "P vs NP proble</t>
        </is>
      </c>
      <c r="F2747" t="inlineStr">
        <is>
          <t>BENAR</t>
        </is>
      </c>
      <c r="G2747" s="3" t="inlineStr">
        <is>
          <t>evaluator: ollama/llama3</t>
        </is>
      </c>
    </row>
    <row r="2748">
      <c r="A2748" t="n">
        <v>187</v>
      </c>
      <c r="B2748" t="inlineStr">
        <is>
          <t>A</t>
        </is>
      </c>
      <c r="C2748" t="inlineStr">
        <is>
          <t>Precision@K (Pers. 2)</t>
        </is>
      </c>
      <c r="D2748" s="3" t="inlineStr">
        <is>
          <t>Precision@K = |{d ∈ TopK : sim(q,d) ≥ θ}| / K</t>
        </is>
      </c>
      <c r="E2748" s="3" t="inlineStr">
        <is>
          <t>skor = [0.7191, 0.7135, 0.7013, 0.7005, 0.6963, 0.6949] → 6 / 6</t>
        </is>
      </c>
      <c r="F2748" t="n">
        <v>1</v>
      </c>
      <c r="G2748" s="3" t="inlineStr">
        <is>
          <t>basis: skor chunk nyata (sesuai contoh Pers. 2 skripsi)</t>
        </is>
      </c>
    </row>
    <row r="2749">
      <c r="A2749" t="n">
        <v>187</v>
      </c>
      <c r="B2749" t="inlineStr">
        <is>
          <t>A</t>
        </is>
      </c>
      <c r="C2749" t="inlineStr">
        <is>
          <t>Recall@K (Pers. 4)</t>
        </is>
      </c>
      <c r="D2749" s="3" t="inlineStr">
        <is>
          <t>Recall@K = |{kata kunci ditemukan : sim ≥ θ}| / |R|</t>
        </is>
      </c>
      <c r="E2749" s="3" t="inlineStr">
        <is>
          <t>skor = [0.6323, 0.5375, 0.5373, 0.5323, 0.5198, 0.5009] → 6 / 7</t>
        </is>
      </c>
      <c r="F2749" t="n">
        <v>0.8571</v>
      </c>
      <c r="G2749" s="3" t="inlineStr"/>
    </row>
    <row r="2750">
      <c r="A2750" t="n">
        <v>187</v>
      </c>
      <c r="B2750" t="inlineStr">
        <is>
          <t>A</t>
        </is>
      </c>
      <c r="C2750" t="inlineStr">
        <is>
          <t>Mean Similarity (Pers. 6)</t>
        </is>
      </c>
      <c r="D2750" s="3" t="inlineStr">
        <is>
          <t>MeanSim = (1/K) × Σ sim(q, dᵢ)</t>
        </is>
      </c>
      <c r="E2750" s="3" t="inlineStr">
        <is>
          <t>skor = [0.7191, 0.7135, 0.7013, 0.7005, 0.6963, 0.6949] → (0.7191 + 0.7135 + 0.7013 + 0.7005 + 0.6963 + 0.6949) / 6</t>
        </is>
      </c>
      <c r="F2750" t="n">
        <v>0.7043</v>
      </c>
      <c r="G2750" s="3" t="inlineStr"/>
    </row>
    <row r="2751">
      <c r="A2751" t="n">
        <v>187</v>
      </c>
      <c r="B2751" t="inlineStr">
        <is>
          <t>A</t>
        </is>
      </c>
      <c r="C2751" t="inlineStr">
        <is>
          <t>Coverage (Pers. 8)</t>
        </is>
      </c>
      <c r="D2751" s="3" t="inlineStr">
        <is>
          <t>Coverage = |{dᵢ ∈ TopK : sim(q,dᵢ) ≥ θc}| / K</t>
        </is>
      </c>
      <c r="E2751" s="3" t="inlineStr">
        <is>
          <t>skor = [0.7191, 0.7135, 0.7013, 0.7005, 0.6963, 0.6949] → 6 / 6</t>
        </is>
      </c>
      <c r="F2751" t="n">
        <v>1</v>
      </c>
      <c r="G2751" s="3" t="inlineStr"/>
    </row>
    <row r="2752">
      <c r="A2752" t="n">
        <v>187</v>
      </c>
      <c r="B2752" t="inlineStr">
        <is>
          <t>A</t>
        </is>
      </c>
      <c r="C2752" t="inlineStr">
        <is>
          <t>Source Diversity (Pers. 10)</t>
        </is>
      </c>
      <c r="D2752" s="3" t="inlineStr">
        <is>
          <t>Diversity = |sumber unik dalam TopK| / K</t>
        </is>
      </c>
      <c r="E2752" s="3" t="inlineStr">
        <is>
          <t>skor = ['5TAI.txt', 'GT_CT09.txt', 'GT_CT10.txt', 'GT_DETAIL_PT01_Pendahuluan.txt', 'GT_DETAIL_PT02_ICT_Literacy_Ethics.txt'] → 5 / 6</t>
        </is>
      </c>
      <c r="F2752" t="n">
        <v>0.8333</v>
      </c>
      <c r="G2752" s="3" t="inlineStr">
        <is>
          <t>file unik: 5TAI.txt, GT_CT09.txt, GT_CT10.txt, GT_DETAIL_PT01_Pendahuluan.txt, GT_DETAIL_PT02_ICT_Literacy_Ethics.txt</t>
        </is>
      </c>
    </row>
    <row r="2753">
      <c r="A2753" t="n">
        <v>187</v>
      </c>
      <c r="B2753" t="inlineStr">
        <is>
          <t>A</t>
        </is>
      </c>
      <c r="C2753" t="inlineStr">
        <is>
          <t>Faithfulness (Pers. 15)</t>
        </is>
      </c>
      <c r="D2753" s="3" t="inlineStr">
        <is>
          <t>F = 0,70×Entailment + 0,30×KWoverlap</t>
        </is>
      </c>
      <c r="E2753" s="3" t="inlineStr">
        <is>
          <t>Faithfulness = 0,70×Entailment + 0,30×KWoverlap = 0,70×1.0000 + 0,30×0.2192 = 0.7657  (entailment: 6/6 klaim didukung; KWoverlap = (|∩|/|ctx|)^0,65 = (33/341)^0,65 = 0.0968^0,65 = 0.2192)</t>
        </is>
      </c>
      <c r="F2753" t="n">
        <v>0.7657</v>
      </c>
      <c r="G2753" s="3" t="inlineStr">
        <is>
          <t>metode: llm_entailment + keyword</t>
        </is>
      </c>
    </row>
    <row r="2754">
      <c r="A2754" t="n">
        <v>187</v>
      </c>
      <c r="B2754" t="inlineStr">
        <is>
          <t>A</t>
        </is>
      </c>
      <c r="C2754" t="inlineStr">
        <is>
          <t>— Entailment (Pers. 12-13)</t>
        </is>
      </c>
      <c r="D2754" s="3" t="inlineStr">
        <is>
          <t>Entailment = Σverdict(sᵢ)/m</t>
        </is>
      </c>
      <c r="E2754" s="3" t="inlineStr">
        <is>
          <t>6 klaim YA dari 6 klaim dievaluasi</t>
        </is>
      </c>
      <c r="F2754" t="n">
        <v>1</v>
      </c>
      <c r="G2754" s="3" t="inlineStr">
        <is>
          <t>verdict per klaim: sheet 'Entailment Detail'</t>
        </is>
      </c>
    </row>
    <row r="2755">
      <c r="A2755" t="n">
        <v>187</v>
      </c>
      <c r="B2755" t="inlineStr">
        <is>
          <t>A</t>
        </is>
      </c>
      <c r="C2755" t="inlineStr">
        <is>
          <t>— Keyword Overlap (Pers. 14)</t>
        </is>
      </c>
      <c r="D2755" s="3" t="inlineStr">
        <is>
          <t>KWoverlap = (|Stems(ans)∩Stems(ctx)| / |Stems(ctx)|)^0,65</t>
        </is>
      </c>
      <c r="E2755" s="3" t="inlineStr">
        <is>
          <t>KWoverlap = (|∩|/|ctx|)^0,65 = (33/341)^0,65 = 0.0968^0,65 = 0.2192</t>
        </is>
      </c>
      <c r="F2755" t="n">
        <v>0.2192</v>
      </c>
      <c r="G2755" s="3" t="inlineStr"/>
    </row>
    <row r="2756">
      <c r="A2756" t="n">
        <v>187</v>
      </c>
      <c r="B2756" t="inlineStr">
        <is>
          <t>A</t>
        </is>
      </c>
      <c r="C2756" t="inlineStr">
        <is>
          <t>Hallucination Risk (Pers. 18)</t>
        </is>
      </c>
      <c r="D2756" s="3" t="inlineStr">
        <is>
          <t>Risk = 0,65×(1-F) + 0,20×Contradiction + 0,15×Uncertainty</t>
        </is>
      </c>
      <c r="E2756" s="3" t="inlineStr">
        <is>
          <t>Risk = 0,65×OutOfContext + 0,20×Contradiction + 0,15×Uncertainty = 0,65×0.2343 + 0,20×0.0000 + 0,15×0.20 = 0.1823 [RENDAH]</t>
        </is>
      </c>
      <c r="F2756" t="n">
        <v>0.1823</v>
      </c>
      <c r="G2756" s="3" t="inlineStr">
        <is>
          <t>label: RENDAH; kontradiksi 0/17 kalimat; uncertainty flag: True</t>
        </is>
      </c>
    </row>
    <row r="2757">
      <c r="A2757" t="n">
        <v>187</v>
      </c>
      <c r="B2757" t="inlineStr">
        <is>
          <t>A</t>
        </is>
      </c>
      <c r="C2757" t="inlineStr">
        <is>
          <t>Answer Accuracy (Pers. 20)</t>
        </is>
      </c>
      <c r="D2757" s="3" t="inlineStr">
        <is>
          <t>Correctᵢ ∈ {0,1} via LLM-as-Judge (HASIL: BENAR/SALAH)</t>
        </is>
      </c>
      <c r="E2757" s="3" t="inlineStr">
        <is>
          <t>BENAR
Alasan: Jawaban sistem menjelaskan tiga cara menghitung faktorial, termasuk rekursi biasa, iterasi for loop, dan dengan rumus langsung (Stirling approximation), serta membahas sisi Big-O. Hal ini sesuai dengan referensi dosen tentang materi GT yang mencakup struktur kendali dan perkembangan teknologi.</t>
        </is>
      </c>
      <c r="F2757" t="inlineStr">
        <is>
          <t>BENAR</t>
        </is>
      </c>
      <c r="G2757" s="3" t="inlineStr">
        <is>
          <t>evaluator: ollama/llama3</t>
        </is>
      </c>
    </row>
    <row r="2758">
      <c r="A2758" t="n">
        <v>187</v>
      </c>
      <c r="B2758" t="inlineStr">
        <is>
          <t>B</t>
        </is>
      </c>
      <c r="C2758" t="inlineStr">
        <is>
          <t>Faithfulness (Pers. 15)</t>
        </is>
      </c>
      <c r="D2758" s="3" t="inlineStr">
        <is>
          <t>F = 0,70×Entailment + 0,30×KWoverlap</t>
        </is>
      </c>
      <c r="E2758" s="3" t="inlineStr">
        <is>
          <t>Faithfulness = 0,70×Entailment + 0,30×KWoverlap = 0,70×0.8333 + 0,30×0.1924 = 0.6410  (entailment: 5/6 klaim didukung; KWoverlap = (|∩|/|ctx|)^0,65 = (27/341)^0,65 = 0.0792^0,65 = 0.1924)</t>
        </is>
      </c>
      <c r="F2758" t="n">
        <v>0.641</v>
      </c>
      <c r="G2758" s="3" t="inlineStr">
        <is>
          <t>metode: llm_entailment + keyword</t>
        </is>
      </c>
    </row>
    <row r="2759">
      <c r="A2759" t="n">
        <v>187</v>
      </c>
      <c r="B2759" t="inlineStr">
        <is>
          <t>B</t>
        </is>
      </c>
      <c r="C2759" t="inlineStr">
        <is>
          <t>— Entailment (Pers. 12-13)</t>
        </is>
      </c>
      <c r="D2759" s="3" t="inlineStr">
        <is>
          <t>Entailment = Σverdict(sᵢ)/m</t>
        </is>
      </c>
      <c r="E2759" s="3" t="inlineStr">
        <is>
          <t>5 klaim YA dari 6 klaim dievaluasi</t>
        </is>
      </c>
      <c r="F2759" t="n">
        <v>0.8333</v>
      </c>
      <c r="G2759" s="3" t="inlineStr">
        <is>
          <t>verdict per klaim: sheet 'Entailment Detail'</t>
        </is>
      </c>
    </row>
    <row r="2760">
      <c r="A2760" t="n">
        <v>187</v>
      </c>
      <c r="B2760" t="inlineStr">
        <is>
          <t>B</t>
        </is>
      </c>
      <c r="C2760" t="inlineStr">
        <is>
          <t>— Keyword Overlap (Pers. 14)</t>
        </is>
      </c>
      <c r="D2760" s="3" t="inlineStr">
        <is>
          <t>KWoverlap = (|Stems(ans)∩Stems(ctx)| / |Stems(ctx)|)^0,65</t>
        </is>
      </c>
      <c r="E2760" s="3" t="inlineStr">
        <is>
          <t>KWoverlap = (|∩|/|ctx|)^0,65 = (27/341)^0,65 = 0.0792^0,65 = 0.1924</t>
        </is>
      </c>
      <c r="F2760" t="n">
        <v>0.1924</v>
      </c>
      <c r="G2760" s="3" t="inlineStr"/>
    </row>
    <row r="2761">
      <c r="A2761" t="n">
        <v>187</v>
      </c>
      <c r="B2761" t="inlineStr">
        <is>
          <t>B</t>
        </is>
      </c>
      <c r="C2761" t="inlineStr">
        <is>
          <t>Hallucination Risk (Pers. 18)</t>
        </is>
      </c>
      <c r="D2761" s="3" t="inlineStr">
        <is>
          <t>Risk = 0,65×(1-F) + 0,20×Contradiction + 0,15×Uncertainty</t>
        </is>
      </c>
      <c r="E2761" s="3" t="inlineStr">
        <is>
          <t>Risk = 0,65×OutOfContext + 0,20×Contradiction + 0,15×Uncertainty = 0,65×0.3590 + 0,20×0.0000 + 0,15×0.00 = 0.2334 [RENDAH]</t>
        </is>
      </c>
      <c r="F2761" t="n">
        <v>0.2334</v>
      </c>
      <c r="G2761" s="3" t="inlineStr">
        <is>
          <t>label: RENDAH; kontradiksi 0/28 kalimat; uncertainty flag: False</t>
        </is>
      </c>
    </row>
    <row r="2762">
      <c r="A2762" t="n">
        <v>187</v>
      </c>
      <c r="B2762" t="inlineStr">
        <is>
          <t>B</t>
        </is>
      </c>
      <c r="C2762" t="inlineStr">
        <is>
          <t>Answer Accuracy (Pers. 20)</t>
        </is>
      </c>
      <c r="D2762" s="3" t="inlineStr">
        <is>
          <t>Correctᵢ ∈ {0,1} via LLM-as-Judge (HASIL: BENAR/SALAH)</t>
        </is>
      </c>
      <c r="E2762" s="3" t="inlineStr">
        <is>
          <t>BENAR</t>
        </is>
      </c>
      <c r="F2762" t="inlineStr">
        <is>
          <t>BENAR</t>
        </is>
      </c>
      <c r="G2762" s="3" t="inlineStr">
        <is>
          <t>evaluator: ollama/llama3</t>
        </is>
      </c>
    </row>
    <row r="2763">
      <c r="A2763" t="n">
        <v>188</v>
      </c>
      <c r="B2763" t="inlineStr">
        <is>
          <t>A</t>
        </is>
      </c>
      <c r="C2763" t="inlineStr">
        <is>
          <t>Precision@K (Pers. 2)</t>
        </is>
      </c>
      <c r="D2763" s="3" t="inlineStr">
        <is>
          <t>Precision@K = |{d ∈ TopK : sim(q,d) ≥ θ}| / K</t>
        </is>
      </c>
      <c r="E2763" s="3" t="inlineStr">
        <is>
          <t>skor = [0.7685, 0.7647, 0.7484, 0.7376, 0.7365, 0.7291] → 6 / 6</t>
        </is>
      </c>
      <c r="F2763" t="n">
        <v>1</v>
      </c>
      <c r="G2763" s="3" t="inlineStr">
        <is>
          <t>basis: skor chunk nyata (sesuai contoh Pers. 2 skripsi)</t>
        </is>
      </c>
    </row>
    <row r="2764">
      <c r="A2764" t="n">
        <v>188</v>
      </c>
      <c r="B2764" t="inlineStr">
        <is>
          <t>A</t>
        </is>
      </c>
      <c r="C2764" t="inlineStr">
        <is>
          <t>Recall@K (Pers. 4)</t>
        </is>
      </c>
      <c r="D2764" s="3" t="inlineStr">
        <is>
          <t>Recall@K = |{kata kunci ditemukan : sim ≥ θ}| / |R|</t>
        </is>
      </c>
      <c r="E2764" s="3" t="inlineStr">
        <is>
          <t>skor = [0.6731, 0.5764, 0.5659, 0.5304, 0.4086, 0.3677] → 6 / 7</t>
        </is>
      </c>
      <c r="F2764" t="n">
        <v>0.8571</v>
      </c>
      <c r="G2764" s="3" t="inlineStr"/>
    </row>
    <row r="2765">
      <c r="A2765" t="n">
        <v>188</v>
      </c>
      <c r="B2765" t="inlineStr">
        <is>
          <t>A</t>
        </is>
      </c>
      <c r="C2765" t="inlineStr">
        <is>
          <t>Mean Similarity (Pers. 6)</t>
        </is>
      </c>
      <c r="D2765" s="3" t="inlineStr">
        <is>
          <t>MeanSim = (1/K) × Σ sim(q, dᵢ)</t>
        </is>
      </c>
      <c r="E2765" s="3" t="inlineStr">
        <is>
          <t>skor = [0.7685, 0.7647, 0.7484, 0.7376, 0.7365, 0.7291] → (0.7685 + 0.7647 + 0.7484 + 0.7376 + 0.7365 + 0.7291) / 6</t>
        </is>
      </c>
      <c r="F2765" t="n">
        <v>0.7475000000000001</v>
      </c>
      <c r="G2765" s="3" t="inlineStr"/>
    </row>
    <row r="2766">
      <c r="A2766" t="n">
        <v>188</v>
      </c>
      <c r="B2766" t="inlineStr">
        <is>
          <t>A</t>
        </is>
      </c>
      <c r="C2766" t="inlineStr">
        <is>
          <t>Coverage (Pers. 8)</t>
        </is>
      </c>
      <c r="D2766" s="3" t="inlineStr">
        <is>
          <t>Coverage = |{dᵢ ∈ TopK : sim(q,dᵢ) ≥ θc}| / K</t>
        </is>
      </c>
      <c r="E2766" s="3" t="inlineStr">
        <is>
          <t>skor = [0.7685, 0.7647, 0.7484, 0.7376, 0.7365, 0.7291] → 6 / 6</t>
        </is>
      </c>
      <c r="F2766" t="n">
        <v>1</v>
      </c>
      <c r="G2766" s="3" t="inlineStr"/>
    </row>
    <row r="2767">
      <c r="A2767" t="n">
        <v>188</v>
      </c>
      <c r="B2767" t="inlineStr">
        <is>
          <t>A</t>
        </is>
      </c>
      <c r="C2767" t="inlineStr">
        <is>
          <t>Source Diversity (Pers. 10)</t>
        </is>
      </c>
      <c r="D2767" s="3" t="inlineStr">
        <is>
          <t>Diversity = |sumber unik dalam TopK| / K</t>
        </is>
      </c>
      <c r="E2767" s="3" t="inlineStr">
        <is>
          <t>skor = ['GT_CT07.txt', 'GT_CT09.txt', 'GT_CT10.txt', 'GT_DETAIL_PT10_Percabangan.txt', 'GT_SUBTOPIK_05_Pseudocode_Algoritme.txt'] → 5 / 6</t>
        </is>
      </c>
      <c r="F2767" t="n">
        <v>0.8333</v>
      </c>
      <c r="G2767" s="3" t="inlineStr">
        <is>
          <t>file unik: GT_CT07.txt, GT_CT09.txt, GT_CT10.txt, GT_DETAIL_PT10_Percabangan.txt, GT_SUBTOPIK_05_Pseudocode_Algoritme.txt</t>
        </is>
      </c>
    </row>
    <row r="2768">
      <c r="A2768" t="n">
        <v>188</v>
      </c>
      <c r="B2768" t="inlineStr">
        <is>
          <t>A</t>
        </is>
      </c>
      <c r="C2768" t="inlineStr">
        <is>
          <t>Faithfulness (Pers. 15)</t>
        </is>
      </c>
      <c r="D2768" s="3" t="inlineStr">
        <is>
          <t>F = 0,70×Entailment + 0,30×KWoverlap</t>
        </is>
      </c>
      <c r="E2768" s="3" t="inlineStr">
        <is>
          <t>Faithfulness = 0,70×Entailment + 0,30×KWoverlap = 0,70×1.0000 + 0,30×0.2895 = 0.7869  (entailment: 6/6 klaim didukung; KWoverlap = (|∩|/|ctx|)^0,65 = (30/202)^0,65 = 0.1485^0,65 = 0.2895)</t>
        </is>
      </c>
      <c r="F2768" t="n">
        <v>0.7869</v>
      </c>
      <c r="G2768" s="3" t="inlineStr">
        <is>
          <t>metode: llm_entailment + keyword</t>
        </is>
      </c>
    </row>
    <row r="2769">
      <c r="A2769" t="n">
        <v>188</v>
      </c>
      <c r="B2769" t="inlineStr">
        <is>
          <t>A</t>
        </is>
      </c>
      <c r="C2769" t="inlineStr">
        <is>
          <t>— Entailment (Pers. 12-13)</t>
        </is>
      </c>
      <c r="D2769" s="3" t="inlineStr">
        <is>
          <t>Entailment = Σverdict(sᵢ)/m</t>
        </is>
      </c>
      <c r="E2769" s="3" t="inlineStr">
        <is>
          <t>6 klaim YA dari 6 klaim dievaluasi</t>
        </is>
      </c>
      <c r="F2769" t="n">
        <v>1</v>
      </c>
      <c r="G2769" s="3" t="inlineStr">
        <is>
          <t>verdict per klaim: sheet 'Entailment Detail'</t>
        </is>
      </c>
    </row>
    <row r="2770">
      <c r="A2770" t="n">
        <v>188</v>
      </c>
      <c r="B2770" t="inlineStr">
        <is>
          <t>A</t>
        </is>
      </c>
      <c r="C2770" t="inlineStr">
        <is>
          <t>— Keyword Overlap (Pers. 14)</t>
        </is>
      </c>
      <c r="D2770" s="3" t="inlineStr">
        <is>
          <t>KWoverlap = (|Stems(ans)∩Stems(ctx)| / |Stems(ctx)|)^0,65</t>
        </is>
      </c>
      <c r="E2770" s="3" t="inlineStr">
        <is>
          <t>KWoverlap = (|∩|/|ctx|)^0,65 = (30/202)^0,65 = 0.1485^0,65 = 0.2895</t>
        </is>
      </c>
      <c r="F2770" t="n">
        <v>0.2895</v>
      </c>
      <c r="G2770" s="3" t="inlineStr"/>
    </row>
    <row r="2771">
      <c r="A2771" t="n">
        <v>188</v>
      </c>
      <c r="B2771" t="inlineStr">
        <is>
          <t>A</t>
        </is>
      </c>
      <c r="C2771" t="inlineStr">
        <is>
          <t>Hallucination Risk (Pers. 18)</t>
        </is>
      </c>
      <c r="D2771" s="3" t="inlineStr">
        <is>
          <t>Risk = 0,65×(1-F) + 0,20×Contradiction + 0,15×Uncertainty</t>
        </is>
      </c>
      <c r="E2771" s="3" t="inlineStr">
        <is>
          <t>Risk = 0,65×OutOfContext + 0,20×Contradiction + 0,15×Uncertainty = 0,65×0.2131 + 0,20×0.0000 + 0,15×0.00 = 0.1385 [RENDAH]</t>
        </is>
      </c>
      <c r="F2771" t="n">
        <v>0.1385</v>
      </c>
      <c r="G2771" s="3" t="inlineStr">
        <is>
          <t>label: RENDAH; kontradiksi 0/19 kalimat; uncertainty flag: False</t>
        </is>
      </c>
    </row>
    <row r="2772">
      <c r="A2772" t="n">
        <v>188</v>
      </c>
      <c r="B2772" t="inlineStr">
        <is>
          <t>B</t>
        </is>
      </c>
      <c r="C2772" t="inlineStr">
        <is>
          <t>Faithfulness (Pers. 15)</t>
        </is>
      </c>
      <c r="D2772" s="3" t="inlineStr">
        <is>
          <t>F = 0,70×Entailment + 0,30×KWoverlap</t>
        </is>
      </c>
      <c r="E2772" s="3" t="inlineStr">
        <is>
          <t>Faithfulness = 0,70×Entailment + 0,30×KWoverlap = 0,70×1.0000 + 0,30×0.2638 = 0.7791  (entailment: 6/6 klaim didukung; KWoverlap = (|∩|/|ctx|)^0,65 = (26/202)^0,65 = 0.1287^0,65 = 0.2638)</t>
        </is>
      </c>
      <c r="F2772" t="n">
        <v>0.7791</v>
      </c>
      <c r="G2772" s="3" t="inlineStr">
        <is>
          <t>metode: llm_entailment + keyword</t>
        </is>
      </c>
    </row>
    <row r="2773">
      <c r="A2773" t="n">
        <v>188</v>
      </c>
      <c r="B2773" t="inlineStr">
        <is>
          <t>B</t>
        </is>
      </c>
      <c r="C2773" t="inlineStr">
        <is>
          <t>— Entailment (Pers. 12-13)</t>
        </is>
      </c>
      <c r="D2773" s="3" t="inlineStr">
        <is>
          <t>Entailment = Σverdict(sᵢ)/m</t>
        </is>
      </c>
      <c r="E2773" s="3" t="inlineStr">
        <is>
          <t>6 klaim YA dari 6 klaim dievaluasi</t>
        </is>
      </c>
      <c r="F2773" t="n">
        <v>1</v>
      </c>
      <c r="G2773" s="3" t="inlineStr">
        <is>
          <t>verdict per klaim: sheet 'Entailment Detail'</t>
        </is>
      </c>
    </row>
    <row r="2774">
      <c r="A2774" t="n">
        <v>188</v>
      </c>
      <c r="B2774" t="inlineStr">
        <is>
          <t>B</t>
        </is>
      </c>
      <c r="C2774" t="inlineStr">
        <is>
          <t>— Keyword Overlap (Pers. 14)</t>
        </is>
      </c>
      <c r="D2774" s="3" t="inlineStr">
        <is>
          <t>KWoverlap = (|Stems(ans)∩Stems(ctx)| / |Stems(ctx)|)^0,65</t>
        </is>
      </c>
      <c r="E2774" s="3" t="inlineStr">
        <is>
          <t>KWoverlap = (|∩|/|ctx|)^0,65 = (26/202)^0,65 = 0.1287^0,65 = 0.2638</t>
        </is>
      </c>
      <c r="F2774" t="n">
        <v>0.2638</v>
      </c>
      <c r="G2774" s="3" t="inlineStr"/>
    </row>
    <row r="2775">
      <c r="A2775" t="n">
        <v>188</v>
      </c>
      <c r="B2775" t="inlineStr">
        <is>
          <t>B</t>
        </is>
      </c>
      <c r="C2775" t="inlineStr">
        <is>
          <t>Hallucination Risk (Pers. 18)</t>
        </is>
      </c>
      <c r="D2775" s="3" t="inlineStr">
        <is>
          <t>Risk = 0,65×(1-F) + 0,20×Contradiction + 0,15×Uncertainty</t>
        </is>
      </c>
      <c r="E2775" s="3" t="inlineStr">
        <is>
          <t>Risk = 0,65×OutOfContext + 0,20×Contradiction + 0,15×Uncertainty = 0,65×0.2209 + 0,20×0.0000 + 0,15×0.20 = 0.1736 [RENDAH]</t>
        </is>
      </c>
      <c r="F2775" t="n">
        <v>0.1736</v>
      </c>
      <c r="G2775" s="3" t="inlineStr">
        <is>
          <t>label: RENDAH; kontradiksi 0/25 kalimat; uncertainty flag: True</t>
        </is>
      </c>
    </row>
    <row r="2776">
      <c r="A2776" t="n">
        <v>188</v>
      </c>
      <c r="B2776" t="inlineStr">
        <is>
          <t>B</t>
        </is>
      </c>
      <c r="C2776" t="inlineStr">
        <is>
          <t>Answer Accuracy (Pers. 20)</t>
        </is>
      </c>
      <c r="D2776" s="3" t="inlineStr">
        <is>
          <t>Correctᵢ ∈ {0,1} via LLM-as-Judge (HASIL: BENAR/SALAH)</t>
        </is>
      </c>
      <c r="E2776" s="3" t="inlineStr">
        <is>
          <t>Jawaban sistem:</t>
        </is>
      </c>
      <c r="F2776" t="inlineStr">
        <is>
          <t>BENAR</t>
        </is>
      </c>
      <c r="G2776" s="3" t="inlineStr">
        <is>
          <t>evaluator: ollama/llama3</t>
        </is>
      </c>
    </row>
    <row r="2777">
      <c r="A2777" t="n">
        <v>189</v>
      </c>
      <c r="B2777" t="inlineStr">
        <is>
          <t>A</t>
        </is>
      </c>
      <c r="C2777" t="inlineStr">
        <is>
          <t>Precision@K (Pers. 2)</t>
        </is>
      </c>
      <c r="D2777" s="3" t="inlineStr">
        <is>
          <t>Precision@K = |{d ∈ TopK : sim(q,d) ≥ θ}| / K</t>
        </is>
      </c>
      <c r="E2777" s="3" t="inlineStr">
        <is>
          <t>skor = [0.7389, 0.7325, 0.7258, 0.7211, 0.71, 0.7099] → 6 / 6</t>
        </is>
      </c>
      <c r="F2777" t="n">
        <v>1</v>
      </c>
      <c r="G2777" s="3" t="inlineStr">
        <is>
          <t>basis: skor chunk nyata (sesuai contoh Pers. 2 skripsi)</t>
        </is>
      </c>
    </row>
    <row r="2778">
      <c r="A2778" t="n">
        <v>189</v>
      </c>
      <c r="B2778" t="inlineStr">
        <is>
          <t>A</t>
        </is>
      </c>
      <c r="C2778" t="inlineStr">
        <is>
          <t>Recall@K (Pers. 4)</t>
        </is>
      </c>
      <c r="D2778" s="3" t="inlineStr">
        <is>
          <t>Recall@K = |{kata kunci ditemukan : sim ≥ θ}| / |R|</t>
        </is>
      </c>
      <c r="E2778" s="3" t="inlineStr">
        <is>
          <t>skor = [0.6104, 0.5742, 0.5438, 0.5224, 0.4989, 0.4806] → 6 / 7</t>
        </is>
      </c>
      <c r="F2778" t="n">
        <v>0.8571</v>
      </c>
      <c r="G2778" s="3" t="inlineStr"/>
    </row>
    <row r="2779">
      <c r="A2779" t="n">
        <v>189</v>
      </c>
      <c r="B2779" t="inlineStr">
        <is>
          <t>A</t>
        </is>
      </c>
      <c r="C2779" t="inlineStr">
        <is>
          <t>Mean Similarity (Pers. 6)</t>
        </is>
      </c>
      <c r="D2779" s="3" t="inlineStr">
        <is>
          <t>MeanSim = (1/K) × Σ sim(q, dᵢ)</t>
        </is>
      </c>
      <c r="E2779" s="3" t="inlineStr">
        <is>
          <t>skor = [0.7389, 0.7325, 0.7258, 0.7211, 0.71, 0.7099] → (0.7389 + 0.7325 + 0.7258 + 0.7211 + 0.7100 + 0.7099) / 6</t>
        </is>
      </c>
      <c r="F2779" t="n">
        <v>0.723</v>
      </c>
      <c r="G2779" s="3" t="inlineStr"/>
    </row>
    <row r="2780">
      <c r="A2780" t="n">
        <v>189</v>
      </c>
      <c r="B2780" t="inlineStr">
        <is>
          <t>A</t>
        </is>
      </c>
      <c r="C2780" t="inlineStr">
        <is>
          <t>Coverage (Pers. 8)</t>
        </is>
      </c>
      <c r="D2780" s="3" t="inlineStr">
        <is>
          <t>Coverage = |{dᵢ ∈ TopK : sim(q,dᵢ) ≥ θc}| / K</t>
        </is>
      </c>
      <c r="E2780" s="3" t="inlineStr">
        <is>
          <t>skor = [0.7389, 0.7325, 0.7258, 0.7211, 0.71, 0.7099] → 6 / 6</t>
        </is>
      </c>
      <c r="F2780" t="n">
        <v>1</v>
      </c>
      <c r="G2780" s="3" t="inlineStr"/>
    </row>
    <row r="2781">
      <c r="A2781" t="n">
        <v>189</v>
      </c>
      <c r="B2781" t="inlineStr">
        <is>
          <t>A</t>
        </is>
      </c>
      <c r="C2781" t="inlineStr">
        <is>
          <t>Source Diversity (Pers. 10)</t>
        </is>
      </c>
      <c r="D2781" s="3" t="inlineStr">
        <is>
          <t>Diversity = |sumber unik dalam TopK| / K</t>
        </is>
      </c>
      <c r="E2781" s="3" t="inlineStr">
        <is>
          <t>skor = ['GT_SUBTOPIK_04_Modulo_Siklus.txt', 'GT_SUBTOPIK_05_Pseudocode_Algoritme.txt', 'GT_SUBTOPIK_14_Kompleksitas_BigO.txt'] → 3 / 6</t>
        </is>
      </c>
      <c r="F2781" t="n">
        <v>0.5</v>
      </c>
      <c r="G2781" s="3" t="inlineStr">
        <is>
          <t>file unik: GT_SUBTOPIK_04_Modulo_Siklus.txt, GT_SUBTOPIK_05_Pseudocode_Algoritme.txt, GT_SUBTOPIK_14_Kompleksitas_BigO.txt</t>
        </is>
      </c>
    </row>
    <row r="2782">
      <c r="A2782" t="n">
        <v>189</v>
      </c>
      <c r="B2782" t="inlineStr">
        <is>
          <t>A</t>
        </is>
      </c>
      <c r="C2782" t="inlineStr">
        <is>
          <t>Faithfulness (Pers. 15)</t>
        </is>
      </c>
      <c r="D2782" s="3" t="inlineStr">
        <is>
          <t>F = 0,70×Entailment + 0,30×KWoverlap</t>
        </is>
      </c>
      <c r="E2782" s="3" t="inlineStr">
        <is>
          <t>Faithfulness = 0,70×Entailment + 0,30×KWoverlap = 0,70×1.0000 + 0,30×0.2733 = 0.7820  (entailment: 6/6 klaim didukung; KWoverlap = (|∩|/|ctx|)^0,65 = (28/206)^0,65 = 0.1359^0,65 = 0.2733)</t>
        </is>
      </c>
      <c r="F2782" t="n">
        <v>0.782</v>
      </c>
      <c r="G2782" s="3" t="inlineStr">
        <is>
          <t>metode: llm_entailment + keyword</t>
        </is>
      </c>
    </row>
    <row r="2783">
      <c r="A2783" t="n">
        <v>189</v>
      </c>
      <c r="B2783" t="inlineStr">
        <is>
          <t>A</t>
        </is>
      </c>
      <c r="C2783" t="inlineStr">
        <is>
          <t>— Entailment (Pers. 12-13)</t>
        </is>
      </c>
      <c r="D2783" s="3" t="inlineStr">
        <is>
          <t>Entailment = Σverdict(sᵢ)/m</t>
        </is>
      </c>
      <c r="E2783" s="3" t="inlineStr">
        <is>
          <t>6 klaim YA dari 6 klaim dievaluasi</t>
        </is>
      </c>
      <c r="F2783" t="n">
        <v>1</v>
      </c>
      <c r="G2783" s="3" t="inlineStr">
        <is>
          <t>verdict per klaim: sheet 'Entailment Detail'</t>
        </is>
      </c>
    </row>
    <row r="2784">
      <c r="A2784" t="n">
        <v>189</v>
      </c>
      <c r="B2784" t="inlineStr">
        <is>
          <t>A</t>
        </is>
      </c>
      <c r="C2784" t="inlineStr">
        <is>
          <t>— Keyword Overlap (Pers. 14)</t>
        </is>
      </c>
      <c r="D2784" s="3" t="inlineStr">
        <is>
          <t>KWoverlap = (|Stems(ans)∩Stems(ctx)| / |Stems(ctx)|)^0,65</t>
        </is>
      </c>
      <c r="E2784" s="3" t="inlineStr">
        <is>
          <t>KWoverlap = (|∩|/|ctx|)^0,65 = (28/206)^0,65 = 0.1359^0,65 = 0.2733</t>
        </is>
      </c>
      <c r="F2784" t="n">
        <v>0.2733</v>
      </c>
      <c r="G2784" s="3" t="inlineStr"/>
    </row>
    <row r="2785">
      <c r="A2785" t="n">
        <v>189</v>
      </c>
      <c r="B2785" t="inlineStr">
        <is>
          <t>A</t>
        </is>
      </c>
      <c r="C2785" t="inlineStr">
        <is>
          <t>Hallucination Risk (Pers. 18)</t>
        </is>
      </c>
      <c r="D2785" s="3" t="inlineStr">
        <is>
          <t>Risk = 0,65×(1-F) + 0,20×Contradiction + 0,15×Uncertainty</t>
        </is>
      </c>
      <c r="E2785" s="3" t="inlineStr">
        <is>
          <t>Risk = 0,65×OutOfContext + 0,20×Contradiction + 0,15×Uncertainty = 0,65×0.2180 + 0,20×0.0000 + 0,15×0.20 = 0.1717 [RENDAH]</t>
        </is>
      </c>
      <c r="F2785" t="n">
        <v>0.1717</v>
      </c>
      <c r="G2785" s="3" t="inlineStr">
        <is>
          <t>label: RENDAH; kontradiksi 0/12 kalimat; uncertainty flag: True</t>
        </is>
      </c>
    </row>
    <row r="2786">
      <c r="A2786" t="n">
        <v>189</v>
      </c>
      <c r="B2786" t="inlineStr">
        <is>
          <t>A</t>
        </is>
      </c>
      <c r="C2786" t="inlineStr">
        <is>
          <t>Answer Accuracy (Pers. 20)</t>
        </is>
      </c>
      <c r="D2786" s="3" t="inlineStr">
        <is>
          <t>Correctᵢ ∈ {0,1} via LLM-as-Judge (HASIL: BENAR/SALAH)</t>
        </is>
      </c>
      <c r="E2786" s="3" t="inlineStr">
        <is>
          <t>JAWABAN: 
Alasan: Jawaban sistem tidak sesuai dengan referensi yang diberikan. Sistem menjawab bahwa linear scan memiliki kompleksitas O(n) dan sorting dulu lalu ambil elemen terakhir memiliki kompleksitas O(n^2), namun referensi tidak mendukung hal itu. Referensi hanya menyebutkan kompleksitas O(n) untuk langkah sortir, tetapi tidak menjelaskan kompleksitas sorting sebagai sebuah algoritme.
Jaw</t>
        </is>
      </c>
      <c r="F2786" t="inlineStr">
        <is>
          <t>SALAH</t>
        </is>
      </c>
      <c r="G2786" s="3" t="inlineStr">
        <is>
          <t>evaluator: ollama/llama3</t>
        </is>
      </c>
    </row>
    <row r="2787">
      <c r="A2787" t="n">
        <v>189</v>
      </c>
      <c r="B2787" t="inlineStr">
        <is>
          <t>B</t>
        </is>
      </c>
      <c r="C2787" t="inlineStr">
        <is>
          <t>Faithfulness (Pers. 15)</t>
        </is>
      </c>
      <c r="D2787" s="3" t="inlineStr">
        <is>
          <t>F = 0,70×Entailment + 0,30×KWoverlap</t>
        </is>
      </c>
      <c r="E2787" s="3" t="inlineStr">
        <is>
          <t>Faithfulness = 0,70×Entailment + 0,30×KWoverlap = 0,70×1.0000 + 0,30×0.2796 = 0.7839  (entailment: 6/6 klaim didukung; KWoverlap = (|∩|/|ctx|)^0,65 = (29/206)^0,65 = 0.1408^0,65 = 0.2796)</t>
        </is>
      </c>
      <c r="F2787" t="n">
        <v>0.7839</v>
      </c>
      <c r="G2787" s="3" t="inlineStr">
        <is>
          <t>metode: llm_entailment + keyword</t>
        </is>
      </c>
    </row>
    <row r="2788">
      <c r="A2788" t="n">
        <v>189</v>
      </c>
      <c r="B2788" t="inlineStr">
        <is>
          <t>B</t>
        </is>
      </c>
      <c r="C2788" t="inlineStr">
        <is>
          <t>— Entailment (Pers. 12-13)</t>
        </is>
      </c>
      <c r="D2788" s="3" t="inlineStr">
        <is>
          <t>Entailment = Σverdict(sᵢ)/m</t>
        </is>
      </c>
      <c r="E2788" s="3" t="inlineStr">
        <is>
          <t>6 klaim YA dari 6 klaim dievaluasi</t>
        </is>
      </c>
      <c r="F2788" t="n">
        <v>1</v>
      </c>
      <c r="G2788" s="3" t="inlineStr">
        <is>
          <t>verdict per klaim: sheet 'Entailment Detail'</t>
        </is>
      </c>
    </row>
    <row r="2789">
      <c r="A2789" t="n">
        <v>189</v>
      </c>
      <c r="B2789" t="inlineStr">
        <is>
          <t>B</t>
        </is>
      </c>
      <c r="C2789" t="inlineStr">
        <is>
          <t>— Keyword Overlap (Pers. 14)</t>
        </is>
      </c>
      <c r="D2789" s="3" t="inlineStr">
        <is>
          <t>KWoverlap = (|Stems(ans)∩Stems(ctx)| / |Stems(ctx)|)^0,65</t>
        </is>
      </c>
      <c r="E2789" s="3" t="inlineStr">
        <is>
          <t>KWoverlap = (|∩|/|ctx|)^0,65 = (29/206)^0,65 = 0.1408^0,65 = 0.2796</t>
        </is>
      </c>
      <c r="F2789" t="n">
        <v>0.2796</v>
      </c>
      <c r="G2789" s="3" t="inlineStr"/>
    </row>
    <row r="2790">
      <c r="A2790" t="n">
        <v>189</v>
      </c>
      <c r="B2790" t="inlineStr">
        <is>
          <t>B</t>
        </is>
      </c>
      <c r="C2790" t="inlineStr">
        <is>
          <t>Hallucination Risk (Pers. 18)</t>
        </is>
      </c>
      <c r="D2790" s="3" t="inlineStr">
        <is>
          <t>Risk = 0,65×(1-F) + 0,20×Contradiction + 0,15×Uncertainty</t>
        </is>
      </c>
      <c r="E2790" s="3" t="inlineStr">
        <is>
          <t>Risk = 0,65×OutOfContext + 0,20×Contradiction + 0,15×Uncertainty = 0,65×0.2161 + 0,20×0.0000 + 0,15×0.00 = 0.1405 [RENDAH]</t>
        </is>
      </c>
      <c r="F2790" t="n">
        <v>0.1405</v>
      </c>
      <c r="G2790" s="3" t="inlineStr">
        <is>
          <t>label: RENDAH; kontradiksi 0/10 kalimat; uncertainty flag: False</t>
        </is>
      </c>
    </row>
    <row r="2791">
      <c r="A2791" t="n">
        <v>189</v>
      </c>
      <c r="B2791" t="inlineStr">
        <is>
          <t>B</t>
        </is>
      </c>
      <c r="C2791" t="inlineStr">
        <is>
          <t>Answer Accuracy (Pers. 20)</t>
        </is>
      </c>
      <c r="D2791" s="3" t="inlineStr">
        <is>
          <t>Correctᵢ ∈ {0,1} via LLM-as-Judge (HASIL: BENAR/SALAH)</t>
        </is>
      </c>
      <c r="E2791" s="3" t="inlineStr"/>
      <c r="F2791" t="inlineStr">
        <is>
          <t>BENAR</t>
        </is>
      </c>
      <c r="G2791" s="3" t="inlineStr">
        <is>
          <t>evaluator: ollama/llama3</t>
        </is>
      </c>
    </row>
    <row r="2792">
      <c r="A2792" t="n">
        <v>190</v>
      </c>
      <c r="B2792" t="inlineStr">
        <is>
          <t>A</t>
        </is>
      </c>
      <c r="C2792" t="inlineStr">
        <is>
          <t>Precision@K (Pers. 2)</t>
        </is>
      </c>
      <c r="D2792" s="3" t="inlineStr">
        <is>
          <t>Precision@K = |{d ∈ TopK : sim(q,d) ≥ θ}| / K</t>
        </is>
      </c>
      <c r="E2792" s="3" t="inlineStr">
        <is>
          <t>skor = [0.7065, 0.7061, 0.7059, 0.7006, 0.6961, 0.6937] → 6 / 6</t>
        </is>
      </c>
      <c r="F2792" t="n">
        <v>1</v>
      </c>
      <c r="G2792" s="3" t="inlineStr">
        <is>
          <t>basis: skor chunk nyata (sesuai contoh Pers. 2 skripsi)</t>
        </is>
      </c>
    </row>
    <row r="2793">
      <c r="A2793" t="n">
        <v>190</v>
      </c>
      <c r="B2793" t="inlineStr">
        <is>
          <t>A</t>
        </is>
      </c>
      <c r="C2793" t="inlineStr">
        <is>
          <t>Recall@K (Pers. 4)</t>
        </is>
      </c>
      <c r="D2793" s="3" t="inlineStr">
        <is>
          <t>Recall@K = |{kata kunci ditemukan : sim ≥ θ}| / |R|</t>
        </is>
      </c>
      <c r="E2793" s="3" t="inlineStr">
        <is>
          <t>skor = [0.5946, 0.5441, 0.5324, 0.5111, 0.478, 0.4511] → 6 / 7</t>
        </is>
      </c>
      <c r="F2793" t="n">
        <v>0.8571</v>
      </c>
      <c r="G2793" s="3" t="inlineStr"/>
    </row>
    <row r="2794">
      <c r="A2794" t="n">
        <v>190</v>
      </c>
      <c r="B2794" t="inlineStr">
        <is>
          <t>A</t>
        </is>
      </c>
      <c r="C2794" t="inlineStr">
        <is>
          <t>Mean Similarity (Pers. 6)</t>
        </is>
      </c>
      <c r="D2794" s="3" t="inlineStr">
        <is>
          <t>MeanSim = (1/K) × Σ sim(q, dᵢ)</t>
        </is>
      </c>
      <c r="E2794" s="3" t="inlineStr">
        <is>
          <t>skor = [0.7065, 0.7061, 0.7059, 0.7006, 0.6961, 0.6937] → (0.7065 + 0.7061 + 0.7059 + 0.7006 + 0.6961 + 0.6937) / 6</t>
        </is>
      </c>
      <c r="F2794" t="n">
        <v>0.7015</v>
      </c>
      <c r="G2794" s="3" t="inlineStr"/>
    </row>
    <row r="2795">
      <c r="A2795" t="n">
        <v>190</v>
      </c>
      <c r="B2795" t="inlineStr">
        <is>
          <t>A</t>
        </is>
      </c>
      <c r="C2795" t="inlineStr">
        <is>
          <t>Coverage (Pers. 8)</t>
        </is>
      </c>
      <c r="D2795" s="3" t="inlineStr">
        <is>
          <t>Coverage = |{dᵢ ∈ TopK : sim(q,dᵢ) ≥ θc}| / K</t>
        </is>
      </c>
      <c r="E2795" s="3" t="inlineStr">
        <is>
          <t>skor = [0.7065, 0.7061, 0.7059, 0.7006, 0.6961, 0.6937] → 6 / 6</t>
        </is>
      </c>
      <c r="F2795" t="n">
        <v>1</v>
      </c>
      <c r="G2795" s="3" t="inlineStr"/>
    </row>
    <row r="2796">
      <c r="A2796" t="n">
        <v>190</v>
      </c>
      <c r="B2796" t="inlineStr">
        <is>
          <t>A</t>
        </is>
      </c>
      <c r="C2796" t="inlineStr">
        <is>
          <t>Source Diversity (Pers. 10)</t>
        </is>
      </c>
      <c r="D2796" s="3" t="inlineStr">
        <is>
          <t>Diversity = |sumber unik dalam TopK| / K</t>
        </is>
      </c>
      <c r="E2796" s="3" t="inlineStr">
        <is>
          <t>skor = ['5PAI.txt', 'GT_CT01.txt', 'GT_CT03.txt', 'GT_DETAIL_PT01_Pendahuluan.txt', 'GT_DETAIL_PT02_ICT_Literacy_Ethics.txt'] → 5 / 6</t>
        </is>
      </c>
      <c r="F2796" t="n">
        <v>0.8333</v>
      </c>
      <c r="G2796" s="3" t="inlineStr">
        <is>
          <t>file unik: 5PAI.txt, GT_CT01.txt, GT_CT03.txt, GT_DETAIL_PT01_Pendahuluan.txt, GT_DETAIL_PT02_ICT_Literacy_Ethics.txt</t>
        </is>
      </c>
    </row>
    <row r="2797">
      <c r="A2797" t="n">
        <v>190</v>
      </c>
      <c r="B2797" t="inlineStr">
        <is>
          <t>A</t>
        </is>
      </c>
      <c r="C2797" t="inlineStr">
        <is>
          <t>Faithfulness (Pers. 15)</t>
        </is>
      </c>
      <c r="D2797" s="3" t="inlineStr">
        <is>
          <t>F = 0,70×Entailment + 0,30×KWoverlap</t>
        </is>
      </c>
      <c r="E2797" s="3" t="inlineStr">
        <is>
          <t>Faithfulness = 0,70×Entailment + 0,30×KWoverlap = 0,70×0.5000 + 0,30×0.0663 = 0.3699  (entailment: 3/6 klaim didukung; KWoverlap = (|∩|/|ctx|)^0,65 = (5/325)^0,65 = 0.0154^0,65 = 0.0663)</t>
        </is>
      </c>
      <c r="F2797" t="n">
        <v>0.3699</v>
      </c>
      <c r="G2797" s="3" t="inlineStr">
        <is>
          <t>metode: llm_entailment + keyword</t>
        </is>
      </c>
    </row>
    <row r="2798">
      <c r="A2798" t="n">
        <v>190</v>
      </c>
      <c r="B2798" t="inlineStr">
        <is>
          <t>A</t>
        </is>
      </c>
      <c r="C2798" t="inlineStr">
        <is>
          <t>— Entailment (Pers. 12-13)</t>
        </is>
      </c>
      <c r="D2798" s="3" t="inlineStr">
        <is>
          <t>Entailment = Σverdict(sᵢ)/m</t>
        </is>
      </c>
      <c r="E2798" s="3" t="inlineStr">
        <is>
          <t>3 klaim YA dari 6 klaim dievaluasi</t>
        </is>
      </c>
      <c r="F2798" t="n">
        <v>0.5</v>
      </c>
      <c r="G2798" s="3" t="inlineStr">
        <is>
          <t>verdict per klaim: sheet 'Entailment Detail'</t>
        </is>
      </c>
    </row>
    <row r="2799">
      <c r="A2799" t="n">
        <v>190</v>
      </c>
      <c r="B2799" t="inlineStr">
        <is>
          <t>A</t>
        </is>
      </c>
      <c r="C2799" t="inlineStr">
        <is>
          <t>— Keyword Overlap (Pers. 14)</t>
        </is>
      </c>
      <c r="D2799" s="3" t="inlineStr">
        <is>
          <t>KWoverlap = (|Stems(ans)∩Stems(ctx)| / |Stems(ctx)|)^0,65</t>
        </is>
      </c>
      <c r="E2799" s="3" t="inlineStr">
        <is>
          <t>KWoverlap = (|∩|/|ctx|)^0,65 = (5/325)^0,65 = 0.0154^0,65 = 0.0663</t>
        </is>
      </c>
      <c r="F2799" t="n">
        <v>0.0663</v>
      </c>
      <c r="G2799" s="3" t="inlineStr"/>
    </row>
    <row r="2800">
      <c r="A2800" t="n">
        <v>190</v>
      </c>
      <c r="B2800" t="inlineStr">
        <is>
          <t>A</t>
        </is>
      </c>
      <c r="C2800" t="inlineStr">
        <is>
          <t>Hallucination Risk (Pers. 18)</t>
        </is>
      </c>
      <c r="D2800" s="3" t="inlineStr">
        <is>
          <t>Risk = 0,65×(1-F) + 0,20×Contradiction + 0,15×Uncertainty</t>
        </is>
      </c>
      <c r="E2800" s="3" t="inlineStr">
        <is>
          <t>Risk = 0,65×OutOfContext + 0,20×Contradiction + 0,15×Uncertainty = 0,65×0.6301 + 0,20×0.0000 + 0,15×0.20 = 0.4396 [SEDANG]</t>
        </is>
      </c>
      <c r="F2800" t="n">
        <v>0.4396</v>
      </c>
      <c r="G2800" s="3" t="inlineStr">
        <is>
          <t>label: SEDANG; kontradiksi 0/40 kalimat; uncertainty flag: True</t>
        </is>
      </c>
    </row>
    <row r="2801">
      <c r="A2801" t="n">
        <v>190</v>
      </c>
      <c r="B2801" t="inlineStr">
        <is>
          <t>A</t>
        </is>
      </c>
      <c r="C2801" t="inlineStr">
        <is>
          <t>Answer Accuracy (Pers. 20)</t>
        </is>
      </c>
      <c r="D2801" s="3" t="inlineStr">
        <is>
          <t>Correctᵢ ∈ {0,1} via LLM-as-Judge (HASIL: BENAR/SALAH)</t>
        </is>
      </c>
      <c r="E2801" s="3" t="inlineStr">
        <is>
          <t>BENAR
Rationale:
The system's answer provides a correct solution to the problem by breaking down the complex task of designing an algorithm for a simple movie recommendation system into smaller, more manageable parts (dekomposisi). The steps outlined in the solution are logical and align with the given materials. Although the solution may not be identical to the expected outcome, it captures the</t>
        </is>
      </c>
      <c r="F2801" t="inlineStr">
        <is>
          <t>BENAR</t>
        </is>
      </c>
      <c r="G2801" s="3" t="inlineStr">
        <is>
          <t>evaluator: ollama/llama3</t>
        </is>
      </c>
    </row>
    <row r="2802">
      <c r="A2802" t="n">
        <v>190</v>
      </c>
      <c r="B2802" t="inlineStr">
        <is>
          <t>B</t>
        </is>
      </c>
      <c r="C2802" t="inlineStr">
        <is>
          <t>Faithfulness (Pers. 15)</t>
        </is>
      </c>
      <c r="D2802" s="3" t="inlineStr">
        <is>
          <t>F = 0,70×Entailment + 0,30×KWoverlap</t>
        </is>
      </c>
      <c r="E2802" s="3" t="inlineStr">
        <is>
          <t>Faithfulness = 0,70×Entailment + 0,30×KWoverlap = 0,70×0.6667 + 0,30×0.1888 = 0.5233  (entailment: 4/6 klaim didukung; KWoverlap = (|∩|/|ctx|)^0,65 = (25/325)^0,65 = 0.0769^0,65 = 0.1888)</t>
        </is>
      </c>
      <c r="F2802" t="n">
        <v>0.5233</v>
      </c>
      <c r="G2802" s="3" t="inlineStr">
        <is>
          <t>metode: llm_entailment + keyword</t>
        </is>
      </c>
    </row>
    <row r="2803">
      <c r="A2803" t="n">
        <v>190</v>
      </c>
      <c r="B2803" t="inlineStr">
        <is>
          <t>B</t>
        </is>
      </c>
      <c r="C2803" t="inlineStr">
        <is>
          <t>— Entailment (Pers. 12-13)</t>
        </is>
      </c>
      <c r="D2803" s="3" t="inlineStr">
        <is>
          <t>Entailment = Σverdict(sᵢ)/m</t>
        </is>
      </c>
      <c r="E2803" s="3" t="inlineStr">
        <is>
          <t>4 klaim YA dari 6 klaim dievaluasi</t>
        </is>
      </c>
      <c r="F2803" t="n">
        <v>0.6667</v>
      </c>
      <c r="G2803" s="3" t="inlineStr">
        <is>
          <t>verdict per klaim: sheet 'Entailment Detail'</t>
        </is>
      </c>
    </row>
    <row r="2804">
      <c r="A2804" t="n">
        <v>190</v>
      </c>
      <c r="B2804" t="inlineStr">
        <is>
          <t>B</t>
        </is>
      </c>
      <c r="C2804" t="inlineStr">
        <is>
          <t>— Keyword Overlap (Pers. 14)</t>
        </is>
      </c>
      <c r="D2804" s="3" t="inlineStr">
        <is>
          <t>KWoverlap = (|Stems(ans)∩Stems(ctx)| / |Stems(ctx)|)^0,65</t>
        </is>
      </c>
      <c r="E2804" s="3" t="inlineStr">
        <is>
          <t>KWoverlap = (|∩|/|ctx|)^0,65 = (25/325)^0,65 = 0.0769^0,65 = 0.1888</t>
        </is>
      </c>
      <c r="F2804" t="n">
        <v>0.1888</v>
      </c>
      <c r="G2804" s="3" t="inlineStr"/>
    </row>
    <row r="2805">
      <c r="A2805" t="n">
        <v>190</v>
      </c>
      <c r="B2805" t="inlineStr">
        <is>
          <t>B</t>
        </is>
      </c>
      <c r="C2805" t="inlineStr">
        <is>
          <t>Hallucination Risk (Pers. 18)</t>
        </is>
      </c>
      <c r="D2805" s="3" t="inlineStr">
        <is>
          <t>Risk = 0,65×(1-F) + 0,20×Contradiction + 0,15×Uncertainty</t>
        </is>
      </c>
      <c r="E2805" s="3" t="inlineStr">
        <is>
          <t>Risk = 0,65×OutOfContext + 0,20×Contradiction + 0,15×Uncertainty = 0,65×0.4767 + 0,20×0.0000 + 0,15×0.00 = 0.3099 [RENDAH]</t>
        </is>
      </c>
      <c r="F2805" t="n">
        <v>0.3099</v>
      </c>
      <c r="G2805" s="3" t="inlineStr">
        <is>
          <t>label: RENDAH; kontradiksi 0/49 kalimat; uncertainty flag: False</t>
        </is>
      </c>
    </row>
    <row r="2806">
      <c r="A2806" t="n">
        <v>190</v>
      </c>
      <c r="B2806" t="inlineStr">
        <is>
          <t>B</t>
        </is>
      </c>
      <c r="C2806" t="inlineStr">
        <is>
          <t>Answer Accuracy (Pers. 20)</t>
        </is>
      </c>
      <c r="D2806" s="3" t="inlineStr">
        <is>
          <t>Correctᵢ ∈ {0,1} via LLM-as-Judge (HASIL: BENAR/SALAH)</t>
        </is>
      </c>
      <c r="E2806" s="3" t="inlineStr">
        <is>
          <t>BENAR</t>
        </is>
      </c>
      <c r="F2806" t="inlineStr">
        <is>
          <t>BENAR</t>
        </is>
      </c>
      <c r="G2806" s="3" t="inlineStr">
        <is>
          <t>evaluator: ollama/llama3</t>
        </is>
      </c>
    </row>
    <row r="2807">
      <c r="A2807" t="n">
        <v>191</v>
      </c>
      <c r="B2807" t="inlineStr">
        <is>
          <t>A</t>
        </is>
      </c>
      <c r="C2807" t="inlineStr">
        <is>
          <t>Precision@K (Pers. 2)</t>
        </is>
      </c>
      <c r="D2807" s="3" t="inlineStr">
        <is>
          <t>Precision@K = |{d ∈ TopK : sim(q,d) ≥ θ}| / K</t>
        </is>
      </c>
      <c r="E2807" s="3" t="inlineStr">
        <is>
          <t>skor = [0.7827, 0.7707, 0.7685, 0.767, 0.7611, 0.7562] → 6 / 6</t>
        </is>
      </c>
      <c r="F2807" t="n">
        <v>1</v>
      </c>
      <c r="G2807" s="3" t="inlineStr">
        <is>
          <t>basis: skor chunk nyata (sesuai contoh Pers. 2 skripsi)</t>
        </is>
      </c>
    </row>
    <row r="2808">
      <c r="A2808" t="n">
        <v>191</v>
      </c>
      <c r="B2808" t="inlineStr">
        <is>
          <t>A</t>
        </is>
      </c>
      <c r="C2808" t="inlineStr">
        <is>
          <t>Recall@K (Pers. 4)</t>
        </is>
      </c>
      <c r="D2808" s="3" t="inlineStr">
        <is>
          <t>Recall@K = |{kata kunci ditemukan : sim ≥ θ}| / |R|</t>
        </is>
      </c>
      <c r="E2808" s="3" t="inlineStr">
        <is>
          <t>skor = [0.6607, 0.5887, 0.586, 0.5123, 0.4597, 0.4342] → 6 / 7</t>
        </is>
      </c>
      <c r="F2808" t="n">
        <v>0.8571</v>
      </c>
      <c r="G2808" s="3" t="inlineStr"/>
    </row>
    <row r="2809">
      <c r="A2809" t="n">
        <v>191</v>
      </c>
      <c r="B2809" t="inlineStr">
        <is>
          <t>A</t>
        </is>
      </c>
      <c r="C2809" t="inlineStr">
        <is>
          <t>Mean Similarity (Pers. 6)</t>
        </is>
      </c>
      <c r="D2809" s="3" t="inlineStr">
        <is>
          <t>MeanSim = (1/K) × Σ sim(q, dᵢ)</t>
        </is>
      </c>
      <c r="E2809" s="3" t="inlineStr">
        <is>
          <t>skor = [0.7827, 0.7707, 0.7685, 0.767, 0.7611, 0.7562] → (0.7827 + 0.7707 + 0.7685 + 0.7670 + 0.7611 + 0.7562) / 6</t>
        </is>
      </c>
      <c r="F2809" t="n">
        <v>0.7677</v>
      </c>
      <c r="G2809" s="3" t="inlineStr"/>
    </row>
    <row r="2810">
      <c r="A2810" t="n">
        <v>191</v>
      </c>
      <c r="B2810" t="inlineStr">
        <is>
          <t>A</t>
        </is>
      </c>
      <c r="C2810" t="inlineStr">
        <is>
          <t>Coverage (Pers. 8)</t>
        </is>
      </c>
      <c r="D2810" s="3" t="inlineStr">
        <is>
          <t>Coverage = |{dᵢ ∈ TopK : sim(q,dᵢ) ≥ θc}| / K</t>
        </is>
      </c>
      <c r="E2810" s="3" t="inlineStr">
        <is>
          <t>skor = [0.7827, 0.7707, 0.7685, 0.767, 0.7611, 0.7562] → 6 / 6</t>
        </is>
      </c>
      <c r="F2810" t="n">
        <v>1</v>
      </c>
      <c r="G2810" s="3" t="inlineStr"/>
    </row>
    <row r="2811">
      <c r="A2811" t="n">
        <v>191</v>
      </c>
      <c r="B2811" t="inlineStr">
        <is>
          <t>A</t>
        </is>
      </c>
      <c r="C2811" t="inlineStr">
        <is>
          <t>Source Diversity (Pers. 10)</t>
        </is>
      </c>
      <c r="D2811" s="3" t="inlineStr">
        <is>
          <t>Diversity = |sumber unik dalam TopK| / K</t>
        </is>
      </c>
      <c r="E2811" s="3" t="inlineStr">
        <is>
          <t>skor = ['GT_CT07.txt', 'GT_CT09.txt', 'GT_CT10.txt', 'GT_CT11.txt', 'GT_CT13.txt', 'GT_DETAIL_PT10_Percabangan.txt'] → 6 / 6</t>
        </is>
      </c>
      <c r="F2811" t="n">
        <v>1</v>
      </c>
      <c r="G2811" s="3" t="inlineStr">
        <is>
          <t>file unik: GT_CT07.txt, GT_CT09.txt, GT_CT10.txt, GT_CT11.txt, GT_CT13.txt, GT_DETAIL_PT10_Percabangan.txt</t>
        </is>
      </c>
    </row>
    <row r="2812">
      <c r="A2812" t="n">
        <v>191</v>
      </c>
      <c r="B2812" t="inlineStr">
        <is>
          <t>A</t>
        </is>
      </c>
      <c r="C2812" t="inlineStr">
        <is>
          <t>Faithfulness (Pers. 15)</t>
        </is>
      </c>
      <c r="D2812" s="3" t="inlineStr">
        <is>
          <t>F = 0,70×Entailment + 0,30×KWoverlap</t>
        </is>
      </c>
      <c r="E2812" s="3" t="inlineStr">
        <is>
          <t>Faithfulness = 0,70×Entailment + 0,30×KWoverlap = 0,70×1.0000 + 0,30×0.2808 = 0.7842  (entailment: 6/6 klaim didukung; KWoverlap = (|∩|/|ctx|)^0,65 = (35/247)^0,65 = 0.1417^0,65 = 0.2808)</t>
        </is>
      </c>
      <c r="F2812" t="n">
        <v>0.7842</v>
      </c>
      <c r="G2812" s="3" t="inlineStr">
        <is>
          <t>metode: llm_entailment + keyword</t>
        </is>
      </c>
    </row>
    <row r="2813">
      <c r="A2813" t="n">
        <v>191</v>
      </c>
      <c r="B2813" t="inlineStr">
        <is>
          <t>A</t>
        </is>
      </c>
      <c r="C2813" t="inlineStr">
        <is>
          <t>— Entailment (Pers. 12-13)</t>
        </is>
      </c>
      <c r="D2813" s="3" t="inlineStr">
        <is>
          <t>Entailment = Σverdict(sᵢ)/m</t>
        </is>
      </c>
      <c r="E2813" s="3" t="inlineStr">
        <is>
          <t>6 klaim YA dari 6 klaim dievaluasi</t>
        </is>
      </c>
      <c r="F2813" t="n">
        <v>1</v>
      </c>
      <c r="G2813" s="3" t="inlineStr">
        <is>
          <t>verdict per klaim: sheet 'Entailment Detail'</t>
        </is>
      </c>
    </row>
    <row r="2814">
      <c r="A2814" t="n">
        <v>191</v>
      </c>
      <c r="B2814" t="inlineStr">
        <is>
          <t>A</t>
        </is>
      </c>
      <c r="C2814" t="inlineStr">
        <is>
          <t>— Keyword Overlap (Pers. 14)</t>
        </is>
      </c>
      <c r="D2814" s="3" t="inlineStr">
        <is>
          <t>KWoverlap = (|Stems(ans)∩Stems(ctx)| / |Stems(ctx)|)^0,65</t>
        </is>
      </c>
      <c r="E2814" s="3" t="inlineStr">
        <is>
          <t>KWoverlap = (|∩|/|ctx|)^0,65 = (35/247)^0,65 = 0.1417^0,65 = 0.2808</t>
        </is>
      </c>
      <c r="F2814" t="n">
        <v>0.2808</v>
      </c>
      <c r="G2814" s="3" t="inlineStr"/>
    </row>
    <row r="2815">
      <c r="A2815" t="n">
        <v>191</v>
      </c>
      <c r="B2815" t="inlineStr">
        <is>
          <t>A</t>
        </is>
      </c>
      <c r="C2815" t="inlineStr">
        <is>
          <t>Hallucination Risk (Pers. 18)</t>
        </is>
      </c>
      <c r="D2815" s="3" t="inlineStr">
        <is>
          <t>Risk = 0,65×(1-F) + 0,20×Contradiction + 0,15×Uncertainty</t>
        </is>
      </c>
      <c r="E2815" s="3" t="inlineStr">
        <is>
          <t>Risk = 0,65×OutOfContext + 0,20×Contradiction + 0,15×Uncertainty = 0,65×0.2158 + 0,20×0.0000 + 0,15×0.00 = 0.1403 [RENDAH]</t>
        </is>
      </c>
      <c r="F2815" t="n">
        <v>0.1403</v>
      </c>
      <c r="G2815" s="3" t="inlineStr">
        <is>
          <t>label: RENDAH; kontradiksi 0/11 kalimat; uncertainty flag: False</t>
        </is>
      </c>
    </row>
    <row r="2816">
      <c r="A2816" t="n">
        <v>191</v>
      </c>
      <c r="B2816" t="inlineStr">
        <is>
          <t>A</t>
        </is>
      </c>
      <c r="C2816" t="inlineStr">
        <is>
          <t>Answer Accuracy (Pers. 20)</t>
        </is>
      </c>
      <c r="D2816" s="3" t="inlineStr">
        <is>
          <t>Correctᵢ ∈ {0,1} via LLM-as-Judge (HASIL: BENAR/SALAH)</t>
        </is>
      </c>
      <c r="E2816" s="3" t="inlineStr">
        <is>
          <t>BENAR</t>
        </is>
      </c>
      <c r="F2816" t="inlineStr">
        <is>
          <t>BENAR</t>
        </is>
      </c>
      <c r="G2816" s="3" t="inlineStr">
        <is>
          <t>evaluator: ollama/llama3</t>
        </is>
      </c>
    </row>
    <row r="2817">
      <c r="A2817" t="n">
        <v>191</v>
      </c>
      <c r="B2817" t="inlineStr">
        <is>
          <t>B</t>
        </is>
      </c>
      <c r="C2817" t="inlineStr">
        <is>
          <t>Faithfulness (Pers. 15)</t>
        </is>
      </c>
      <c r="D2817" s="3" t="inlineStr">
        <is>
          <t>F = 0,70×Entailment + 0,30×KWoverlap</t>
        </is>
      </c>
      <c r="E2817" s="3" t="inlineStr">
        <is>
          <t>Faithfulness = 0,70×Entailment + 0,30×KWoverlap = 0,70×1.0000 + 0,30×0.2540 = 0.7762  (entailment: 6/6 klaim didukung; KWoverlap = (|∩|/|ctx|)^0,65 = (30/247)^0,65 = 0.1215^0,65 = 0.2540)</t>
        </is>
      </c>
      <c r="F2817" t="n">
        <v>0.7762</v>
      </c>
      <c r="G2817" s="3" t="inlineStr">
        <is>
          <t>metode: llm_entailment + keyword</t>
        </is>
      </c>
    </row>
    <row r="2818">
      <c r="A2818" t="n">
        <v>191</v>
      </c>
      <c r="B2818" t="inlineStr">
        <is>
          <t>B</t>
        </is>
      </c>
      <c r="C2818" t="inlineStr">
        <is>
          <t>— Entailment (Pers. 12-13)</t>
        </is>
      </c>
      <c r="D2818" s="3" t="inlineStr">
        <is>
          <t>Entailment = Σverdict(sᵢ)/m</t>
        </is>
      </c>
      <c r="E2818" s="3" t="inlineStr">
        <is>
          <t>6 klaim YA dari 6 klaim dievaluasi</t>
        </is>
      </c>
      <c r="F2818" t="n">
        <v>1</v>
      </c>
      <c r="G2818" s="3" t="inlineStr">
        <is>
          <t>verdict per klaim: sheet 'Entailment Detail'</t>
        </is>
      </c>
    </row>
    <row r="2819">
      <c r="A2819" t="n">
        <v>191</v>
      </c>
      <c r="B2819" t="inlineStr">
        <is>
          <t>B</t>
        </is>
      </c>
      <c r="C2819" t="inlineStr">
        <is>
          <t>— Keyword Overlap (Pers. 14)</t>
        </is>
      </c>
      <c r="D2819" s="3" t="inlineStr">
        <is>
          <t>KWoverlap = (|Stems(ans)∩Stems(ctx)| / |Stems(ctx)|)^0,65</t>
        </is>
      </c>
      <c r="E2819" s="3" t="inlineStr">
        <is>
          <t>KWoverlap = (|∩|/|ctx|)^0,65 = (30/247)^0,65 = 0.1215^0,65 = 0.2540</t>
        </is>
      </c>
      <c r="F2819" t="n">
        <v>0.254</v>
      </c>
      <c r="G2819" s="3" t="inlineStr"/>
    </row>
    <row r="2820">
      <c r="A2820" t="n">
        <v>191</v>
      </c>
      <c r="B2820" t="inlineStr">
        <is>
          <t>B</t>
        </is>
      </c>
      <c r="C2820" t="inlineStr">
        <is>
          <t>Hallucination Risk (Pers. 18)</t>
        </is>
      </c>
      <c r="D2820" s="3" t="inlineStr">
        <is>
          <t>Risk = 0,65×(1-F) + 0,20×Contradiction + 0,15×Uncertainty</t>
        </is>
      </c>
      <c r="E2820" s="3" t="inlineStr">
        <is>
          <t>Risk = 0,65×OutOfContext + 0,20×Contradiction + 0,15×Uncertainty = 0,65×0.2238 + 0,20×0.0000 + 0,15×0.00 = 0.1455 [RENDAH]</t>
        </is>
      </c>
      <c r="F2820" t="n">
        <v>0.1455</v>
      </c>
      <c r="G2820" s="3" t="inlineStr">
        <is>
          <t>label: RENDAH; kontradiksi 0/52 kalimat; uncertainty flag: False</t>
        </is>
      </c>
    </row>
    <row r="2821">
      <c r="A2821" t="n">
        <v>191</v>
      </c>
      <c r="B2821" t="inlineStr">
        <is>
          <t>B</t>
        </is>
      </c>
      <c r="C2821" t="inlineStr">
        <is>
          <t>Answer Accuracy (Pers. 20)</t>
        </is>
      </c>
      <c r="D2821" s="3" t="inlineStr">
        <is>
          <t>Correctᵢ ∈ {0,1} via LLM-as-Judge (HASIL: BENAR/SALAH)</t>
        </is>
      </c>
      <c r="E2821" s="3" t="inlineStr">
        <is>
          <t>BENAR</t>
        </is>
      </c>
      <c r="F2821" t="inlineStr">
        <is>
          <t>BENAR</t>
        </is>
      </c>
      <c r="G2821" s="3" t="inlineStr">
        <is>
          <t>evaluator: ollama/llama3</t>
        </is>
      </c>
    </row>
    <row r="2822">
      <c r="A2822" t="n">
        <v>192</v>
      </c>
      <c r="B2822" t="inlineStr">
        <is>
          <t>A</t>
        </is>
      </c>
      <c r="C2822" t="inlineStr">
        <is>
          <t>Precision@K (Pers. 2)</t>
        </is>
      </c>
      <c r="D2822" s="3" t="inlineStr">
        <is>
          <t>Precision@K = |{d ∈ TopK : sim(q,d) ≥ θ}| / K</t>
        </is>
      </c>
      <c r="E2822" s="3" t="inlineStr">
        <is>
          <t>skor = [0.7451, 0.7433, 0.7394, 0.7355, 0.7333, 0.7333] → 6 / 6</t>
        </is>
      </c>
      <c r="F2822" t="n">
        <v>1</v>
      </c>
      <c r="G2822" s="3" t="inlineStr">
        <is>
          <t>basis: skor chunk nyata (sesuai contoh Pers. 2 skripsi)</t>
        </is>
      </c>
    </row>
    <row r="2823">
      <c r="A2823" t="n">
        <v>192</v>
      </c>
      <c r="B2823" t="inlineStr">
        <is>
          <t>A</t>
        </is>
      </c>
      <c r="C2823" t="inlineStr">
        <is>
          <t>Recall@K (Pers. 4)</t>
        </is>
      </c>
      <c r="D2823" s="3" t="inlineStr">
        <is>
          <t>Recall@K = |{kata kunci ditemukan : sim ≥ θ}| / |R|</t>
        </is>
      </c>
      <c r="E2823" s="3" t="inlineStr">
        <is>
          <t>skor = [0.6633, 0.6267, 0.5342, 0.4854, 0.4575, 0.452] → 6 / 7</t>
        </is>
      </c>
      <c r="F2823" t="n">
        <v>0.8571</v>
      </c>
      <c r="G2823" s="3" t="inlineStr"/>
    </row>
    <row r="2824">
      <c r="A2824" t="n">
        <v>192</v>
      </c>
      <c r="B2824" t="inlineStr">
        <is>
          <t>A</t>
        </is>
      </c>
      <c r="C2824" t="inlineStr">
        <is>
          <t>Mean Similarity (Pers. 6)</t>
        </is>
      </c>
      <c r="D2824" s="3" t="inlineStr">
        <is>
          <t>MeanSim = (1/K) × Σ sim(q, dᵢ)</t>
        </is>
      </c>
      <c r="E2824" s="3" t="inlineStr">
        <is>
          <t>skor = [0.7451, 0.7433, 0.7394, 0.7355, 0.7333, 0.7333] → (0.7451 + 0.7433 + 0.7394 + 0.7355 + 0.7333 + 0.7333) / 6</t>
        </is>
      </c>
      <c r="F2824" t="n">
        <v>0.7383</v>
      </c>
      <c r="G2824" s="3" t="inlineStr"/>
    </row>
    <row r="2825">
      <c r="A2825" t="n">
        <v>192</v>
      </c>
      <c r="B2825" t="inlineStr">
        <is>
          <t>A</t>
        </is>
      </c>
      <c r="C2825" t="inlineStr">
        <is>
          <t>Coverage (Pers. 8)</t>
        </is>
      </c>
      <c r="D2825" s="3" t="inlineStr">
        <is>
          <t>Coverage = |{dᵢ ∈ TopK : sim(q,dᵢ) ≥ θc}| / K</t>
        </is>
      </c>
      <c r="E2825" s="3" t="inlineStr">
        <is>
          <t>skor = [0.7451, 0.7433, 0.7394, 0.7355, 0.7333, 0.7333] → 6 / 6</t>
        </is>
      </c>
      <c r="F2825" t="n">
        <v>1</v>
      </c>
      <c r="G2825" s="3" t="inlineStr"/>
    </row>
    <row r="2826">
      <c r="A2826" t="n">
        <v>192</v>
      </c>
      <c r="B2826" t="inlineStr">
        <is>
          <t>A</t>
        </is>
      </c>
      <c r="C2826" t="inlineStr">
        <is>
          <t>Source Diversity (Pers. 10)</t>
        </is>
      </c>
      <c r="D2826" s="3" t="inlineStr">
        <is>
          <t>Diversity = |sumber unik dalam TopK| / K</t>
        </is>
      </c>
      <c r="E2826" s="3" t="inlineStr">
        <is>
          <t>skor = ['GT_CT01.txt', 'GT_CT03.txt', 'GT_CT06.txt', 'GT_CT07.txt', 'GT_DETAIL_PT01_Pendahuluan.txt', 'GT_SUBTOPIK_02_Abstraksi_Formulasi.txt'] → 6 / 6</t>
        </is>
      </c>
      <c r="F2826" t="n">
        <v>1</v>
      </c>
      <c r="G2826" s="3" t="inlineStr">
        <is>
          <t>file unik: GT_CT01.txt, GT_CT03.txt, GT_CT06.txt, GT_CT07.txt, GT_DETAIL_PT01_Pendahuluan.txt, GT_SUBTOPIK_02_Abstraksi_Formulasi.txt</t>
        </is>
      </c>
    </row>
    <row r="2827">
      <c r="A2827" t="n">
        <v>192</v>
      </c>
      <c r="B2827" t="inlineStr">
        <is>
          <t>A</t>
        </is>
      </c>
      <c r="C2827" t="inlineStr">
        <is>
          <t>Faithfulness (Pers. 15)</t>
        </is>
      </c>
      <c r="D2827" s="3" t="inlineStr">
        <is>
          <t>F = 0,70×Entailment + 0,30×KWoverlap</t>
        </is>
      </c>
      <c r="E2827" s="3" t="inlineStr">
        <is>
          <t>Faithfulness = 0,70×Entailment + 0,30×KWoverlap = 0,70×0.8333 + 0,30×0.2006 = 0.6435  (entailment: 5/6 klaim didukung; KWoverlap = (|∩|/|ctx|)^0,65 = (31/367)^0,65 = 0.0845^0,65 = 0.2006)</t>
        </is>
      </c>
      <c r="F2827" t="n">
        <v>0.6435</v>
      </c>
      <c r="G2827" s="3" t="inlineStr">
        <is>
          <t>metode: llm_entailment + keyword</t>
        </is>
      </c>
    </row>
    <row r="2828">
      <c r="A2828" t="n">
        <v>192</v>
      </c>
      <c r="B2828" t="inlineStr">
        <is>
          <t>A</t>
        </is>
      </c>
      <c r="C2828" t="inlineStr">
        <is>
          <t>— Entailment (Pers. 12-13)</t>
        </is>
      </c>
      <c r="D2828" s="3" t="inlineStr">
        <is>
          <t>Entailment = Σverdict(sᵢ)/m</t>
        </is>
      </c>
      <c r="E2828" s="3" t="inlineStr">
        <is>
          <t>5 klaim YA dari 6 klaim dievaluasi</t>
        </is>
      </c>
      <c r="F2828" t="n">
        <v>0.8333</v>
      </c>
      <c r="G2828" s="3" t="inlineStr">
        <is>
          <t>verdict per klaim: sheet 'Entailment Detail'</t>
        </is>
      </c>
    </row>
    <row r="2829">
      <c r="A2829" t="n">
        <v>192</v>
      </c>
      <c r="B2829" t="inlineStr">
        <is>
          <t>A</t>
        </is>
      </c>
      <c r="C2829" t="inlineStr">
        <is>
          <t>— Keyword Overlap (Pers. 14)</t>
        </is>
      </c>
      <c r="D2829" s="3" t="inlineStr">
        <is>
          <t>KWoverlap = (|Stems(ans)∩Stems(ctx)| / |Stems(ctx)|)^0,65</t>
        </is>
      </c>
      <c r="E2829" s="3" t="inlineStr">
        <is>
          <t>KWoverlap = (|∩|/|ctx|)^0,65 = (31/367)^0,65 = 0.0845^0,65 = 0.2006</t>
        </is>
      </c>
      <c r="F2829" t="n">
        <v>0.2006</v>
      </c>
      <c r="G2829" s="3" t="inlineStr"/>
    </row>
    <row r="2830">
      <c r="A2830" t="n">
        <v>192</v>
      </c>
      <c r="B2830" t="inlineStr">
        <is>
          <t>A</t>
        </is>
      </c>
      <c r="C2830" t="inlineStr">
        <is>
          <t>Hallucination Risk (Pers. 18)</t>
        </is>
      </c>
      <c r="D2830" s="3" t="inlineStr">
        <is>
          <t>Risk = 0,65×(1-F) + 0,20×Contradiction + 0,15×Uncertainty</t>
        </is>
      </c>
      <c r="E2830" s="3" t="inlineStr">
        <is>
          <t>Risk = 0,65×OutOfContext + 0,20×Contradiction + 0,15×Uncertainty = 0,65×0.3565 + 0,20×0.0000 + 0,15×0.20 = 0.2617 [RENDAH]</t>
        </is>
      </c>
      <c r="F2830" t="n">
        <v>0.2617</v>
      </c>
      <c r="G2830" s="3" t="inlineStr">
        <is>
          <t>label: RENDAH; kontradiksi 0/32 kalimat; uncertainty flag: True</t>
        </is>
      </c>
    </row>
    <row r="2831">
      <c r="A2831" t="n">
        <v>192</v>
      </c>
      <c r="B2831" t="inlineStr">
        <is>
          <t>A</t>
        </is>
      </c>
      <c r="C2831" t="inlineStr">
        <is>
          <t>Answer Accuracy (Pers. 20)</t>
        </is>
      </c>
      <c r="D2831" s="3" t="inlineStr">
        <is>
          <t>Correctᵢ ∈ {0,1} via LLM-as-Judge (HASIL: BENAR/SALAH)</t>
        </is>
      </c>
      <c r="E2831" s="3" t="inlineStr"/>
      <c r="F2831" t="inlineStr">
        <is>
          <t>SALAH</t>
        </is>
      </c>
      <c r="G2831" s="3" t="inlineStr">
        <is>
          <t>evaluator: ollama/llama3</t>
        </is>
      </c>
    </row>
    <row r="2832">
      <c r="A2832" t="n">
        <v>192</v>
      </c>
      <c r="B2832" t="inlineStr">
        <is>
          <t>B</t>
        </is>
      </c>
      <c r="C2832" t="inlineStr">
        <is>
          <t>Faithfulness (Pers. 15)</t>
        </is>
      </c>
      <c r="D2832" s="3" t="inlineStr">
        <is>
          <t>F = 0,70×Entailment + 0,30×KWoverlap</t>
        </is>
      </c>
      <c r="E2832" s="3" t="inlineStr">
        <is>
          <t>Faithfulness = 0,70×Entailment + 0,30×KWoverlap = 0,70×1.0000 + 0,30×0.1921 = 0.7576  (entailment: 6/6 klaim didukung; KWoverlap = (|∩|/|ctx|)^0,65 = (29/367)^0,65 = 0.0790^0,65 = 0.1921)</t>
        </is>
      </c>
      <c r="F2832" t="n">
        <v>0.7576000000000001</v>
      </c>
      <c r="G2832" s="3" t="inlineStr">
        <is>
          <t>metode: llm_entailment + keyword</t>
        </is>
      </c>
    </row>
    <row r="2833">
      <c r="A2833" t="n">
        <v>192</v>
      </c>
      <c r="B2833" t="inlineStr">
        <is>
          <t>B</t>
        </is>
      </c>
      <c r="C2833" t="inlineStr">
        <is>
          <t>— Entailment (Pers. 12-13)</t>
        </is>
      </c>
      <c r="D2833" s="3" t="inlineStr">
        <is>
          <t>Entailment = Σverdict(sᵢ)/m</t>
        </is>
      </c>
      <c r="E2833" s="3" t="inlineStr">
        <is>
          <t>6 klaim YA dari 6 klaim dievaluasi</t>
        </is>
      </c>
      <c r="F2833" t="n">
        <v>1</v>
      </c>
      <c r="G2833" s="3" t="inlineStr">
        <is>
          <t>verdict per klaim: sheet 'Entailment Detail'</t>
        </is>
      </c>
    </row>
    <row r="2834">
      <c r="A2834" t="n">
        <v>192</v>
      </c>
      <c r="B2834" t="inlineStr">
        <is>
          <t>B</t>
        </is>
      </c>
      <c r="C2834" t="inlineStr">
        <is>
          <t>— Keyword Overlap (Pers. 14)</t>
        </is>
      </c>
      <c r="D2834" s="3" t="inlineStr">
        <is>
          <t>KWoverlap = (|Stems(ans)∩Stems(ctx)| / |Stems(ctx)|)^0,65</t>
        </is>
      </c>
      <c r="E2834" s="3" t="inlineStr">
        <is>
          <t>KWoverlap = (|∩|/|ctx|)^0,65 = (29/367)^0,65 = 0.0790^0,65 = 0.1921</t>
        </is>
      </c>
      <c r="F2834" t="n">
        <v>0.1921</v>
      </c>
      <c r="G2834" s="3" t="inlineStr"/>
    </row>
    <row r="2835">
      <c r="A2835" t="n">
        <v>192</v>
      </c>
      <c r="B2835" t="inlineStr">
        <is>
          <t>B</t>
        </is>
      </c>
      <c r="C2835" t="inlineStr">
        <is>
          <t>Hallucination Risk (Pers. 18)</t>
        </is>
      </c>
      <c r="D2835" s="3" t="inlineStr">
        <is>
          <t>Risk = 0,65×(1-F) + 0,20×Contradiction + 0,15×Uncertainty</t>
        </is>
      </c>
      <c r="E2835" s="3" t="inlineStr">
        <is>
          <t>Risk = 0,65×OutOfContext + 0,20×Contradiction + 0,15×Uncertainty = 0,65×0.2424 + 0,20×0.0000 + 0,15×0.00 = 0.1576 [RENDAH]</t>
        </is>
      </c>
      <c r="F2835" t="n">
        <v>0.1576</v>
      </c>
      <c r="G2835" s="3" t="inlineStr">
        <is>
          <t>label: RENDAH; kontradiksi 0/50 kalimat; uncertainty flag: False</t>
        </is>
      </c>
    </row>
    <row r="2836">
      <c r="A2836" t="n">
        <v>192</v>
      </c>
      <c r="B2836" t="inlineStr">
        <is>
          <t>B</t>
        </is>
      </c>
      <c r="C2836" t="inlineStr">
        <is>
          <t>Answer Accuracy (Pers. 20)</t>
        </is>
      </c>
      <c r="D2836" s="3" t="inlineStr">
        <is>
          <t>Correctᵢ ∈ {0,1} via LLM-as-Judge (HASIL: BENAR/SALAH)</t>
        </is>
      </c>
      <c r="E2836" s="3" t="inlineStr">
        <is>
          <t>BENAR</t>
        </is>
      </c>
      <c r="F2836" t="inlineStr">
        <is>
          <t>BENAR</t>
        </is>
      </c>
      <c r="G2836" s="3" t="inlineStr">
        <is>
          <t>evaluator: ollama/llama3</t>
        </is>
      </c>
    </row>
    <row r="2837">
      <c r="A2837" t="n">
        <v>193</v>
      </c>
      <c r="B2837" t="inlineStr">
        <is>
          <t>A</t>
        </is>
      </c>
      <c r="C2837" t="inlineStr">
        <is>
          <t>Precision@K (Pers. 2)</t>
        </is>
      </c>
      <c r="D2837" s="3" t="inlineStr">
        <is>
          <t>Precision@K = |{d ∈ TopK : sim(q,d) ≥ θ}| / K</t>
        </is>
      </c>
      <c r="E2837" s="3" t="inlineStr">
        <is>
          <t>skor = [0.8135, 0.802, 0.7969, 0.7853, 0.7806, 0.7781] → 6 / 6</t>
        </is>
      </c>
      <c r="F2837" t="n">
        <v>1</v>
      </c>
      <c r="G2837" s="3" t="inlineStr">
        <is>
          <t>basis: skor chunk nyata (sesuai contoh Pers. 2 skripsi)</t>
        </is>
      </c>
    </row>
    <row r="2838">
      <c r="A2838" t="n">
        <v>193</v>
      </c>
      <c r="B2838" t="inlineStr">
        <is>
          <t>A</t>
        </is>
      </c>
      <c r="C2838" t="inlineStr">
        <is>
          <t>Recall@K (Pers. 4)</t>
        </is>
      </c>
      <c r="D2838" s="3" t="inlineStr">
        <is>
          <t>Recall@K = |{kata kunci ditemukan : sim ≥ θ}| / |R|</t>
        </is>
      </c>
      <c r="E2838" s="3" t="inlineStr">
        <is>
          <t>skor = [0.6954, 0.5692, 0.5121, 0.4819, 0.4639, 0.4321] → 6 / 7</t>
        </is>
      </c>
      <c r="F2838" t="n">
        <v>0.8571</v>
      </c>
      <c r="G2838" s="3" t="inlineStr"/>
    </row>
    <row r="2839">
      <c r="A2839" t="n">
        <v>193</v>
      </c>
      <c r="B2839" t="inlineStr">
        <is>
          <t>A</t>
        </is>
      </c>
      <c r="C2839" t="inlineStr">
        <is>
          <t>Mean Similarity (Pers. 6)</t>
        </is>
      </c>
      <c r="D2839" s="3" t="inlineStr">
        <is>
          <t>MeanSim = (1/K) × Σ sim(q, dᵢ)</t>
        </is>
      </c>
      <c r="E2839" s="3" t="inlineStr">
        <is>
          <t>skor = [0.8135, 0.802, 0.7969, 0.7853, 0.7806, 0.7781] → (0.8135 + 0.8020 + 0.7969 + 0.7853 + 0.7806 + 0.7781) / 6</t>
        </is>
      </c>
      <c r="F2839" t="n">
        <v>0.7927</v>
      </c>
      <c r="G2839" s="3" t="inlineStr"/>
    </row>
    <row r="2840">
      <c r="A2840" t="n">
        <v>193</v>
      </c>
      <c r="B2840" t="inlineStr">
        <is>
          <t>A</t>
        </is>
      </c>
      <c r="C2840" t="inlineStr">
        <is>
          <t>Coverage (Pers. 8)</t>
        </is>
      </c>
      <c r="D2840" s="3" t="inlineStr">
        <is>
          <t>Coverage = |{dᵢ ∈ TopK : sim(q,dᵢ) ≥ θc}| / K</t>
        </is>
      </c>
      <c r="E2840" s="3" t="inlineStr">
        <is>
          <t>skor = [0.8135, 0.802, 0.7969, 0.7853, 0.7806, 0.7781] → 6 / 6</t>
        </is>
      </c>
      <c r="F2840" t="n">
        <v>1</v>
      </c>
      <c r="G2840" s="3" t="inlineStr"/>
    </row>
    <row r="2841">
      <c r="A2841" t="n">
        <v>193</v>
      </c>
      <c r="B2841" t="inlineStr">
        <is>
          <t>A</t>
        </is>
      </c>
      <c r="C2841" t="inlineStr">
        <is>
          <t>Source Diversity (Pers. 10)</t>
        </is>
      </c>
      <c r="D2841" s="3" t="inlineStr">
        <is>
          <t>Diversity = |sumber unik dalam TopK| / K</t>
        </is>
      </c>
      <c r="E2841" s="3" t="inlineStr">
        <is>
          <t>skor = ['GT_DETAIL_PT12_Fungsi.txt', 'GT_SUBTOPIK_05_Pseudocode_Algoritme.txt', 'GT_SUBTOPIK_08_Perulangan_For_While.txt', 'GT_SUBTOPIK_11_Rekursi.txt'] → 4 / 6</t>
        </is>
      </c>
      <c r="F2841" t="n">
        <v>0.6667</v>
      </c>
      <c r="G2841" s="3" t="inlineStr">
        <is>
          <t>file unik: GT_DETAIL_PT12_Fungsi.txt, GT_SUBTOPIK_05_Pseudocode_Algoritme.txt, GT_SUBTOPIK_08_Perulangan_For_While.txt, GT_SUBTOPIK_11_Rekursi.txt</t>
        </is>
      </c>
    </row>
    <row r="2842">
      <c r="A2842" t="n">
        <v>193</v>
      </c>
      <c r="B2842" t="inlineStr">
        <is>
          <t>A</t>
        </is>
      </c>
      <c r="C2842" t="inlineStr">
        <is>
          <t>Faithfulness (Pers. 15)</t>
        </is>
      </c>
      <c r="D2842" s="3" t="inlineStr">
        <is>
          <t>F = 0,70×Entailment + 0,30×KWoverlap</t>
        </is>
      </c>
      <c r="E2842" s="3" t="inlineStr">
        <is>
          <t>Faithfulness = 0,70×Entailment + 0,30×KWoverlap = 0,70×1.0000 + 0,30×0.2418 = 0.7725  (entailment: 6/6 klaim didukung; KWoverlap = (|∩|/|ctx|)^0,65 = (17/151)^0,65 = 0.1126^0,65 = 0.2418)</t>
        </is>
      </c>
      <c r="F2842" t="n">
        <v>0.7725</v>
      </c>
      <c r="G2842" s="3" t="inlineStr">
        <is>
          <t>metode: llm_entailment + keyword</t>
        </is>
      </c>
    </row>
    <row r="2843">
      <c r="A2843" t="n">
        <v>193</v>
      </c>
      <c r="B2843" t="inlineStr">
        <is>
          <t>A</t>
        </is>
      </c>
      <c r="C2843" t="inlineStr">
        <is>
          <t>— Entailment (Pers. 12-13)</t>
        </is>
      </c>
      <c r="D2843" s="3" t="inlineStr">
        <is>
          <t>Entailment = Σverdict(sᵢ)/m</t>
        </is>
      </c>
      <c r="E2843" s="3" t="inlineStr">
        <is>
          <t>6 klaim YA dari 6 klaim dievaluasi</t>
        </is>
      </c>
      <c r="F2843" t="n">
        <v>1</v>
      </c>
      <c r="G2843" s="3" t="inlineStr">
        <is>
          <t>verdict per klaim: sheet 'Entailment Detail'</t>
        </is>
      </c>
    </row>
    <row r="2844">
      <c r="A2844" t="n">
        <v>193</v>
      </c>
      <c r="B2844" t="inlineStr">
        <is>
          <t>A</t>
        </is>
      </c>
      <c r="C2844" t="inlineStr">
        <is>
          <t>— Keyword Overlap (Pers. 14)</t>
        </is>
      </c>
      <c r="D2844" s="3" t="inlineStr">
        <is>
          <t>KWoverlap = (|Stems(ans)∩Stems(ctx)| / |Stems(ctx)|)^0,65</t>
        </is>
      </c>
      <c r="E2844" s="3" t="inlineStr">
        <is>
          <t>KWoverlap = (|∩|/|ctx|)^0,65 = (17/151)^0,65 = 0.1126^0,65 = 0.2418</t>
        </is>
      </c>
      <c r="F2844" t="n">
        <v>0.2418</v>
      </c>
      <c r="G2844" s="3" t="inlineStr"/>
    </row>
    <row r="2845">
      <c r="A2845" t="n">
        <v>193</v>
      </c>
      <c r="B2845" t="inlineStr">
        <is>
          <t>A</t>
        </is>
      </c>
      <c r="C2845" t="inlineStr">
        <is>
          <t>Hallucination Risk (Pers. 18)</t>
        </is>
      </c>
      <c r="D2845" s="3" t="inlineStr">
        <is>
          <t>Risk = 0,65×(1-F) + 0,20×Contradiction + 0,15×Uncertainty</t>
        </is>
      </c>
      <c r="E2845" s="3" t="inlineStr">
        <is>
          <t>Risk = 0,65×OutOfContext + 0,20×Contradiction + 0,15×Uncertainty = 0,65×0.2275 + 0,20×0.0000 + 0,15×0.00 = 0.1479 [RENDAH]</t>
        </is>
      </c>
      <c r="F2845" t="n">
        <v>0.1479</v>
      </c>
      <c r="G2845" s="3" t="inlineStr">
        <is>
          <t>label: RENDAH; kontradiksi 0/11 kalimat; uncertainty flag: False</t>
        </is>
      </c>
    </row>
    <row r="2846">
      <c r="A2846" t="n">
        <v>193</v>
      </c>
      <c r="B2846" t="inlineStr">
        <is>
          <t>A</t>
        </is>
      </c>
      <c r="C2846" t="inlineStr">
        <is>
          <t>Answer Accuracy (Pers. 20)</t>
        </is>
      </c>
      <c r="D2846" s="3" t="inlineStr">
        <is>
          <t>Correctᵢ ∈ {0,1} via LLM-as-Judge (HASIL: BENAR/SALAH)</t>
        </is>
      </c>
      <c r="E2846" s="3" t="inlineStr">
        <is>
          <t>BENAR</t>
        </is>
      </c>
      <c r="F2846" t="inlineStr">
        <is>
          <t>BENAR</t>
        </is>
      </c>
      <c r="G2846" s="3" t="inlineStr">
        <is>
          <t>evaluator: ollama/llama3</t>
        </is>
      </c>
    </row>
    <row r="2847">
      <c r="A2847" t="n">
        <v>193</v>
      </c>
      <c r="B2847" t="inlineStr">
        <is>
          <t>B</t>
        </is>
      </c>
      <c r="C2847" t="inlineStr">
        <is>
          <t>Faithfulness (Pers. 15)</t>
        </is>
      </c>
      <c r="D2847" s="3" t="inlineStr">
        <is>
          <t>F = 0,70×Entailment + 0,30×KWoverlap</t>
        </is>
      </c>
      <c r="E2847" s="3" t="inlineStr">
        <is>
          <t>Faithfulness = 0,70×Entailment + 0,30×KWoverlap = 0,70×1.0000 + 0,30×0.2325 = 0.7697  (entailment: 6/6 klaim didukung; KWoverlap = (|∩|/|ctx|)^0,65 = (16/151)^0,65 = 0.1060^0,65 = 0.2325)</t>
        </is>
      </c>
      <c r="F2847" t="n">
        <v>0.7697000000000001</v>
      </c>
      <c r="G2847" s="3" t="inlineStr">
        <is>
          <t>metode: llm_entailment + keyword</t>
        </is>
      </c>
    </row>
    <row r="2848">
      <c r="A2848" t="n">
        <v>193</v>
      </c>
      <c r="B2848" t="inlineStr">
        <is>
          <t>B</t>
        </is>
      </c>
      <c r="C2848" t="inlineStr">
        <is>
          <t>— Entailment (Pers. 12-13)</t>
        </is>
      </c>
      <c r="D2848" s="3" t="inlineStr">
        <is>
          <t>Entailment = Σverdict(sᵢ)/m</t>
        </is>
      </c>
      <c r="E2848" s="3" t="inlineStr">
        <is>
          <t>6 klaim YA dari 6 klaim dievaluasi</t>
        </is>
      </c>
      <c r="F2848" t="n">
        <v>1</v>
      </c>
      <c r="G2848" s="3" t="inlineStr">
        <is>
          <t>verdict per klaim: sheet 'Entailment Detail'</t>
        </is>
      </c>
    </row>
    <row r="2849">
      <c r="A2849" t="n">
        <v>193</v>
      </c>
      <c r="B2849" t="inlineStr">
        <is>
          <t>B</t>
        </is>
      </c>
      <c r="C2849" t="inlineStr">
        <is>
          <t>— Keyword Overlap (Pers. 14)</t>
        </is>
      </c>
      <c r="D2849" s="3" t="inlineStr">
        <is>
          <t>KWoverlap = (|Stems(ans)∩Stems(ctx)| / |Stems(ctx)|)^0,65</t>
        </is>
      </c>
      <c r="E2849" s="3" t="inlineStr">
        <is>
          <t>KWoverlap = (|∩|/|ctx|)^0,65 = (16/151)^0,65 = 0.1060^0,65 = 0.2325</t>
        </is>
      </c>
      <c r="F2849" t="n">
        <v>0.2325</v>
      </c>
      <c r="G2849" s="3" t="inlineStr"/>
    </row>
    <row r="2850">
      <c r="A2850" t="n">
        <v>193</v>
      </c>
      <c r="B2850" t="inlineStr">
        <is>
          <t>B</t>
        </is>
      </c>
      <c r="C2850" t="inlineStr">
        <is>
          <t>Hallucination Risk (Pers. 18)</t>
        </is>
      </c>
      <c r="D2850" s="3" t="inlineStr">
        <is>
          <t>Risk = 0,65×(1-F) + 0,20×Contradiction + 0,15×Uncertainty</t>
        </is>
      </c>
      <c r="E2850" s="3" t="inlineStr">
        <is>
          <t>Risk = 0,65×OutOfContext + 0,20×Contradiction + 0,15×Uncertainty = 0,65×0.2303 + 0,20×0.0000 + 0,15×0.00 = 0.1497 [RENDAH]</t>
        </is>
      </c>
      <c r="F2850" t="n">
        <v>0.1497</v>
      </c>
      <c r="G2850" s="3" t="inlineStr">
        <is>
          <t>label: RENDAH; kontradiksi 0/26 kalimat; uncertainty flag: False</t>
        </is>
      </c>
    </row>
    <row r="2851">
      <c r="A2851" t="n">
        <v>193</v>
      </c>
      <c r="B2851" t="inlineStr">
        <is>
          <t>B</t>
        </is>
      </c>
      <c r="C2851" t="inlineStr">
        <is>
          <t>Answer Accuracy (Pers. 20)</t>
        </is>
      </c>
      <c r="D2851" s="3" t="inlineStr">
        <is>
          <t>Correctᵢ ∈ {0,1} via LLM-as-Judge (HASIL: BENAR/SALAH)</t>
        </is>
      </c>
      <c r="E2851" s="3" t="inlineStr">
        <is>
          <t>Jawaban sistem:</t>
        </is>
      </c>
      <c r="F2851" t="inlineStr">
        <is>
          <t>SALAH</t>
        </is>
      </c>
      <c r="G2851" s="3" t="inlineStr">
        <is>
          <t>evaluator: ollama/llama3</t>
        </is>
      </c>
    </row>
    <row r="2852">
      <c r="A2852" t="n">
        <v>194</v>
      </c>
      <c r="B2852" t="inlineStr">
        <is>
          <t>A</t>
        </is>
      </c>
      <c r="C2852" t="inlineStr">
        <is>
          <t>Precision@K (Pers. 2)</t>
        </is>
      </c>
      <c r="D2852" s="3" t="inlineStr">
        <is>
          <t>Precision@K = |{d ∈ TopK : sim(q,d) ≥ θ}| / K</t>
        </is>
      </c>
      <c r="E2852" s="3" t="inlineStr">
        <is>
          <t>skor = [0.7639, 0.7577, 0.7498, 0.7444, 0.7428, 0.7421] → 6 / 6</t>
        </is>
      </c>
      <c r="F2852" t="n">
        <v>1</v>
      </c>
      <c r="G2852" s="3" t="inlineStr">
        <is>
          <t>basis: skor chunk nyata (sesuai contoh Pers. 2 skripsi)</t>
        </is>
      </c>
    </row>
    <row r="2853">
      <c r="A2853" t="n">
        <v>194</v>
      </c>
      <c r="B2853" t="inlineStr">
        <is>
          <t>A</t>
        </is>
      </c>
      <c r="C2853" t="inlineStr">
        <is>
          <t>Recall@K (Pers. 4)</t>
        </is>
      </c>
      <c r="D2853" s="3" t="inlineStr">
        <is>
          <t>Recall@K = |{kata kunci ditemukan : sim ≥ θ}| / |R|</t>
        </is>
      </c>
      <c r="E2853" s="3" t="inlineStr">
        <is>
          <t>skor = [0.6344, 0.5508, 0.5224, 0.4575, 0.4358, 0.3907] → 6 / 7</t>
        </is>
      </c>
      <c r="F2853" t="n">
        <v>0.8571</v>
      </c>
      <c r="G2853" s="3" t="inlineStr"/>
    </row>
    <row r="2854">
      <c r="A2854" t="n">
        <v>194</v>
      </c>
      <c r="B2854" t="inlineStr">
        <is>
          <t>A</t>
        </is>
      </c>
      <c r="C2854" t="inlineStr">
        <is>
          <t>Mean Similarity (Pers. 6)</t>
        </is>
      </c>
      <c r="D2854" s="3" t="inlineStr">
        <is>
          <t>MeanSim = (1/K) × Σ sim(q, dᵢ)</t>
        </is>
      </c>
      <c r="E2854" s="3" t="inlineStr">
        <is>
          <t>skor = [0.7639, 0.7577, 0.7498, 0.7444, 0.7428, 0.7421] → (0.7639 + 0.7577 + 0.7498 + 0.7444 + 0.7428 + 0.7421) / 6</t>
        </is>
      </c>
      <c r="F2854" t="n">
        <v>0.7501</v>
      </c>
      <c r="G2854" s="3" t="inlineStr"/>
    </row>
    <row r="2855">
      <c r="A2855" t="n">
        <v>194</v>
      </c>
      <c r="B2855" t="inlineStr">
        <is>
          <t>A</t>
        </is>
      </c>
      <c r="C2855" t="inlineStr">
        <is>
          <t>Coverage (Pers. 8)</t>
        </is>
      </c>
      <c r="D2855" s="3" t="inlineStr">
        <is>
          <t>Coverage = |{dᵢ ∈ TopK : sim(q,dᵢ) ≥ θc}| / K</t>
        </is>
      </c>
      <c r="E2855" s="3" t="inlineStr">
        <is>
          <t>skor = [0.7639, 0.7577, 0.7498, 0.7444, 0.7428, 0.7421] → 6 / 6</t>
        </is>
      </c>
      <c r="F2855" t="n">
        <v>1</v>
      </c>
      <c r="G2855" s="3" t="inlineStr"/>
    </row>
    <row r="2856">
      <c r="A2856" t="n">
        <v>194</v>
      </c>
      <c r="B2856" t="inlineStr">
        <is>
          <t>A</t>
        </is>
      </c>
      <c r="C2856" t="inlineStr">
        <is>
          <t>Source Diversity (Pers. 10)</t>
        </is>
      </c>
      <c r="D2856" s="3" t="inlineStr">
        <is>
          <t>Diversity = |sumber unik dalam TopK| / K</t>
        </is>
      </c>
      <c r="E2856" s="3" t="inlineStr">
        <is>
          <t>skor = ['GT_CT11.txt', 'GT_DETAIL_PT11_Perulangan.txt', 'GT_SUBTOPIK_11_Rekursi.txt', 'GT_SUBTOPIK_14_Kompleksitas_BigO.txt'] → 4 / 6</t>
        </is>
      </c>
      <c r="F2856" t="n">
        <v>0.6667</v>
      </c>
      <c r="G2856" s="3" t="inlineStr">
        <is>
          <t>file unik: GT_CT11.txt, GT_DETAIL_PT11_Perulangan.txt, GT_SUBTOPIK_11_Rekursi.txt, GT_SUBTOPIK_14_Kompleksitas_BigO.txt</t>
        </is>
      </c>
    </row>
    <row r="2857">
      <c r="A2857" t="n">
        <v>194</v>
      </c>
      <c r="B2857" t="inlineStr">
        <is>
          <t>A</t>
        </is>
      </c>
      <c r="C2857" t="inlineStr">
        <is>
          <t>Faithfulness (Pers. 15)</t>
        </is>
      </c>
      <c r="D2857" s="3" t="inlineStr">
        <is>
          <t>F = 0,70×Entailment + 0,30×KWoverlap</t>
        </is>
      </c>
      <c r="E2857" s="3" t="inlineStr">
        <is>
          <t>Faithfulness = 0,70×Entailment + 0,30×KWoverlap = 0,70×0.8333 + 0,30×0.3083 = 0.6758  (entailment: 5/6 klaim didukung; KWoverlap = (|∩|/|ctx|)^0,65 = (27/165)^0,65 = 0.1636^0,65 = 0.3083)</t>
        </is>
      </c>
      <c r="F2857" t="n">
        <v>0.6758</v>
      </c>
      <c r="G2857" s="3" t="inlineStr">
        <is>
          <t>metode: llm_entailment + keyword</t>
        </is>
      </c>
    </row>
    <row r="2858">
      <c r="A2858" t="n">
        <v>194</v>
      </c>
      <c r="B2858" t="inlineStr">
        <is>
          <t>A</t>
        </is>
      </c>
      <c r="C2858" t="inlineStr">
        <is>
          <t>— Entailment (Pers. 12-13)</t>
        </is>
      </c>
      <c r="D2858" s="3" t="inlineStr">
        <is>
          <t>Entailment = Σverdict(sᵢ)/m</t>
        </is>
      </c>
      <c r="E2858" s="3" t="inlineStr">
        <is>
          <t>5 klaim YA dari 6 klaim dievaluasi</t>
        </is>
      </c>
      <c r="F2858" t="n">
        <v>0.8333</v>
      </c>
      <c r="G2858" s="3" t="inlineStr">
        <is>
          <t>verdict per klaim: sheet 'Entailment Detail'</t>
        </is>
      </c>
    </row>
    <row r="2859">
      <c r="A2859" t="n">
        <v>194</v>
      </c>
      <c r="B2859" t="inlineStr">
        <is>
          <t>A</t>
        </is>
      </c>
      <c r="C2859" t="inlineStr">
        <is>
          <t>— Keyword Overlap (Pers. 14)</t>
        </is>
      </c>
      <c r="D2859" s="3" t="inlineStr">
        <is>
          <t>KWoverlap = (|Stems(ans)∩Stems(ctx)| / |Stems(ctx)|)^0,65</t>
        </is>
      </c>
      <c r="E2859" s="3" t="inlineStr">
        <is>
          <t>KWoverlap = (|∩|/|ctx|)^0,65 = (27/165)^0,65 = 0.1636^0,65 = 0.3083</t>
        </is>
      </c>
      <c r="F2859" t="n">
        <v>0.3083</v>
      </c>
      <c r="G2859" s="3" t="inlineStr"/>
    </row>
    <row r="2860">
      <c r="A2860" t="n">
        <v>194</v>
      </c>
      <c r="B2860" t="inlineStr">
        <is>
          <t>A</t>
        </is>
      </c>
      <c r="C2860" t="inlineStr">
        <is>
          <t>Hallucination Risk (Pers. 18)</t>
        </is>
      </c>
      <c r="D2860" s="3" t="inlineStr">
        <is>
          <t>Risk = 0,65×(1-F) + 0,20×Contradiction + 0,15×Uncertainty</t>
        </is>
      </c>
      <c r="E2860" s="3" t="inlineStr">
        <is>
          <t>Risk = 0,65×OutOfContext + 0,20×Contradiction + 0,15×Uncertainty = 0,65×0.3242 + 0,20×0.0000 + 0,15×0.00 = 0.2107 [RENDAH]</t>
        </is>
      </c>
      <c r="F2860" t="n">
        <v>0.2107</v>
      </c>
      <c r="G2860" s="3" t="inlineStr">
        <is>
          <t>label: RENDAH; kontradiksi 0/14 kalimat; uncertainty flag: False</t>
        </is>
      </c>
    </row>
    <row r="2861">
      <c r="A2861" t="n">
        <v>194</v>
      </c>
      <c r="B2861" t="inlineStr">
        <is>
          <t>A</t>
        </is>
      </c>
      <c r="C2861" t="inlineStr">
        <is>
          <t>Answer Accuracy (Pers. 20)</t>
        </is>
      </c>
      <c r="D2861" s="3" t="inlineStr">
        <is>
          <t>Correctᵢ ∈ {0,1} via LLM-as-Judge (HASIL: BENAR/SALAH)</t>
        </is>
      </c>
      <c r="E2861" s="3" t="inlineStr">
        <is>
          <t>Rasaan sistem menjawab pertanyaan tanpa memperhatikan referensi dan materi yang diberikan. Referensi tersebut memberikan contoh tentang bagaimana cara menghitung output dari program, tetapi sistem tidak mempertahankan konsep utama dan hanya menjawab dengan cara cepat dan tidak berpedoman pada materi yang diberikan.</t>
        </is>
      </c>
      <c r="F2861" t="inlineStr">
        <is>
          <t>SALAH</t>
        </is>
      </c>
      <c r="G2861" s="3" t="inlineStr">
        <is>
          <t>evaluator: ollama/llama3</t>
        </is>
      </c>
    </row>
    <row r="2862">
      <c r="A2862" t="n">
        <v>194</v>
      </c>
      <c r="B2862" t="inlineStr">
        <is>
          <t>B</t>
        </is>
      </c>
      <c r="C2862" t="inlineStr">
        <is>
          <t>Faithfulness (Pers. 15)</t>
        </is>
      </c>
      <c r="D2862" s="3" t="inlineStr">
        <is>
          <t>F = 0,70×Entailment + 0,30×KWoverlap</t>
        </is>
      </c>
      <c r="E2862" s="3" t="inlineStr">
        <is>
          <t>Faithfulness = 0,70×Entailment + 0,30×KWoverlap = 0,70×0.6667 + 0,30×0.2619 = 0.5452  (entailment: 4/6 klaim didukung; KWoverlap = (|∩|/|ctx|)^0,65 = (21/165)^0,65 = 0.1273^0,65 = 0.2619)</t>
        </is>
      </c>
      <c r="F2862" t="n">
        <v>0.5452</v>
      </c>
      <c r="G2862" s="3" t="inlineStr">
        <is>
          <t>metode: llm_entailment + keyword</t>
        </is>
      </c>
    </row>
    <row r="2863">
      <c r="A2863" t="n">
        <v>194</v>
      </c>
      <c r="B2863" t="inlineStr">
        <is>
          <t>B</t>
        </is>
      </c>
      <c r="C2863" t="inlineStr">
        <is>
          <t>— Entailment (Pers. 12-13)</t>
        </is>
      </c>
      <c r="D2863" s="3" t="inlineStr">
        <is>
          <t>Entailment = Σverdict(sᵢ)/m</t>
        </is>
      </c>
      <c r="E2863" s="3" t="inlineStr">
        <is>
          <t>4 klaim YA dari 6 klaim dievaluasi</t>
        </is>
      </c>
      <c r="F2863" t="n">
        <v>0.6667</v>
      </c>
      <c r="G2863" s="3" t="inlineStr">
        <is>
          <t>verdict per klaim: sheet 'Entailment Detail'</t>
        </is>
      </c>
    </row>
    <row r="2864">
      <c r="A2864" t="n">
        <v>194</v>
      </c>
      <c r="B2864" t="inlineStr">
        <is>
          <t>B</t>
        </is>
      </c>
      <c r="C2864" t="inlineStr">
        <is>
          <t>— Keyword Overlap (Pers. 14)</t>
        </is>
      </c>
      <c r="D2864" s="3" t="inlineStr">
        <is>
          <t>KWoverlap = (|Stems(ans)∩Stems(ctx)| / |Stems(ctx)|)^0,65</t>
        </is>
      </c>
      <c r="E2864" s="3" t="inlineStr">
        <is>
          <t>KWoverlap = (|∩|/|ctx|)^0,65 = (21/165)^0,65 = 0.1273^0,65 = 0.2619</t>
        </is>
      </c>
      <c r="F2864" t="n">
        <v>0.2619</v>
      </c>
      <c r="G2864" s="3" t="inlineStr"/>
    </row>
    <row r="2865">
      <c r="A2865" t="n">
        <v>194</v>
      </c>
      <c r="B2865" t="inlineStr">
        <is>
          <t>B</t>
        </is>
      </c>
      <c r="C2865" t="inlineStr">
        <is>
          <t>Hallucination Risk (Pers. 18)</t>
        </is>
      </c>
      <c r="D2865" s="3" t="inlineStr">
        <is>
          <t>Risk = 0,65×(1-F) + 0,20×Contradiction + 0,15×Uncertainty</t>
        </is>
      </c>
      <c r="E2865" s="3" t="inlineStr">
        <is>
          <t>Risk = 0,65×OutOfContext + 0,20×Contradiction + 0,15×Uncertainty = 0,65×0.4548 + 0,20×0.0000 + 0,15×0.20 = 0.3256 [SEDANG]</t>
        </is>
      </c>
      <c r="F2865" t="n">
        <v>0.3256</v>
      </c>
      <c r="G2865" s="3" t="inlineStr">
        <is>
          <t>label: SEDANG; kontradiksi 0/14 kalimat; uncertainty flag: True</t>
        </is>
      </c>
    </row>
    <row r="2866">
      <c r="A2866" t="n">
        <v>194</v>
      </c>
      <c r="B2866" t="inlineStr">
        <is>
          <t>B</t>
        </is>
      </c>
      <c r="C2866" t="inlineStr">
        <is>
          <t>Answer Accuracy (Pers. 20)</t>
        </is>
      </c>
      <c r="D2866" s="3" t="inlineStr">
        <is>
          <t>Correctᵢ ∈ {0,1} via LLM-as-Judge (HASIL: BENAR/SALAH)</t>
        </is>
      </c>
      <c r="E2866" s="3" t="inlineStr">
        <is>
          <t>BENAR</t>
        </is>
      </c>
      <c r="F2866" t="inlineStr">
        <is>
          <t>BENAR</t>
        </is>
      </c>
      <c r="G2866" s="3" t="inlineStr">
        <is>
          <t>evaluator: ollama/llama3</t>
        </is>
      </c>
    </row>
    <row r="2867">
      <c r="A2867" t="n">
        <v>195</v>
      </c>
      <c r="B2867" t="inlineStr">
        <is>
          <t>A</t>
        </is>
      </c>
      <c r="C2867" t="inlineStr">
        <is>
          <t>Precision@K (Pers. 2)</t>
        </is>
      </c>
      <c r="D2867" s="3" t="inlineStr">
        <is>
          <t>Precision@K = |{d ∈ TopK : sim(q,d) ≥ θ}| / K</t>
        </is>
      </c>
      <c r="E2867" s="3" t="inlineStr">
        <is>
          <t>skor = [0.7748, 0.7668, 0.7668, 0.7658, 0.7604, 0.7532] → 6 / 6</t>
        </is>
      </c>
      <c r="F2867" t="n">
        <v>1</v>
      </c>
      <c r="G2867" s="3" t="inlineStr">
        <is>
          <t>basis: skor chunk nyata (sesuai contoh Pers. 2 skripsi)</t>
        </is>
      </c>
    </row>
    <row r="2868">
      <c r="A2868" t="n">
        <v>195</v>
      </c>
      <c r="B2868" t="inlineStr">
        <is>
          <t>A</t>
        </is>
      </c>
      <c r="C2868" t="inlineStr">
        <is>
          <t>Recall@K (Pers. 4)</t>
        </is>
      </c>
      <c r="D2868" s="3" t="inlineStr">
        <is>
          <t>Recall@K = |{kata kunci ditemukan : sim ≥ θ}| / |R|</t>
        </is>
      </c>
      <c r="E2868" s="3" t="inlineStr">
        <is>
          <t>skor = [0.5532, 0.5309, 0.5086, 0.5039, 0.4971, 0.4361] → 6 / 6</t>
        </is>
      </c>
      <c r="F2868" t="n">
        <v>1</v>
      </c>
      <c r="G2868" s="3" t="inlineStr"/>
    </row>
    <row r="2869">
      <c r="A2869" t="n">
        <v>195</v>
      </c>
      <c r="B2869" t="inlineStr">
        <is>
          <t>A</t>
        </is>
      </c>
      <c r="C2869" t="inlineStr">
        <is>
          <t>Mean Similarity (Pers. 6)</t>
        </is>
      </c>
      <c r="D2869" s="3" t="inlineStr">
        <is>
          <t>MeanSim = (1/K) × Σ sim(q, dᵢ)</t>
        </is>
      </c>
      <c r="E2869" s="3" t="inlineStr">
        <is>
          <t>skor = [0.7748, 0.7668, 0.7668, 0.7658, 0.7604, 0.7532] → (0.7748 + 0.7668 + 0.7668 + 0.7658 + 0.7604 + 0.7532) / 6</t>
        </is>
      </c>
      <c r="F2869" t="n">
        <v>0.7645999999999999</v>
      </c>
      <c r="G2869" s="3" t="inlineStr"/>
    </row>
    <row r="2870">
      <c r="A2870" t="n">
        <v>195</v>
      </c>
      <c r="B2870" t="inlineStr">
        <is>
          <t>A</t>
        </is>
      </c>
      <c r="C2870" t="inlineStr">
        <is>
          <t>Coverage (Pers. 8)</t>
        </is>
      </c>
      <c r="D2870" s="3" t="inlineStr">
        <is>
          <t>Coverage = |{dᵢ ∈ TopK : sim(q,dᵢ) ≥ θc}| / K</t>
        </is>
      </c>
      <c r="E2870" s="3" t="inlineStr">
        <is>
          <t>skor = [0.7748, 0.7668, 0.7668, 0.7658, 0.7604, 0.7532] → 6 / 6</t>
        </is>
      </c>
      <c r="F2870" t="n">
        <v>1</v>
      </c>
      <c r="G2870" s="3" t="inlineStr"/>
    </row>
    <row r="2871">
      <c r="A2871" t="n">
        <v>195</v>
      </c>
      <c r="B2871" t="inlineStr">
        <is>
          <t>A</t>
        </is>
      </c>
      <c r="C2871" t="inlineStr">
        <is>
          <t>Source Diversity (Pers. 10)</t>
        </is>
      </c>
      <c r="D2871" s="3" t="inlineStr">
        <is>
          <t>Diversity = |sumber unik dalam TopK| / K</t>
        </is>
      </c>
      <c r="E2871" s="3" t="inlineStr">
        <is>
          <t>skor = ['GT_CT11.txt', 'GT_DETAIL_PT09_Variabel_TipeData_Operator_List.txt', 'GT_DETAIL_PT11_Perulangan.txt', 'GT_SUBTOPIK_01_Dekomposisi_Optimasi.txt', 'GT_SUBTOPIK_09_Nested_Loop.txt', 'GT_SUBTOPIK_14_Kompleksitas_BigO.txt'] → 6 / 6</t>
        </is>
      </c>
      <c r="F2871" t="n">
        <v>1</v>
      </c>
      <c r="G2871" s="3" t="inlineStr">
        <is>
          <t>file unik: GT_CT11.txt, GT_DETAIL_PT09_Variabel_TipeData_Operator_List.txt, GT_DETAIL_PT11_Perulangan.txt, GT_SUBTOPIK_01_Dekomposisi_Optimasi.txt, GT_SUBTOPIK_09_Nested_Loop.txt, GT_SUBTOPIK_14_Kompleksitas_BigO.txt</t>
        </is>
      </c>
    </row>
    <row r="2872">
      <c r="A2872" t="n">
        <v>195</v>
      </c>
      <c r="B2872" t="inlineStr">
        <is>
          <t>A</t>
        </is>
      </c>
      <c r="C2872" t="inlineStr">
        <is>
          <t>Faithfulness (Pers. 15)</t>
        </is>
      </c>
      <c r="D2872" s="3" t="inlineStr">
        <is>
          <t>F = 0,70×Entailment + 0,30×KWoverlap</t>
        </is>
      </c>
      <c r="E2872" s="3" t="inlineStr">
        <is>
          <t>Faithfulness = 0,70×Entailment + 0,30×KWoverlap = 0,70×1.0000 + 0,30×0.2209 = 0.7663  (entailment: 6/6 klaim didukung; KWoverlap = (|∩|/|ctx|)^0,65 = (19/194)^0,65 = 0.0979^0,65 = 0.2209)</t>
        </is>
      </c>
      <c r="F2872" t="n">
        <v>0.7663</v>
      </c>
      <c r="G2872" s="3" t="inlineStr">
        <is>
          <t>metode: llm_entailment + keyword</t>
        </is>
      </c>
    </row>
    <row r="2873">
      <c r="A2873" t="n">
        <v>195</v>
      </c>
      <c r="B2873" t="inlineStr">
        <is>
          <t>A</t>
        </is>
      </c>
      <c r="C2873" t="inlineStr">
        <is>
          <t>— Entailment (Pers. 12-13)</t>
        </is>
      </c>
      <c r="D2873" s="3" t="inlineStr">
        <is>
          <t>Entailment = Σverdict(sᵢ)/m</t>
        </is>
      </c>
      <c r="E2873" s="3" t="inlineStr">
        <is>
          <t>6 klaim YA dari 6 klaim dievaluasi</t>
        </is>
      </c>
      <c r="F2873" t="n">
        <v>1</v>
      </c>
      <c r="G2873" s="3" t="inlineStr">
        <is>
          <t>verdict per klaim: sheet 'Entailment Detail'</t>
        </is>
      </c>
    </row>
    <row r="2874">
      <c r="A2874" t="n">
        <v>195</v>
      </c>
      <c r="B2874" t="inlineStr">
        <is>
          <t>A</t>
        </is>
      </c>
      <c r="C2874" t="inlineStr">
        <is>
          <t>— Keyword Overlap (Pers. 14)</t>
        </is>
      </c>
      <c r="D2874" s="3" t="inlineStr">
        <is>
          <t>KWoverlap = (|Stems(ans)∩Stems(ctx)| / |Stems(ctx)|)^0,65</t>
        </is>
      </c>
      <c r="E2874" s="3" t="inlineStr">
        <is>
          <t>KWoverlap = (|∩|/|ctx|)^0,65 = (19/194)^0,65 = 0.0979^0,65 = 0.2209</t>
        </is>
      </c>
      <c r="F2874" t="n">
        <v>0.2209</v>
      </c>
      <c r="G2874" s="3" t="inlineStr"/>
    </row>
    <row r="2875">
      <c r="A2875" t="n">
        <v>195</v>
      </c>
      <c r="B2875" t="inlineStr">
        <is>
          <t>A</t>
        </is>
      </c>
      <c r="C2875" t="inlineStr">
        <is>
          <t>Hallucination Risk (Pers. 18)</t>
        </is>
      </c>
      <c r="D2875" s="3" t="inlineStr">
        <is>
          <t>Risk = 0,65×(1-F) + 0,20×Contradiction + 0,15×Uncertainty</t>
        </is>
      </c>
      <c r="E2875" s="3" t="inlineStr">
        <is>
          <t>Risk = 0,65×OutOfContext + 0,20×Contradiction + 0,15×Uncertainty = 0,65×0.2337 + 0,20×0.0000 + 0,15×0.20 = 0.1819 [RENDAH]</t>
        </is>
      </c>
      <c r="F2875" t="n">
        <v>0.1819</v>
      </c>
      <c r="G2875" s="3" t="inlineStr">
        <is>
          <t>label: RENDAH; kontradiksi 0/13 kalimat; uncertainty flag: True</t>
        </is>
      </c>
    </row>
    <row r="2876">
      <c r="A2876" t="n">
        <v>195</v>
      </c>
      <c r="B2876" t="inlineStr">
        <is>
          <t>A</t>
        </is>
      </c>
      <c r="C2876" t="inlineStr">
        <is>
          <t>Answer Accuracy (Pers. 20)</t>
        </is>
      </c>
      <c r="D2876" s="3" t="inlineStr">
        <is>
          <t>Correctᵢ ∈ {0,1} via LLM-as-Judge (HASIL: BENAR/SALAH)</t>
        </is>
      </c>
      <c r="E2876" s="3" t="inlineStr">
        <is>
          <t>Jawaban sistem:</t>
        </is>
      </c>
      <c r="F2876" t="inlineStr">
        <is>
          <t>BENAR</t>
        </is>
      </c>
      <c r="G2876" s="3" t="inlineStr">
        <is>
          <t>evaluator: ollama/llama3</t>
        </is>
      </c>
    </row>
    <row r="2877">
      <c r="A2877" t="n">
        <v>195</v>
      </c>
      <c r="B2877" t="inlineStr">
        <is>
          <t>B</t>
        </is>
      </c>
      <c r="C2877" t="inlineStr">
        <is>
          <t>Faithfulness (Pers. 15)</t>
        </is>
      </c>
      <c r="D2877" s="3" t="inlineStr">
        <is>
          <t>F = 0,70×Entailment + 0,30×KWoverlap</t>
        </is>
      </c>
      <c r="E2877" s="3" t="inlineStr">
        <is>
          <t>Faithfulness = 0,70×Entailment + 0,30×KWoverlap = 0,70×0.6667 + 0,30×0.1044 = 0.4980  (entailment: 4/6 klaim didukung; KWoverlap = (|∩|/|ctx|)^0,65 = (6/194)^0,65 = 0.0309^0,65 = 0.1044)</t>
        </is>
      </c>
      <c r="F2877" t="n">
        <v>0.498</v>
      </c>
      <c r="G2877" s="3" t="inlineStr">
        <is>
          <t>metode: llm_entailment + keyword</t>
        </is>
      </c>
    </row>
    <row r="2878">
      <c r="A2878" t="n">
        <v>195</v>
      </c>
      <c r="B2878" t="inlineStr">
        <is>
          <t>B</t>
        </is>
      </c>
      <c r="C2878" t="inlineStr">
        <is>
          <t>— Entailment (Pers. 12-13)</t>
        </is>
      </c>
      <c r="D2878" s="3" t="inlineStr">
        <is>
          <t>Entailment = Σverdict(sᵢ)/m</t>
        </is>
      </c>
      <c r="E2878" s="3" t="inlineStr">
        <is>
          <t>4 klaim YA dari 6 klaim dievaluasi</t>
        </is>
      </c>
      <c r="F2878" t="n">
        <v>0.6667</v>
      </c>
      <c r="G2878" s="3" t="inlineStr">
        <is>
          <t>verdict per klaim: sheet 'Entailment Detail'</t>
        </is>
      </c>
    </row>
    <row r="2879">
      <c r="A2879" t="n">
        <v>195</v>
      </c>
      <c r="B2879" t="inlineStr">
        <is>
          <t>B</t>
        </is>
      </c>
      <c r="C2879" t="inlineStr">
        <is>
          <t>— Keyword Overlap (Pers. 14)</t>
        </is>
      </c>
      <c r="D2879" s="3" t="inlineStr">
        <is>
          <t>KWoverlap = (|Stems(ans)∩Stems(ctx)| / |Stems(ctx)|)^0,65</t>
        </is>
      </c>
      <c r="E2879" s="3" t="inlineStr">
        <is>
          <t>KWoverlap = (|∩|/|ctx|)^0,65 = (6/194)^0,65 = 0.0309^0,65 = 0.1044</t>
        </is>
      </c>
      <c r="F2879" t="n">
        <v>0.1044</v>
      </c>
      <c r="G2879" s="3" t="inlineStr"/>
    </row>
    <row r="2880">
      <c r="A2880" t="n">
        <v>195</v>
      </c>
      <c r="B2880" t="inlineStr">
        <is>
          <t>B</t>
        </is>
      </c>
      <c r="C2880" t="inlineStr">
        <is>
          <t>Hallucination Risk (Pers. 18)</t>
        </is>
      </c>
      <c r="D2880" s="3" t="inlineStr">
        <is>
          <t>Risk = 0,65×(1-F) + 0,20×Contradiction + 0,15×Uncertainty</t>
        </is>
      </c>
      <c r="E2880" s="3" t="inlineStr">
        <is>
          <t>Risk = 0,65×OutOfContext + 0,20×Contradiction + 0,15×Uncertainty = 0,65×0.5020 + 0,20×0.0000 + 0,15×0.00 = 0.3263 [SEDANG]</t>
        </is>
      </c>
      <c r="F2880" t="n">
        <v>0.3263</v>
      </c>
      <c r="G2880" s="3" t="inlineStr">
        <is>
          <t>label: SEDANG; kontradiksi 0/8 kalimat; uncertainty flag: False</t>
        </is>
      </c>
    </row>
    <row r="2881">
      <c r="A2881" t="n">
        <v>195</v>
      </c>
      <c r="B2881" t="inlineStr">
        <is>
          <t>B</t>
        </is>
      </c>
      <c r="C2881" t="inlineStr">
        <is>
          <t>Answer Accuracy (Pers. 20)</t>
        </is>
      </c>
      <c r="D2881" s="3" t="inlineStr">
        <is>
          <t>Correctᵢ ∈ {0,1} via LLM-as-Judge (HASIL: BENAR/SALAH)</t>
        </is>
      </c>
      <c r="E2881" s="3" t="inlineStr">
        <is>
          <t>Jawaban sistem:</t>
        </is>
      </c>
      <c r="F2881" t="inlineStr">
        <is>
          <t>BENAR</t>
        </is>
      </c>
      <c r="G2881" s="3" t="inlineStr">
        <is>
          <t>evaluator: ollama/llama3</t>
        </is>
      </c>
    </row>
    <row r="2882">
      <c r="A2882" t="n">
        <v>196</v>
      </c>
      <c r="B2882" t="inlineStr">
        <is>
          <t>A</t>
        </is>
      </c>
      <c r="C2882" t="inlineStr">
        <is>
          <t>Precision@K (Pers. 2)</t>
        </is>
      </c>
      <c r="D2882" s="3" t="inlineStr">
        <is>
          <t>Precision@K = |{d ∈ TopK : sim(q,d) ≥ θ}| / K</t>
        </is>
      </c>
      <c r="E2882" s="3" t="inlineStr">
        <is>
          <t>skor = [0.7491, 0.7478, 0.7454, 0.7432, 0.7341, 0.7316] → 6 / 6</t>
        </is>
      </c>
      <c r="F2882" t="n">
        <v>1</v>
      </c>
      <c r="G2882" s="3" t="inlineStr">
        <is>
          <t>basis: skor chunk nyata (sesuai contoh Pers. 2 skripsi)</t>
        </is>
      </c>
    </row>
    <row r="2883">
      <c r="A2883" t="n">
        <v>196</v>
      </c>
      <c r="B2883" t="inlineStr">
        <is>
          <t>A</t>
        </is>
      </c>
      <c r="C2883" t="inlineStr">
        <is>
          <t>Recall@K (Pers. 4)</t>
        </is>
      </c>
      <c r="D2883" s="3" t="inlineStr">
        <is>
          <t>Recall@K = |{kata kunci ditemukan : sim ≥ θ}| / |R|</t>
        </is>
      </c>
      <c r="E2883" s="3" t="inlineStr">
        <is>
          <t>skor = [0.6937, 0.6635, 0.5272, 0.5272, 0.4513, 0.3864] → 6 / 7</t>
        </is>
      </c>
      <c r="F2883" t="n">
        <v>0.8571</v>
      </c>
      <c r="G2883" s="3" t="inlineStr"/>
    </row>
    <row r="2884">
      <c r="A2884" t="n">
        <v>196</v>
      </c>
      <c r="B2884" t="inlineStr">
        <is>
          <t>A</t>
        </is>
      </c>
      <c r="C2884" t="inlineStr">
        <is>
          <t>Mean Similarity (Pers. 6)</t>
        </is>
      </c>
      <c r="D2884" s="3" t="inlineStr">
        <is>
          <t>MeanSim = (1/K) × Σ sim(q, dᵢ)</t>
        </is>
      </c>
      <c r="E2884" s="3" t="inlineStr">
        <is>
          <t>skor = [0.7491, 0.7478, 0.7454, 0.7432, 0.7341, 0.7316] → (0.7491 + 0.7478 + 0.7454 + 0.7432 + 0.7341 + 0.7316) / 6</t>
        </is>
      </c>
      <c r="F2884" t="n">
        <v>0.7419</v>
      </c>
      <c r="G2884" s="3" t="inlineStr"/>
    </row>
    <row r="2885">
      <c r="A2885" t="n">
        <v>196</v>
      </c>
      <c r="B2885" t="inlineStr">
        <is>
          <t>A</t>
        </is>
      </c>
      <c r="C2885" t="inlineStr">
        <is>
          <t>Coverage (Pers. 8)</t>
        </is>
      </c>
      <c r="D2885" s="3" t="inlineStr">
        <is>
          <t>Coverage = |{dᵢ ∈ TopK : sim(q,dᵢ) ≥ θc}| / K</t>
        </is>
      </c>
      <c r="E2885" s="3" t="inlineStr">
        <is>
          <t>skor = [0.7491, 0.7478, 0.7454, 0.7432, 0.7341, 0.7316] → 6 / 6</t>
        </is>
      </c>
      <c r="F2885" t="n">
        <v>1</v>
      </c>
      <c r="G2885" s="3" t="inlineStr"/>
    </row>
    <row r="2886">
      <c r="A2886" t="n">
        <v>196</v>
      </c>
      <c r="B2886" t="inlineStr">
        <is>
          <t>A</t>
        </is>
      </c>
      <c r="C2886" t="inlineStr">
        <is>
          <t>Source Diversity (Pers. 10)</t>
        </is>
      </c>
      <c r="D2886" s="3" t="inlineStr">
        <is>
          <t>Diversity = |sumber unik dalam TopK| / K</t>
        </is>
      </c>
      <c r="E2886" s="3" t="inlineStr">
        <is>
          <t>skor = ['GT_CT05.txt', 'GT_CT07.txt', 'GT_CT09.txt', 'GT_DETAIL_PT01_Pendahuluan.txt', 'GT_DETAIL_PT05_Pattern_Recognition.txt'] → 5 / 6</t>
        </is>
      </c>
      <c r="F2886" t="n">
        <v>0.8333</v>
      </c>
      <c r="G2886" s="3" t="inlineStr">
        <is>
          <t>file unik: GT_CT05.txt, GT_CT07.txt, GT_CT09.txt, GT_DETAIL_PT01_Pendahuluan.txt, GT_DETAIL_PT05_Pattern_Recognition.txt</t>
        </is>
      </c>
    </row>
    <row r="2887">
      <c r="A2887" t="n">
        <v>196</v>
      </c>
      <c r="B2887" t="inlineStr">
        <is>
          <t>A</t>
        </is>
      </c>
      <c r="C2887" t="inlineStr">
        <is>
          <t>Faithfulness (Pers. 15)</t>
        </is>
      </c>
      <c r="D2887" s="3" t="inlineStr">
        <is>
          <t>F = 0,70×Entailment + 0,30×KWoverlap</t>
        </is>
      </c>
      <c r="E2887" s="3" t="inlineStr">
        <is>
          <t>Faithfulness = 0,70×Entailment + 0,30×KWoverlap = 0,70×1.0000 + 0,30×0.2446 = 0.7734  (entailment: 6/6 klaim didukung; KWoverlap = (|∩|/|ctx|)^0,65 = (40/349)^0,65 = 0.1146^0,65 = 0.2446)</t>
        </is>
      </c>
      <c r="F2887" t="n">
        <v>0.7734</v>
      </c>
      <c r="G2887" s="3" t="inlineStr">
        <is>
          <t>metode: llm_entailment + keyword</t>
        </is>
      </c>
    </row>
    <row r="2888">
      <c r="A2888" t="n">
        <v>196</v>
      </c>
      <c r="B2888" t="inlineStr">
        <is>
          <t>A</t>
        </is>
      </c>
      <c r="C2888" t="inlineStr">
        <is>
          <t>— Entailment (Pers. 12-13)</t>
        </is>
      </c>
      <c r="D2888" s="3" t="inlineStr">
        <is>
          <t>Entailment = Σverdict(sᵢ)/m</t>
        </is>
      </c>
      <c r="E2888" s="3" t="inlineStr">
        <is>
          <t>6 klaim YA dari 6 klaim dievaluasi</t>
        </is>
      </c>
      <c r="F2888" t="n">
        <v>1</v>
      </c>
      <c r="G2888" s="3" t="inlineStr">
        <is>
          <t>verdict per klaim: sheet 'Entailment Detail'</t>
        </is>
      </c>
    </row>
    <row r="2889">
      <c r="A2889" t="n">
        <v>196</v>
      </c>
      <c r="B2889" t="inlineStr">
        <is>
          <t>A</t>
        </is>
      </c>
      <c r="C2889" t="inlineStr">
        <is>
          <t>— Keyword Overlap (Pers. 14)</t>
        </is>
      </c>
      <c r="D2889" s="3" t="inlineStr">
        <is>
          <t>KWoverlap = (|Stems(ans)∩Stems(ctx)| / |Stems(ctx)|)^0,65</t>
        </is>
      </c>
      <c r="E2889" s="3" t="inlineStr">
        <is>
          <t>KWoverlap = (|∩|/|ctx|)^0,65 = (40/349)^0,65 = 0.1146^0,65 = 0.2446</t>
        </is>
      </c>
      <c r="F2889" t="n">
        <v>0.2446</v>
      </c>
      <c r="G2889" s="3" t="inlineStr"/>
    </row>
    <row r="2890">
      <c r="A2890" t="n">
        <v>196</v>
      </c>
      <c r="B2890" t="inlineStr">
        <is>
          <t>A</t>
        </is>
      </c>
      <c r="C2890" t="inlineStr">
        <is>
          <t>Hallucination Risk (Pers. 18)</t>
        </is>
      </c>
      <c r="D2890" s="3" t="inlineStr">
        <is>
          <t>Risk = 0,65×(1-F) + 0,20×Contradiction + 0,15×Uncertainty</t>
        </is>
      </c>
      <c r="E2890" s="3" t="inlineStr">
        <is>
          <t>Risk = 0,65×OutOfContext + 0,20×Contradiction + 0,15×Uncertainty = 0,65×0.2266 + 0,20×0.0000 + 0,15×0.00 = 0.1473 [RENDAH]</t>
        </is>
      </c>
      <c r="F2890" t="n">
        <v>0.1473</v>
      </c>
      <c r="G2890" s="3" t="inlineStr">
        <is>
          <t>label: RENDAH; kontradiksi 0/11 kalimat; uncertainty flag: False</t>
        </is>
      </c>
    </row>
    <row r="2891">
      <c r="A2891" t="n">
        <v>196</v>
      </c>
      <c r="B2891" t="inlineStr">
        <is>
          <t>A</t>
        </is>
      </c>
      <c r="C2891" t="inlineStr">
        <is>
          <t>Answer Accuracy (Pers. 20)</t>
        </is>
      </c>
      <c r="D2891" s="3" t="inlineStr">
        <is>
          <t>Correctᵢ ∈ {0,1} via LLM-as-Judge (HASIL: BENAR/SALAH)</t>
        </is>
      </c>
      <c r="E2891" s="3" t="inlineStr">
        <is>
          <t>BENAR</t>
        </is>
      </c>
      <c r="F2891" t="inlineStr">
        <is>
          <t>BENAR</t>
        </is>
      </c>
      <c r="G2891" s="3" t="inlineStr">
        <is>
          <t>evaluator: ollama/llama3</t>
        </is>
      </c>
    </row>
    <row r="2892">
      <c r="A2892" t="n">
        <v>196</v>
      </c>
      <c r="B2892" t="inlineStr">
        <is>
          <t>B</t>
        </is>
      </c>
      <c r="C2892" t="inlineStr">
        <is>
          <t>Faithfulness (Pers. 15)</t>
        </is>
      </c>
      <c r="D2892" s="3" t="inlineStr">
        <is>
          <t>F = 0,70×Entailment + 0,30×KWoverlap</t>
        </is>
      </c>
      <c r="E2892" s="3" t="inlineStr">
        <is>
          <t>Faithfulness = 0,70×Entailment + 0,30×KWoverlap = 0,70×1.0000 + 0,30×0.2159 = 0.7648  (entailment: 6/6 klaim didukung; KWoverlap = (|∩|/|ctx|)^0,65 = (33/349)^0,65 = 0.0946^0,65 = 0.2159)</t>
        </is>
      </c>
      <c r="F2892" t="n">
        <v>0.7648</v>
      </c>
      <c r="G2892" s="3" t="inlineStr">
        <is>
          <t>metode: llm_entailment + keyword</t>
        </is>
      </c>
    </row>
    <row r="2893">
      <c r="A2893" t="n">
        <v>196</v>
      </c>
      <c r="B2893" t="inlineStr">
        <is>
          <t>B</t>
        </is>
      </c>
      <c r="C2893" t="inlineStr">
        <is>
          <t>— Entailment (Pers. 12-13)</t>
        </is>
      </c>
      <c r="D2893" s="3" t="inlineStr">
        <is>
          <t>Entailment = Σverdict(sᵢ)/m</t>
        </is>
      </c>
      <c r="E2893" s="3" t="inlineStr">
        <is>
          <t>6 klaim YA dari 6 klaim dievaluasi</t>
        </is>
      </c>
      <c r="F2893" t="n">
        <v>1</v>
      </c>
      <c r="G2893" s="3" t="inlineStr">
        <is>
          <t>verdict per klaim: sheet 'Entailment Detail'</t>
        </is>
      </c>
    </row>
    <row r="2894">
      <c r="A2894" t="n">
        <v>196</v>
      </c>
      <c r="B2894" t="inlineStr">
        <is>
          <t>B</t>
        </is>
      </c>
      <c r="C2894" t="inlineStr">
        <is>
          <t>— Keyword Overlap (Pers. 14)</t>
        </is>
      </c>
      <c r="D2894" s="3" t="inlineStr">
        <is>
          <t>KWoverlap = (|Stems(ans)∩Stems(ctx)| / |Stems(ctx)|)^0,65</t>
        </is>
      </c>
      <c r="E2894" s="3" t="inlineStr">
        <is>
          <t>KWoverlap = (|∩|/|ctx|)^0,65 = (33/349)^0,65 = 0.0946^0,65 = 0.2159</t>
        </is>
      </c>
      <c r="F2894" t="n">
        <v>0.2159</v>
      </c>
      <c r="G2894" s="3" t="inlineStr"/>
    </row>
    <row r="2895">
      <c r="A2895" t="n">
        <v>196</v>
      </c>
      <c r="B2895" t="inlineStr">
        <is>
          <t>B</t>
        </is>
      </c>
      <c r="C2895" t="inlineStr">
        <is>
          <t>Hallucination Risk (Pers. 18)</t>
        </is>
      </c>
      <c r="D2895" s="3" t="inlineStr">
        <is>
          <t>Risk = 0,65×(1-F) + 0,20×Contradiction + 0,15×Uncertainty</t>
        </is>
      </c>
      <c r="E2895" s="3" t="inlineStr">
        <is>
          <t>Risk = 0,65×OutOfContext + 0,20×Contradiction + 0,15×Uncertainty = 0,65×0.2352 + 0,20×0.0000 + 0,15×0.00 = 0.1529 [RENDAH]</t>
        </is>
      </c>
      <c r="F2895" t="n">
        <v>0.1529</v>
      </c>
      <c r="G2895" s="3" t="inlineStr">
        <is>
          <t>label: RENDAH; kontradiksi 0/11 kalimat; uncertainty flag: False</t>
        </is>
      </c>
    </row>
    <row r="2896">
      <c r="A2896" t="n">
        <v>196</v>
      </c>
      <c r="B2896" t="inlineStr">
        <is>
          <t>B</t>
        </is>
      </c>
      <c r="C2896" t="inlineStr">
        <is>
          <t>Answer Accuracy (Pers. 20)</t>
        </is>
      </c>
      <c r="D2896" s="3" t="inlineStr">
        <is>
          <t>Correctᵢ ∈ {0,1} via LLM-as-Judge (HASIL: BENAR/SALAH)</t>
        </is>
      </c>
      <c r="E2896" s="3" t="inlineStr">
        <is>
          <t>BENAR
Jawaban sistem menjawab pertanyaan dengan benar berdasarkan referensi, karena referensi mencatat bahwa pattern recognition dan abstraksi sering digunakan bersama-sama, dan jawaban sistem juga memastikan bahwa identifikasi pola biasanya mendahului abstraksi.</t>
        </is>
      </c>
      <c r="F2896" t="inlineStr">
        <is>
          <t>BENAR</t>
        </is>
      </c>
      <c r="G2896" s="3" t="inlineStr">
        <is>
          <t>evaluator: ollama/llama3</t>
        </is>
      </c>
    </row>
    <row r="2897">
      <c r="A2897" t="n">
        <v>197</v>
      </c>
      <c r="B2897" t="inlineStr">
        <is>
          <t>A</t>
        </is>
      </c>
      <c r="C2897" t="inlineStr">
        <is>
          <t>Precision@K (Pers. 2)</t>
        </is>
      </c>
      <c r="D2897" s="3" t="inlineStr">
        <is>
          <t>Precision@K = |{d ∈ TopK : sim(q,d) ≥ θ}| / K</t>
        </is>
      </c>
      <c r="E2897" s="3" t="inlineStr">
        <is>
          <t>skor = [0.7504, 0.7423, 0.7408, 0.7388, 0.7276, 0.7214] → 6 / 6</t>
        </is>
      </c>
      <c r="F2897" t="n">
        <v>1</v>
      </c>
      <c r="G2897" s="3" t="inlineStr">
        <is>
          <t>basis: skor chunk nyata (sesuai contoh Pers. 2 skripsi)</t>
        </is>
      </c>
    </row>
    <row r="2898">
      <c r="A2898" t="n">
        <v>197</v>
      </c>
      <c r="B2898" t="inlineStr">
        <is>
          <t>A</t>
        </is>
      </c>
      <c r="C2898" t="inlineStr">
        <is>
          <t>Recall@K (Pers. 4)</t>
        </is>
      </c>
      <c r="D2898" s="3" t="inlineStr">
        <is>
          <t>Recall@K = |{kata kunci ditemukan : sim ≥ θ}| / |R|</t>
        </is>
      </c>
      <c r="E2898" s="3" t="inlineStr">
        <is>
          <t>skor = [0.7098, 0.684, 0.5834, 0.554, 0.554, 0.5488] → 6 / 6</t>
        </is>
      </c>
      <c r="F2898" t="n">
        <v>1</v>
      </c>
      <c r="G2898" s="3" t="inlineStr"/>
    </row>
    <row r="2899">
      <c r="A2899" t="n">
        <v>197</v>
      </c>
      <c r="B2899" t="inlineStr">
        <is>
          <t>A</t>
        </is>
      </c>
      <c r="C2899" t="inlineStr">
        <is>
          <t>Mean Similarity (Pers. 6)</t>
        </is>
      </c>
      <c r="D2899" s="3" t="inlineStr">
        <is>
          <t>MeanSim = (1/K) × Σ sim(q, dᵢ)</t>
        </is>
      </c>
      <c r="E2899" s="3" t="inlineStr">
        <is>
          <t>skor = [0.7504, 0.7423, 0.7408, 0.7388, 0.7276, 0.7214] → (0.7504 + 0.7423 + 0.7408 + 0.7388 + 0.7276 + 0.7214) / 6</t>
        </is>
      </c>
      <c r="F2899" t="n">
        <v>0.7369</v>
      </c>
      <c r="G2899" s="3" t="inlineStr"/>
    </row>
    <row r="2900">
      <c r="A2900" t="n">
        <v>197</v>
      </c>
      <c r="B2900" t="inlineStr">
        <is>
          <t>A</t>
        </is>
      </c>
      <c r="C2900" t="inlineStr">
        <is>
          <t>Coverage (Pers. 8)</t>
        </is>
      </c>
      <c r="D2900" s="3" t="inlineStr">
        <is>
          <t>Coverage = |{dᵢ ∈ TopK : sim(q,dᵢ) ≥ θc}| / K</t>
        </is>
      </c>
      <c r="E2900" s="3" t="inlineStr">
        <is>
          <t>skor = [0.7504, 0.7423, 0.7408, 0.7388, 0.7276, 0.7214] → 6 / 6</t>
        </is>
      </c>
      <c r="F2900" t="n">
        <v>1</v>
      </c>
      <c r="G2900" s="3" t="inlineStr"/>
    </row>
    <row r="2901">
      <c r="A2901" t="n">
        <v>197</v>
      </c>
      <c r="B2901" t="inlineStr">
        <is>
          <t>A</t>
        </is>
      </c>
      <c r="C2901" t="inlineStr">
        <is>
          <t>Source Diversity (Pers. 10)</t>
        </is>
      </c>
      <c r="D2901" s="3" t="inlineStr">
        <is>
          <t>Diversity = |sumber unik dalam TopK| / K</t>
        </is>
      </c>
      <c r="E2901" s="3" t="inlineStr">
        <is>
          <t>skor = ['GT_CT10.txt', 'GT_DETAIL_PT07_Notasi_Algoritme.txt', 'GT_SUBTOPIK_01_Dekomposisi_Optimasi.txt', 'GT_SUBTOPIK_05_Pseudocode_Algoritme.txt', 'GT_SUBTOPIK_14_Kompleksitas_BigO.txt'] → 5 / 6</t>
        </is>
      </c>
      <c r="F2901" t="n">
        <v>0.8333</v>
      </c>
      <c r="G2901" s="3" t="inlineStr">
        <is>
          <t>file unik: GT_CT10.txt, GT_DETAIL_PT07_Notasi_Algoritme.txt, GT_SUBTOPIK_01_Dekomposisi_Optimasi.txt, GT_SUBTOPIK_05_Pseudocode_Algoritme.txt, GT_SUBTOPIK_14_Kompleksitas_BigO.txt</t>
        </is>
      </c>
    </row>
    <row r="2902">
      <c r="A2902" t="n">
        <v>197</v>
      </c>
      <c r="B2902" t="inlineStr">
        <is>
          <t>A</t>
        </is>
      </c>
      <c r="C2902" t="inlineStr">
        <is>
          <t>Faithfulness (Pers. 15)</t>
        </is>
      </c>
      <c r="D2902" s="3" t="inlineStr">
        <is>
          <t>F = 0,70×Entailment + 0,30×KWoverlap</t>
        </is>
      </c>
      <c r="E2902" s="3" t="inlineStr">
        <is>
          <t>Faithfulness = 0,70×Entailment + 0,30×KWoverlap = 0,70×1.0000 + 0,30×0.2908 = 0.7873  (entailment: 6/6 klaim didukung; KWoverlap = (|∩|/|ctx|)^0,65 = (35/234)^0,65 = 0.1496^0,65 = 0.2908)</t>
        </is>
      </c>
      <c r="F2902" t="n">
        <v>0.7873</v>
      </c>
      <c r="G2902" s="3" t="inlineStr">
        <is>
          <t>metode: llm_entailment + keyword</t>
        </is>
      </c>
    </row>
    <row r="2903">
      <c r="A2903" t="n">
        <v>197</v>
      </c>
      <c r="B2903" t="inlineStr">
        <is>
          <t>A</t>
        </is>
      </c>
      <c r="C2903" t="inlineStr">
        <is>
          <t>— Entailment (Pers. 12-13)</t>
        </is>
      </c>
      <c r="D2903" s="3" t="inlineStr">
        <is>
          <t>Entailment = Σverdict(sᵢ)/m</t>
        </is>
      </c>
      <c r="E2903" s="3" t="inlineStr">
        <is>
          <t>6 klaim YA dari 6 klaim dievaluasi</t>
        </is>
      </c>
      <c r="F2903" t="n">
        <v>1</v>
      </c>
      <c r="G2903" s="3" t="inlineStr">
        <is>
          <t>verdict per klaim: sheet 'Entailment Detail'</t>
        </is>
      </c>
    </row>
    <row r="2904">
      <c r="A2904" t="n">
        <v>197</v>
      </c>
      <c r="B2904" t="inlineStr">
        <is>
          <t>A</t>
        </is>
      </c>
      <c r="C2904" t="inlineStr">
        <is>
          <t>— Keyword Overlap (Pers. 14)</t>
        </is>
      </c>
      <c r="D2904" s="3" t="inlineStr">
        <is>
          <t>KWoverlap = (|Stems(ans)∩Stems(ctx)| / |Stems(ctx)|)^0,65</t>
        </is>
      </c>
      <c r="E2904" s="3" t="inlineStr">
        <is>
          <t>KWoverlap = (|∩|/|ctx|)^0,65 = (35/234)^0,65 = 0.1496^0,65 = 0.2908</t>
        </is>
      </c>
      <c r="F2904" t="n">
        <v>0.2908</v>
      </c>
      <c r="G2904" s="3" t="inlineStr"/>
    </row>
    <row r="2905">
      <c r="A2905" t="n">
        <v>197</v>
      </c>
      <c r="B2905" t="inlineStr">
        <is>
          <t>A</t>
        </is>
      </c>
      <c r="C2905" t="inlineStr">
        <is>
          <t>Hallucination Risk (Pers. 18)</t>
        </is>
      </c>
      <c r="D2905" s="3" t="inlineStr">
        <is>
          <t>Risk = 0,65×(1-F) + 0,20×Contradiction + 0,15×Uncertainty</t>
        </is>
      </c>
      <c r="E2905" s="3" t="inlineStr">
        <is>
          <t>Risk = 0,65×OutOfContext + 0,20×Contradiction + 0,15×Uncertainty = 0,65×0.2127 + 0,20×0.0000 + 0,15×0.00 = 0.1383 [RENDAH]</t>
        </is>
      </c>
      <c r="F2905" t="n">
        <v>0.1383</v>
      </c>
      <c r="G2905" s="3" t="inlineStr">
        <is>
          <t>label: RENDAH; kontradiksi 0/11 kalimat; uncertainty flag: False</t>
        </is>
      </c>
    </row>
    <row r="2906">
      <c r="A2906" t="n">
        <v>197</v>
      </c>
      <c r="B2906" t="inlineStr">
        <is>
          <t>A</t>
        </is>
      </c>
      <c r="C2906" t="inlineStr">
        <is>
          <t>Answer Accuracy (Pers. 20)</t>
        </is>
      </c>
      <c r="D2906" s="3" t="inlineStr">
        <is>
          <t>Correctᵢ ∈ {0,1} via LLM-as-Judge (HASIL: BENAR/SALAH)</t>
        </is>
      </c>
      <c r="E2906" s="3" t="inlineStr">
        <is>
          <t>Jawaban sistem: 
Alasan: Jawaban sistem hanya menjelaskan bahwa binary search memiliki kompleksitas O(log n) karena strategi divide and conquer, namun tidak menjelaskan bagaimana dekomposisi CT membantu menjelaskan mengapa binary search memiliki kompleksitas O(log n).</t>
        </is>
      </c>
      <c r="F2906" t="inlineStr">
        <is>
          <t>SALAH</t>
        </is>
      </c>
      <c r="G2906" s="3" t="inlineStr">
        <is>
          <t>evaluator: ollama/llama3</t>
        </is>
      </c>
    </row>
    <row r="2907">
      <c r="A2907" t="n">
        <v>197</v>
      </c>
      <c r="B2907" t="inlineStr">
        <is>
          <t>B</t>
        </is>
      </c>
      <c r="C2907" t="inlineStr">
        <is>
          <t>Faithfulness (Pers. 15)</t>
        </is>
      </c>
      <c r="D2907" s="3" t="inlineStr">
        <is>
          <t>F = 0,70×Entailment + 0,30×KWoverlap</t>
        </is>
      </c>
      <c r="E2907" s="3" t="inlineStr">
        <is>
          <t>Faithfulness = 0,70×Entailment + 0,30×KWoverlap = 0,70×1.0000 + 0,30×0.2397 = 0.7719  (entailment: 6/6 klaim didukung; KWoverlap = (|∩|/|ctx|)^0,65 = (26/234)^0,65 = 0.1111^0,65 = 0.2397)</t>
        </is>
      </c>
      <c r="F2907" t="n">
        <v>0.7719</v>
      </c>
      <c r="G2907" s="3" t="inlineStr">
        <is>
          <t>metode: llm_entailment + keyword</t>
        </is>
      </c>
    </row>
    <row r="2908">
      <c r="A2908" t="n">
        <v>197</v>
      </c>
      <c r="B2908" t="inlineStr">
        <is>
          <t>B</t>
        </is>
      </c>
      <c r="C2908" t="inlineStr">
        <is>
          <t>— Entailment (Pers. 12-13)</t>
        </is>
      </c>
      <c r="D2908" s="3" t="inlineStr">
        <is>
          <t>Entailment = Σverdict(sᵢ)/m</t>
        </is>
      </c>
      <c r="E2908" s="3" t="inlineStr">
        <is>
          <t>6 klaim YA dari 6 klaim dievaluasi</t>
        </is>
      </c>
      <c r="F2908" t="n">
        <v>1</v>
      </c>
      <c r="G2908" s="3" t="inlineStr">
        <is>
          <t>verdict per klaim: sheet 'Entailment Detail'</t>
        </is>
      </c>
    </row>
    <row r="2909">
      <c r="A2909" t="n">
        <v>197</v>
      </c>
      <c r="B2909" t="inlineStr">
        <is>
          <t>B</t>
        </is>
      </c>
      <c r="C2909" t="inlineStr">
        <is>
          <t>— Keyword Overlap (Pers. 14)</t>
        </is>
      </c>
      <c r="D2909" s="3" t="inlineStr">
        <is>
          <t>KWoverlap = (|Stems(ans)∩Stems(ctx)| / |Stems(ctx)|)^0,65</t>
        </is>
      </c>
      <c r="E2909" s="3" t="inlineStr">
        <is>
          <t>KWoverlap = (|∩|/|ctx|)^0,65 = (26/234)^0,65 = 0.1111^0,65 = 0.2397</t>
        </is>
      </c>
      <c r="F2909" t="n">
        <v>0.2397</v>
      </c>
      <c r="G2909" s="3" t="inlineStr"/>
    </row>
    <row r="2910">
      <c r="A2910" t="n">
        <v>197</v>
      </c>
      <c r="B2910" t="inlineStr">
        <is>
          <t>B</t>
        </is>
      </c>
      <c r="C2910" t="inlineStr">
        <is>
          <t>Hallucination Risk (Pers. 18)</t>
        </is>
      </c>
      <c r="D2910" s="3" t="inlineStr">
        <is>
          <t>Risk = 0,65×(1-F) + 0,20×Contradiction + 0,15×Uncertainty</t>
        </is>
      </c>
      <c r="E2910" s="3" t="inlineStr">
        <is>
          <t>Risk = 0,65×OutOfContext + 0,20×Contradiction + 0,15×Uncertainty = 0,65×0.2281 + 0,20×0.0000 + 0,15×0.00 = 0.1483 [RENDAH]</t>
        </is>
      </c>
      <c r="F2910" t="n">
        <v>0.1483</v>
      </c>
      <c r="G2910" s="3" t="inlineStr">
        <is>
          <t>label: RENDAH; kontradiksi 0/12 kalimat; uncertainty flag: False</t>
        </is>
      </c>
    </row>
    <row r="2911">
      <c r="A2911" t="n">
        <v>197</v>
      </c>
      <c r="B2911" t="inlineStr">
        <is>
          <t>B</t>
        </is>
      </c>
      <c r="C2911" t="inlineStr">
        <is>
          <t>Answer Accuracy (Pers. 20)</t>
        </is>
      </c>
      <c r="D2911" s="3" t="inlineStr">
        <is>
          <t>Correctᵢ ∈ {0,1} via LLM-as-Judge (HASIL: BENAR/SALAH)</t>
        </is>
      </c>
      <c r="E2911" s="3" t="inlineStr"/>
      <c r="F2911" t="inlineStr">
        <is>
          <t>BENAR</t>
        </is>
      </c>
      <c r="G2911" s="3" t="inlineStr">
        <is>
          <t>evaluator: ollama/llama3</t>
        </is>
      </c>
    </row>
    <row r="2912">
      <c r="A2912" t="n">
        <v>198</v>
      </c>
      <c r="B2912" t="inlineStr">
        <is>
          <t>A</t>
        </is>
      </c>
      <c r="C2912" t="inlineStr">
        <is>
          <t>Precision@K (Pers. 2)</t>
        </is>
      </c>
      <c r="D2912" s="3" t="inlineStr">
        <is>
          <t>Precision@K = |{d ∈ TopK : sim(q,d) ≥ θ}| / K</t>
        </is>
      </c>
      <c r="E2912" s="3" t="inlineStr">
        <is>
          <t>skor = [0.7564, 0.7367, 0.7359, 0.7332, 0.7285, 0.7164] → 6 / 6</t>
        </is>
      </c>
      <c r="F2912" t="n">
        <v>1</v>
      </c>
      <c r="G2912" s="3" t="inlineStr">
        <is>
          <t>basis: skor chunk nyata (sesuai contoh Pers. 2 skripsi)</t>
        </is>
      </c>
    </row>
    <row r="2913">
      <c r="A2913" t="n">
        <v>198</v>
      </c>
      <c r="B2913" t="inlineStr">
        <is>
          <t>A</t>
        </is>
      </c>
      <c r="C2913" t="inlineStr">
        <is>
          <t>Recall@K (Pers. 4)</t>
        </is>
      </c>
      <c r="D2913" s="3" t="inlineStr">
        <is>
          <t>Recall@K = |{kata kunci ditemukan : sim ≥ θ}| / |R|</t>
        </is>
      </c>
      <c r="E2913" s="3" t="inlineStr">
        <is>
          <t>skor = [0.6534, 0.6062, 0.5212, 0.4975, 0.4456, 0.4121] → 6 / 7</t>
        </is>
      </c>
      <c r="F2913" t="n">
        <v>0.8571</v>
      </c>
      <c r="G2913" s="3" t="inlineStr"/>
    </row>
    <row r="2914">
      <c r="A2914" t="n">
        <v>198</v>
      </c>
      <c r="B2914" t="inlineStr">
        <is>
          <t>A</t>
        </is>
      </c>
      <c r="C2914" t="inlineStr">
        <is>
          <t>Mean Similarity (Pers. 6)</t>
        </is>
      </c>
      <c r="D2914" s="3" t="inlineStr">
        <is>
          <t>MeanSim = (1/K) × Σ sim(q, dᵢ)</t>
        </is>
      </c>
      <c r="E2914" s="3" t="inlineStr">
        <is>
          <t>skor = [0.7564, 0.7367, 0.7359, 0.7332, 0.7285, 0.7164] → (0.7564 + 0.7367 + 0.7359 + 0.7332 + 0.7285 + 0.7164) / 6</t>
        </is>
      </c>
      <c r="F2914" t="n">
        <v>0.7345</v>
      </c>
      <c r="G2914" s="3" t="inlineStr"/>
    </row>
    <row r="2915">
      <c r="A2915" t="n">
        <v>198</v>
      </c>
      <c r="B2915" t="inlineStr">
        <is>
          <t>A</t>
        </is>
      </c>
      <c r="C2915" t="inlineStr">
        <is>
          <t>Coverage (Pers. 8)</t>
        </is>
      </c>
      <c r="D2915" s="3" t="inlineStr">
        <is>
          <t>Coverage = |{dᵢ ∈ TopK : sim(q,dᵢ) ≥ θc}| / K</t>
        </is>
      </c>
      <c r="E2915" s="3" t="inlineStr">
        <is>
          <t>skor = [0.7564, 0.7367, 0.7359, 0.7332, 0.7285, 0.7164] → 6 / 6</t>
        </is>
      </c>
      <c r="F2915" t="n">
        <v>1</v>
      </c>
      <c r="G2915" s="3" t="inlineStr"/>
    </row>
    <row r="2916">
      <c r="A2916" t="n">
        <v>198</v>
      </c>
      <c r="B2916" t="inlineStr">
        <is>
          <t>A</t>
        </is>
      </c>
      <c r="C2916" t="inlineStr">
        <is>
          <t>Source Diversity (Pers. 10)</t>
        </is>
      </c>
      <c r="D2916" s="3" t="inlineStr">
        <is>
          <t>Diversity = |sumber unik dalam TopK| / K</t>
        </is>
      </c>
      <c r="E2916" s="3" t="inlineStr">
        <is>
          <t>skor = ['GT_CT13.txt', 'GT_DETAIL_PT13_Struktur_Data.txt', 'GT_SUBTOPIK_13_Graph_Tree.txt'] → 3 / 6</t>
        </is>
      </c>
      <c r="F2916" t="n">
        <v>0.5</v>
      </c>
      <c r="G2916" s="3" t="inlineStr">
        <is>
          <t>file unik: GT_CT13.txt, GT_DETAIL_PT13_Struktur_Data.txt, GT_SUBTOPIK_13_Graph_Tree.txt</t>
        </is>
      </c>
    </row>
    <row r="2917">
      <c r="A2917" t="n">
        <v>198</v>
      </c>
      <c r="B2917" t="inlineStr">
        <is>
          <t>A</t>
        </is>
      </c>
      <c r="C2917" t="inlineStr">
        <is>
          <t>Faithfulness (Pers. 15)</t>
        </is>
      </c>
      <c r="D2917" s="3" t="inlineStr">
        <is>
          <t>F = 0,70×Entailment + 0,30×KWoverlap</t>
        </is>
      </c>
      <c r="E2917" s="3" t="inlineStr">
        <is>
          <t>Faithfulness = 0,70×Entailment + 0,30×KWoverlap = 0,70×1.0000 + 0,30×0.2435 = 0.7731  (entailment: 6/6 klaim didukung; KWoverlap = (|∩|/|ctx|)^0,65 = (28/246)^0,65 = 0.1138^0,65 = 0.2435)</t>
        </is>
      </c>
      <c r="F2917" t="n">
        <v>0.7731</v>
      </c>
      <c r="G2917" s="3" t="inlineStr">
        <is>
          <t>metode: llm_entailment + keyword</t>
        </is>
      </c>
    </row>
    <row r="2918">
      <c r="A2918" t="n">
        <v>198</v>
      </c>
      <c r="B2918" t="inlineStr">
        <is>
          <t>A</t>
        </is>
      </c>
      <c r="C2918" t="inlineStr">
        <is>
          <t>— Entailment (Pers. 12-13)</t>
        </is>
      </c>
      <c r="D2918" s="3" t="inlineStr">
        <is>
          <t>Entailment = Σverdict(sᵢ)/m</t>
        </is>
      </c>
      <c r="E2918" s="3" t="inlineStr">
        <is>
          <t>6 klaim YA dari 6 klaim dievaluasi</t>
        </is>
      </c>
      <c r="F2918" t="n">
        <v>1</v>
      </c>
      <c r="G2918" s="3" t="inlineStr">
        <is>
          <t>verdict per klaim: sheet 'Entailment Detail'</t>
        </is>
      </c>
    </row>
    <row r="2919">
      <c r="A2919" t="n">
        <v>198</v>
      </c>
      <c r="B2919" t="inlineStr">
        <is>
          <t>A</t>
        </is>
      </c>
      <c r="C2919" t="inlineStr">
        <is>
          <t>— Keyword Overlap (Pers. 14)</t>
        </is>
      </c>
      <c r="D2919" s="3" t="inlineStr">
        <is>
          <t>KWoverlap = (|Stems(ans)∩Stems(ctx)| / |Stems(ctx)|)^0,65</t>
        </is>
      </c>
      <c r="E2919" s="3" t="inlineStr">
        <is>
          <t>KWoverlap = (|∩|/|ctx|)^0,65 = (28/246)^0,65 = 0.1138^0,65 = 0.2435</t>
        </is>
      </c>
      <c r="F2919" t="n">
        <v>0.2435</v>
      </c>
      <c r="G2919" s="3" t="inlineStr"/>
    </row>
    <row r="2920">
      <c r="A2920" t="n">
        <v>198</v>
      </c>
      <c r="B2920" t="inlineStr">
        <is>
          <t>A</t>
        </is>
      </c>
      <c r="C2920" t="inlineStr">
        <is>
          <t>Hallucination Risk (Pers. 18)</t>
        </is>
      </c>
      <c r="D2920" s="3" t="inlineStr">
        <is>
          <t>Risk = 0,65×(1-F) + 0,20×Contradiction + 0,15×Uncertainty</t>
        </is>
      </c>
      <c r="E2920" s="3" t="inlineStr">
        <is>
          <t>Risk = 0,65×OutOfContext + 0,20×Contradiction + 0,15×Uncertainty = 0,65×0.2269 + 0,20×0.0000 + 0,15×0.20 = 0.1775 [RENDAH]</t>
        </is>
      </c>
      <c r="F2920" t="n">
        <v>0.1775</v>
      </c>
      <c r="G2920" s="3" t="inlineStr">
        <is>
          <t>label: RENDAH; kontradiksi 0/9 kalimat; uncertainty flag: True</t>
        </is>
      </c>
    </row>
    <row r="2921">
      <c r="A2921" t="n">
        <v>198</v>
      </c>
      <c r="B2921" t="inlineStr">
        <is>
          <t>A</t>
        </is>
      </c>
      <c r="C2921" t="inlineStr">
        <is>
          <t>Answer Accuracy (Pers. 20)</t>
        </is>
      </c>
      <c r="D2921" s="3" t="inlineStr">
        <is>
          <t>Correctᵢ ∈ {0,1} via LLM-as-Judge (HASIL: BENAR/SALAH)</t>
        </is>
      </c>
      <c r="E2921" s="3" t="inlineStr">
        <is>
          <t>JAWABAN SISTEM:</t>
        </is>
      </c>
      <c r="F2921" t="inlineStr">
        <is>
          <t>BENAR</t>
        </is>
      </c>
      <c r="G2921" s="3" t="inlineStr">
        <is>
          <t>evaluator: ollama/llama3</t>
        </is>
      </c>
    </row>
    <row r="2922">
      <c r="A2922" t="n">
        <v>198</v>
      </c>
      <c r="B2922" t="inlineStr">
        <is>
          <t>B</t>
        </is>
      </c>
      <c r="C2922" t="inlineStr">
        <is>
          <t>Faithfulness (Pers. 15)</t>
        </is>
      </c>
      <c r="D2922" s="3" t="inlineStr">
        <is>
          <t>F = 0,70×Entailment + 0,30×KWoverlap</t>
        </is>
      </c>
      <c r="E2922" s="3" t="inlineStr">
        <is>
          <t>Faithfulness = 0,70×Entailment + 0,30×KWoverlap = 0,70×1.0000 + 0,30×0.2143 = 0.7643  (entailment: 6/6 klaim didukung; KWoverlap = (|∩|/|ctx|)^0,65 = (23/246)^0,65 = 0.0935^0,65 = 0.2143)</t>
        </is>
      </c>
      <c r="F2922" t="n">
        <v>0.7643</v>
      </c>
      <c r="G2922" s="3" t="inlineStr">
        <is>
          <t>metode: llm_entailment + keyword</t>
        </is>
      </c>
    </row>
    <row r="2923">
      <c r="A2923" t="n">
        <v>198</v>
      </c>
      <c r="B2923" t="inlineStr">
        <is>
          <t>B</t>
        </is>
      </c>
      <c r="C2923" t="inlineStr">
        <is>
          <t>— Entailment (Pers. 12-13)</t>
        </is>
      </c>
      <c r="D2923" s="3" t="inlineStr">
        <is>
          <t>Entailment = Σverdict(sᵢ)/m</t>
        </is>
      </c>
      <c r="E2923" s="3" t="inlineStr">
        <is>
          <t>6 klaim YA dari 6 klaim dievaluasi</t>
        </is>
      </c>
      <c r="F2923" t="n">
        <v>1</v>
      </c>
      <c r="G2923" s="3" t="inlineStr">
        <is>
          <t>verdict per klaim: sheet 'Entailment Detail'</t>
        </is>
      </c>
    </row>
    <row r="2924">
      <c r="A2924" t="n">
        <v>198</v>
      </c>
      <c r="B2924" t="inlineStr">
        <is>
          <t>B</t>
        </is>
      </c>
      <c r="C2924" t="inlineStr">
        <is>
          <t>— Keyword Overlap (Pers. 14)</t>
        </is>
      </c>
      <c r="D2924" s="3" t="inlineStr">
        <is>
          <t>KWoverlap = (|Stems(ans)∩Stems(ctx)| / |Stems(ctx)|)^0,65</t>
        </is>
      </c>
      <c r="E2924" s="3" t="inlineStr">
        <is>
          <t>KWoverlap = (|∩|/|ctx|)^0,65 = (23/246)^0,65 = 0.0935^0,65 = 0.2143</t>
        </is>
      </c>
      <c r="F2924" t="n">
        <v>0.2143</v>
      </c>
      <c r="G2924" s="3" t="inlineStr"/>
    </row>
    <row r="2925">
      <c r="A2925" t="n">
        <v>198</v>
      </c>
      <c r="B2925" t="inlineStr">
        <is>
          <t>B</t>
        </is>
      </c>
      <c r="C2925" t="inlineStr">
        <is>
          <t>Hallucination Risk (Pers. 18)</t>
        </is>
      </c>
      <c r="D2925" s="3" t="inlineStr">
        <is>
          <t>Risk = 0,65×(1-F) + 0,20×Contradiction + 0,15×Uncertainty</t>
        </is>
      </c>
      <c r="E2925" s="3" t="inlineStr">
        <is>
          <t>Risk = 0,65×OutOfContext + 0,20×Contradiction + 0,15×Uncertainty = 0,65×0.2357 + 0,20×0.0000 + 0,15×0.00 = 0.1532 [RENDAH]</t>
        </is>
      </c>
      <c r="F2925" t="n">
        <v>0.1532</v>
      </c>
      <c r="G2925" s="3" t="inlineStr">
        <is>
          <t>label: RENDAH; kontradiksi 0/12 kalimat; uncertainty flag: False</t>
        </is>
      </c>
    </row>
    <row r="2926">
      <c r="A2926" t="n">
        <v>199</v>
      </c>
      <c r="B2926" t="inlineStr">
        <is>
          <t>A</t>
        </is>
      </c>
      <c r="C2926" t="inlineStr">
        <is>
          <t>Precision@K (Pers. 2)</t>
        </is>
      </c>
      <c r="D2926" s="3" t="inlineStr">
        <is>
          <t>Precision@K = |{d ∈ TopK : sim(q,d) ≥ θ}| / K</t>
        </is>
      </c>
      <c r="E2926" s="3" t="inlineStr">
        <is>
          <t>skor = [0.81, 0.7857, 0.7556, 0.7551, 0.755, 0.7549] → 6 / 6</t>
        </is>
      </c>
      <c r="F2926" t="n">
        <v>1</v>
      </c>
      <c r="G2926" s="3" t="inlineStr">
        <is>
          <t>basis: skor chunk nyata (sesuai contoh Pers. 2 skripsi)</t>
        </is>
      </c>
    </row>
    <row r="2927">
      <c r="A2927" t="n">
        <v>199</v>
      </c>
      <c r="B2927" t="inlineStr">
        <is>
          <t>A</t>
        </is>
      </c>
      <c r="C2927" t="inlineStr">
        <is>
          <t>Recall@K (Pers. 4)</t>
        </is>
      </c>
      <c r="D2927" s="3" t="inlineStr">
        <is>
          <t>Recall@K = |{kata kunci ditemukan : sim ≥ θ}| / |R|</t>
        </is>
      </c>
      <c r="E2927" s="3" t="inlineStr">
        <is>
          <t>skor = [0.6445, 0.5721, 0.5656, 0.5656, 0.4723, 0.4518] → 6 / 7</t>
        </is>
      </c>
      <c r="F2927" t="n">
        <v>0.8571</v>
      </c>
      <c r="G2927" s="3" t="inlineStr"/>
    </row>
    <row r="2928">
      <c r="A2928" t="n">
        <v>199</v>
      </c>
      <c r="B2928" t="inlineStr">
        <is>
          <t>A</t>
        </is>
      </c>
      <c r="C2928" t="inlineStr">
        <is>
          <t>Mean Similarity (Pers. 6)</t>
        </is>
      </c>
      <c r="D2928" s="3" t="inlineStr">
        <is>
          <t>MeanSim = (1/K) × Σ sim(q, dᵢ)</t>
        </is>
      </c>
      <c r="E2928" s="3" t="inlineStr">
        <is>
          <t>skor = [0.81, 0.7857, 0.7556, 0.7551, 0.755, 0.7549] → (0.8100 + 0.7857 + 0.7556 + 0.7551 + 0.7550 + 0.7549) / 6</t>
        </is>
      </c>
      <c r="F2928" t="n">
        <v>0.7694</v>
      </c>
      <c r="G2928" s="3" t="inlineStr"/>
    </row>
    <row r="2929">
      <c r="A2929" t="n">
        <v>199</v>
      </c>
      <c r="B2929" t="inlineStr">
        <is>
          <t>A</t>
        </is>
      </c>
      <c r="C2929" t="inlineStr">
        <is>
          <t>Coverage (Pers. 8)</t>
        </is>
      </c>
      <c r="D2929" s="3" t="inlineStr">
        <is>
          <t>Coverage = |{dᵢ ∈ TopK : sim(q,dᵢ) ≥ θc}| / K</t>
        </is>
      </c>
      <c r="E2929" s="3" t="inlineStr">
        <is>
          <t>skor = [0.81, 0.7857, 0.7556, 0.7551, 0.755, 0.7549] → 6 / 6</t>
        </is>
      </c>
      <c r="F2929" t="n">
        <v>1</v>
      </c>
      <c r="G2929" s="3" t="inlineStr"/>
    </row>
    <row r="2930">
      <c r="A2930" t="n">
        <v>199</v>
      </c>
      <c r="B2930" t="inlineStr">
        <is>
          <t>A</t>
        </is>
      </c>
      <c r="C2930" t="inlineStr">
        <is>
          <t>Source Diversity (Pers. 10)</t>
        </is>
      </c>
      <c r="D2930" s="3" t="inlineStr">
        <is>
          <t>Diversity = |sumber unik dalam TopK| / K</t>
        </is>
      </c>
      <c r="E2930" s="3" t="inlineStr">
        <is>
          <t>skor = ['GT_CT07.txt', 'GT_CT09.txt', 'GT_CT13.txt', 'GT_DETAIL_PT01_Pendahuluan.txt'] → 4 / 6</t>
        </is>
      </c>
      <c r="F2930" t="n">
        <v>0.6667</v>
      </c>
      <c r="G2930" s="3" t="inlineStr">
        <is>
          <t>file unik: GT_CT07.txt, GT_CT09.txt, GT_CT13.txt, GT_DETAIL_PT01_Pendahuluan.txt</t>
        </is>
      </c>
    </row>
    <row r="2931">
      <c r="A2931" t="n">
        <v>199</v>
      </c>
      <c r="B2931" t="inlineStr">
        <is>
          <t>A</t>
        </is>
      </c>
      <c r="C2931" t="inlineStr">
        <is>
          <t>Faithfulness (Pers. 15)</t>
        </is>
      </c>
      <c r="D2931" s="3" t="inlineStr">
        <is>
          <t>F = 0,70×Entailment + 0,30×KWoverlap</t>
        </is>
      </c>
      <c r="E2931" s="3" t="inlineStr">
        <is>
          <t>Faithfulness = 0,70×Entailment + 0,30×KWoverlap = 0,70×1.0000 + 0,30×0.2679 = 0.7804  (entailment: 6/6 klaim didukung; KWoverlap = (|∩|/|ctx|)^0,65 = (46/349)^0,65 = 0.1318^0,65 = 0.2679)</t>
        </is>
      </c>
      <c r="F2931" t="n">
        <v>0.7804</v>
      </c>
      <c r="G2931" s="3" t="inlineStr">
        <is>
          <t>metode: llm_entailment + keyword</t>
        </is>
      </c>
    </row>
    <row r="2932">
      <c r="A2932" t="n">
        <v>199</v>
      </c>
      <c r="B2932" t="inlineStr">
        <is>
          <t>A</t>
        </is>
      </c>
      <c r="C2932" t="inlineStr">
        <is>
          <t>— Entailment (Pers. 12-13)</t>
        </is>
      </c>
      <c r="D2932" s="3" t="inlineStr">
        <is>
          <t>Entailment = Σverdict(sᵢ)/m</t>
        </is>
      </c>
      <c r="E2932" s="3" t="inlineStr">
        <is>
          <t>6 klaim YA dari 6 klaim dievaluasi</t>
        </is>
      </c>
      <c r="F2932" t="n">
        <v>1</v>
      </c>
      <c r="G2932" s="3" t="inlineStr">
        <is>
          <t>verdict per klaim: sheet 'Entailment Detail'</t>
        </is>
      </c>
    </row>
    <row r="2933">
      <c r="A2933" t="n">
        <v>199</v>
      </c>
      <c r="B2933" t="inlineStr">
        <is>
          <t>A</t>
        </is>
      </c>
      <c r="C2933" t="inlineStr">
        <is>
          <t>— Keyword Overlap (Pers. 14)</t>
        </is>
      </c>
      <c r="D2933" s="3" t="inlineStr">
        <is>
          <t>KWoverlap = (|Stems(ans)∩Stems(ctx)| / |Stems(ctx)|)^0,65</t>
        </is>
      </c>
      <c r="E2933" s="3" t="inlineStr">
        <is>
          <t>KWoverlap = (|∩|/|ctx|)^0,65 = (46/349)^0,65 = 0.1318^0,65 = 0.2679</t>
        </is>
      </c>
      <c r="F2933" t="n">
        <v>0.2679</v>
      </c>
      <c r="G2933" s="3" t="inlineStr"/>
    </row>
    <row r="2934">
      <c r="A2934" t="n">
        <v>199</v>
      </c>
      <c r="B2934" t="inlineStr">
        <is>
          <t>A</t>
        </is>
      </c>
      <c r="C2934" t="inlineStr">
        <is>
          <t>Hallucination Risk (Pers. 18)</t>
        </is>
      </c>
      <c r="D2934" s="3" t="inlineStr">
        <is>
          <t>Risk = 0,65×(1-F) + 0,20×Contradiction + 0,15×Uncertainty</t>
        </is>
      </c>
      <c r="E2934" s="3" t="inlineStr">
        <is>
          <t>Risk = 0,65×OutOfContext + 0,20×Contradiction + 0,15×Uncertainty = 0,65×0.2196 + 0,20×0.0000 + 0,15×0.20 = 0.1727 [RENDAH]</t>
        </is>
      </c>
      <c r="F2934" t="n">
        <v>0.1727</v>
      </c>
      <c r="G2934" s="3" t="inlineStr">
        <is>
          <t>label: RENDAH; kontradiksi 0/11 kalimat; uncertainty flag: True</t>
        </is>
      </c>
    </row>
    <row r="2935">
      <c r="A2935" t="n">
        <v>199</v>
      </c>
      <c r="B2935" t="inlineStr">
        <is>
          <t>A</t>
        </is>
      </c>
      <c r="C2935" t="inlineStr">
        <is>
          <t>Answer Accuracy (Pers. 20)</t>
        </is>
      </c>
      <c r="D2935" s="3" t="inlineStr">
        <is>
          <t>Correctᵢ ∈ {0,1} via LLM-as-Judge (HASIL: BENAR/SALAH)</t>
        </is>
      </c>
      <c r="E2935" s="3" t="inlineStr">
        <is>
          <t>Jawaban sistem:</t>
        </is>
      </c>
      <c r="F2935" t="inlineStr">
        <is>
          <t>BENAR</t>
        </is>
      </c>
      <c r="G2935" s="3" t="inlineStr">
        <is>
          <t>evaluator: ollama/llama3</t>
        </is>
      </c>
    </row>
    <row r="2936">
      <c r="A2936" t="n">
        <v>199</v>
      </c>
      <c r="B2936" t="inlineStr">
        <is>
          <t>B</t>
        </is>
      </c>
      <c r="C2936" t="inlineStr">
        <is>
          <t>Faithfulness (Pers. 15)</t>
        </is>
      </c>
      <c r="D2936" s="3" t="inlineStr">
        <is>
          <t>F = 0,70×Entailment + 0,30×KWoverlap</t>
        </is>
      </c>
      <c r="E2936" s="3" t="inlineStr">
        <is>
          <t>Faithfulness = 0,70×Entailment + 0,30×KWoverlap = 0,70×0.8333 + 0,30×0.1659 = 0.6331  (entailment: 5/6 klaim didukung; KWoverlap = (|∩|/|ctx|)^0,65 = (22/349)^0,65 = 0.0630^0,65 = 0.1659)</t>
        </is>
      </c>
      <c r="F2936" t="n">
        <v>0.6331</v>
      </c>
      <c r="G2936" s="3" t="inlineStr">
        <is>
          <t>metode: llm_entailment + keyword</t>
        </is>
      </c>
    </row>
    <row r="2937">
      <c r="A2937" t="n">
        <v>199</v>
      </c>
      <c r="B2937" t="inlineStr">
        <is>
          <t>B</t>
        </is>
      </c>
      <c r="C2937" t="inlineStr">
        <is>
          <t>— Entailment (Pers. 12-13)</t>
        </is>
      </c>
      <c r="D2937" s="3" t="inlineStr">
        <is>
          <t>Entailment = Σverdict(sᵢ)/m</t>
        </is>
      </c>
      <c r="E2937" s="3" t="inlineStr">
        <is>
          <t>5 klaim YA dari 6 klaim dievaluasi</t>
        </is>
      </c>
      <c r="F2937" t="n">
        <v>0.8333</v>
      </c>
      <c r="G2937" s="3" t="inlineStr">
        <is>
          <t>verdict per klaim: sheet 'Entailment Detail'</t>
        </is>
      </c>
    </row>
    <row r="2938">
      <c r="A2938" t="n">
        <v>199</v>
      </c>
      <c r="B2938" t="inlineStr">
        <is>
          <t>B</t>
        </is>
      </c>
      <c r="C2938" t="inlineStr">
        <is>
          <t>— Keyword Overlap (Pers. 14)</t>
        </is>
      </c>
      <c r="D2938" s="3" t="inlineStr">
        <is>
          <t>KWoverlap = (|Stems(ans)∩Stems(ctx)| / |Stems(ctx)|)^0,65</t>
        </is>
      </c>
      <c r="E2938" s="3" t="inlineStr">
        <is>
          <t>KWoverlap = (|∩|/|ctx|)^0,65 = (22/349)^0,65 = 0.0630^0,65 = 0.1659</t>
        </is>
      </c>
      <c r="F2938" t="n">
        <v>0.1659</v>
      </c>
      <c r="G2938" s="3" t="inlineStr"/>
    </row>
    <row r="2939">
      <c r="A2939" t="n">
        <v>199</v>
      </c>
      <c r="B2939" t="inlineStr">
        <is>
          <t>B</t>
        </is>
      </c>
      <c r="C2939" t="inlineStr">
        <is>
          <t>Hallucination Risk (Pers. 18)</t>
        </is>
      </c>
      <c r="D2939" s="3" t="inlineStr">
        <is>
          <t>Risk = 0,65×(1-F) + 0,20×Contradiction + 0,15×Uncertainty</t>
        </is>
      </c>
      <c r="E2939" s="3" t="inlineStr">
        <is>
          <t>Risk = 0,65×OutOfContext + 0,20×Contradiction + 0,15×Uncertainty = 0,65×0.3669 + 0,20×0.0000 + 0,15×0.00 = 0.2385 [RENDAH]</t>
        </is>
      </c>
      <c r="F2939" t="n">
        <v>0.2385</v>
      </c>
      <c r="G2939" s="3" t="inlineStr">
        <is>
          <t>label: RENDAH; kontradiksi 0/9 kalimat; uncertainty flag: False</t>
        </is>
      </c>
    </row>
    <row r="2940">
      <c r="A2940" t="n">
        <v>199</v>
      </c>
      <c r="B2940" t="inlineStr">
        <is>
          <t>B</t>
        </is>
      </c>
      <c r="C2940" t="inlineStr">
        <is>
          <t>Answer Accuracy (Pers. 20)</t>
        </is>
      </c>
      <c r="D2940" s="3" t="inlineStr">
        <is>
          <t>Correctᵢ ∈ {0,1} via LLM-as-Judge (HASIL: BENAR/SALAH)</t>
        </is>
      </c>
      <c r="E2940" s="3" t="inlineStr">
        <is>
          <t>BENAR</t>
        </is>
      </c>
      <c r="F2940" t="inlineStr">
        <is>
          <t>BENAR</t>
        </is>
      </c>
      <c r="G2940" s="3" t="inlineStr">
        <is>
          <t>evaluator: ollama/llama3</t>
        </is>
      </c>
    </row>
    <row r="2941">
      <c r="A2941" t="n">
        <v>200</v>
      </c>
      <c r="B2941" t="inlineStr">
        <is>
          <t>A</t>
        </is>
      </c>
      <c r="C2941" t="inlineStr">
        <is>
          <t>Precision@K (Pers. 2)</t>
        </is>
      </c>
      <c r="D2941" s="3" t="inlineStr">
        <is>
          <t>Precision@K = |{d ∈ TopK : sim(q,d) ≥ θ}| / K</t>
        </is>
      </c>
      <c r="E2941" s="3" t="inlineStr">
        <is>
          <t>skor = [0.7658, 0.7607, 0.7426, 0.7326, 0.7253, 0.7095] → 6 / 6</t>
        </is>
      </c>
      <c r="F2941" t="n">
        <v>1</v>
      </c>
      <c r="G2941" s="3" t="inlineStr">
        <is>
          <t>basis: skor chunk nyata (sesuai contoh Pers. 2 skripsi)</t>
        </is>
      </c>
    </row>
    <row r="2942">
      <c r="A2942" t="n">
        <v>200</v>
      </c>
      <c r="B2942" t="inlineStr">
        <is>
          <t>A</t>
        </is>
      </c>
      <c r="C2942" t="inlineStr">
        <is>
          <t>Recall@K (Pers. 4)</t>
        </is>
      </c>
      <c r="D2942" s="3" t="inlineStr">
        <is>
          <t>Recall@K = |{kata kunci ditemukan : sim ≥ θ}| / |R|</t>
        </is>
      </c>
      <c r="E2942" s="3" t="inlineStr">
        <is>
          <t>skor = [0.6694, 0.669, 0.5982, 0.5835, 0.5601, 0.5337] → 6 / 7</t>
        </is>
      </c>
      <c r="F2942" t="n">
        <v>0.8571</v>
      </c>
      <c r="G2942" s="3" t="inlineStr"/>
    </row>
    <row r="2943">
      <c r="A2943" t="n">
        <v>200</v>
      </c>
      <c r="B2943" t="inlineStr">
        <is>
          <t>A</t>
        </is>
      </c>
      <c r="C2943" t="inlineStr">
        <is>
          <t>Mean Similarity (Pers. 6)</t>
        </is>
      </c>
      <c r="D2943" s="3" t="inlineStr">
        <is>
          <t>MeanSim = (1/K) × Σ sim(q, dᵢ)</t>
        </is>
      </c>
      <c r="E2943" s="3" t="inlineStr">
        <is>
          <t>skor = [0.7658, 0.7607, 0.7426, 0.7326, 0.7253, 0.7095] → (0.7658 + 0.7607 + 0.7426 + 0.7326 + 0.7253 + 0.7095) / 6</t>
        </is>
      </c>
      <c r="F2943" t="n">
        <v>0.7393999999999999</v>
      </c>
      <c r="G2943" s="3" t="inlineStr"/>
    </row>
    <row r="2944">
      <c r="A2944" t="n">
        <v>200</v>
      </c>
      <c r="B2944" t="inlineStr">
        <is>
          <t>A</t>
        </is>
      </c>
      <c r="C2944" t="inlineStr">
        <is>
          <t>Coverage (Pers. 8)</t>
        </is>
      </c>
      <c r="D2944" s="3" t="inlineStr">
        <is>
          <t>Coverage = |{dᵢ ∈ TopK : sim(q,dᵢ) ≥ θc}| / K</t>
        </is>
      </c>
      <c r="E2944" s="3" t="inlineStr">
        <is>
          <t>skor = [0.7658, 0.7607, 0.7426, 0.7326, 0.7253, 0.7095] → 6 / 6</t>
        </is>
      </c>
      <c r="F2944" t="n">
        <v>1</v>
      </c>
      <c r="G2944" s="3" t="inlineStr"/>
    </row>
    <row r="2945">
      <c r="A2945" t="n">
        <v>200</v>
      </c>
      <c r="B2945" t="inlineStr">
        <is>
          <t>A</t>
        </is>
      </c>
      <c r="C2945" t="inlineStr">
        <is>
          <t>Source Diversity (Pers. 10)</t>
        </is>
      </c>
      <c r="D2945" s="3" t="inlineStr">
        <is>
          <t>Diversity = |sumber unik dalam TopK| / K</t>
        </is>
      </c>
      <c r="E2945" s="3" t="inlineStr">
        <is>
          <t>skor = ['GT_CT13.txt', 'GT_DETAIL_PT13_Struktur_Data.txt', 'GT_SUBTOPIK_12_Stack_Queue.txt'] → 3 / 6</t>
        </is>
      </c>
      <c r="F2945" t="n">
        <v>0.5</v>
      </c>
      <c r="G2945" s="3" t="inlineStr">
        <is>
          <t>file unik: GT_CT13.txt, GT_DETAIL_PT13_Struktur_Data.txt, GT_SUBTOPIK_12_Stack_Queue.txt</t>
        </is>
      </c>
    </row>
    <row r="2946">
      <c r="A2946" t="n">
        <v>200</v>
      </c>
      <c r="B2946" t="inlineStr">
        <is>
          <t>A</t>
        </is>
      </c>
      <c r="C2946" t="inlineStr">
        <is>
          <t>Faithfulness (Pers. 15)</t>
        </is>
      </c>
      <c r="D2946" s="3" t="inlineStr">
        <is>
          <t>F = 0,70×Entailment + 0,30×KWoverlap</t>
        </is>
      </c>
      <c r="E2946" s="3" t="inlineStr">
        <is>
          <t>Faithfulness = 0,70×Entailment + 0,30×KWoverlap = 0,70×0.6667 + 0,30×0.2768 = 0.5497  (entailment: 4/6 klaim didukung; KWoverlap = (|∩|/|ctx|)^0,65 = (28/202)^0,65 = 0.1386^0,65 = 0.2768)</t>
        </is>
      </c>
      <c r="F2946" t="n">
        <v>0.5497</v>
      </c>
      <c r="G2946" s="3" t="inlineStr">
        <is>
          <t>metode: llm_entailment + keyword</t>
        </is>
      </c>
    </row>
    <row r="2947">
      <c r="A2947" t="n">
        <v>200</v>
      </c>
      <c r="B2947" t="inlineStr">
        <is>
          <t>A</t>
        </is>
      </c>
      <c r="C2947" t="inlineStr">
        <is>
          <t>— Entailment (Pers. 12-13)</t>
        </is>
      </c>
      <c r="D2947" s="3" t="inlineStr">
        <is>
          <t>Entailment = Σverdict(sᵢ)/m</t>
        </is>
      </c>
      <c r="E2947" s="3" t="inlineStr">
        <is>
          <t>4 klaim YA dari 6 klaim dievaluasi</t>
        </is>
      </c>
      <c r="F2947" t="n">
        <v>0.6667</v>
      </c>
      <c r="G2947" s="3" t="inlineStr">
        <is>
          <t>verdict per klaim: sheet 'Entailment Detail'</t>
        </is>
      </c>
    </row>
    <row r="2948">
      <c r="A2948" t="n">
        <v>200</v>
      </c>
      <c r="B2948" t="inlineStr">
        <is>
          <t>A</t>
        </is>
      </c>
      <c r="C2948" t="inlineStr">
        <is>
          <t>— Keyword Overlap (Pers. 14)</t>
        </is>
      </c>
      <c r="D2948" s="3" t="inlineStr">
        <is>
          <t>KWoverlap = (|Stems(ans)∩Stems(ctx)| / |Stems(ctx)|)^0,65</t>
        </is>
      </c>
      <c r="E2948" s="3" t="inlineStr">
        <is>
          <t>KWoverlap = (|∩|/|ctx|)^0,65 = (28/202)^0,65 = 0.1386^0,65 = 0.2768</t>
        </is>
      </c>
      <c r="F2948" t="n">
        <v>0.2768</v>
      </c>
      <c r="G2948" s="3" t="inlineStr"/>
    </row>
    <row r="2949">
      <c r="A2949" t="n">
        <v>200</v>
      </c>
      <c r="B2949" t="inlineStr">
        <is>
          <t>A</t>
        </is>
      </c>
      <c r="C2949" t="inlineStr">
        <is>
          <t>Hallucination Risk (Pers. 18)</t>
        </is>
      </c>
      <c r="D2949" s="3" t="inlineStr">
        <is>
          <t>Risk = 0,65×(1-F) + 0,20×Contradiction + 0,15×Uncertainty</t>
        </is>
      </c>
      <c r="E2949" s="3" t="inlineStr">
        <is>
          <t>Risk = 0,65×OutOfContext + 0,20×Contradiction + 0,15×Uncertainty = 0,65×0.4503 + 0,20×0.0000 + 0,15×0.00 = 0.2927 [RENDAH]</t>
        </is>
      </c>
      <c r="F2949" t="n">
        <v>0.2927</v>
      </c>
      <c r="G2949" s="3" t="inlineStr">
        <is>
          <t>label: RENDAH; kontradiksi 0/10 kalimat; uncertainty flag: False</t>
        </is>
      </c>
    </row>
    <row r="2950">
      <c r="A2950" t="n">
        <v>200</v>
      </c>
      <c r="B2950" t="inlineStr">
        <is>
          <t>A</t>
        </is>
      </c>
      <c r="C2950" t="inlineStr">
        <is>
          <t>Answer Accuracy (Pers. 20)</t>
        </is>
      </c>
      <c r="D2950" s="3" t="inlineStr">
        <is>
          <t>Correctᵢ ∈ {0,1} via LLM-as-Judge (HASIL: BENAR/SALAH)</t>
        </is>
      </c>
      <c r="E2950" s="3" t="inlineStr">
        <is>
          <t>BENAR</t>
        </is>
      </c>
      <c r="F2950" t="inlineStr">
        <is>
          <t>BENAR</t>
        </is>
      </c>
      <c r="G2950" s="3" t="inlineStr">
        <is>
          <t>evaluator: ollama/llama3</t>
        </is>
      </c>
    </row>
    <row r="2951">
      <c r="A2951" t="n">
        <v>200</v>
      </c>
      <c r="B2951" t="inlineStr">
        <is>
          <t>B</t>
        </is>
      </c>
      <c r="C2951" t="inlineStr">
        <is>
          <t>Faithfulness (Pers. 15)</t>
        </is>
      </c>
      <c r="D2951" s="3" t="inlineStr">
        <is>
          <t>F = 0,70×Entailment + 0,30×KWoverlap</t>
        </is>
      </c>
      <c r="E2951" s="3" t="inlineStr">
        <is>
          <t>Faithfulness = 0,70×Entailment + 0,30×KWoverlap = 0,70×0.8333 + 0,30×0.2504 = 0.6584  (entailment: 5/6 klaim didukung; KWoverlap = (|∩|/|ctx|)^0,65 = (24/202)^0,65 = 0.1188^0,65 = 0.2504)</t>
        </is>
      </c>
      <c r="F2951" t="n">
        <v>0.6584</v>
      </c>
      <c r="G2951" s="3" t="inlineStr">
        <is>
          <t>metode: llm_entailment + keyword</t>
        </is>
      </c>
    </row>
    <row r="2952">
      <c r="A2952" t="n">
        <v>200</v>
      </c>
      <c r="B2952" t="inlineStr">
        <is>
          <t>B</t>
        </is>
      </c>
      <c r="C2952" t="inlineStr">
        <is>
          <t>— Entailment (Pers. 12-13)</t>
        </is>
      </c>
      <c r="D2952" s="3" t="inlineStr">
        <is>
          <t>Entailment = Σverdict(sᵢ)/m</t>
        </is>
      </c>
      <c r="E2952" s="3" t="inlineStr">
        <is>
          <t>5 klaim YA dari 6 klaim dievaluasi</t>
        </is>
      </c>
      <c r="F2952" t="n">
        <v>0.8333</v>
      </c>
      <c r="G2952" s="3" t="inlineStr">
        <is>
          <t>verdict per klaim: sheet 'Entailment Detail'</t>
        </is>
      </c>
    </row>
    <row r="2953">
      <c r="A2953" t="n">
        <v>200</v>
      </c>
      <c r="B2953" t="inlineStr">
        <is>
          <t>B</t>
        </is>
      </c>
      <c r="C2953" t="inlineStr">
        <is>
          <t>— Keyword Overlap (Pers. 14)</t>
        </is>
      </c>
      <c r="D2953" s="3" t="inlineStr">
        <is>
          <t>KWoverlap = (|Stems(ans)∩Stems(ctx)| / |Stems(ctx)|)^0,65</t>
        </is>
      </c>
      <c r="E2953" s="3" t="inlineStr">
        <is>
          <t>KWoverlap = (|∩|/|ctx|)^0,65 = (24/202)^0,65 = 0.1188^0,65 = 0.2504</t>
        </is>
      </c>
      <c r="F2953" t="n">
        <v>0.2504</v>
      </c>
      <c r="G2953" s="3" t="inlineStr"/>
    </row>
    <row r="2954">
      <c r="A2954" t="n">
        <v>200</v>
      </c>
      <c r="B2954" t="inlineStr">
        <is>
          <t>B</t>
        </is>
      </c>
      <c r="C2954" t="inlineStr">
        <is>
          <t>Hallucination Risk (Pers. 18)</t>
        </is>
      </c>
      <c r="D2954" s="3" t="inlineStr">
        <is>
          <t>Risk = 0,65×(1-F) + 0,20×Contradiction + 0,15×Uncertainty</t>
        </is>
      </c>
      <c r="E2954" s="3" t="inlineStr">
        <is>
          <t>Risk = 0,65×OutOfContext + 0,20×Contradiction + 0,15×Uncertainty = 0,65×0.3416 + 0,20×0.0000 + 0,15×0.00 = 0.2220 [RENDAH]</t>
        </is>
      </c>
      <c r="F2954" t="n">
        <v>0.222</v>
      </c>
      <c r="G2954" s="3" t="inlineStr">
        <is>
          <t>label: RENDAH; kontradiksi 0/9 kalimat; uncertainty flag: False</t>
        </is>
      </c>
    </row>
    <row r="2955">
      <c r="A2955" t="n">
        <v>200</v>
      </c>
      <c r="B2955" t="inlineStr">
        <is>
          <t>B</t>
        </is>
      </c>
      <c r="C2955" t="inlineStr">
        <is>
          <t>Answer Accuracy (Pers. 20)</t>
        </is>
      </c>
      <c r="D2955" s="3" t="inlineStr">
        <is>
          <t>Correctᵢ ∈ {0,1} via LLM-as-Judge (HASIL: BENAR/SALAH)</t>
        </is>
      </c>
      <c r="E2955" s="3" t="inlineStr">
        <is>
          <t>BENAR</t>
        </is>
      </c>
      <c r="F2955" t="inlineStr">
        <is>
          <t>BENAR</t>
        </is>
      </c>
      <c r="G2955" s="3" t="inlineStr">
        <is>
          <t>evaluator: ollama/llama3</t>
        </is>
      </c>
    </row>
    <row r="2956">
      <c r="A2956" t="n">
        <v>201</v>
      </c>
      <c r="B2956" t="inlineStr">
        <is>
          <t>A</t>
        </is>
      </c>
      <c r="C2956" t="inlineStr">
        <is>
          <t>Precision@K (Pers. 2)</t>
        </is>
      </c>
      <c r="D2956" s="3" t="inlineStr">
        <is>
          <t>Precision@K = |{d ∈ TopK : sim(q,d) ≥ θ}| / K</t>
        </is>
      </c>
      <c r="E2956" s="3" t="inlineStr">
        <is>
          <t>skor = [0.7859, 0.7855, 0.782, 0.7812, 0.7689, 0.7627] → 6 / 6</t>
        </is>
      </c>
      <c r="F2956" t="n">
        <v>1</v>
      </c>
      <c r="G2956" s="3" t="inlineStr">
        <is>
          <t>basis: skor chunk nyata (sesuai contoh Pers. 2 skripsi)</t>
        </is>
      </c>
    </row>
    <row r="2957">
      <c r="A2957" t="n">
        <v>201</v>
      </c>
      <c r="B2957" t="inlineStr">
        <is>
          <t>A</t>
        </is>
      </c>
      <c r="C2957" t="inlineStr">
        <is>
          <t>Recall@K (Pers. 4)</t>
        </is>
      </c>
      <c r="D2957" s="3" t="inlineStr">
        <is>
          <t>Recall@K = |{kata kunci ditemukan : sim ≥ θ}| / |R|</t>
        </is>
      </c>
      <c r="E2957" s="3" t="inlineStr">
        <is>
          <t>skor = [0.6908, 0.653, 0.5963, 0.5336, 0.4883, 0.4646] → 6 / 7</t>
        </is>
      </c>
      <c r="F2957" t="n">
        <v>0.8571</v>
      </c>
      <c r="G2957" s="3" t="inlineStr"/>
    </row>
    <row r="2958">
      <c r="A2958" t="n">
        <v>201</v>
      </c>
      <c r="B2958" t="inlineStr">
        <is>
          <t>A</t>
        </is>
      </c>
      <c r="C2958" t="inlineStr">
        <is>
          <t>Mean Similarity (Pers. 6)</t>
        </is>
      </c>
      <c r="D2958" s="3" t="inlineStr">
        <is>
          <t>MeanSim = (1/K) × Σ sim(q, dᵢ)</t>
        </is>
      </c>
      <c r="E2958" s="3" t="inlineStr">
        <is>
          <t>skor = [0.7859, 0.7855, 0.782, 0.7812, 0.7689, 0.7627] → (0.7859 + 0.7855 + 0.7820 + 0.7812 + 0.7689 + 0.7627) / 6</t>
        </is>
      </c>
      <c r="F2958" t="n">
        <v>0.7776999999999999</v>
      </c>
      <c r="G2958" s="3" t="inlineStr"/>
    </row>
    <row r="2959">
      <c r="A2959" t="n">
        <v>201</v>
      </c>
      <c r="B2959" t="inlineStr">
        <is>
          <t>A</t>
        </is>
      </c>
      <c r="C2959" t="inlineStr">
        <is>
          <t>Coverage (Pers. 8)</t>
        </is>
      </c>
      <c r="D2959" s="3" t="inlineStr">
        <is>
          <t>Coverage = |{dᵢ ∈ TopK : sim(q,dᵢ) ≥ θc}| / K</t>
        </is>
      </c>
      <c r="E2959" s="3" t="inlineStr">
        <is>
          <t>skor = [0.7859, 0.7855, 0.782, 0.7812, 0.7689, 0.7627] → 6 / 6</t>
        </is>
      </c>
      <c r="F2959" t="n">
        <v>1</v>
      </c>
      <c r="G2959" s="3" t="inlineStr"/>
    </row>
    <row r="2960">
      <c r="A2960" t="n">
        <v>201</v>
      </c>
      <c r="B2960" t="inlineStr">
        <is>
          <t>A</t>
        </is>
      </c>
      <c r="C2960" t="inlineStr">
        <is>
          <t>Source Diversity (Pers. 10)</t>
        </is>
      </c>
      <c r="D2960" s="3" t="inlineStr">
        <is>
          <t>Diversity = |sumber unik dalam TopK| / K</t>
        </is>
      </c>
      <c r="E2960" s="3" t="inlineStr">
        <is>
          <t>skor = ['GT_CT07.txt', 'GT_DETAIL_PT07_Notasi_Algoritme.txt', 'GT_DETAIL_PT10_Percabangan.txt', 'GT_DETAIL_PT11_Perulangan.txt', 'GT_SUBTOPIK_04_Modulo_Siklus.txt', 'GT_SUBTOPIK_05_Pseudocode_Algoritme.txt'] → 6 / 6</t>
        </is>
      </c>
      <c r="F2960" t="n">
        <v>1</v>
      </c>
      <c r="G2960" s="3" t="inlineStr">
        <is>
          <t>file unik: GT_CT07.txt, GT_DETAIL_PT07_Notasi_Algoritme.txt, GT_DETAIL_PT10_Percabangan.txt, GT_DETAIL_PT11_Perulangan.txt, GT_SUBTOPIK_04_Modulo_Siklus.txt, GT_SUBTOPIK_05_Pseudocode_Algoritme.txt</t>
        </is>
      </c>
    </row>
    <row r="2961">
      <c r="A2961" t="n">
        <v>201</v>
      </c>
      <c r="B2961" t="inlineStr">
        <is>
          <t>A</t>
        </is>
      </c>
      <c r="C2961" t="inlineStr">
        <is>
          <t>Faithfulness (Pers. 15)</t>
        </is>
      </c>
      <c r="D2961" s="3" t="inlineStr">
        <is>
          <t>F = 0,70×Entailment + 0,30×KWoverlap</t>
        </is>
      </c>
      <c r="E2961" s="3" t="inlineStr">
        <is>
          <t>Faithfulness = 0,70×Entailment + 0,30×KWoverlap = 0,70×0.3333 + 0,30×0.3820 = 0.3479  (entailment: 2/6 klaim didukung; KWoverlap = (|∩|/|ctx|)^0,65 = (43/189)^0,65 = 0.2275^0,65 = 0.3820)</t>
        </is>
      </c>
      <c r="F2961" t="n">
        <v>0.3479</v>
      </c>
      <c r="G2961" s="3" t="inlineStr">
        <is>
          <t>metode: llm_entailment + keyword</t>
        </is>
      </c>
    </row>
    <row r="2962">
      <c r="A2962" t="n">
        <v>201</v>
      </c>
      <c r="B2962" t="inlineStr">
        <is>
          <t>A</t>
        </is>
      </c>
      <c r="C2962" t="inlineStr">
        <is>
          <t>— Entailment (Pers. 12-13)</t>
        </is>
      </c>
      <c r="D2962" s="3" t="inlineStr">
        <is>
          <t>Entailment = Σverdict(sᵢ)/m</t>
        </is>
      </c>
      <c r="E2962" s="3" t="inlineStr">
        <is>
          <t>2 klaim YA dari 6 klaim dievaluasi</t>
        </is>
      </c>
      <c r="F2962" t="n">
        <v>0.3333</v>
      </c>
      <c r="G2962" s="3" t="inlineStr">
        <is>
          <t>verdict per klaim: sheet 'Entailment Detail'</t>
        </is>
      </c>
    </row>
    <row r="2963">
      <c r="A2963" t="n">
        <v>201</v>
      </c>
      <c r="B2963" t="inlineStr">
        <is>
          <t>A</t>
        </is>
      </c>
      <c r="C2963" t="inlineStr">
        <is>
          <t>— Keyword Overlap (Pers. 14)</t>
        </is>
      </c>
      <c r="D2963" s="3" t="inlineStr">
        <is>
          <t>KWoverlap = (|Stems(ans)∩Stems(ctx)| / |Stems(ctx)|)^0,65</t>
        </is>
      </c>
      <c r="E2963" s="3" t="inlineStr">
        <is>
          <t>KWoverlap = (|∩|/|ctx|)^0,65 = (43/189)^0,65 = 0.2275^0,65 = 0.3820</t>
        </is>
      </c>
      <c r="F2963" t="n">
        <v>0.382</v>
      </c>
      <c r="G2963" s="3" t="inlineStr"/>
    </row>
    <row r="2964">
      <c r="A2964" t="n">
        <v>201</v>
      </c>
      <c r="B2964" t="inlineStr">
        <is>
          <t>A</t>
        </is>
      </c>
      <c r="C2964" t="inlineStr">
        <is>
          <t>Hallucination Risk (Pers. 18)</t>
        </is>
      </c>
      <c r="D2964" s="3" t="inlineStr">
        <is>
          <t>Risk = 0,65×(1-F) + 0,20×Contradiction + 0,15×Uncertainty</t>
        </is>
      </c>
      <c r="E2964" s="3" t="inlineStr">
        <is>
          <t>Risk = 0,65×OutOfContext + 0,20×Contradiction + 0,15×Uncertainty = 0,65×0.6521 + 0,20×0.0000 + 0,15×0.00 = 0.4239 [SEDANG]</t>
        </is>
      </c>
      <c r="F2964" t="n">
        <v>0.4239</v>
      </c>
      <c r="G2964" s="3" t="inlineStr">
        <is>
          <t>label: SEDANG; kontradiksi 0/25 kalimat; uncertainty flag: False</t>
        </is>
      </c>
    </row>
    <row r="2965">
      <c r="A2965" t="n">
        <v>201</v>
      </c>
      <c r="B2965" t="inlineStr">
        <is>
          <t>A</t>
        </is>
      </c>
      <c r="C2965" t="inlineStr">
        <is>
          <t>Answer Accuracy (Pers. 20)</t>
        </is>
      </c>
      <c r="D2965" s="3" t="inlineStr">
        <is>
          <t>Correctᵢ ∈ {0,1} via LLM-as-Judge (HASIL: BENAR/SALAH)</t>
        </is>
      </c>
      <c r="E2965" s="3" t="inlineStr">
        <is>
          <t>I see what you're getting at!
The system's answer is actually a correct response based on the reference provided, which states that "pseudocode adalah cara informal untuk menuliskan algoritme atau rancangan program komputer" (pseudocode is an informal way to write algorithms or programming designs).
In this case, the system's answer provides a valid pseudocode for checking if two strings are ana</t>
        </is>
      </c>
      <c r="F2965" t="inlineStr">
        <is>
          <t>BENAR</t>
        </is>
      </c>
      <c r="G2965" s="3" t="inlineStr">
        <is>
          <t>evaluator: ollama/llama3</t>
        </is>
      </c>
    </row>
    <row r="2966">
      <c r="A2966" t="n">
        <v>201</v>
      </c>
      <c r="B2966" t="inlineStr">
        <is>
          <t>B</t>
        </is>
      </c>
      <c r="C2966" t="inlineStr">
        <is>
          <t>Faithfulness (Pers. 15)</t>
        </is>
      </c>
      <c r="D2966" s="3" t="inlineStr">
        <is>
          <t>F = 0,70×Entailment + 0,30×KWoverlap</t>
        </is>
      </c>
      <c r="E2966" s="3" t="inlineStr">
        <is>
          <t>Faithfulness = 0,70×Entailment + 0,30×KWoverlap = 0,70×0.8333 + 0,30×0.2246 = 0.6507  (entailment: 5/6 klaim didukung; KWoverlap = (|∩|/|ctx|)^0,65 = (19/189)^0,65 = 0.1005^0,65 = 0.2246)</t>
        </is>
      </c>
      <c r="F2966" t="n">
        <v>0.6506999999999999</v>
      </c>
      <c r="G2966" s="3" t="inlineStr">
        <is>
          <t>metode: llm_entailment + keyword</t>
        </is>
      </c>
    </row>
    <row r="2967">
      <c r="A2967" t="n">
        <v>201</v>
      </c>
      <c r="B2967" t="inlineStr">
        <is>
          <t>B</t>
        </is>
      </c>
      <c r="C2967" t="inlineStr">
        <is>
          <t>— Entailment (Pers. 12-13)</t>
        </is>
      </c>
      <c r="D2967" s="3" t="inlineStr">
        <is>
          <t>Entailment = Σverdict(sᵢ)/m</t>
        </is>
      </c>
      <c r="E2967" s="3" t="inlineStr">
        <is>
          <t>5 klaim YA dari 6 klaim dievaluasi</t>
        </is>
      </c>
      <c r="F2967" t="n">
        <v>0.8333</v>
      </c>
      <c r="G2967" s="3" t="inlineStr">
        <is>
          <t>verdict per klaim: sheet 'Entailment Detail'</t>
        </is>
      </c>
    </row>
    <row r="2968">
      <c r="A2968" t="n">
        <v>201</v>
      </c>
      <c r="B2968" t="inlineStr">
        <is>
          <t>B</t>
        </is>
      </c>
      <c r="C2968" t="inlineStr">
        <is>
          <t>— Keyword Overlap (Pers. 14)</t>
        </is>
      </c>
      <c r="D2968" s="3" t="inlineStr">
        <is>
          <t>KWoverlap = (|Stems(ans)∩Stems(ctx)| / |Stems(ctx)|)^0,65</t>
        </is>
      </c>
      <c r="E2968" s="3" t="inlineStr">
        <is>
          <t>KWoverlap = (|∩|/|ctx|)^0,65 = (19/189)^0,65 = 0.1005^0,65 = 0.2246</t>
        </is>
      </c>
      <c r="F2968" t="n">
        <v>0.2246</v>
      </c>
      <c r="G2968" s="3" t="inlineStr"/>
    </row>
    <row r="2969">
      <c r="A2969" t="n">
        <v>201</v>
      </c>
      <c r="B2969" t="inlineStr">
        <is>
          <t>B</t>
        </is>
      </c>
      <c r="C2969" t="inlineStr">
        <is>
          <t>Hallucination Risk (Pers. 18)</t>
        </is>
      </c>
      <c r="D2969" s="3" t="inlineStr">
        <is>
          <t>Risk = 0,65×(1-F) + 0,20×Contradiction + 0,15×Uncertainty</t>
        </is>
      </c>
      <c r="E2969" s="3" t="inlineStr">
        <is>
          <t>Risk = 0,65×OutOfContext + 0,20×Contradiction + 0,15×Uncertainty = 0,65×0.3493 + 0,20×0.0000 + 0,15×0.00 = 0.2270 [RENDAH]</t>
        </is>
      </c>
      <c r="F2969" t="n">
        <v>0.227</v>
      </c>
      <c r="G2969" s="3" t="inlineStr">
        <is>
          <t>label: RENDAH; kontradiksi 0/43 kalimat; uncertainty flag: False</t>
        </is>
      </c>
    </row>
    <row r="2970">
      <c r="A2970" t="n">
        <v>201</v>
      </c>
      <c r="B2970" t="inlineStr">
        <is>
          <t>B</t>
        </is>
      </c>
      <c r="C2970" t="inlineStr">
        <is>
          <t>Answer Accuracy (Pers. 20)</t>
        </is>
      </c>
      <c r="D2970" s="3" t="inlineStr">
        <is>
          <t>Correctᵢ ∈ {0,1} via LLM-as-Judge (HASIL: BENAR/SALAH)</t>
        </is>
      </c>
      <c r="E2970" s="3" t="inlineStr">
        <is>
          <t>JAWABAN: SALAH
Alasan: Pseudocode yang diberikan sistem tidak sesuai dengan referensi (dokumen materi GT) bahwa perasian linear, dan juga tidak menggunakan cara lain seperti counting, melainkan menggunakan sorting.
Referensi:
* "rata-rata n bilangan: baca semua n bilangan + 1 pembagian → O(n)" [linear]
Pseudocode yang diberikan sistem menggunakan looping dan increment variable, tapi bukan line</t>
        </is>
      </c>
      <c r="F2970" t="inlineStr">
        <is>
          <t>SALAH</t>
        </is>
      </c>
      <c r="G2970" s="3" t="inlineStr">
        <is>
          <t>evaluator: ollama/llama3</t>
        </is>
      </c>
    </row>
    <row r="2971">
      <c r="A2971" t="n">
        <v>202</v>
      </c>
      <c r="B2971" t="inlineStr">
        <is>
          <t>A</t>
        </is>
      </c>
      <c r="C2971" t="inlineStr">
        <is>
          <t>Precision@K (Pers. 2)</t>
        </is>
      </c>
      <c r="D2971" s="3" t="inlineStr">
        <is>
          <t>Precision@K = |{d ∈ TopK : sim(q,d) ≥ θ}| / K</t>
        </is>
      </c>
      <c r="E2971" s="3" t="inlineStr">
        <is>
          <t>skor = [0.7802, 0.7773, 0.773, 0.7706, 0.7657, 0.7649] → 6 / 6</t>
        </is>
      </c>
      <c r="F2971" t="n">
        <v>1</v>
      </c>
      <c r="G2971" s="3" t="inlineStr">
        <is>
          <t>basis: skor chunk nyata (sesuai contoh Pers. 2 skripsi)</t>
        </is>
      </c>
    </row>
    <row r="2972">
      <c r="A2972" t="n">
        <v>202</v>
      </c>
      <c r="B2972" t="inlineStr">
        <is>
          <t>A</t>
        </is>
      </c>
      <c r="C2972" t="inlineStr">
        <is>
          <t>Recall@K (Pers. 4)</t>
        </is>
      </c>
      <c r="D2972" s="3" t="inlineStr">
        <is>
          <t>Recall@K = |{kata kunci ditemukan : sim ≥ θ}| / |R|</t>
        </is>
      </c>
      <c r="E2972" s="3" t="inlineStr">
        <is>
          <t>skor = [0.7209, 0.679, 0.6701, 0.5019, 0.5008, 0.4714] → 6 / 7</t>
        </is>
      </c>
      <c r="F2972" t="n">
        <v>0.8571</v>
      </c>
      <c r="G2972" s="3" t="inlineStr"/>
    </row>
    <row r="2973">
      <c r="A2973" t="n">
        <v>202</v>
      </c>
      <c r="B2973" t="inlineStr">
        <is>
          <t>A</t>
        </is>
      </c>
      <c r="C2973" t="inlineStr">
        <is>
          <t>Mean Similarity (Pers. 6)</t>
        </is>
      </c>
      <c r="D2973" s="3" t="inlineStr">
        <is>
          <t>MeanSim = (1/K) × Σ sim(q, dᵢ)</t>
        </is>
      </c>
      <c r="E2973" s="3" t="inlineStr">
        <is>
          <t>skor = [0.7802, 0.7773, 0.773, 0.7706, 0.7657, 0.7649] → (0.7802 + 0.7773 + 0.7730 + 0.7706 + 0.7657 + 0.7649) / 6</t>
        </is>
      </c>
      <c r="F2973" t="n">
        <v>0.772</v>
      </c>
      <c r="G2973" s="3" t="inlineStr"/>
    </row>
    <row r="2974">
      <c r="A2974" t="n">
        <v>202</v>
      </c>
      <c r="B2974" t="inlineStr">
        <is>
          <t>A</t>
        </is>
      </c>
      <c r="C2974" t="inlineStr">
        <is>
          <t>Coverage (Pers. 8)</t>
        </is>
      </c>
      <c r="D2974" s="3" t="inlineStr">
        <is>
          <t>Coverage = |{dᵢ ∈ TopK : sim(q,dᵢ) ≥ θc}| / K</t>
        </is>
      </c>
      <c r="E2974" s="3" t="inlineStr">
        <is>
          <t>skor = [0.7802, 0.7773, 0.773, 0.7706, 0.7657, 0.7649] → 6 / 6</t>
        </is>
      </c>
      <c r="F2974" t="n">
        <v>1</v>
      </c>
      <c r="G2974" s="3" t="inlineStr"/>
    </row>
    <row r="2975">
      <c r="A2975" t="n">
        <v>202</v>
      </c>
      <c r="B2975" t="inlineStr">
        <is>
          <t>A</t>
        </is>
      </c>
      <c r="C2975" t="inlineStr">
        <is>
          <t>Source Diversity (Pers. 10)</t>
        </is>
      </c>
      <c r="D2975" s="3" t="inlineStr">
        <is>
          <t>Diversity = |sumber unik dalam TopK| / K</t>
        </is>
      </c>
      <c r="E2975" s="3" t="inlineStr">
        <is>
          <t>skor = ['GT_DETAIL_PT11_Perulangan.txt', 'GT_SUBTOPIK_04_Modulo_Siklus.txt', 'GT_SUBTOPIK_05_Pseudocode_Algoritme.txt', 'GT_SUBTOPIK_08_Perulangan_For_While.txt'] → 4 / 6</t>
        </is>
      </c>
      <c r="F2975" t="n">
        <v>0.6667</v>
      </c>
      <c r="G2975" s="3" t="inlineStr">
        <is>
          <t>file unik: GT_DETAIL_PT11_Perulangan.txt, GT_SUBTOPIK_04_Modulo_Siklus.txt, GT_SUBTOPIK_05_Pseudocode_Algoritme.txt, GT_SUBTOPIK_08_Perulangan_For_While.txt</t>
        </is>
      </c>
    </row>
    <row r="2976">
      <c r="A2976" t="n">
        <v>202</v>
      </c>
      <c r="B2976" t="inlineStr">
        <is>
          <t>A</t>
        </is>
      </c>
      <c r="C2976" t="inlineStr">
        <is>
          <t>Faithfulness (Pers. 15)</t>
        </is>
      </c>
      <c r="D2976" s="3" t="inlineStr">
        <is>
          <t>F = 0,70×Entailment + 0,30×KWoverlap</t>
        </is>
      </c>
      <c r="E2976" s="3" t="inlineStr">
        <is>
          <t>Faithfulness = 0,70×Entailment + 0,30×KWoverlap = 0,70×0.5000 + 0,30×0.2599 = 0.4280  (entailment: 3/6 klaim didukung; KWoverlap = (|∩|/|ctx|)^0,65 = (20/159)^0,65 = 0.1258^0,65 = 0.2599)</t>
        </is>
      </c>
      <c r="F2976" t="n">
        <v>0.428</v>
      </c>
      <c r="G2976" s="3" t="inlineStr">
        <is>
          <t>metode: llm_entailment + keyword</t>
        </is>
      </c>
    </row>
    <row r="2977">
      <c r="A2977" t="n">
        <v>202</v>
      </c>
      <c r="B2977" t="inlineStr">
        <is>
          <t>A</t>
        </is>
      </c>
      <c r="C2977" t="inlineStr">
        <is>
          <t>— Entailment (Pers. 12-13)</t>
        </is>
      </c>
      <c r="D2977" s="3" t="inlineStr">
        <is>
          <t>Entailment = Σverdict(sᵢ)/m</t>
        </is>
      </c>
      <c r="E2977" s="3" t="inlineStr">
        <is>
          <t>3 klaim YA dari 6 klaim dievaluasi</t>
        </is>
      </c>
      <c r="F2977" t="n">
        <v>0.5</v>
      </c>
      <c r="G2977" s="3" t="inlineStr">
        <is>
          <t>verdict per klaim: sheet 'Entailment Detail'</t>
        </is>
      </c>
    </row>
    <row r="2978">
      <c r="A2978" t="n">
        <v>202</v>
      </c>
      <c r="B2978" t="inlineStr">
        <is>
          <t>A</t>
        </is>
      </c>
      <c r="C2978" t="inlineStr">
        <is>
          <t>— Keyword Overlap (Pers. 14)</t>
        </is>
      </c>
      <c r="D2978" s="3" t="inlineStr">
        <is>
          <t>KWoverlap = (|Stems(ans)∩Stems(ctx)| / |Stems(ctx)|)^0,65</t>
        </is>
      </c>
      <c r="E2978" s="3" t="inlineStr">
        <is>
          <t>KWoverlap = (|∩|/|ctx|)^0,65 = (20/159)^0,65 = 0.1258^0,65 = 0.2599</t>
        </is>
      </c>
      <c r="F2978" t="n">
        <v>0.2599</v>
      </c>
      <c r="G2978" s="3" t="inlineStr"/>
    </row>
    <row r="2979">
      <c r="A2979" t="n">
        <v>202</v>
      </c>
      <c r="B2979" t="inlineStr">
        <is>
          <t>A</t>
        </is>
      </c>
      <c r="C2979" t="inlineStr">
        <is>
          <t>Hallucination Risk (Pers. 18)</t>
        </is>
      </c>
      <c r="D2979" s="3" t="inlineStr">
        <is>
          <t>Risk = 0,65×(1-F) + 0,20×Contradiction + 0,15×Uncertainty</t>
        </is>
      </c>
      <c r="E2979" s="3" t="inlineStr">
        <is>
          <t>Risk = 0,65×OutOfContext + 0,20×Contradiction + 0,15×Uncertainty = 0,65×0.5720 + 0,20×0.0000 + 0,15×0.00 = 0.3718 [SEDANG]</t>
        </is>
      </c>
      <c r="F2979" t="n">
        <v>0.3718</v>
      </c>
      <c r="G2979" s="3" t="inlineStr">
        <is>
          <t>label: SEDANG; kontradiksi 0/20 kalimat; uncertainty flag: False</t>
        </is>
      </c>
    </row>
    <row r="2980">
      <c r="A2980" t="n">
        <v>202</v>
      </c>
      <c r="B2980" t="inlineStr">
        <is>
          <t>A</t>
        </is>
      </c>
      <c r="C2980" t="inlineStr">
        <is>
          <t>Answer Accuracy (Pers. 20)</t>
        </is>
      </c>
      <c r="D2980" s="3" t="inlineStr">
        <is>
          <t>Correctᵢ ∈ {0,1} via LLM-as-Judge (HASIL: BENAR/SALAH)</t>
        </is>
      </c>
      <c r="E2980" s="3" t="inlineStr">
        <is>
          <t>BENAR</t>
        </is>
      </c>
      <c r="F2980" t="inlineStr">
        <is>
          <t>BENAR</t>
        </is>
      </c>
      <c r="G2980" s="3" t="inlineStr">
        <is>
          <t>evaluator: ollama/llama3</t>
        </is>
      </c>
    </row>
    <row r="2981">
      <c r="A2981" t="n">
        <v>202</v>
      </c>
      <c r="B2981" t="inlineStr">
        <is>
          <t>B</t>
        </is>
      </c>
      <c r="C2981" t="inlineStr">
        <is>
          <t>Faithfulness (Pers. 15)</t>
        </is>
      </c>
      <c r="D2981" s="3" t="inlineStr">
        <is>
          <t>F = 0,70×Entailment + 0,30×KWoverlap</t>
        </is>
      </c>
      <c r="E2981" s="3" t="inlineStr">
        <is>
          <t>Faithfulness = 0,70×Entailment + 0,30×KWoverlap = 0,70×1.0000 + 0,30×0.2427 = 0.7728  (entailment: 6/6 klaim didukung; KWoverlap = (|∩|/|ctx|)^0,65 = (18/159)^0,65 = 0.1132^0,65 = 0.2427)</t>
        </is>
      </c>
      <c r="F2981" t="n">
        <v>0.7728</v>
      </c>
      <c r="G2981" s="3" t="inlineStr">
        <is>
          <t>metode: llm_entailment + keyword</t>
        </is>
      </c>
    </row>
    <row r="2982">
      <c r="A2982" t="n">
        <v>202</v>
      </c>
      <c r="B2982" t="inlineStr">
        <is>
          <t>B</t>
        </is>
      </c>
      <c r="C2982" t="inlineStr">
        <is>
          <t>— Entailment (Pers. 12-13)</t>
        </is>
      </c>
      <c r="D2982" s="3" t="inlineStr">
        <is>
          <t>Entailment = Σverdict(sᵢ)/m</t>
        </is>
      </c>
      <c r="E2982" s="3" t="inlineStr">
        <is>
          <t>6 klaim YA dari 6 klaim dievaluasi</t>
        </is>
      </c>
      <c r="F2982" t="n">
        <v>1</v>
      </c>
      <c r="G2982" s="3" t="inlineStr">
        <is>
          <t>verdict per klaim: sheet 'Entailment Detail'</t>
        </is>
      </c>
    </row>
    <row r="2983">
      <c r="A2983" t="n">
        <v>202</v>
      </c>
      <c r="B2983" t="inlineStr">
        <is>
          <t>B</t>
        </is>
      </c>
      <c r="C2983" t="inlineStr">
        <is>
          <t>— Keyword Overlap (Pers. 14)</t>
        </is>
      </c>
      <c r="D2983" s="3" t="inlineStr">
        <is>
          <t>KWoverlap = (|Stems(ans)∩Stems(ctx)| / |Stems(ctx)|)^0,65</t>
        </is>
      </c>
      <c r="E2983" s="3" t="inlineStr">
        <is>
          <t>KWoverlap = (|∩|/|ctx|)^0,65 = (18/159)^0,65 = 0.1132^0,65 = 0.2427</t>
        </is>
      </c>
      <c r="F2983" t="n">
        <v>0.2427</v>
      </c>
      <c r="G2983" s="3" t="inlineStr"/>
    </row>
    <row r="2984">
      <c r="A2984" t="n">
        <v>202</v>
      </c>
      <c r="B2984" t="inlineStr">
        <is>
          <t>B</t>
        </is>
      </c>
      <c r="C2984" t="inlineStr">
        <is>
          <t>Hallucination Risk (Pers. 18)</t>
        </is>
      </c>
      <c r="D2984" s="3" t="inlineStr">
        <is>
          <t>Risk = 0,65×(1-F) + 0,20×Contradiction + 0,15×Uncertainty</t>
        </is>
      </c>
      <c r="E2984" s="3" t="inlineStr">
        <is>
          <t>Risk = 0,65×OutOfContext + 0,20×Contradiction + 0,15×Uncertainty = 0,65×0.2272 + 0,20×0.0000 + 0,15×0.00 = 0.1477 [RENDAH]</t>
        </is>
      </c>
      <c r="F2984" t="n">
        <v>0.1477</v>
      </c>
      <c r="G2984" s="3" t="inlineStr">
        <is>
          <t>label: RENDAH; kontradiksi 0/50 kalimat; uncertainty flag: False</t>
        </is>
      </c>
    </row>
    <row r="2985">
      <c r="A2985" t="n">
        <v>202</v>
      </c>
      <c r="B2985" t="inlineStr">
        <is>
          <t>B</t>
        </is>
      </c>
      <c r="C2985" t="inlineStr">
        <is>
          <t>Answer Accuracy (Pers. 20)</t>
        </is>
      </c>
      <c r="D2985" s="3" t="inlineStr">
        <is>
          <t>Correctᵢ ∈ {0,1} via LLM-as-Judge (HASIL: BENAR/SALAH)</t>
        </is>
      </c>
      <c r="E2985" s="3" t="inlineStr">
        <is>
          <t>BENAR</t>
        </is>
      </c>
      <c r="F2985" t="inlineStr">
        <is>
          <t>BENAR</t>
        </is>
      </c>
      <c r="G2985" s="3" t="inlineStr">
        <is>
          <t>evaluator: ollama/llama3</t>
        </is>
      </c>
    </row>
    <row r="2986">
      <c r="A2986" t="n">
        <v>203</v>
      </c>
      <c r="B2986" t="inlineStr">
        <is>
          <t>A</t>
        </is>
      </c>
      <c r="C2986" t="inlineStr">
        <is>
          <t>Precision@K (Pers. 2)</t>
        </is>
      </c>
      <c r="D2986" s="3" t="inlineStr">
        <is>
          <t>Precision@K = |{d ∈ TopK : sim(q,d) ≥ θ}| / K</t>
        </is>
      </c>
      <c r="E2986" s="3" t="inlineStr">
        <is>
          <t>skor = [0.8227, 0.804, 0.7895, 0.7851, 0.7827, 0.7817] → 6 / 6</t>
        </is>
      </c>
      <c r="F2986" t="n">
        <v>1</v>
      </c>
      <c r="G2986" s="3" t="inlineStr">
        <is>
          <t>basis: skor chunk nyata (sesuai contoh Pers. 2 skripsi)</t>
        </is>
      </c>
    </row>
    <row r="2987">
      <c r="A2987" t="n">
        <v>203</v>
      </c>
      <c r="B2987" t="inlineStr">
        <is>
          <t>A</t>
        </is>
      </c>
      <c r="C2987" t="inlineStr">
        <is>
          <t>Recall@K (Pers. 4)</t>
        </is>
      </c>
      <c r="D2987" s="3" t="inlineStr">
        <is>
          <t>Recall@K = |{kata kunci ditemukan : sim ≥ θ}| / |R|</t>
        </is>
      </c>
      <c r="E2987" s="3" t="inlineStr">
        <is>
          <t>skor = [0.6825, 0.6057, 0.5675, 0.5089, 0.4982, 0.444] → 6 / 7</t>
        </is>
      </c>
      <c r="F2987" t="n">
        <v>0.8571</v>
      </c>
      <c r="G2987" s="3" t="inlineStr"/>
    </row>
    <row r="2988">
      <c r="A2988" t="n">
        <v>203</v>
      </c>
      <c r="B2988" t="inlineStr">
        <is>
          <t>A</t>
        </is>
      </c>
      <c r="C2988" t="inlineStr">
        <is>
          <t>Mean Similarity (Pers. 6)</t>
        </is>
      </c>
      <c r="D2988" s="3" t="inlineStr">
        <is>
          <t>MeanSim = (1/K) × Σ sim(q, dᵢ)</t>
        </is>
      </c>
      <c r="E2988" s="3" t="inlineStr">
        <is>
          <t>skor = [0.8227, 0.804, 0.7895, 0.7851, 0.7827, 0.7817] → (0.8227 + 0.8040 + 0.7895 + 0.7851 + 0.7827 + 0.7817) / 6</t>
        </is>
      </c>
      <c r="F2988" t="n">
        <v>0.7943</v>
      </c>
      <c r="G2988" s="3" t="inlineStr"/>
    </row>
    <row r="2989">
      <c r="A2989" t="n">
        <v>203</v>
      </c>
      <c r="B2989" t="inlineStr">
        <is>
          <t>A</t>
        </is>
      </c>
      <c r="C2989" t="inlineStr">
        <is>
          <t>Coverage (Pers. 8)</t>
        </is>
      </c>
      <c r="D2989" s="3" t="inlineStr">
        <is>
          <t>Coverage = |{dᵢ ∈ TopK : sim(q,dᵢ) ≥ θc}| / K</t>
        </is>
      </c>
      <c r="E2989" s="3" t="inlineStr">
        <is>
          <t>skor = [0.8227, 0.804, 0.7895, 0.7851, 0.7827, 0.7817] → 6 / 6</t>
        </is>
      </c>
      <c r="F2989" t="n">
        <v>1</v>
      </c>
      <c r="G2989" s="3" t="inlineStr"/>
    </row>
    <row r="2990">
      <c r="A2990" t="n">
        <v>203</v>
      </c>
      <c r="B2990" t="inlineStr">
        <is>
          <t>A</t>
        </is>
      </c>
      <c r="C2990" t="inlineStr">
        <is>
          <t>Source Diversity (Pers. 10)</t>
        </is>
      </c>
      <c r="D2990" s="3" t="inlineStr">
        <is>
          <t>Diversity = |sumber unik dalam TopK| / K</t>
        </is>
      </c>
      <c r="E2990" s="3" t="inlineStr">
        <is>
          <t>skor = ['GT_CT07.txt', 'GT_CT10.txt', 'GT_DETAIL_PT07_Notasi_Algoritme.txt', 'GT_DETAIL_PT10_Percabangan.txt', 'GT_DETAIL_PT11_Perulangan.txt', 'GT_SUBTOPIK_05_Pseudocode_Algoritme.txt'] → 6 / 6</t>
        </is>
      </c>
      <c r="F2990" t="n">
        <v>1</v>
      </c>
      <c r="G2990" s="3" t="inlineStr">
        <is>
          <t>file unik: GT_CT07.txt, GT_CT10.txt, GT_DETAIL_PT07_Notasi_Algoritme.txt, GT_DETAIL_PT10_Percabangan.txt, GT_DETAIL_PT11_Perulangan.txt, GT_SUBTOPIK_05_Pseudocode_Algoritme.txt</t>
        </is>
      </c>
    </row>
    <row r="2991">
      <c r="A2991" t="n">
        <v>203</v>
      </c>
      <c r="B2991" t="inlineStr">
        <is>
          <t>A</t>
        </is>
      </c>
      <c r="C2991" t="inlineStr">
        <is>
          <t>Faithfulness (Pers. 15)</t>
        </is>
      </c>
      <c r="D2991" s="3" t="inlineStr">
        <is>
          <t>F = 0,70×Entailment + 0,30×KWoverlap</t>
        </is>
      </c>
      <c r="E2991" s="3" t="inlineStr">
        <is>
          <t>Faithfulness = 0,70×Entailment + 0,30×KWoverlap = 0,70×0.6667 + 0,30×0.2797 = 0.5506  (entailment: 4/6 klaim didukung; KWoverlap = (|∩|/|ctx|)^0,65 = (30/213)^0,65 = 0.1408^0,65 = 0.2797)</t>
        </is>
      </c>
      <c r="F2991" t="n">
        <v>0.5506</v>
      </c>
      <c r="G2991" s="3" t="inlineStr">
        <is>
          <t>metode: llm_entailment + keyword</t>
        </is>
      </c>
    </row>
    <row r="2992">
      <c r="A2992" t="n">
        <v>203</v>
      </c>
      <c r="B2992" t="inlineStr">
        <is>
          <t>A</t>
        </is>
      </c>
      <c r="C2992" t="inlineStr">
        <is>
          <t>— Entailment (Pers. 12-13)</t>
        </is>
      </c>
      <c r="D2992" s="3" t="inlineStr">
        <is>
          <t>Entailment = Σverdict(sᵢ)/m</t>
        </is>
      </c>
      <c r="E2992" s="3" t="inlineStr">
        <is>
          <t>4 klaim YA dari 6 klaim dievaluasi</t>
        </is>
      </c>
      <c r="F2992" t="n">
        <v>0.6667</v>
      </c>
      <c r="G2992" s="3" t="inlineStr">
        <is>
          <t>verdict per klaim: sheet 'Entailment Detail'</t>
        </is>
      </c>
    </row>
    <row r="2993">
      <c r="A2993" t="n">
        <v>203</v>
      </c>
      <c r="B2993" t="inlineStr">
        <is>
          <t>A</t>
        </is>
      </c>
      <c r="C2993" t="inlineStr">
        <is>
          <t>— Keyword Overlap (Pers. 14)</t>
        </is>
      </c>
      <c r="D2993" s="3" t="inlineStr">
        <is>
          <t>KWoverlap = (|Stems(ans)∩Stems(ctx)| / |Stems(ctx)|)^0,65</t>
        </is>
      </c>
      <c r="E2993" s="3" t="inlineStr">
        <is>
          <t>KWoverlap = (|∩|/|ctx|)^0,65 = (30/213)^0,65 = 0.1408^0,65 = 0.2797</t>
        </is>
      </c>
      <c r="F2993" t="n">
        <v>0.2797</v>
      </c>
      <c r="G2993" s="3" t="inlineStr"/>
    </row>
    <row r="2994">
      <c r="A2994" t="n">
        <v>203</v>
      </c>
      <c r="B2994" t="inlineStr">
        <is>
          <t>A</t>
        </is>
      </c>
      <c r="C2994" t="inlineStr">
        <is>
          <t>Hallucination Risk (Pers. 18)</t>
        </is>
      </c>
      <c r="D2994" s="3" t="inlineStr">
        <is>
          <t>Risk = 0,65×(1-F) + 0,20×Contradiction + 0,15×Uncertainty</t>
        </is>
      </c>
      <c r="E2994" s="3" t="inlineStr">
        <is>
          <t>Risk = 0,65×OutOfContext + 0,20×Contradiction + 0,15×Uncertainty = 0,65×0.4494 + 0,20×0.0000 + 0,15×0.00 = 0.2921 [RENDAH]</t>
        </is>
      </c>
      <c r="F2994" t="n">
        <v>0.2921</v>
      </c>
      <c r="G2994" s="3" t="inlineStr">
        <is>
          <t>label: RENDAH; kontradiksi 0/18 kalimat; uncertainty flag: False</t>
        </is>
      </c>
    </row>
    <row r="2995">
      <c r="A2995" t="n">
        <v>203</v>
      </c>
      <c r="B2995" t="inlineStr">
        <is>
          <t>A</t>
        </is>
      </c>
      <c r="C2995" t="inlineStr">
        <is>
          <t>Answer Accuracy (Pers. 20)</t>
        </is>
      </c>
      <c r="D2995" s="3" t="inlineStr">
        <is>
          <t>Correctᵢ ∈ {0,1} via LLM-as-Judge (HASIL: BENAR/SALAH)</t>
        </is>
      </c>
      <c r="E2995" s="3" t="inlineStr">
        <is>
          <t>BENAR.
Rationale: The provided answer is based on the given reference from GT materials, which states that the solution should be linear (perasinya linear). The pseudocode suggested by the system matches this requirement, using a single loop to iterate through the array and compare each pair of numbers. This approach ensures a linear time complexity, making it an efficient solution for the proble</t>
        </is>
      </c>
      <c r="F2995" t="inlineStr">
        <is>
          <t>BENAR</t>
        </is>
      </c>
      <c r="G2995" s="3" t="inlineStr">
        <is>
          <t>evaluator: ollama/llama3</t>
        </is>
      </c>
    </row>
    <row r="2996">
      <c r="A2996" t="n">
        <v>203</v>
      </c>
      <c r="B2996" t="inlineStr">
        <is>
          <t>B</t>
        </is>
      </c>
      <c r="C2996" t="inlineStr">
        <is>
          <t>Faithfulness (Pers. 15)</t>
        </is>
      </c>
      <c r="D2996" s="3" t="inlineStr">
        <is>
          <t>F = 0,70×Entailment + 0,30×KWoverlap</t>
        </is>
      </c>
      <c r="E2996" s="3" t="inlineStr">
        <is>
          <t>Faithfulness = 0,70×Entailment + 0,30×KWoverlap = 0,70×0.1667 + 0,30×0.1934 = 0.1747  (entailment: 1/6 klaim didukung; KWoverlap = (|∩|/|ctx|)^0,65 = (17/213)^0,65 = 0.0798^0,65 = 0.1934)</t>
        </is>
      </c>
      <c r="F2996" t="n">
        <v>0.1747</v>
      </c>
      <c r="G2996" s="3" t="inlineStr">
        <is>
          <t>metode: llm_entailment + keyword</t>
        </is>
      </c>
    </row>
    <row r="2997">
      <c r="A2997" t="n">
        <v>203</v>
      </c>
      <c r="B2997" t="inlineStr">
        <is>
          <t>B</t>
        </is>
      </c>
      <c r="C2997" t="inlineStr">
        <is>
          <t>— Entailment (Pers. 12-13)</t>
        </is>
      </c>
      <c r="D2997" s="3" t="inlineStr">
        <is>
          <t>Entailment = Σverdict(sᵢ)/m</t>
        </is>
      </c>
      <c r="E2997" s="3" t="inlineStr">
        <is>
          <t>1 klaim YA dari 6 klaim dievaluasi</t>
        </is>
      </c>
      <c r="F2997" t="n">
        <v>0.1667</v>
      </c>
      <c r="G2997" s="3" t="inlineStr">
        <is>
          <t>verdict per klaim: sheet 'Entailment Detail'</t>
        </is>
      </c>
    </row>
    <row r="2998">
      <c r="A2998" t="n">
        <v>203</v>
      </c>
      <c r="B2998" t="inlineStr">
        <is>
          <t>B</t>
        </is>
      </c>
      <c r="C2998" t="inlineStr">
        <is>
          <t>— Keyword Overlap (Pers. 14)</t>
        </is>
      </c>
      <c r="D2998" s="3" t="inlineStr">
        <is>
          <t>KWoverlap = (|Stems(ans)∩Stems(ctx)| / |Stems(ctx)|)^0,65</t>
        </is>
      </c>
      <c r="E2998" s="3" t="inlineStr">
        <is>
          <t>KWoverlap = (|∩|/|ctx|)^0,65 = (17/213)^0,65 = 0.0798^0,65 = 0.1934</t>
        </is>
      </c>
      <c r="F2998" t="n">
        <v>0.1934</v>
      </c>
      <c r="G2998" s="3" t="inlineStr"/>
    </row>
    <row r="2999">
      <c r="A2999" t="n">
        <v>203</v>
      </c>
      <c r="B2999" t="inlineStr">
        <is>
          <t>B</t>
        </is>
      </c>
      <c r="C2999" t="inlineStr">
        <is>
          <t>Hallucination Risk (Pers. 18)</t>
        </is>
      </c>
      <c r="D2999" s="3" t="inlineStr">
        <is>
          <t>Risk = 0,65×(1-F) + 0,20×Contradiction + 0,15×Uncertainty</t>
        </is>
      </c>
      <c r="E2999" s="3" t="inlineStr">
        <is>
          <t>Risk = 0,65×OutOfContext + 0,20×Contradiction + 0,15×Uncertainty = 0,65×0.8253 + 0,20×0.0000 + 0,15×0.00 = 0.5364 [SEDANG]</t>
        </is>
      </c>
      <c r="F2999" t="n">
        <v>0.5364</v>
      </c>
      <c r="G2999" s="3" t="inlineStr">
        <is>
          <t>label: SEDANG; kontradiksi 0/27 kalimat; uncertainty flag: False</t>
        </is>
      </c>
    </row>
    <row r="3000">
      <c r="A3000" t="n">
        <v>203</v>
      </c>
      <c r="B3000" t="inlineStr">
        <is>
          <t>B</t>
        </is>
      </c>
      <c r="C3000" t="inlineStr">
        <is>
          <t>Answer Accuracy (Pers. 20)</t>
        </is>
      </c>
      <c r="D3000" s="3" t="inlineStr">
        <is>
          <t>Correctᵢ ∈ {0,1} via LLM-as-Judge (HASIL: BENAR/SALAH)</t>
        </is>
      </c>
      <c r="E3000" s="3" t="inlineStr">
        <is>
          <t xml:space="preserve">BENAR
Rationale:
1. The system answer provided uses a hash table to store the values and their corresponding pairs, which is a correct approach to solve this problem.
2. The system answer also mentions that the time complexity of this solution is O(n), which matches the reference given in the material (linear).
3. Although the system answer does not provide the exact pseudocode as requested, it </t>
        </is>
      </c>
      <c r="F3000" t="inlineStr">
        <is>
          <t>BENAR</t>
        </is>
      </c>
      <c r="G3000" s="3" t="inlineStr">
        <is>
          <t>evaluator: ollama/llama3</t>
        </is>
      </c>
    </row>
    <row r="3001">
      <c r="A3001" t="n">
        <v>204</v>
      </c>
      <c r="B3001" t="inlineStr">
        <is>
          <t>A</t>
        </is>
      </c>
      <c r="C3001" t="inlineStr">
        <is>
          <t>Precision@K (Pers. 2)</t>
        </is>
      </c>
      <c r="D3001" s="3" t="inlineStr">
        <is>
          <t>Precision@K = |{d ∈ TopK : sim(q,d) ≥ θ}| / K</t>
        </is>
      </c>
      <c r="E3001" s="3" t="inlineStr">
        <is>
          <t>skor = [0.8319, 0.825, 0.815, 0.8141, 0.8082, 0.8057] → 6 / 6</t>
        </is>
      </c>
      <c r="F3001" t="n">
        <v>1</v>
      </c>
      <c r="G3001" s="3" t="inlineStr">
        <is>
          <t>basis: skor chunk nyata (sesuai contoh Pers. 2 skripsi)</t>
        </is>
      </c>
    </row>
    <row r="3002">
      <c r="A3002" t="n">
        <v>204</v>
      </c>
      <c r="B3002" t="inlineStr">
        <is>
          <t>A</t>
        </is>
      </c>
      <c r="C3002" t="inlineStr">
        <is>
          <t>Recall@K (Pers. 4)</t>
        </is>
      </c>
      <c r="D3002" s="3" t="inlineStr">
        <is>
          <t>Recall@K = |{kata kunci ditemukan : sim ≥ θ}| / |R|</t>
        </is>
      </c>
      <c r="E3002" s="3" t="inlineStr">
        <is>
          <t>skor = [0.7414, 0.6648, 0.4886, 0.478, 0.4691, 0.4623] → 6 / 7</t>
        </is>
      </c>
      <c r="F3002" t="n">
        <v>0.8571</v>
      </c>
      <c r="G3002" s="3" t="inlineStr"/>
    </row>
    <row r="3003">
      <c r="A3003" t="n">
        <v>204</v>
      </c>
      <c r="B3003" t="inlineStr">
        <is>
          <t>A</t>
        </is>
      </c>
      <c r="C3003" t="inlineStr">
        <is>
          <t>Mean Similarity (Pers. 6)</t>
        </is>
      </c>
      <c r="D3003" s="3" t="inlineStr">
        <is>
          <t>MeanSim = (1/K) × Σ sim(q, dᵢ)</t>
        </is>
      </c>
      <c r="E3003" s="3" t="inlineStr">
        <is>
          <t>skor = [0.8319, 0.825, 0.815, 0.8141, 0.8082, 0.8057] → (0.8319 + 0.8250 + 0.8150 + 0.8141 + 0.8082 + 0.8057) / 6</t>
        </is>
      </c>
      <c r="F3003" t="n">
        <v>0.8166</v>
      </c>
      <c r="G3003" s="3" t="inlineStr"/>
    </row>
    <row r="3004">
      <c r="A3004" t="n">
        <v>204</v>
      </c>
      <c r="B3004" t="inlineStr">
        <is>
          <t>A</t>
        </is>
      </c>
      <c r="C3004" t="inlineStr">
        <is>
          <t>Coverage (Pers. 8)</t>
        </is>
      </c>
      <c r="D3004" s="3" t="inlineStr">
        <is>
          <t>Coverage = |{dᵢ ∈ TopK : sim(q,dᵢ) ≥ θc}| / K</t>
        </is>
      </c>
      <c r="E3004" s="3" t="inlineStr">
        <is>
          <t>skor = [0.8319, 0.825, 0.815, 0.8141, 0.8082, 0.8057] → 6 / 6</t>
        </is>
      </c>
      <c r="F3004" t="n">
        <v>1</v>
      </c>
      <c r="G3004" s="3" t="inlineStr"/>
    </row>
    <row r="3005">
      <c r="A3005" t="n">
        <v>204</v>
      </c>
      <c r="B3005" t="inlineStr">
        <is>
          <t>A</t>
        </is>
      </c>
      <c r="C3005" t="inlineStr">
        <is>
          <t>Source Diversity (Pers. 10)</t>
        </is>
      </c>
      <c r="D3005" s="3" t="inlineStr">
        <is>
          <t>Diversity = |sumber unik dalam TopK| / K</t>
        </is>
      </c>
      <c r="E3005" s="3" t="inlineStr">
        <is>
          <t>skor = ['GT_CT07.txt', 'GT_DETAIL_PT07_Notasi_Algoritme.txt', 'GT_DETAIL_PT10_Percabangan.txt', 'GT_SUBTOPIK_01_Dekomposisi_Optimasi.txt', 'GT_SUBTOPIK_04_Modulo_Siklus.txt', 'GT_SUBTOPIK_05_Pseudocode_Algoritme.txt'] → 6 / 6</t>
        </is>
      </c>
      <c r="F3005" t="n">
        <v>1</v>
      </c>
      <c r="G3005" s="3" t="inlineStr">
        <is>
          <t>file unik: GT_CT07.txt, GT_DETAIL_PT07_Notasi_Algoritme.txt, GT_DETAIL_PT10_Percabangan.txt, GT_SUBTOPIK_01_Dekomposisi_Optimasi.txt, GT_SUBTOPIK_04_Modulo_Siklus.txt, GT_SUBTOPIK_05_Pseudocode_Algoritme.txt</t>
        </is>
      </c>
    </row>
    <row r="3006">
      <c r="A3006" t="n">
        <v>204</v>
      </c>
      <c r="B3006" t="inlineStr">
        <is>
          <t>A</t>
        </is>
      </c>
      <c r="C3006" t="inlineStr">
        <is>
          <t>Faithfulness (Pers. 15)</t>
        </is>
      </c>
      <c r="D3006" s="3" t="inlineStr">
        <is>
          <t>F = 0,70×Entailment + 0,30×KWoverlap</t>
        </is>
      </c>
      <c r="E3006" s="3" t="inlineStr">
        <is>
          <t>Faithfulness = 0,70×Entailment + 0,30×KWoverlap = 0,70×0.6667 + 0,30×0.3387 = 0.5683  (entailment: 4/6 klaim didukung; KWoverlap = (|∩|/|ctx|)^0,65 = (38/201)^0,65 = 0.1891^0,65 = 0.3387)</t>
        </is>
      </c>
      <c r="F3006" t="n">
        <v>0.5683</v>
      </c>
      <c r="G3006" s="3" t="inlineStr">
        <is>
          <t>metode: llm_entailment + keyword</t>
        </is>
      </c>
    </row>
    <row r="3007">
      <c r="A3007" t="n">
        <v>204</v>
      </c>
      <c r="B3007" t="inlineStr">
        <is>
          <t>A</t>
        </is>
      </c>
      <c r="C3007" t="inlineStr">
        <is>
          <t>— Entailment (Pers. 12-13)</t>
        </is>
      </c>
      <c r="D3007" s="3" t="inlineStr">
        <is>
          <t>Entailment = Σverdict(sᵢ)/m</t>
        </is>
      </c>
      <c r="E3007" s="3" t="inlineStr">
        <is>
          <t>4 klaim YA dari 6 klaim dievaluasi</t>
        </is>
      </c>
      <c r="F3007" t="n">
        <v>0.6667</v>
      </c>
      <c r="G3007" s="3" t="inlineStr">
        <is>
          <t>verdict per klaim: sheet 'Entailment Detail'</t>
        </is>
      </c>
    </row>
    <row r="3008">
      <c r="A3008" t="n">
        <v>204</v>
      </c>
      <c r="B3008" t="inlineStr">
        <is>
          <t>A</t>
        </is>
      </c>
      <c r="C3008" t="inlineStr">
        <is>
          <t>— Keyword Overlap (Pers. 14)</t>
        </is>
      </c>
      <c r="D3008" s="3" t="inlineStr">
        <is>
          <t>KWoverlap = (|Stems(ans)∩Stems(ctx)| / |Stems(ctx)|)^0,65</t>
        </is>
      </c>
      <c r="E3008" s="3" t="inlineStr">
        <is>
          <t>KWoverlap = (|∩|/|ctx|)^0,65 = (38/201)^0,65 = 0.1891^0,65 = 0.3387</t>
        </is>
      </c>
      <c r="F3008" t="n">
        <v>0.3387</v>
      </c>
      <c r="G3008" s="3" t="inlineStr"/>
    </row>
    <row r="3009">
      <c r="A3009" t="n">
        <v>204</v>
      </c>
      <c r="B3009" t="inlineStr">
        <is>
          <t>A</t>
        </is>
      </c>
      <c r="C3009" t="inlineStr">
        <is>
          <t>Hallucination Risk (Pers. 18)</t>
        </is>
      </c>
      <c r="D3009" s="3" t="inlineStr">
        <is>
          <t>Risk = 0,65×(1-F) + 0,20×Contradiction + 0,15×Uncertainty</t>
        </is>
      </c>
      <c r="E3009" s="3" t="inlineStr">
        <is>
          <t>Risk = 0,65×OutOfContext + 0,20×Contradiction + 0,15×Uncertainty = 0,65×0.4317 + 0,20×0.0000 + 0,15×0.00 = 0.2806 [RENDAH]</t>
        </is>
      </c>
      <c r="F3009" t="n">
        <v>0.2806</v>
      </c>
      <c r="G3009" s="3" t="inlineStr">
        <is>
          <t>label: RENDAH; kontradiksi 0/28 kalimat; uncertainty flag: False</t>
        </is>
      </c>
    </row>
    <row r="3010">
      <c r="A3010" t="n">
        <v>204</v>
      </c>
      <c r="B3010" t="inlineStr">
        <is>
          <t>A</t>
        </is>
      </c>
      <c r="C3010" t="inlineStr">
        <is>
          <t>Answer Accuracy (Pers. 20)</t>
        </is>
      </c>
      <c r="D3010" s="3" t="inlineStr">
        <is>
          <t>Correctᵢ ∈ {0,1} via LLM-as-Judge (HASIL: BENAR/SALAH)</t>
        </is>
      </c>
      <c r="E3010" s="3" t="inlineStr">
        <is>
          <t>BENAR.
Sistem jawaban menjelaskan bagaimana pseudocode dapat digunakan untuk mewakili langkah-langkah proses konversi Roman numeral ke integer, dan memberikan contoh pseudocode yang sederhana dan logis. Hasil jawaban sistem adalah BENAR karena pseudocode tersebut berdasarkan referensi (dokumen materi GT) dan mengikuti aturan penulisan pseudocode yang umum digunakan.</t>
        </is>
      </c>
      <c r="F3010" t="inlineStr">
        <is>
          <t>BENAR</t>
        </is>
      </c>
      <c r="G3010" s="3" t="inlineStr">
        <is>
          <t>evaluator: ollama/llama3</t>
        </is>
      </c>
    </row>
    <row r="3011">
      <c r="A3011" t="n">
        <v>204</v>
      </c>
      <c r="B3011" t="inlineStr">
        <is>
          <t>B</t>
        </is>
      </c>
      <c r="C3011" t="inlineStr">
        <is>
          <t>Faithfulness (Pers. 15)</t>
        </is>
      </c>
      <c r="D3011" s="3" t="inlineStr">
        <is>
          <t>F = 0,70×Entailment + 0,30×KWoverlap</t>
        </is>
      </c>
      <c r="E3011" s="3" t="inlineStr">
        <is>
          <t>Faithfulness = 0,70×Entailment + 0,30×KWoverlap = 0,70×1.0000 + 0,30×0.1851 = 0.7555  (entailment: 6/6 klaim didukung; KWoverlap = (|∩|/|ctx|)^0,65 = (15/201)^0,65 = 0.0746^0,65 = 0.1851)</t>
        </is>
      </c>
      <c r="F3011" t="n">
        <v>0.7554999999999999</v>
      </c>
      <c r="G3011" s="3" t="inlineStr">
        <is>
          <t>metode: llm_entailment + keyword</t>
        </is>
      </c>
    </row>
    <row r="3012">
      <c r="A3012" t="n">
        <v>204</v>
      </c>
      <c r="B3012" t="inlineStr">
        <is>
          <t>B</t>
        </is>
      </c>
      <c r="C3012" t="inlineStr">
        <is>
          <t>— Entailment (Pers. 12-13)</t>
        </is>
      </c>
      <c r="D3012" s="3" t="inlineStr">
        <is>
          <t>Entailment = Σverdict(sᵢ)/m</t>
        </is>
      </c>
      <c r="E3012" s="3" t="inlineStr">
        <is>
          <t>6 klaim YA dari 6 klaim dievaluasi</t>
        </is>
      </c>
      <c r="F3012" t="n">
        <v>1</v>
      </c>
      <c r="G3012" s="3" t="inlineStr">
        <is>
          <t>verdict per klaim: sheet 'Entailment Detail'</t>
        </is>
      </c>
    </row>
    <row r="3013">
      <c r="A3013" t="n">
        <v>204</v>
      </c>
      <c r="B3013" t="inlineStr">
        <is>
          <t>B</t>
        </is>
      </c>
      <c r="C3013" t="inlineStr">
        <is>
          <t>— Keyword Overlap (Pers. 14)</t>
        </is>
      </c>
      <c r="D3013" s="3" t="inlineStr">
        <is>
          <t>KWoverlap = (|Stems(ans)∩Stems(ctx)| / |Stems(ctx)|)^0,65</t>
        </is>
      </c>
      <c r="E3013" s="3" t="inlineStr">
        <is>
          <t>KWoverlap = (|∩|/|ctx|)^0,65 = (15/201)^0,65 = 0.0746^0,65 = 0.1851</t>
        </is>
      </c>
      <c r="F3013" t="n">
        <v>0.1851</v>
      </c>
      <c r="G3013" s="3" t="inlineStr"/>
    </row>
    <row r="3014">
      <c r="A3014" t="n">
        <v>204</v>
      </c>
      <c r="B3014" t="inlineStr">
        <is>
          <t>B</t>
        </is>
      </c>
      <c r="C3014" t="inlineStr">
        <is>
          <t>Hallucination Risk (Pers. 18)</t>
        </is>
      </c>
      <c r="D3014" s="3" t="inlineStr">
        <is>
          <t>Risk = 0,65×(1-F) + 0,20×Contradiction + 0,15×Uncertainty</t>
        </is>
      </c>
      <c r="E3014" s="3" t="inlineStr">
        <is>
          <t>Risk = 0,65×OutOfContext + 0,20×Contradiction + 0,15×Uncertainty = 0,65×0.2445 + 0,20×0.0000 + 0,15×0.00 = 0.1589 [RENDAH]</t>
        </is>
      </c>
      <c r="F3014" t="n">
        <v>0.1589</v>
      </c>
      <c r="G3014" s="3" t="inlineStr">
        <is>
          <t>label: RENDAH; kontradiksi 0/22 kalimat; uncertainty flag: False</t>
        </is>
      </c>
    </row>
    <row r="3015">
      <c r="A3015" t="n">
        <v>204</v>
      </c>
      <c r="B3015" t="inlineStr">
        <is>
          <t>B</t>
        </is>
      </c>
      <c r="C3015" t="inlineStr">
        <is>
          <t>Answer Accuracy (Pers. 20)</t>
        </is>
      </c>
      <c r="D3015" s="3" t="inlineStr">
        <is>
          <t>Correctᵢ ∈ {0,1} via LLM-as-Judge (HASIL: BENAR/SALAH)</t>
        </is>
      </c>
      <c r="E3015" s="3" t="inlineStr">
        <is>
          <t xml:space="preserve">BENAR.
Pseudocode yang diberikan oleh sistem menjawab pertanyaan dengan benar berdasarkan referensi. Sistem memberikan contoh pseudocode yang mengimplementasikan aturan pengurangan untuk konversi Roman numeral ke integer, yaitu jika huruf adalah "I", maka nilai ditambahkan dengan 1; jika huruf adalah "V", maka nilai ditambahkan dengan 5, kecuali jika terdapat "I" sebelumnya, maka nilai dikurangi </t>
        </is>
      </c>
      <c r="F3015" t="inlineStr">
        <is>
          <t>BENAR</t>
        </is>
      </c>
      <c r="G3015" s="3" t="inlineStr">
        <is>
          <t>evaluator: ollama/llama3</t>
        </is>
      </c>
    </row>
    <row r="3016">
      <c r="A3016" t="n">
        <v>205</v>
      </c>
      <c r="B3016" t="inlineStr">
        <is>
          <t>A</t>
        </is>
      </c>
      <c r="C3016" t="inlineStr">
        <is>
          <t>Precision@K (Pers. 2)</t>
        </is>
      </c>
      <c r="D3016" s="3" t="inlineStr">
        <is>
          <t>Precision@K = |{d ∈ TopK : sim(q,d) ≥ θ}| / K</t>
        </is>
      </c>
      <c r="E3016" s="3" t="inlineStr">
        <is>
          <t>skor = [0.7866, 0.7835, 0.7812, 0.7805, 0.7699, 0.7663] → 6 / 6</t>
        </is>
      </c>
      <c r="F3016" t="n">
        <v>1</v>
      </c>
      <c r="G3016" s="3" t="inlineStr">
        <is>
          <t>basis: skor chunk nyata (sesuai contoh Pers. 2 skripsi)</t>
        </is>
      </c>
    </row>
    <row r="3017">
      <c r="A3017" t="n">
        <v>205</v>
      </c>
      <c r="B3017" t="inlineStr">
        <is>
          <t>A</t>
        </is>
      </c>
      <c r="C3017" t="inlineStr">
        <is>
          <t>Recall@K (Pers. 4)</t>
        </is>
      </c>
      <c r="D3017" s="3" t="inlineStr">
        <is>
          <t>Recall@K = |{kata kunci ditemukan : sim ≥ θ}| / |R|</t>
        </is>
      </c>
      <c r="E3017" s="3" t="inlineStr">
        <is>
          <t>skor = [0.7029, 0.6391, 0.5308, 0.475, 0.462, 0.4556] → 6 / 7</t>
        </is>
      </c>
      <c r="F3017" t="n">
        <v>0.8571</v>
      </c>
      <c r="G3017" s="3" t="inlineStr"/>
    </row>
    <row r="3018">
      <c r="A3018" t="n">
        <v>205</v>
      </c>
      <c r="B3018" t="inlineStr">
        <is>
          <t>A</t>
        </is>
      </c>
      <c r="C3018" t="inlineStr">
        <is>
          <t>Mean Similarity (Pers. 6)</t>
        </is>
      </c>
      <c r="D3018" s="3" t="inlineStr">
        <is>
          <t>MeanSim = (1/K) × Σ sim(q, dᵢ)</t>
        </is>
      </c>
      <c r="E3018" s="3" t="inlineStr">
        <is>
          <t>skor = [0.7866, 0.7835, 0.7812, 0.7805, 0.7699, 0.7663] → (0.7866 + 0.7835 + 0.7812 + 0.7805 + 0.7699 + 0.7663) / 6</t>
        </is>
      </c>
      <c r="F3018" t="n">
        <v>0.778</v>
      </c>
      <c r="G3018" s="3" t="inlineStr"/>
    </row>
    <row r="3019">
      <c r="A3019" t="n">
        <v>205</v>
      </c>
      <c r="B3019" t="inlineStr">
        <is>
          <t>A</t>
        </is>
      </c>
      <c r="C3019" t="inlineStr">
        <is>
          <t>Coverage (Pers. 8)</t>
        </is>
      </c>
      <c r="D3019" s="3" t="inlineStr">
        <is>
          <t>Coverage = |{dᵢ ∈ TopK : sim(q,dᵢ) ≥ θc}| / K</t>
        </is>
      </c>
      <c r="E3019" s="3" t="inlineStr">
        <is>
          <t>skor = [0.7866, 0.7835, 0.7812, 0.7805, 0.7699, 0.7663] → 6 / 6</t>
        </is>
      </c>
      <c r="F3019" t="n">
        <v>1</v>
      </c>
      <c r="G3019" s="3" t="inlineStr"/>
    </row>
    <row r="3020">
      <c r="A3020" t="n">
        <v>205</v>
      </c>
      <c r="B3020" t="inlineStr">
        <is>
          <t>A</t>
        </is>
      </c>
      <c r="C3020" t="inlineStr">
        <is>
          <t>Source Diversity (Pers. 10)</t>
        </is>
      </c>
      <c r="D3020" s="3" t="inlineStr">
        <is>
          <t>Diversity = |sumber unik dalam TopK| / K</t>
        </is>
      </c>
      <c r="E3020" s="3" t="inlineStr">
        <is>
          <t>skor = ['GT_CT10.txt', 'GT_CT11.txt', 'GT_DETAIL_PT07_Notasi_Algoritme.txt', 'GT_DETAIL_PT10_Percabangan.txt', 'GT_DETAIL_PT11_Perulangan.txt', 'GT_SUBTOPIK_05_Pseudocode_Algoritme.txt'] → 6 / 6</t>
        </is>
      </c>
      <c r="F3020" t="n">
        <v>1</v>
      </c>
      <c r="G3020" s="3" t="inlineStr">
        <is>
          <t>file unik: GT_CT10.txt, GT_CT11.txt, GT_DETAIL_PT07_Notasi_Algoritme.txt, GT_DETAIL_PT10_Percabangan.txt, GT_DETAIL_PT11_Perulangan.txt, GT_SUBTOPIK_05_Pseudocode_Algoritme.txt</t>
        </is>
      </c>
    </row>
    <row r="3021">
      <c r="A3021" t="n">
        <v>205</v>
      </c>
      <c r="B3021" t="inlineStr">
        <is>
          <t>A</t>
        </is>
      </c>
      <c r="C3021" t="inlineStr">
        <is>
          <t>Faithfulness (Pers. 15)</t>
        </is>
      </c>
      <c r="D3021" s="3" t="inlineStr">
        <is>
          <t>F = 0,70×Entailment + 0,30×KWoverlap</t>
        </is>
      </c>
      <c r="E3021" s="3" t="inlineStr">
        <is>
          <t>Faithfulness = 0,70×Entailment + 0,30×KWoverlap = 0,70×0.0000 + 0,30×0.2597 = 0.0779  (entailment: 0/6 klaim didukung; KWoverlap = (|∩|/|ctx|)^0,65 = (25/199)^0,65 = 0.1256^0,65 = 0.2597)</t>
        </is>
      </c>
      <c r="F3021" t="n">
        <v>0.0779</v>
      </c>
      <c r="G3021" s="3" t="inlineStr">
        <is>
          <t>metode: llm_entailment + keyword</t>
        </is>
      </c>
    </row>
    <row r="3022">
      <c r="A3022" t="n">
        <v>205</v>
      </c>
      <c r="B3022" t="inlineStr">
        <is>
          <t>A</t>
        </is>
      </c>
      <c r="C3022" t="inlineStr">
        <is>
          <t>— Entailment (Pers. 12-13)</t>
        </is>
      </c>
      <c r="D3022" s="3" t="inlineStr">
        <is>
          <t>Entailment = Σverdict(sᵢ)/m</t>
        </is>
      </c>
      <c r="E3022" s="3" t="inlineStr">
        <is>
          <t>0 klaim YA dari 6 klaim dievaluasi</t>
        </is>
      </c>
      <c r="F3022" t="n">
        <v>0</v>
      </c>
      <c r="G3022" s="3" t="inlineStr">
        <is>
          <t>verdict per klaim: sheet 'Entailment Detail'</t>
        </is>
      </c>
    </row>
    <row r="3023">
      <c r="A3023" t="n">
        <v>205</v>
      </c>
      <c r="B3023" t="inlineStr">
        <is>
          <t>A</t>
        </is>
      </c>
      <c r="C3023" t="inlineStr">
        <is>
          <t>— Keyword Overlap (Pers. 14)</t>
        </is>
      </c>
      <c r="D3023" s="3" t="inlineStr">
        <is>
          <t>KWoverlap = (|Stems(ans)∩Stems(ctx)| / |Stems(ctx)|)^0,65</t>
        </is>
      </c>
      <c r="E3023" s="3" t="inlineStr">
        <is>
          <t>KWoverlap = (|∩|/|ctx|)^0,65 = (25/199)^0,65 = 0.1256^0,65 = 0.2597</t>
        </is>
      </c>
      <c r="F3023" t="n">
        <v>0.2597</v>
      </c>
      <c r="G3023" s="3" t="inlineStr"/>
    </row>
    <row r="3024">
      <c r="A3024" t="n">
        <v>205</v>
      </c>
      <c r="B3024" t="inlineStr">
        <is>
          <t>A</t>
        </is>
      </c>
      <c r="C3024" t="inlineStr">
        <is>
          <t>Hallucination Risk (Pers. 18)</t>
        </is>
      </c>
      <c r="D3024" s="3" t="inlineStr">
        <is>
          <t>Risk = 0,65×(1-F) + 0,20×Contradiction + 0,15×Uncertainty</t>
        </is>
      </c>
      <c r="E3024" s="3" t="inlineStr">
        <is>
          <t>Risk = 0,65×OutOfContext + 0,20×Contradiction + 0,15×Uncertainty = 0,65×0.9221 + 0,20×0.0000 + 0,15×0.00 = 0.5994 [TINGGI]</t>
        </is>
      </c>
      <c r="F3024" t="n">
        <v>0.5994</v>
      </c>
      <c r="G3024" s="3" t="inlineStr">
        <is>
          <t>label: TINGGI; kontradiksi 0/36 kalimat; uncertainty flag: False</t>
        </is>
      </c>
    </row>
    <row r="3025">
      <c r="A3025" t="n">
        <v>205</v>
      </c>
      <c r="B3025" t="inlineStr">
        <is>
          <t>A</t>
        </is>
      </c>
      <c r="C3025" t="inlineStr">
        <is>
          <t>Answer Accuracy (Pers. 20)</t>
        </is>
      </c>
      <c r="D3025" s="3" t="inlineStr">
        <is>
          <t>Correctᵢ ∈ {0,1} via LLM-as-Judge (HASIL: BENAR/SALAH)</t>
        </is>
      </c>
      <c r="E3025" s="3" t="inlineStr">
        <is>
          <t>The answer from the system is:
Reasoning:
* The pseudocode provided follows the correct structure of a while loop, which is what was asked for.
* The loop condition is `true`, which means it will run indefinitely until a termination condition is met, which in this case is when the difference between the sum of terms and the current estimate of Pi is less than the specified tolerance (`epsilon`</t>
        </is>
      </c>
      <c r="F3025" t="inlineStr">
        <is>
          <t>BENAR</t>
        </is>
      </c>
      <c r="G3025" s="3" t="inlineStr">
        <is>
          <t>evaluator: ollama/llama3</t>
        </is>
      </c>
    </row>
    <row r="3026">
      <c r="A3026" t="n">
        <v>205</v>
      </c>
      <c r="B3026" t="inlineStr">
        <is>
          <t>B</t>
        </is>
      </c>
      <c r="C3026" t="inlineStr">
        <is>
          <t>Faithfulness (Pers. 15)</t>
        </is>
      </c>
      <c r="D3026" s="3" t="inlineStr">
        <is>
          <t>F = 0,70×Entailment + 0,30×KWoverlap</t>
        </is>
      </c>
      <c r="E3026" s="3" t="inlineStr">
        <is>
          <t>Faithfulness = 0,70×Entailment + 0,30×KWoverlap = 0,70×0.1667 + 0,30×0.2021 = 0.1773  (entailment: 1/6 klaim didukung; KWoverlap = (|∩|/|ctx|)^0,65 = (17/199)^0,65 = 0.0854^0,65 = 0.2021)</t>
        </is>
      </c>
      <c r="F3026" t="n">
        <v>0.1773</v>
      </c>
      <c r="G3026" s="3" t="inlineStr">
        <is>
          <t>metode: llm_entailment + keyword</t>
        </is>
      </c>
    </row>
    <row r="3027">
      <c r="A3027" t="n">
        <v>205</v>
      </c>
      <c r="B3027" t="inlineStr">
        <is>
          <t>B</t>
        </is>
      </c>
      <c r="C3027" t="inlineStr">
        <is>
          <t>— Entailment (Pers. 12-13)</t>
        </is>
      </c>
      <c r="D3027" s="3" t="inlineStr">
        <is>
          <t>Entailment = Σverdict(sᵢ)/m</t>
        </is>
      </c>
      <c r="E3027" s="3" t="inlineStr">
        <is>
          <t>1 klaim YA dari 6 klaim dievaluasi</t>
        </is>
      </c>
      <c r="F3027" t="n">
        <v>0.1667</v>
      </c>
      <c r="G3027" s="3" t="inlineStr">
        <is>
          <t>verdict per klaim: sheet 'Entailment Detail'</t>
        </is>
      </c>
    </row>
    <row r="3028">
      <c r="A3028" t="n">
        <v>205</v>
      </c>
      <c r="B3028" t="inlineStr">
        <is>
          <t>B</t>
        </is>
      </c>
      <c r="C3028" t="inlineStr">
        <is>
          <t>— Keyword Overlap (Pers. 14)</t>
        </is>
      </c>
      <c r="D3028" s="3" t="inlineStr">
        <is>
          <t>KWoverlap = (|Stems(ans)∩Stems(ctx)| / |Stems(ctx)|)^0,65</t>
        </is>
      </c>
      <c r="E3028" s="3" t="inlineStr">
        <is>
          <t>KWoverlap = (|∩|/|ctx|)^0,65 = (17/199)^0,65 = 0.0854^0,65 = 0.2021</t>
        </is>
      </c>
      <c r="F3028" t="n">
        <v>0.2021</v>
      </c>
      <c r="G3028" s="3" t="inlineStr"/>
    </row>
    <row r="3029">
      <c r="A3029" t="n">
        <v>205</v>
      </c>
      <c r="B3029" t="inlineStr">
        <is>
          <t>B</t>
        </is>
      </c>
      <c r="C3029" t="inlineStr">
        <is>
          <t>Hallucination Risk (Pers. 18)</t>
        </is>
      </c>
      <c r="D3029" s="3" t="inlineStr">
        <is>
          <t>Risk = 0,65×(1-F) + 0,20×Contradiction + 0,15×Uncertainty</t>
        </is>
      </c>
      <c r="E3029" s="3" t="inlineStr">
        <is>
          <t>Risk = 0,65×OutOfContext + 0,20×Contradiction + 0,15×Uncertainty = 0,65×0.8227 + 0,20×0.0000 + 0,15×0.00 = 0.5348 [SEDANG]</t>
        </is>
      </c>
      <c r="F3029" t="n">
        <v>0.5348000000000001</v>
      </c>
      <c r="G3029" s="3" t="inlineStr">
        <is>
          <t>label: SEDANG; kontradiksi 0/16 kalimat; uncertainty flag: False</t>
        </is>
      </c>
    </row>
    <row r="3030">
      <c r="A3030" t="n">
        <v>205</v>
      </c>
      <c r="B3030" t="inlineStr">
        <is>
          <t>B</t>
        </is>
      </c>
      <c r="C3030" t="inlineStr">
        <is>
          <t>Answer Accuracy (Pers. 20)</t>
        </is>
      </c>
      <c r="D3030" s="3" t="inlineStr">
        <is>
          <t>Correctᵢ ∈ {0,1} via LLM-as-Judge (HASIL: BENAR/SALAH)</t>
        </is>
      </c>
      <c r="E3030" s="3" t="inlineStr">
        <is>
          <t>BENAR</t>
        </is>
      </c>
      <c r="F3030" t="inlineStr">
        <is>
          <t>BENAR</t>
        </is>
      </c>
      <c r="G3030" s="3" t="inlineStr">
        <is>
          <t>evaluator: ollama/llama3</t>
        </is>
      </c>
    </row>
    <row r="3031">
      <c r="A3031" t="n">
        <v>206</v>
      </c>
      <c r="B3031" t="inlineStr">
        <is>
          <t>A</t>
        </is>
      </c>
      <c r="C3031" t="inlineStr">
        <is>
          <t>Precision@K (Pers. 2)</t>
        </is>
      </c>
      <c r="D3031" s="3" t="inlineStr">
        <is>
          <t>Precision@K = |{d ∈ TopK : sim(q,d) ≥ θ}| / K</t>
        </is>
      </c>
      <c r="E3031" s="3" t="inlineStr">
        <is>
          <t>skor = [0.8488, 0.8292, 0.8106, 0.7964, 0.7904, 0.7893] → 6 / 6</t>
        </is>
      </c>
      <c r="F3031" t="n">
        <v>1</v>
      </c>
      <c r="G3031" s="3" t="inlineStr">
        <is>
          <t>basis: skor chunk nyata (sesuai contoh Pers. 2 skripsi)</t>
        </is>
      </c>
    </row>
    <row r="3032">
      <c r="A3032" t="n">
        <v>206</v>
      </c>
      <c r="B3032" t="inlineStr">
        <is>
          <t>A</t>
        </is>
      </c>
      <c r="C3032" t="inlineStr">
        <is>
          <t>Recall@K (Pers. 4)</t>
        </is>
      </c>
      <c r="D3032" s="3" t="inlineStr">
        <is>
          <t>Recall@K = |{kata kunci ditemukan : sim ≥ θ}| / |R|</t>
        </is>
      </c>
      <c r="E3032" s="3" t="inlineStr">
        <is>
          <t>skor = [0.7506, 0.5638, 0.5488, 0.5416, 0.5316, 0.4992] → 6 / 6</t>
        </is>
      </c>
      <c r="F3032" t="n">
        <v>1</v>
      </c>
      <c r="G3032" s="3" t="inlineStr"/>
    </row>
    <row r="3033">
      <c r="A3033" t="n">
        <v>206</v>
      </c>
      <c r="B3033" t="inlineStr">
        <is>
          <t>A</t>
        </is>
      </c>
      <c r="C3033" t="inlineStr">
        <is>
          <t>Mean Similarity (Pers. 6)</t>
        </is>
      </c>
      <c r="D3033" s="3" t="inlineStr">
        <is>
          <t>MeanSim = (1/K) × Σ sim(q, dᵢ)</t>
        </is>
      </c>
      <c r="E3033" s="3" t="inlineStr">
        <is>
          <t>skor = [0.8488, 0.8292, 0.8106, 0.7964, 0.7904, 0.7893] → (0.8488 + 0.8292 + 0.8106 + 0.7964 + 0.7904 + 0.7893) / 6</t>
        </is>
      </c>
      <c r="F3033" t="n">
        <v>0.8108</v>
      </c>
      <c r="G3033" s="3" t="inlineStr"/>
    </row>
    <row r="3034">
      <c r="A3034" t="n">
        <v>206</v>
      </c>
      <c r="B3034" t="inlineStr">
        <is>
          <t>A</t>
        </is>
      </c>
      <c r="C3034" t="inlineStr">
        <is>
          <t>Coverage (Pers. 8)</t>
        </is>
      </c>
      <c r="D3034" s="3" t="inlineStr">
        <is>
          <t>Coverage = |{dᵢ ∈ TopK : sim(q,dᵢ) ≥ θc}| / K</t>
        </is>
      </c>
      <c r="E3034" s="3" t="inlineStr">
        <is>
          <t>skor = [0.8488, 0.8292, 0.8106, 0.7964, 0.7904, 0.7893] → 6 / 6</t>
        </is>
      </c>
      <c r="F3034" t="n">
        <v>1</v>
      </c>
      <c r="G3034" s="3" t="inlineStr"/>
    </row>
    <row r="3035">
      <c r="A3035" t="n">
        <v>206</v>
      </c>
      <c r="B3035" t="inlineStr">
        <is>
          <t>A</t>
        </is>
      </c>
      <c r="C3035" t="inlineStr">
        <is>
          <t>Source Diversity (Pers. 10)</t>
        </is>
      </c>
      <c r="D3035" s="3" t="inlineStr">
        <is>
          <t>Diversity = |sumber unik dalam TopK| / K</t>
        </is>
      </c>
      <c r="E3035" s="3" t="inlineStr">
        <is>
          <t>skor = ['GT_CT07.txt', 'GT_CT09.txt', 'GT_CT10.txt', 'GT_DETAIL_PT10_Percabangan.txt', 'GT_SUBTOPIK_05_Pseudocode_Algoritme.txt'] → 5 / 6</t>
        </is>
      </c>
      <c r="F3035" t="n">
        <v>0.8333</v>
      </c>
      <c r="G3035" s="3" t="inlineStr">
        <is>
          <t>file unik: GT_CT07.txt, GT_CT09.txt, GT_CT10.txt, GT_DETAIL_PT10_Percabangan.txt, GT_SUBTOPIK_05_Pseudocode_Algoritme.txt</t>
        </is>
      </c>
    </row>
    <row r="3036">
      <c r="A3036" t="n">
        <v>206</v>
      </c>
      <c r="B3036" t="inlineStr">
        <is>
          <t>A</t>
        </is>
      </c>
      <c r="C3036" t="inlineStr">
        <is>
          <t>Faithfulness (Pers. 15)</t>
        </is>
      </c>
      <c r="D3036" s="3" t="inlineStr">
        <is>
          <t>F = 0,70×Entailment + 0,30×KWoverlap</t>
        </is>
      </c>
      <c r="E3036" s="3" t="inlineStr">
        <is>
          <t>Faithfulness = 0,70×Entailment + 0,30×KWoverlap = 0,70×1.0000 + 0,30×0.2384 = 0.7715  (entailment: 6/6 klaim didukung; KWoverlap = (|∩|/|ctx|)^0,65 = (26/236)^0,65 = 0.1102^0,65 = 0.2384)</t>
        </is>
      </c>
      <c r="F3036" t="n">
        <v>0.7715</v>
      </c>
      <c r="G3036" s="3" t="inlineStr">
        <is>
          <t>metode: llm_entailment + keyword</t>
        </is>
      </c>
    </row>
    <row r="3037">
      <c r="A3037" t="n">
        <v>206</v>
      </c>
      <c r="B3037" t="inlineStr">
        <is>
          <t>A</t>
        </is>
      </c>
      <c r="C3037" t="inlineStr">
        <is>
          <t>— Entailment (Pers. 12-13)</t>
        </is>
      </c>
      <c r="D3037" s="3" t="inlineStr">
        <is>
          <t>Entailment = Σverdict(sᵢ)/m</t>
        </is>
      </c>
      <c r="E3037" s="3" t="inlineStr">
        <is>
          <t>6 klaim YA dari 6 klaim dievaluasi</t>
        </is>
      </c>
      <c r="F3037" t="n">
        <v>1</v>
      </c>
      <c r="G3037" s="3" t="inlineStr">
        <is>
          <t>verdict per klaim: sheet 'Entailment Detail'</t>
        </is>
      </c>
    </row>
    <row r="3038">
      <c r="A3038" t="n">
        <v>206</v>
      </c>
      <c r="B3038" t="inlineStr">
        <is>
          <t>A</t>
        </is>
      </c>
      <c r="C3038" t="inlineStr">
        <is>
          <t>— Keyword Overlap (Pers. 14)</t>
        </is>
      </c>
      <c r="D3038" s="3" t="inlineStr">
        <is>
          <t>KWoverlap = (|Stems(ans)∩Stems(ctx)| / |Stems(ctx)|)^0,65</t>
        </is>
      </c>
      <c r="E3038" s="3" t="inlineStr">
        <is>
          <t>KWoverlap = (|∩|/|ctx|)^0,65 = (26/236)^0,65 = 0.1102^0,65 = 0.2384</t>
        </is>
      </c>
      <c r="F3038" t="n">
        <v>0.2384</v>
      </c>
      <c r="G3038" s="3" t="inlineStr"/>
    </row>
    <row r="3039">
      <c r="A3039" t="n">
        <v>206</v>
      </c>
      <c r="B3039" t="inlineStr">
        <is>
          <t>A</t>
        </is>
      </c>
      <c r="C3039" t="inlineStr">
        <is>
          <t>Hallucination Risk (Pers. 18)</t>
        </is>
      </c>
      <c r="D3039" s="3" t="inlineStr">
        <is>
          <t>Risk = 0,65×(1-F) + 0,20×Contradiction + 0,15×Uncertainty</t>
        </is>
      </c>
      <c r="E3039" s="3" t="inlineStr">
        <is>
          <t>Risk = 0,65×OutOfContext + 0,20×Contradiction + 0,15×Uncertainty = 0,65×0.2285 + 0,20×0.0000 + 0,15×0.00 = 0.1485 [RENDAH]</t>
        </is>
      </c>
      <c r="F3039" t="n">
        <v>0.1485</v>
      </c>
      <c r="G3039" s="3" t="inlineStr">
        <is>
          <t>label: RENDAH; kontradiksi 0/9 kalimat; uncertainty flag: False</t>
        </is>
      </c>
    </row>
    <row r="3040">
      <c r="A3040" t="n">
        <v>206</v>
      </c>
      <c r="B3040" t="inlineStr">
        <is>
          <t>A</t>
        </is>
      </c>
      <c r="C3040" t="inlineStr">
        <is>
          <t>Answer Accuracy (Pers. 20)</t>
        </is>
      </c>
      <c r="D3040" s="3" t="inlineStr">
        <is>
          <t>Correctᵢ ∈ {0,1} via LLM-as-Judge (HASIL: BENAR/SALAH)</t>
        </is>
      </c>
      <c r="E3040" s="3" t="inlineStr">
        <is>
          <t>Jawaban sistem:</t>
        </is>
      </c>
      <c r="F3040" t="inlineStr">
        <is>
          <t>BENAR</t>
        </is>
      </c>
      <c r="G3040" s="3" t="inlineStr">
        <is>
          <t>evaluator: ollama/llama3</t>
        </is>
      </c>
    </row>
    <row r="3041">
      <c r="A3041" t="n">
        <v>206</v>
      </c>
      <c r="B3041" t="inlineStr">
        <is>
          <t>B</t>
        </is>
      </c>
      <c r="C3041" t="inlineStr">
        <is>
          <t>Faithfulness (Pers. 15)</t>
        </is>
      </c>
      <c r="D3041" s="3" t="inlineStr">
        <is>
          <t>F = 0,70×Entailment + 0,30×KWoverlap</t>
        </is>
      </c>
      <c r="E3041" s="3" t="inlineStr">
        <is>
          <t>Faithfulness = 0,70×Entailment + 0,30×KWoverlap = 0,70×1.0000 + 0,30×0.2075 = 0.7623  (entailment: 6/6 klaim didukung; KWoverlap = (|∩|/|ctx|)^0,65 = (21/236)^0,65 = 0.0890^0,65 = 0.2075)</t>
        </is>
      </c>
      <c r="F3041" t="n">
        <v>0.7623</v>
      </c>
      <c r="G3041" s="3" t="inlineStr">
        <is>
          <t>metode: llm_entailment + keyword</t>
        </is>
      </c>
    </row>
    <row r="3042">
      <c r="A3042" t="n">
        <v>206</v>
      </c>
      <c r="B3042" t="inlineStr">
        <is>
          <t>B</t>
        </is>
      </c>
      <c r="C3042" t="inlineStr">
        <is>
          <t>— Entailment (Pers. 12-13)</t>
        </is>
      </c>
      <c r="D3042" s="3" t="inlineStr">
        <is>
          <t>Entailment = Σverdict(sᵢ)/m</t>
        </is>
      </c>
      <c r="E3042" s="3" t="inlineStr">
        <is>
          <t>6 klaim YA dari 6 klaim dievaluasi</t>
        </is>
      </c>
      <c r="F3042" t="n">
        <v>1</v>
      </c>
      <c r="G3042" s="3" t="inlineStr">
        <is>
          <t>verdict per klaim: sheet 'Entailment Detail'</t>
        </is>
      </c>
    </row>
    <row r="3043">
      <c r="A3043" t="n">
        <v>206</v>
      </c>
      <c r="B3043" t="inlineStr">
        <is>
          <t>B</t>
        </is>
      </c>
      <c r="C3043" t="inlineStr">
        <is>
          <t>— Keyword Overlap (Pers. 14)</t>
        </is>
      </c>
      <c r="D3043" s="3" t="inlineStr">
        <is>
          <t>KWoverlap = (|Stems(ans)∩Stems(ctx)| / |Stems(ctx)|)^0,65</t>
        </is>
      </c>
      <c r="E3043" s="3" t="inlineStr">
        <is>
          <t>KWoverlap = (|∩|/|ctx|)^0,65 = (21/236)^0,65 = 0.0890^0,65 = 0.2075</t>
        </is>
      </c>
      <c r="F3043" t="n">
        <v>0.2075</v>
      </c>
      <c r="G3043" s="3" t="inlineStr"/>
    </row>
    <row r="3044">
      <c r="A3044" t="n">
        <v>206</v>
      </c>
      <c r="B3044" t="inlineStr">
        <is>
          <t>B</t>
        </is>
      </c>
      <c r="C3044" t="inlineStr">
        <is>
          <t>Hallucination Risk (Pers. 18)</t>
        </is>
      </c>
      <c r="D3044" s="3" t="inlineStr">
        <is>
          <t>Risk = 0,65×(1-F) + 0,20×Contradiction + 0,15×Uncertainty</t>
        </is>
      </c>
      <c r="E3044" s="3" t="inlineStr">
        <is>
          <t>Risk = 0,65×OutOfContext + 0,20×Contradiction + 0,15×Uncertainty = 0,65×0.2377 + 0,20×0.0000 + 0,15×0.20 = 0.1845 [RENDAH]</t>
        </is>
      </c>
      <c r="F3044" t="n">
        <v>0.1845</v>
      </c>
      <c r="G3044" s="3" t="inlineStr">
        <is>
          <t>label: RENDAH; kontradiksi 0/6 kalimat; uncertainty flag: True</t>
        </is>
      </c>
    </row>
    <row r="3045">
      <c r="A3045" t="n">
        <v>206</v>
      </c>
      <c r="B3045" t="inlineStr">
        <is>
          <t>B</t>
        </is>
      </c>
      <c r="C3045" t="inlineStr">
        <is>
          <t>Answer Accuracy (Pers. 20)</t>
        </is>
      </c>
      <c r="D3045" s="3" t="inlineStr">
        <is>
          <t>Correctᵢ ∈ {0,1} via LLM-as-Judge (HASIL: BENAR/SALAH)</t>
        </is>
      </c>
      <c r="E3045" s="3" t="inlineStr">
        <is>
          <t>BENAR
Rationale: The system's answer is consistent with the reference provided from the GT material, which states that a good comment in the context of pseudocode should explain "why" and not just "what". The system's explanation also highlights the importance of commenting on the purpose or intention behind the code, rather than simply describing what it does.</t>
        </is>
      </c>
      <c r="F3045" t="inlineStr">
        <is>
          <t>BENAR</t>
        </is>
      </c>
      <c r="G3045" s="3" t="inlineStr">
        <is>
          <t>evaluator: ollama/llama3</t>
        </is>
      </c>
    </row>
    <row r="3046">
      <c r="A3046" t="n">
        <v>207</v>
      </c>
      <c r="B3046" t="inlineStr">
        <is>
          <t>A</t>
        </is>
      </c>
      <c r="C3046" t="inlineStr">
        <is>
          <t>Precision@K (Pers. 2)</t>
        </is>
      </c>
      <c r="D3046" s="3" t="inlineStr">
        <is>
          <t>Precision@K = |{d ∈ TopK : sim(q,d) ≥ θ}| / K</t>
        </is>
      </c>
      <c r="E3046" s="3" t="inlineStr">
        <is>
          <t>skor = [0.7368, 0.728, 0.7265, 0.7227, 0.7187, 0.7142] → 6 / 6</t>
        </is>
      </c>
      <c r="F3046" t="n">
        <v>1</v>
      </c>
      <c r="G3046" s="3" t="inlineStr">
        <is>
          <t>basis: skor chunk nyata (sesuai contoh Pers. 2 skripsi)</t>
        </is>
      </c>
    </row>
    <row r="3047">
      <c r="A3047" t="n">
        <v>207</v>
      </c>
      <c r="B3047" t="inlineStr">
        <is>
          <t>A</t>
        </is>
      </c>
      <c r="C3047" t="inlineStr">
        <is>
          <t>Recall@K (Pers. 4)</t>
        </is>
      </c>
      <c r="D3047" s="3" t="inlineStr">
        <is>
          <t>Recall@K = |{kata kunci ditemukan : sim ≥ θ}| / |R|</t>
        </is>
      </c>
      <c r="E3047" s="3" t="inlineStr">
        <is>
          <t>skor = [0.652, 0.5809, 0.5809, 0.5451, 0.4402, 0.4172] → 6 / 7</t>
        </is>
      </c>
      <c r="F3047" t="n">
        <v>0.8571</v>
      </c>
      <c r="G3047" s="3" t="inlineStr"/>
    </row>
    <row r="3048">
      <c r="A3048" t="n">
        <v>207</v>
      </c>
      <c r="B3048" t="inlineStr">
        <is>
          <t>A</t>
        </is>
      </c>
      <c r="C3048" t="inlineStr">
        <is>
          <t>Mean Similarity (Pers. 6)</t>
        </is>
      </c>
      <c r="D3048" s="3" t="inlineStr">
        <is>
          <t>MeanSim = (1/K) × Σ sim(q, dᵢ)</t>
        </is>
      </c>
      <c r="E3048" s="3" t="inlineStr">
        <is>
          <t>skor = [0.7368, 0.728, 0.7265, 0.7227, 0.7187, 0.7142] → (0.7368 + 0.7280 + 0.7265 + 0.7227 + 0.7187 + 0.7142) / 6</t>
        </is>
      </c>
      <c r="F3048" t="n">
        <v>0.7245</v>
      </c>
      <c r="G3048" s="3" t="inlineStr"/>
    </row>
    <row r="3049">
      <c r="A3049" t="n">
        <v>207</v>
      </c>
      <c r="B3049" t="inlineStr">
        <is>
          <t>A</t>
        </is>
      </c>
      <c r="C3049" t="inlineStr">
        <is>
          <t>Coverage (Pers. 8)</t>
        </is>
      </c>
      <c r="D3049" s="3" t="inlineStr">
        <is>
          <t>Coverage = |{dᵢ ∈ TopK : sim(q,dᵢ) ≥ θc}| / K</t>
        </is>
      </c>
      <c r="E3049" s="3" t="inlineStr">
        <is>
          <t>skor = [0.7368, 0.728, 0.7265, 0.7227, 0.7187, 0.7142] → 6 / 6</t>
        </is>
      </c>
      <c r="F3049" t="n">
        <v>1</v>
      </c>
      <c r="G3049" s="3" t="inlineStr"/>
    </row>
    <row r="3050">
      <c r="A3050" t="n">
        <v>207</v>
      </c>
      <c r="B3050" t="inlineStr">
        <is>
          <t>A</t>
        </is>
      </c>
      <c r="C3050" t="inlineStr">
        <is>
          <t>Source Diversity (Pers. 10)</t>
        </is>
      </c>
      <c r="D3050" s="3" t="inlineStr">
        <is>
          <t>Diversity = |sumber unik dalam TopK| / K</t>
        </is>
      </c>
      <c r="E3050" s="3" t="inlineStr">
        <is>
          <t>skor = ['GT_CT06.txt', 'GT_CT07.txt', 'GT_CT10.txt', 'GT_DETAIL_PT12_Fungsi.txt'] → 4 / 6</t>
        </is>
      </c>
      <c r="F3050" t="n">
        <v>0.6667</v>
      </c>
      <c r="G3050" s="3" t="inlineStr">
        <is>
          <t>file unik: GT_CT06.txt, GT_CT07.txt, GT_CT10.txt, GT_DETAIL_PT12_Fungsi.txt</t>
        </is>
      </c>
    </row>
    <row r="3051">
      <c r="A3051" t="n">
        <v>207</v>
      </c>
      <c r="B3051" t="inlineStr">
        <is>
          <t>A</t>
        </is>
      </c>
      <c r="C3051" t="inlineStr">
        <is>
          <t>Faithfulness (Pers. 15)</t>
        </is>
      </c>
      <c r="D3051" s="3" t="inlineStr">
        <is>
          <t>F = 0,70×Entailment + 0,30×KWoverlap</t>
        </is>
      </c>
      <c r="E3051" s="3" t="inlineStr">
        <is>
          <t>Faithfulness = 0,70×Entailment + 0,30×KWoverlap = 0,70×0.8333 + 0,30×0.2262 = 0.6512  (entailment: 5/6 klaim didukung; KWoverlap = (|∩|/|ctx|)^0,65 = (32/315)^0,65 = 0.1016^0,65 = 0.2262)</t>
        </is>
      </c>
      <c r="F3051" t="n">
        <v>0.6512</v>
      </c>
      <c r="G3051" s="3" t="inlineStr">
        <is>
          <t>metode: llm_entailment + keyword</t>
        </is>
      </c>
    </row>
    <row r="3052">
      <c r="A3052" t="n">
        <v>207</v>
      </c>
      <c r="B3052" t="inlineStr">
        <is>
          <t>A</t>
        </is>
      </c>
      <c r="C3052" t="inlineStr">
        <is>
          <t>— Entailment (Pers. 12-13)</t>
        </is>
      </c>
      <c r="D3052" s="3" t="inlineStr">
        <is>
          <t>Entailment = Σverdict(sᵢ)/m</t>
        </is>
      </c>
      <c r="E3052" s="3" t="inlineStr">
        <is>
          <t>5 klaim YA dari 6 klaim dievaluasi</t>
        </is>
      </c>
      <c r="F3052" t="n">
        <v>0.8333</v>
      </c>
      <c r="G3052" s="3" t="inlineStr">
        <is>
          <t>verdict per klaim: sheet 'Entailment Detail'</t>
        </is>
      </c>
    </row>
    <row r="3053">
      <c r="A3053" t="n">
        <v>207</v>
      </c>
      <c r="B3053" t="inlineStr">
        <is>
          <t>A</t>
        </is>
      </c>
      <c r="C3053" t="inlineStr">
        <is>
          <t>— Keyword Overlap (Pers. 14)</t>
        </is>
      </c>
      <c r="D3053" s="3" t="inlineStr">
        <is>
          <t>KWoverlap = (|Stems(ans)∩Stems(ctx)| / |Stems(ctx)|)^0,65</t>
        </is>
      </c>
      <c r="E3053" s="3" t="inlineStr">
        <is>
          <t>KWoverlap = (|∩|/|ctx|)^0,65 = (32/315)^0,65 = 0.1016^0,65 = 0.2262</t>
        </is>
      </c>
      <c r="F3053" t="n">
        <v>0.2262</v>
      </c>
      <c r="G3053" s="3" t="inlineStr"/>
    </row>
    <row r="3054">
      <c r="A3054" t="n">
        <v>207</v>
      </c>
      <c r="B3054" t="inlineStr">
        <is>
          <t>A</t>
        </is>
      </c>
      <c r="C3054" t="inlineStr">
        <is>
          <t>Hallucination Risk (Pers. 18)</t>
        </is>
      </c>
      <c r="D3054" s="3" t="inlineStr">
        <is>
          <t>Risk = 0,65×(1-F) + 0,20×Contradiction + 0,15×Uncertainty</t>
        </is>
      </c>
      <c r="E3054" s="3" t="inlineStr">
        <is>
          <t>Risk = 0,65×OutOfContext + 0,20×Contradiction + 0,15×Uncertainty = 0,65×0.3488 + 0,20×0.0000 + 0,15×0.00 = 0.2267 [RENDAH]</t>
        </is>
      </c>
      <c r="F3054" t="n">
        <v>0.2267</v>
      </c>
      <c r="G3054" s="3" t="inlineStr">
        <is>
          <t>label: RENDAH; kontradiksi 0/10 kalimat; uncertainty flag: False</t>
        </is>
      </c>
    </row>
    <row r="3055">
      <c r="A3055" t="n">
        <v>207</v>
      </c>
      <c r="B3055" t="inlineStr">
        <is>
          <t>A</t>
        </is>
      </c>
      <c r="C3055" t="inlineStr">
        <is>
          <t>Answer Accuracy (Pers. 20)</t>
        </is>
      </c>
      <c r="D3055" s="3" t="inlineStr">
        <is>
          <t>Correctᵢ ∈ {0,1} via LLM-as-Judge (HASIL: BENAR/SALAH)</t>
        </is>
      </c>
      <c r="E3055" s="3" t="inlineStr">
        <is>
          <t>BENAR</t>
        </is>
      </c>
      <c r="F3055" t="inlineStr">
        <is>
          <t>BENAR</t>
        </is>
      </c>
      <c r="G3055" s="3" t="inlineStr">
        <is>
          <t>evaluator: ollama/llama3</t>
        </is>
      </c>
    </row>
    <row r="3056">
      <c r="A3056" t="n">
        <v>207</v>
      </c>
      <c r="B3056" t="inlineStr">
        <is>
          <t>B</t>
        </is>
      </c>
      <c r="C3056" t="inlineStr">
        <is>
          <t>Faithfulness (Pers. 15)</t>
        </is>
      </c>
      <c r="D3056" s="3" t="inlineStr">
        <is>
          <t>F = 0,70×Entailment + 0,30×KWoverlap</t>
        </is>
      </c>
      <c r="E3056" s="3" t="inlineStr">
        <is>
          <t>Faithfulness = 0,70×Entailment + 0,30×KWoverlap = 0,70×0.8333 + 0,30×0.1876 = 0.6396  (entailment: 5/6 klaim didukung; KWoverlap = (|∩|/|ctx|)^0,65 = (24/315)^0,65 = 0.0762^0,65 = 0.1876)</t>
        </is>
      </c>
      <c r="F3056" t="n">
        <v>0.6395999999999999</v>
      </c>
      <c r="G3056" s="3" t="inlineStr">
        <is>
          <t>metode: llm_entailment + keyword</t>
        </is>
      </c>
    </row>
    <row r="3057">
      <c r="A3057" t="n">
        <v>207</v>
      </c>
      <c r="B3057" t="inlineStr">
        <is>
          <t>B</t>
        </is>
      </c>
      <c r="C3057" t="inlineStr">
        <is>
          <t>— Entailment (Pers. 12-13)</t>
        </is>
      </c>
      <c r="D3057" s="3" t="inlineStr">
        <is>
          <t>Entailment = Σverdict(sᵢ)/m</t>
        </is>
      </c>
      <c r="E3057" s="3" t="inlineStr">
        <is>
          <t>5 klaim YA dari 6 klaim dievaluasi</t>
        </is>
      </c>
      <c r="F3057" t="n">
        <v>0.8333</v>
      </c>
      <c r="G3057" s="3" t="inlineStr">
        <is>
          <t>verdict per klaim: sheet 'Entailment Detail'</t>
        </is>
      </c>
    </row>
    <row r="3058">
      <c r="A3058" t="n">
        <v>207</v>
      </c>
      <c r="B3058" t="inlineStr">
        <is>
          <t>B</t>
        </is>
      </c>
      <c r="C3058" t="inlineStr">
        <is>
          <t>— Keyword Overlap (Pers. 14)</t>
        </is>
      </c>
      <c r="D3058" s="3" t="inlineStr">
        <is>
          <t>KWoverlap = (|Stems(ans)∩Stems(ctx)| / |Stems(ctx)|)^0,65</t>
        </is>
      </c>
      <c r="E3058" s="3" t="inlineStr">
        <is>
          <t>KWoverlap = (|∩|/|ctx|)^0,65 = (24/315)^0,65 = 0.0762^0,65 = 0.1876</t>
        </is>
      </c>
      <c r="F3058" t="n">
        <v>0.1876</v>
      </c>
      <c r="G3058" s="3" t="inlineStr"/>
    </row>
    <row r="3059">
      <c r="A3059" t="n">
        <v>207</v>
      </c>
      <c r="B3059" t="inlineStr">
        <is>
          <t>B</t>
        </is>
      </c>
      <c r="C3059" t="inlineStr">
        <is>
          <t>Hallucination Risk (Pers. 18)</t>
        </is>
      </c>
      <c r="D3059" s="3" t="inlineStr">
        <is>
          <t>Risk = 0,65×(1-F) + 0,20×Contradiction + 0,15×Uncertainty</t>
        </is>
      </c>
      <c r="E3059" s="3" t="inlineStr">
        <is>
          <t>Risk = 0,65×OutOfContext + 0,20×Contradiction + 0,15×Uncertainty = 0,65×0.3604 + 0,20×0.0000 + 0,15×0.00 = 0.2343 [RENDAH]</t>
        </is>
      </c>
      <c r="F3059" t="n">
        <v>0.2343</v>
      </c>
      <c r="G3059" s="3" t="inlineStr">
        <is>
          <t>label: RENDAH; kontradiksi 0/9 kalimat; uncertainty flag: False</t>
        </is>
      </c>
    </row>
    <row r="3060">
      <c r="A3060" t="n">
        <v>207</v>
      </c>
      <c r="B3060" t="inlineStr">
        <is>
          <t>B</t>
        </is>
      </c>
      <c r="C3060" t="inlineStr">
        <is>
          <t>Answer Accuracy (Pers. 20)</t>
        </is>
      </c>
      <c r="D3060" s="3" t="inlineStr">
        <is>
          <t>Correctᵢ ∈ {0,1} via LLM-as-Judge (HASIL: BENAR/SALAH)</t>
        </is>
      </c>
      <c r="E3060" s="3" t="inlineStr">
        <is>
          <t>BENAR</t>
        </is>
      </c>
      <c r="F3060" t="inlineStr">
        <is>
          <t>BENAR</t>
        </is>
      </c>
      <c r="G3060" s="3" t="inlineStr">
        <is>
          <t>evaluator: ollama/llama3</t>
        </is>
      </c>
    </row>
    <row r="3061">
      <c r="A3061" t="n">
        <v>208</v>
      </c>
      <c r="B3061" t="inlineStr">
        <is>
          <t>A</t>
        </is>
      </c>
      <c r="C3061" t="inlineStr">
        <is>
          <t>Precision@K (Pers. 2)</t>
        </is>
      </c>
      <c r="D3061" s="3" t="inlineStr">
        <is>
          <t>Precision@K = |{d ∈ TopK : sim(q,d) ≥ θ}| / K</t>
        </is>
      </c>
      <c r="E3061" s="3" t="inlineStr">
        <is>
          <t>skor = [0.7311, 0.7282, 0.7271, 0.7269, 0.7202, 0.7172] → 6 / 6</t>
        </is>
      </c>
      <c r="F3061" t="n">
        <v>1</v>
      </c>
      <c r="G3061" s="3" t="inlineStr">
        <is>
          <t>basis: skor chunk nyata (sesuai contoh Pers. 2 skripsi)</t>
        </is>
      </c>
    </row>
    <row r="3062">
      <c r="A3062" t="n">
        <v>208</v>
      </c>
      <c r="B3062" t="inlineStr">
        <is>
          <t>A</t>
        </is>
      </c>
      <c r="C3062" t="inlineStr">
        <is>
          <t>Recall@K (Pers. 4)</t>
        </is>
      </c>
      <c r="D3062" s="3" t="inlineStr">
        <is>
          <t>Recall@K = |{kata kunci ditemukan : sim ≥ θ}| / |R|</t>
        </is>
      </c>
      <c r="E3062" s="3" t="inlineStr">
        <is>
          <t>skor = [0.5932, 0.5231, 0.5172, 0.5172, 0.4349, 0.4179] → 6 / 7</t>
        </is>
      </c>
      <c r="F3062" t="n">
        <v>0.8571</v>
      </c>
      <c r="G3062" s="3" t="inlineStr"/>
    </row>
    <row r="3063">
      <c r="A3063" t="n">
        <v>208</v>
      </c>
      <c r="B3063" t="inlineStr">
        <is>
          <t>A</t>
        </is>
      </c>
      <c r="C3063" t="inlineStr">
        <is>
          <t>Mean Similarity (Pers. 6)</t>
        </is>
      </c>
      <c r="D3063" s="3" t="inlineStr">
        <is>
          <t>MeanSim = (1/K) × Σ sim(q, dᵢ)</t>
        </is>
      </c>
      <c r="E3063" s="3" t="inlineStr">
        <is>
          <t>skor = [0.7311, 0.7282, 0.7271, 0.7269, 0.7202, 0.7172] → (0.7311 + 0.7282 + 0.7271 + 0.7269 + 0.7202 + 0.7172) / 6</t>
        </is>
      </c>
      <c r="F3063" t="n">
        <v>0.7251</v>
      </c>
      <c r="G3063" s="3" t="inlineStr"/>
    </row>
    <row r="3064">
      <c r="A3064" t="n">
        <v>208</v>
      </c>
      <c r="B3064" t="inlineStr">
        <is>
          <t>A</t>
        </is>
      </c>
      <c r="C3064" t="inlineStr">
        <is>
          <t>Coverage (Pers. 8)</t>
        </is>
      </c>
      <c r="D3064" s="3" t="inlineStr">
        <is>
          <t>Coverage = |{dᵢ ∈ TopK : sim(q,dᵢ) ≥ θc}| / K</t>
        </is>
      </c>
      <c r="E3064" s="3" t="inlineStr">
        <is>
          <t>skor = [0.7311, 0.7282, 0.7271, 0.7269, 0.7202, 0.7172] → 6 / 6</t>
        </is>
      </c>
      <c r="F3064" t="n">
        <v>1</v>
      </c>
      <c r="G3064" s="3" t="inlineStr"/>
    </row>
    <row r="3065">
      <c r="A3065" t="n">
        <v>208</v>
      </c>
      <c r="B3065" t="inlineStr">
        <is>
          <t>A</t>
        </is>
      </c>
      <c r="C3065" t="inlineStr">
        <is>
          <t>Source Diversity (Pers. 10)</t>
        </is>
      </c>
      <c r="D3065" s="3" t="inlineStr">
        <is>
          <t>Diversity = |sumber unik dalam TopK| / K</t>
        </is>
      </c>
      <c r="E3065" s="3" t="inlineStr">
        <is>
          <t>skor = ['2PAI.txt', '2PAR.txt', '2PGR.txt', '2TAR.txt', '2TGI.txt', '2TGR.txt'] → 6 / 6</t>
        </is>
      </c>
      <c r="F3065" t="n">
        <v>1</v>
      </c>
      <c r="G3065" s="3" t="inlineStr">
        <is>
          <t>file unik: 2PAI.txt, 2PAR.txt, 2PGR.txt, 2TAR.txt, 2TGI.txt, 2TGR.txt</t>
        </is>
      </c>
    </row>
    <row r="3066">
      <c r="A3066" t="n">
        <v>208</v>
      </c>
      <c r="B3066" t="inlineStr">
        <is>
          <t>A</t>
        </is>
      </c>
      <c r="C3066" t="inlineStr">
        <is>
          <t>Faithfulness (Pers. 15)</t>
        </is>
      </c>
      <c r="D3066" s="3" t="inlineStr">
        <is>
          <t>F = 0,70×Entailment + 0,30×KWoverlap</t>
        </is>
      </c>
      <c r="E3066" s="3" t="inlineStr">
        <is>
          <t>Faithfulness = 0,70×Entailment + 0,30×KWoverlap = 0,70×1.0000 + 0,30×0.3332 = 0.8000  (entailment: 6/6 klaim didukung; KWoverlap = (|∩|/|ctx|)^0,65 = (26/141)^0,65 = 0.1844^0,65 = 0.3332)</t>
        </is>
      </c>
      <c r="F3066" t="n">
        <v>0.8</v>
      </c>
      <c r="G3066" s="3" t="inlineStr">
        <is>
          <t>metode: llm_entailment + keyword</t>
        </is>
      </c>
    </row>
    <row r="3067">
      <c r="A3067" t="n">
        <v>208</v>
      </c>
      <c r="B3067" t="inlineStr">
        <is>
          <t>A</t>
        </is>
      </c>
      <c r="C3067" t="inlineStr">
        <is>
          <t>— Entailment (Pers. 12-13)</t>
        </is>
      </c>
      <c r="D3067" s="3" t="inlineStr">
        <is>
          <t>Entailment = Σverdict(sᵢ)/m</t>
        </is>
      </c>
      <c r="E3067" s="3" t="inlineStr">
        <is>
          <t>6 klaim YA dari 6 klaim dievaluasi</t>
        </is>
      </c>
      <c r="F3067" t="n">
        <v>1</v>
      </c>
      <c r="G3067" s="3" t="inlineStr">
        <is>
          <t>verdict per klaim: sheet 'Entailment Detail'</t>
        </is>
      </c>
    </row>
    <row r="3068">
      <c r="A3068" t="n">
        <v>208</v>
      </c>
      <c r="B3068" t="inlineStr">
        <is>
          <t>A</t>
        </is>
      </c>
      <c r="C3068" t="inlineStr">
        <is>
          <t>— Keyword Overlap (Pers. 14)</t>
        </is>
      </c>
      <c r="D3068" s="3" t="inlineStr">
        <is>
          <t>KWoverlap = (|Stems(ans)∩Stems(ctx)| / |Stems(ctx)|)^0,65</t>
        </is>
      </c>
      <c r="E3068" s="3" t="inlineStr">
        <is>
          <t>KWoverlap = (|∩|/|ctx|)^0,65 = (26/141)^0,65 = 0.1844^0,65 = 0.3332</t>
        </is>
      </c>
      <c r="F3068" t="n">
        <v>0.3332</v>
      </c>
      <c r="G3068" s="3" t="inlineStr"/>
    </row>
    <row r="3069">
      <c r="A3069" t="n">
        <v>208</v>
      </c>
      <c r="B3069" t="inlineStr">
        <is>
          <t>A</t>
        </is>
      </c>
      <c r="C3069" t="inlineStr">
        <is>
          <t>Hallucination Risk (Pers. 18)</t>
        </is>
      </c>
      <c r="D3069" s="3" t="inlineStr">
        <is>
          <t>Risk = 0,65×(1-F) + 0,20×Contradiction + 0,15×Uncertainty</t>
        </is>
      </c>
      <c r="E3069" s="3" t="inlineStr">
        <is>
          <t>Risk = 0,65×OutOfContext + 0,20×Contradiction + 0,15×Uncertainty = 0,65×0.2000 + 0,20×0.0000 + 0,15×0.00 = 0.1300 [RENDAH]</t>
        </is>
      </c>
      <c r="F3069" t="n">
        <v>0.13</v>
      </c>
      <c r="G3069" s="3" t="inlineStr">
        <is>
          <t>label: RENDAH; kontradiksi 0/12 kalimat; uncertainty flag: False</t>
        </is>
      </c>
    </row>
    <row r="3070">
      <c r="A3070" t="n">
        <v>208</v>
      </c>
      <c r="B3070" t="inlineStr">
        <is>
          <t>B</t>
        </is>
      </c>
      <c r="C3070" t="inlineStr">
        <is>
          <t>Faithfulness (Pers. 15)</t>
        </is>
      </c>
      <c r="D3070" s="3" t="inlineStr">
        <is>
          <t>F = 0,70×Entailment + 0,30×KWoverlap</t>
        </is>
      </c>
      <c r="E3070" s="3" t="inlineStr">
        <is>
          <t>Faithfulness = 0,70×Entailment + 0,30×KWoverlap = 0,70×1.0000 + 0,30×0.1905 = 0.7572  (entailment: 6/6 klaim didukung; KWoverlap = (|∩|/|ctx|)^0,65 = (11/141)^0,65 = 0.0780^0,65 = 0.1905)</t>
        </is>
      </c>
      <c r="F3070" t="n">
        <v>0.7572</v>
      </c>
      <c r="G3070" s="3" t="inlineStr">
        <is>
          <t>metode: llm_entailment + keyword</t>
        </is>
      </c>
    </row>
    <row r="3071">
      <c r="A3071" t="n">
        <v>208</v>
      </c>
      <c r="B3071" t="inlineStr">
        <is>
          <t>B</t>
        </is>
      </c>
      <c r="C3071" t="inlineStr">
        <is>
          <t>— Entailment (Pers. 12-13)</t>
        </is>
      </c>
      <c r="D3071" s="3" t="inlineStr">
        <is>
          <t>Entailment = Σverdict(sᵢ)/m</t>
        </is>
      </c>
      <c r="E3071" s="3" t="inlineStr">
        <is>
          <t>6 klaim YA dari 6 klaim dievaluasi</t>
        </is>
      </c>
      <c r="F3071" t="n">
        <v>1</v>
      </c>
      <c r="G3071" s="3" t="inlineStr">
        <is>
          <t>verdict per klaim: sheet 'Entailment Detail'</t>
        </is>
      </c>
    </row>
    <row r="3072">
      <c r="A3072" t="n">
        <v>208</v>
      </c>
      <c r="B3072" t="inlineStr">
        <is>
          <t>B</t>
        </is>
      </c>
      <c r="C3072" t="inlineStr">
        <is>
          <t>— Keyword Overlap (Pers. 14)</t>
        </is>
      </c>
      <c r="D3072" s="3" t="inlineStr">
        <is>
          <t>KWoverlap = (|Stems(ans)∩Stems(ctx)| / |Stems(ctx)|)^0,65</t>
        </is>
      </c>
      <c r="E3072" s="3" t="inlineStr">
        <is>
          <t>KWoverlap = (|∩|/|ctx|)^0,65 = (11/141)^0,65 = 0.0780^0,65 = 0.1905</t>
        </is>
      </c>
      <c r="F3072" t="n">
        <v>0.1905</v>
      </c>
      <c r="G3072" s="3" t="inlineStr"/>
    </row>
    <row r="3073">
      <c r="A3073" t="n">
        <v>208</v>
      </c>
      <c r="B3073" t="inlineStr">
        <is>
          <t>B</t>
        </is>
      </c>
      <c r="C3073" t="inlineStr">
        <is>
          <t>Hallucination Risk (Pers. 18)</t>
        </is>
      </c>
      <c r="D3073" s="3" t="inlineStr">
        <is>
          <t>Risk = 0,65×(1-F) + 0,20×Contradiction + 0,15×Uncertainty</t>
        </is>
      </c>
      <c r="E3073" s="3" t="inlineStr">
        <is>
          <t>Risk = 0,65×OutOfContext + 0,20×Contradiction + 0,15×Uncertainty = 0,65×0.2428 + 0,20×0.0000 + 0,15×0.00 = 0.1578 [RENDAH]</t>
        </is>
      </c>
      <c r="F3073" t="n">
        <v>0.1578</v>
      </c>
      <c r="G3073" s="3" t="inlineStr">
        <is>
          <t>label: RENDAH; kontradiksi 0/13 kalimat; uncertainty flag: False</t>
        </is>
      </c>
    </row>
    <row r="3074">
      <c r="A3074" t="n">
        <v>208</v>
      </c>
      <c r="B3074" t="inlineStr">
        <is>
          <t>B</t>
        </is>
      </c>
      <c r="C3074" t="inlineStr">
        <is>
          <t>Answer Accuracy (Pers. 20)</t>
        </is>
      </c>
      <c r="D3074" s="3" t="inlineStr">
        <is>
          <t>Correctᵢ ∈ {0,1} via LLM-as-Judge (HASIL: BENAR/SALAH)</t>
        </is>
      </c>
      <c r="E3074" s="3" t="inlineStr">
        <is>
          <t>Rationale:
The question asks about the benefits of CT (Computer Tomography) and how to train its "transfer learning" capability, while the reference provided is not related to CT but rather describes different types of cognitive processes (2TGR, 2TAR, and 2PGR).
Although the answer mentions "pilar 5 dalam AADP", it does not provide a clear connection between this pillar and the concept of transf</t>
        </is>
      </c>
      <c r="F3074" t="inlineStr">
        <is>
          <t>SALAH</t>
        </is>
      </c>
      <c r="G3074" s="3" t="inlineStr">
        <is>
          <t>evaluator: ollama/llama3</t>
        </is>
      </c>
    </row>
    <row r="3075">
      <c r="A3075" t="n">
        <v>209</v>
      </c>
      <c r="B3075" t="inlineStr">
        <is>
          <t>A</t>
        </is>
      </c>
      <c r="C3075" t="inlineStr">
        <is>
          <t>Precision@K (Pers. 2)</t>
        </is>
      </c>
      <c r="D3075" s="3" t="inlineStr">
        <is>
          <t>Precision@K = |{d ∈ TopK : sim(q,d) ≥ θ}| / K</t>
        </is>
      </c>
      <c r="E3075" s="3" t="inlineStr">
        <is>
          <t>skor = [0.7614, 0.7498, 0.7497, 0.7404, 0.7397, 0.737] → 6 / 6</t>
        </is>
      </c>
      <c r="F3075" t="n">
        <v>1</v>
      </c>
      <c r="G3075" s="3" t="inlineStr">
        <is>
          <t>basis: skor chunk nyata (sesuai contoh Pers. 2 skripsi)</t>
        </is>
      </c>
    </row>
    <row r="3076">
      <c r="A3076" t="n">
        <v>209</v>
      </c>
      <c r="B3076" t="inlineStr">
        <is>
          <t>A</t>
        </is>
      </c>
      <c r="C3076" t="inlineStr">
        <is>
          <t>Recall@K (Pers. 4)</t>
        </is>
      </c>
      <c r="D3076" s="3" t="inlineStr">
        <is>
          <t>Recall@K = |{kata kunci ditemukan : sim ≥ θ}| / |R|</t>
        </is>
      </c>
      <c r="E3076" s="3" t="inlineStr">
        <is>
          <t>skor = [0.7313, 0.667, 0.5655, 0.5427, 0.5427, 0.4608] → 6 / 7</t>
        </is>
      </c>
      <c r="F3076" t="n">
        <v>0.8571</v>
      </c>
      <c r="G3076" s="3" t="inlineStr"/>
    </row>
    <row r="3077">
      <c r="A3077" t="n">
        <v>209</v>
      </c>
      <c r="B3077" t="inlineStr">
        <is>
          <t>A</t>
        </is>
      </c>
      <c r="C3077" t="inlineStr">
        <is>
          <t>Mean Similarity (Pers. 6)</t>
        </is>
      </c>
      <c r="D3077" s="3" t="inlineStr">
        <is>
          <t>MeanSim = (1/K) × Σ sim(q, dᵢ)</t>
        </is>
      </c>
      <c r="E3077" s="3" t="inlineStr">
        <is>
          <t>skor = [0.7614, 0.7498, 0.7497, 0.7404, 0.7397, 0.737] → (0.7614 + 0.7498 + 0.7497 + 0.7404 + 0.7397 + 0.7370) / 6</t>
        </is>
      </c>
      <c r="F3077" t="n">
        <v>0.7463</v>
      </c>
      <c r="G3077" s="3" t="inlineStr"/>
    </row>
    <row r="3078">
      <c r="A3078" t="n">
        <v>209</v>
      </c>
      <c r="B3078" t="inlineStr">
        <is>
          <t>A</t>
        </is>
      </c>
      <c r="C3078" t="inlineStr">
        <is>
          <t>Coverage (Pers. 8)</t>
        </is>
      </c>
      <c r="D3078" s="3" t="inlineStr">
        <is>
          <t>Coverage = |{dᵢ ∈ TopK : sim(q,dᵢ) ≥ θc}| / K</t>
        </is>
      </c>
      <c r="E3078" s="3" t="inlineStr">
        <is>
          <t>skor = [0.7614, 0.7498, 0.7497, 0.7404, 0.7397, 0.737] → 6 / 6</t>
        </is>
      </c>
      <c r="F3078" t="n">
        <v>1</v>
      </c>
      <c r="G3078" s="3" t="inlineStr"/>
    </row>
    <row r="3079">
      <c r="A3079" t="n">
        <v>209</v>
      </c>
      <c r="B3079" t="inlineStr">
        <is>
          <t>A</t>
        </is>
      </c>
      <c r="C3079" t="inlineStr">
        <is>
          <t>Source Diversity (Pers. 10)</t>
        </is>
      </c>
      <c r="D3079" s="3" t="inlineStr">
        <is>
          <t>Diversity = |sumber unik dalam TopK| / K</t>
        </is>
      </c>
      <c r="E3079" s="3" t="inlineStr">
        <is>
          <t>skor = ['GT_CT01.txt', 'GT_CT03.txt', 'GT_CT06.txt', 'GT_CT13.txt', 'GT_DETAIL_PT06_Block_Programming.txt'] → 5 / 6</t>
        </is>
      </c>
      <c r="F3079" t="n">
        <v>0.8333</v>
      </c>
      <c r="G3079" s="3" t="inlineStr">
        <is>
          <t>file unik: GT_CT01.txt, GT_CT03.txt, GT_CT06.txt, GT_CT13.txt, GT_DETAIL_PT06_Block_Programming.txt</t>
        </is>
      </c>
    </row>
    <row r="3080">
      <c r="A3080" t="n">
        <v>209</v>
      </c>
      <c r="B3080" t="inlineStr">
        <is>
          <t>A</t>
        </is>
      </c>
      <c r="C3080" t="inlineStr">
        <is>
          <t>Faithfulness (Pers. 15)</t>
        </is>
      </c>
      <c r="D3080" s="3" t="inlineStr">
        <is>
          <t>F = 0,70×Entailment + 0,30×KWoverlap</t>
        </is>
      </c>
      <c r="E3080" s="3" t="inlineStr">
        <is>
          <t>Faithfulness = 0,70×Entailment + 0,30×KWoverlap = 0,70×1.0000 + 0,30×0.2278 = 0.7684  (entailment: 6/6 klaim didukung; KWoverlap = (|∩|/|ctx|)^0,65 = (30/292)^0,65 = 0.1027^0,65 = 0.2278)</t>
        </is>
      </c>
      <c r="F3080" t="n">
        <v>0.7684</v>
      </c>
      <c r="G3080" s="3" t="inlineStr">
        <is>
          <t>metode: llm_entailment + keyword</t>
        </is>
      </c>
    </row>
    <row r="3081">
      <c r="A3081" t="n">
        <v>209</v>
      </c>
      <c r="B3081" t="inlineStr">
        <is>
          <t>A</t>
        </is>
      </c>
      <c r="C3081" t="inlineStr">
        <is>
          <t>— Entailment (Pers. 12-13)</t>
        </is>
      </c>
      <c r="D3081" s="3" t="inlineStr">
        <is>
          <t>Entailment = Σverdict(sᵢ)/m</t>
        </is>
      </c>
      <c r="E3081" s="3" t="inlineStr">
        <is>
          <t>6 klaim YA dari 6 klaim dievaluasi</t>
        </is>
      </c>
      <c r="F3081" t="n">
        <v>1</v>
      </c>
      <c r="G3081" s="3" t="inlineStr">
        <is>
          <t>verdict per klaim: sheet 'Entailment Detail'</t>
        </is>
      </c>
    </row>
    <row r="3082">
      <c r="A3082" t="n">
        <v>209</v>
      </c>
      <c r="B3082" t="inlineStr">
        <is>
          <t>A</t>
        </is>
      </c>
      <c r="C3082" t="inlineStr">
        <is>
          <t>— Keyword Overlap (Pers. 14)</t>
        </is>
      </c>
      <c r="D3082" s="3" t="inlineStr">
        <is>
          <t>KWoverlap = (|Stems(ans)∩Stems(ctx)| / |Stems(ctx)|)^0,65</t>
        </is>
      </c>
      <c r="E3082" s="3" t="inlineStr">
        <is>
          <t>KWoverlap = (|∩|/|ctx|)^0,65 = (30/292)^0,65 = 0.1027^0,65 = 0.2278</t>
        </is>
      </c>
      <c r="F3082" t="n">
        <v>0.2278</v>
      </c>
      <c r="G3082" s="3" t="inlineStr"/>
    </row>
    <row r="3083">
      <c r="A3083" t="n">
        <v>209</v>
      </c>
      <c r="B3083" t="inlineStr">
        <is>
          <t>A</t>
        </is>
      </c>
      <c r="C3083" t="inlineStr">
        <is>
          <t>Hallucination Risk (Pers. 18)</t>
        </is>
      </c>
      <c r="D3083" s="3" t="inlineStr">
        <is>
          <t>Risk = 0,65×(1-F) + 0,20×Contradiction + 0,15×Uncertainty</t>
        </is>
      </c>
      <c r="E3083" s="3" t="inlineStr">
        <is>
          <t>Risk = 0,65×OutOfContext + 0,20×Contradiction + 0,15×Uncertainty = 0,65×0.2316 + 0,20×0.0000 + 0,15×0.20 = 0.1805 [RENDAH]</t>
        </is>
      </c>
      <c r="F3083" t="n">
        <v>0.1805</v>
      </c>
      <c r="G3083" s="3" t="inlineStr">
        <is>
          <t>label: RENDAH; kontradiksi 0/10 kalimat; uncertainty flag: True</t>
        </is>
      </c>
    </row>
    <row r="3084">
      <c r="A3084" t="n">
        <v>209</v>
      </c>
      <c r="B3084" t="inlineStr">
        <is>
          <t>A</t>
        </is>
      </c>
      <c r="C3084" t="inlineStr">
        <is>
          <t>Answer Accuracy (Pers. 20)</t>
        </is>
      </c>
      <c r="D3084" s="3" t="inlineStr">
        <is>
          <t>Correctᵢ ∈ {0,1} via LLM-as-Judge (HASIL: BENAR/SALAH)</t>
        </is>
      </c>
      <c r="E3084" s="3" t="inlineStr">
        <is>
          <t>BENAR
Alasan: Jawaban sistem menjelaskan bahwa debugging kode dapat diterapkan dengan pendekatan Computational Thinking (CT) melalui dekomposisi masalah besar menjadi sub-masalah yang lebih kecil, sesuai dengan konsep dekomposisi dalam CT. Hal ini sejalan dengan referensi dari dokumen materi GT yang menjelaskan bahwa dekomposisi adalah proses memecahkan masalah besar menjadi submasalah yang lebih</t>
        </is>
      </c>
      <c r="F3084" t="inlineStr">
        <is>
          <t>BENAR</t>
        </is>
      </c>
      <c r="G3084" s="3" t="inlineStr">
        <is>
          <t>evaluator: ollama/llama3</t>
        </is>
      </c>
    </row>
    <row r="3085">
      <c r="A3085" t="n">
        <v>209</v>
      </c>
      <c r="B3085" t="inlineStr">
        <is>
          <t>B</t>
        </is>
      </c>
      <c r="C3085" t="inlineStr">
        <is>
          <t>Faithfulness (Pers. 15)</t>
        </is>
      </c>
      <c r="D3085" s="3" t="inlineStr">
        <is>
          <t>F = 0,70×Entailment + 0,30×KWoverlap</t>
        </is>
      </c>
      <c r="E3085" s="3" t="inlineStr">
        <is>
          <t>Faithfulness = 0,70×Entailment + 0,30×KWoverlap = 0,70×1.0000 + 0,30×0.2424 = 0.7727  (entailment: 6/6 klaim didukung; KWoverlap = (|∩|/|ctx|)^0,65 = (33/292)^0,65 = 0.1130^0,65 = 0.2424)</t>
        </is>
      </c>
      <c r="F3085" t="n">
        <v>0.7727000000000001</v>
      </c>
      <c r="G3085" s="3" t="inlineStr">
        <is>
          <t>metode: llm_entailment + keyword</t>
        </is>
      </c>
    </row>
    <row r="3086">
      <c r="A3086" t="n">
        <v>209</v>
      </c>
      <c r="B3086" t="inlineStr">
        <is>
          <t>B</t>
        </is>
      </c>
      <c r="C3086" t="inlineStr">
        <is>
          <t>— Entailment (Pers. 12-13)</t>
        </is>
      </c>
      <c r="D3086" s="3" t="inlineStr">
        <is>
          <t>Entailment = Σverdict(sᵢ)/m</t>
        </is>
      </c>
      <c r="E3086" s="3" t="inlineStr">
        <is>
          <t>6 klaim YA dari 6 klaim dievaluasi</t>
        </is>
      </c>
      <c r="F3086" t="n">
        <v>1</v>
      </c>
      <c r="G3086" s="3" t="inlineStr">
        <is>
          <t>verdict per klaim: sheet 'Entailment Detail'</t>
        </is>
      </c>
    </row>
    <row r="3087">
      <c r="A3087" t="n">
        <v>209</v>
      </c>
      <c r="B3087" t="inlineStr">
        <is>
          <t>B</t>
        </is>
      </c>
      <c r="C3087" t="inlineStr">
        <is>
          <t>— Keyword Overlap (Pers. 14)</t>
        </is>
      </c>
      <c r="D3087" s="3" t="inlineStr">
        <is>
          <t>KWoverlap = (|Stems(ans)∩Stems(ctx)| / |Stems(ctx)|)^0,65</t>
        </is>
      </c>
      <c r="E3087" s="3" t="inlineStr">
        <is>
          <t>KWoverlap = (|∩|/|ctx|)^0,65 = (33/292)^0,65 = 0.1130^0,65 = 0.2424</t>
        </is>
      </c>
      <c r="F3087" t="n">
        <v>0.2424</v>
      </c>
      <c r="G3087" s="3" t="inlineStr"/>
    </row>
    <row r="3088">
      <c r="A3088" t="n">
        <v>209</v>
      </c>
      <c r="B3088" t="inlineStr">
        <is>
          <t>B</t>
        </is>
      </c>
      <c r="C3088" t="inlineStr">
        <is>
          <t>Hallucination Risk (Pers. 18)</t>
        </is>
      </c>
      <c r="D3088" s="3" t="inlineStr">
        <is>
          <t>Risk = 0,65×(1-F) + 0,20×Contradiction + 0,15×Uncertainty</t>
        </is>
      </c>
      <c r="E3088" s="3" t="inlineStr">
        <is>
          <t>Risk = 0,65×OutOfContext + 0,20×Contradiction + 0,15×Uncertainty = 0,65×0.2273 + 0,20×0.0000 + 0,15×0.00 = 0.1477 [RENDAH]</t>
        </is>
      </c>
      <c r="F3088" t="n">
        <v>0.1477</v>
      </c>
      <c r="G3088" s="3" t="inlineStr">
        <is>
          <t>label: RENDAH; kontradiksi 0/17 kalimat; uncertainty flag: False</t>
        </is>
      </c>
    </row>
    <row r="3089">
      <c r="A3089" t="n">
        <v>209</v>
      </c>
      <c r="B3089" t="inlineStr">
        <is>
          <t>B</t>
        </is>
      </c>
      <c r="C3089" t="inlineStr">
        <is>
          <t>Answer Accuracy (Pers. 20)</t>
        </is>
      </c>
      <c r="D3089" s="3" t="inlineStr">
        <is>
          <t>Correctᵢ ∈ {0,1} via LLM-as-Judge (HASIL: BENAR/SALAH)</t>
        </is>
      </c>
      <c r="E3089" s="3" t="inlineStr">
        <is>
          <t>BENAR</t>
        </is>
      </c>
      <c r="F3089" t="inlineStr">
        <is>
          <t>BENAR</t>
        </is>
      </c>
      <c r="G3089" s="3" t="inlineStr">
        <is>
          <t>evaluator: ollama/llama3</t>
        </is>
      </c>
    </row>
    <row r="3090">
      <c r="A3090" t="n">
        <v>210</v>
      </c>
      <c r="B3090" t="inlineStr">
        <is>
          <t>A</t>
        </is>
      </c>
      <c r="C3090" t="inlineStr">
        <is>
          <t>Precision@K (Pers. 2)</t>
        </is>
      </c>
      <c r="D3090" s="3" t="inlineStr">
        <is>
          <t>Precision@K = |{d ∈ TopK : sim(q,d) ≥ θ}| / K</t>
        </is>
      </c>
      <c r="E3090" s="3" t="inlineStr">
        <is>
          <t>skor = [0.7881, 0.7853, 0.7596, 0.7595, 0.7592, 0.7592] → 6 / 6</t>
        </is>
      </c>
      <c r="F3090" t="n">
        <v>1</v>
      </c>
      <c r="G3090" s="3" t="inlineStr">
        <is>
          <t>basis: skor chunk nyata (sesuai contoh Pers. 2 skripsi)</t>
        </is>
      </c>
    </row>
    <row r="3091">
      <c r="A3091" t="n">
        <v>210</v>
      </c>
      <c r="B3091" t="inlineStr">
        <is>
          <t>A</t>
        </is>
      </c>
      <c r="C3091" t="inlineStr">
        <is>
          <t>Recall@K (Pers. 4)</t>
        </is>
      </c>
      <c r="D3091" s="3" t="inlineStr">
        <is>
          <t>Recall@K = |{kata kunci ditemukan : sim ≥ θ}| / |R|</t>
        </is>
      </c>
      <c r="E3091" s="3" t="inlineStr">
        <is>
          <t>skor = [0.557, 0.538, 0.5006, 0.4867, 0.4867, 0.4139] → 6 / 7</t>
        </is>
      </c>
      <c r="F3091" t="n">
        <v>0.8571</v>
      </c>
      <c r="G3091" s="3" t="inlineStr"/>
    </row>
    <row r="3092">
      <c r="A3092" t="n">
        <v>210</v>
      </c>
      <c r="B3092" t="inlineStr">
        <is>
          <t>A</t>
        </is>
      </c>
      <c r="C3092" t="inlineStr">
        <is>
          <t>Mean Similarity (Pers. 6)</t>
        </is>
      </c>
      <c r="D3092" s="3" t="inlineStr">
        <is>
          <t>MeanSim = (1/K) × Σ sim(q, dᵢ)</t>
        </is>
      </c>
      <c r="E3092" s="3" t="inlineStr">
        <is>
          <t>skor = [0.7881, 0.7853, 0.7596, 0.7595, 0.7592, 0.7592] → (0.7881 + 0.7853 + 0.7596 + 0.7595 + 0.7592 + 0.7592) / 6</t>
        </is>
      </c>
      <c r="F3092" t="n">
        <v>0.7685</v>
      </c>
      <c r="G3092" s="3" t="inlineStr"/>
    </row>
    <row r="3093">
      <c r="A3093" t="n">
        <v>210</v>
      </c>
      <c r="B3093" t="inlineStr">
        <is>
          <t>A</t>
        </is>
      </c>
      <c r="C3093" t="inlineStr">
        <is>
          <t>Coverage (Pers. 8)</t>
        </is>
      </c>
      <c r="D3093" s="3" t="inlineStr">
        <is>
          <t>Coverage = |{dᵢ ∈ TopK : sim(q,dᵢ) ≥ θc}| / K</t>
        </is>
      </c>
      <c r="E3093" s="3" t="inlineStr">
        <is>
          <t>skor = [0.7881, 0.7853, 0.7596, 0.7595, 0.7592, 0.7592] → 6 / 6</t>
        </is>
      </c>
      <c r="F3093" t="n">
        <v>1</v>
      </c>
      <c r="G3093" s="3" t="inlineStr"/>
    </row>
    <row r="3094">
      <c r="A3094" t="n">
        <v>210</v>
      </c>
      <c r="B3094" t="inlineStr">
        <is>
          <t>A</t>
        </is>
      </c>
      <c r="C3094" t="inlineStr">
        <is>
          <t>Source Diversity (Pers. 10)</t>
        </is>
      </c>
      <c r="D3094" s="3" t="inlineStr">
        <is>
          <t>Diversity = |sumber unik dalam TopK| / K</t>
        </is>
      </c>
      <c r="E3094" s="3" t="inlineStr">
        <is>
          <t>skor = ['5PGI.txt', '6PGR.txt', '6TAI.txt', 'GT_CT01.txt', 'GT_CT03.txt', 'GT_SUBTOPIK_02_Abstraksi_Formulasi.txt'] → 6 / 6</t>
        </is>
      </c>
      <c r="F3094" t="n">
        <v>1</v>
      </c>
      <c r="G3094" s="3" t="inlineStr">
        <is>
          <t>file unik: 5PGI.txt, 6PGR.txt, 6TAI.txt, GT_CT01.txt, GT_CT03.txt, GT_SUBTOPIK_02_Abstraksi_Formulasi.txt</t>
        </is>
      </c>
    </row>
    <row r="3095">
      <c r="A3095" t="n">
        <v>210</v>
      </c>
      <c r="B3095" t="inlineStr">
        <is>
          <t>A</t>
        </is>
      </c>
      <c r="C3095" t="inlineStr">
        <is>
          <t>Faithfulness (Pers. 15)</t>
        </is>
      </c>
      <c r="D3095" s="3" t="inlineStr">
        <is>
          <t>F = 0,70×Entailment + 0,30×KWoverlap</t>
        </is>
      </c>
      <c r="E3095" s="3" t="inlineStr">
        <is>
          <t>Faithfulness = 0,70×Entailment + 0,30×KWoverlap = 0,70×1.0000 + 0,30×0.2945 = 0.7883  (entailment: 6/6 klaim didukung; KWoverlap = (|∩|/|ctx|)^0,65 = (34/223)^0,65 = 0.1525^0,65 = 0.2945)</t>
        </is>
      </c>
      <c r="F3095" t="n">
        <v>0.7883</v>
      </c>
      <c r="G3095" s="3" t="inlineStr">
        <is>
          <t>metode: llm_entailment + keyword</t>
        </is>
      </c>
    </row>
    <row r="3096">
      <c r="A3096" t="n">
        <v>210</v>
      </c>
      <c r="B3096" t="inlineStr">
        <is>
          <t>A</t>
        </is>
      </c>
      <c r="C3096" t="inlineStr">
        <is>
          <t>— Entailment (Pers. 12-13)</t>
        </is>
      </c>
      <c r="D3096" s="3" t="inlineStr">
        <is>
          <t>Entailment = Σverdict(sᵢ)/m</t>
        </is>
      </c>
      <c r="E3096" s="3" t="inlineStr">
        <is>
          <t>6 klaim YA dari 6 klaim dievaluasi</t>
        </is>
      </c>
      <c r="F3096" t="n">
        <v>1</v>
      </c>
      <c r="G3096" s="3" t="inlineStr">
        <is>
          <t>verdict per klaim: sheet 'Entailment Detail'</t>
        </is>
      </c>
    </row>
    <row r="3097">
      <c r="A3097" t="n">
        <v>210</v>
      </c>
      <c r="B3097" t="inlineStr">
        <is>
          <t>A</t>
        </is>
      </c>
      <c r="C3097" t="inlineStr">
        <is>
          <t>— Keyword Overlap (Pers. 14)</t>
        </is>
      </c>
      <c r="D3097" s="3" t="inlineStr">
        <is>
          <t>KWoverlap = (|Stems(ans)∩Stems(ctx)| / |Stems(ctx)|)^0,65</t>
        </is>
      </c>
      <c r="E3097" s="3" t="inlineStr">
        <is>
          <t>KWoverlap = (|∩|/|ctx|)^0,65 = (34/223)^0,65 = 0.1525^0,65 = 0.2945</t>
        </is>
      </c>
      <c r="F3097" t="n">
        <v>0.2945</v>
      </c>
      <c r="G3097" s="3" t="inlineStr"/>
    </row>
    <row r="3098">
      <c r="A3098" t="n">
        <v>210</v>
      </c>
      <c r="B3098" t="inlineStr">
        <is>
          <t>A</t>
        </is>
      </c>
      <c r="C3098" t="inlineStr">
        <is>
          <t>Hallucination Risk (Pers. 18)</t>
        </is>
      </c>
      <c r="D3098" s="3" t="inlineStr">
        <is>
          <t>Risk = 0,65×(1-F) + 0,20×Contradiction + 0,15×Uncertainty</t>
        </is>
      </c>
      <c r="E3098" s="3" t="inlineStr">
        <is>
          <t>Risk = 0,65×OutOfContext + 0,20×Contradiction + 0,15×Uncertainty = 0,65×0.2117 + 0,20×0.0000 + 0,15×0.00 = 0.1376 [RENDAH]</t>
        </is>
      </c>
      <c r="F3098" t="n">
        <v>0.1376</v>
      </c>
      <c r="G3098" s="3" t="inlineStr">
        <is>
          <t>label: RENDAH; kontradiksi 0/9 kalimat; uncertainty flag: False</t>
        </is>
      </c>
    </row>
    <row r="3099">
      <c r="A3099" t="n">
        <v>210</v>
      </c>
      <c r="B3099" t="inlineStr">
        <is>
          <t>A</t>
        </is>
      </c>
      <c r="C3099" t="inlineStr">
        <is>
          <t>Answer Accuracy (Pers. 20)</t>
        </is>
      </c>
      <c r="D3099" s="3" t="inlineStr">
        <is>
          <t>Correctᵢ ∈ {0,1} via LLM-as-Judge (HASIL: BENAR/SALAH)</t>
        </is>
      </c>
      <c r="E3099" s="3" t="inlineStr">
        <is>
          <t>BENAR</t>
        </is>
      </c>
      <c r="F3099" t="inlineStr">
        <is>
          <t>BENAR</t>
        </is>
      </c>
      <c r="G3099" s="3" t="inlineStr">
        <is>
          <t>evaluator: ollama/llama3</t>
        </is>
      </c>
    </row>
    <row r="3100">
      <c r="A3100" t="n">
        <v>210</v>
      </c>
      <c r="B3100" t="inlineStr">
        <is>
          <t>B</t>
        </is>
      </c>
      <c r="C3100" t="inlineStr">
        <is>
          <t>Faithfulness (Pers. 15)</t>
        </is>
      </c>
      <c r="D3100" s="3" t="inlineStr">
        <is>
          <t>F = 0,70×Entailment + 0,30×KWoverlap</t>
        </is>
      </c>
      <c r="E3100" s="3" t="inlineStr">
        <is>
          <t>Faithfulness = 0,70×Entailment + 0,30×KWoverlap = 0,70×1.0000 + 0,30×0.2153 = 0.7646  (entailment: 6/6 klaim didukung; KWoverlap = (|∩|/|ctx|)^0,65 = (21/223)^0,65 = 0.0942^0,65 = 0.2153)</t>
        </is>
      </c>
      <c r="F3100" t="n">
        <v>0.7645999999999999</v>
      </c>
      <c r="G3100" s="3" t="inlineStr">
        <is>
          <t>metode: llm_entailment + keyword</t>
        </is>
      </c>
    </row>
    <row r="3101">
      <c r="A3101" t="n">
        <v>210</v>
      </c>
      <c r="B3101" t="inlineStr">
        <is>
          <t>B</t>
        </is>
      </c>
      <c r="C3101" t="inlineStr">
        <is>
          <t>— Entailment (Pers. 12-13)</t>
        </is>
      </c>
      <c r="D3101" s="3" t="inlineStr">
        <is>
          <t>Entailment = Σverdict(sᵢ)/m</t>
        </is>
      </c>
      <c r="E3101" s="3" t="inlineStr">
        <is>
          <t>6 klaim YA dari 6 klaim dievaluasi</t>
        </is>
      </c>
      <c r="F3101" t="n">
        <v>1</v>
      </c>
      <c r="G3101" s="3" t="inlineStr">
        <is>
          <t>verdict per klaim: sheet 'Entailment Detail'</t>
        </is>
      </c>
    </row>
    <row r="3102">
      <c r="A3102" t="n">
        <v>210</v>
      </c>
      <c r="B3102" t="inlineStr">
        <is>
          <t>B</t>
        </is>
      </c>
      <c r="C3102" t="inlineStr">
        <is>
          <t>— Keyword Overlap (Pers. 14)</t>
        </is>
      </c>
      <c r="D3102" s="3" t="inlineStr">
        <is>
          <t>KWoverlap = (|Stems(ans)∩Stems(ctx)| / |Stems(ctx)|)^0,65</t>
        </is>
      </c>
      <c r="E3102" s="3" t="inlineStr">
        <is>
          <t>KWoverlap = (|∩|/|ctx|)^0,65 = (21/223)^0,65 = 0.0942^0,65 = 0.2153</t>
        </is>
      </c>
      <c r="F3102" t="n">
        <v>0.2153</v>
      </c>
      <c r="G3102" s="3" t="inlineStr"/>
    </row>
    <row r="3103">
      <c r="A3103" t="n">
        <v>210</v>
      </c>
      <c r="B3103" t="inlineStr">
        <is>
          <t>B</t>
        </is>
      </c>
      <c r="C3103" t="inlineStr">
        <is>
          <t>Hallucination Risk (Pers. 18)</t>
        </is>
      </c>
      <c r="D3103" s="3" t="inlineStr">
        <is>
          <t>Risk = 0,65×(1-F) + 0,20×Contradiction + 0,15×Uncertainty</t>
        </is>
      </c>
      <c r="E3103" s="3" t="inlineStr">
        <is>
          <t>Risk = 0,65×OutOfContext + 0,20×Contradiction + 0,15×Uncertainty = 0,65×0.2354 + 0,20×0.0000 + 0,15×0.00 = 0.1530 [RENDAH]</t>
        </is>
      </c>
      <c r="F3103" t="n">
        <v>0.153</v>
      </c>
      <c r="G3103" s="3" t="inlineStr">
        <is>
          <t>label: RENDAH; kontradiksi 0/6 kalimat; uncertainty flag: False</t>
        </is>
      </c>
    </row>
    <row r="3104">
      <c r="A3104" t="n">
        <v>210</v>
      </c>
      <c r="B3104" t="inlineStr">
        <is>
          <t>B</t>
        </is>
      </c>
      <c r="C3104" t="inlineStr">
        <is>
          <t>Answer Accuracy (Pers. 20)</t>
        </is>
      </c>
      <c r="D3104" s="3" t="inlineStr">
        <is>
          <t>Correctᵢ ∈ {0,1} via LLM-as-Judge (HASIL: BENAR/SALAH)</t>
        </is>
      </c>
      <c r="E3104" s="3" t="inlineStr">
        <is>
          <t>BENAR</t>
        </is>
      </c>
      <c r="F3104" t="inlineStr">
        <is>
          <t>BENAR</t>
        </is>
      </c>
      <c r="G3104" s="3" t="inlineStr">
        <is>
          <t>evaluator: ollama/llama3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8" customWidth="1" min="3" max="3"/>
    <col width="45" customWidth="1" min="4" max="4"/>
    <col width="70" customWidth="1" min="5" max="5"/>
    <col width="9" customWidth="1" min="6" max="6"/>
    <col width="10" customWidth="1" min="7" max="7"/>
    <col width="8" customWidth="1" min="8" max="8"/>
    <col width="70" customWidth="1" min="9" max="9"/>
    <col width="9" customWidth="1" min="10" max="10"/>
    <col width="10" customWidth="1" min="11" max="11"/>
    <col width="8" customWidth="1" min="12" max="12"/>
    <col width="9" customWidth="1" min="13" max="13"/>
  </cols>
  <sheetData>
    <row r="1">
      <c r="A1" s="1" t="inlineStr">
        <is>
          <t>test_id</t>
        </is>
      </c>
      <c r="B1" s="1" t="inlineStr">
        <is>
          <t>kategori</t>
        </is>
      </c>
      <c r="C1" s="1" t="inlineStr">
        <is>
          <t>kognitif</t>
        </is>
      </c>
      <c r="D1" s="1" t="inlineStr">
        <is>
          <t>query utuh</t>
        </is>
      </c>
      <c r="E1" s="1" t="inlineStr">
        <is>
          <t>Kondisi A — respons UTUH (RAG)</t>
        </is>
      </c>
      <c r="F1" s="1" t="inlineStr">
        <is>
          <t>A_Faith</t>
        </is>
      </c>
      <c r="G1" s="1" t="inlineStr">
        <is>
          <t>A_HallRisk</t>
        </is>
      </c>
      <c r="H1" s="1" t="inlineStr">
        <is>
          <t>A_Benar</t>
        </is>
      </c>
      <c r="I1" s="1" t="inlineStr">
        <is>
          <t>Kondisi B — respons UTUH (tanpa RAG)</t>
        </is>
      </c>
      <c r="J1" s="1" t="inlineStr">
        <is>
          <t>B_Faith</t>
        </is>
      </c>
      <c r="K1" s="1" t="inlineStr">
        <is>
          <t>B_HallRisk</t>
        </is>
      </c>
      <c r="L1" s="1" t="inlineStr">
        <is>
          <t>B_Benar</t>
        </is>
      </c>
      <c r="M1" s="1" t="inlineStr">
        <is>
          <t>ΔFaith</t>
        </is>
      </c>
    </row>
    <row r="2">
      <c r="A2" t="n">
        <v>1</v>
      </c>
      <c r="B2" t="inlineStr">
        <is>
          <t>gap</t>
        </is>
      </c>
      <c r="C2" t="inlineStr">
        <is>
          <t>2PAR</t>
        </is>
      </c>
      <c r="D2" s="3" t="inlineStr">
        <is>
          <t>Saya sudah baca definisi Computational Thinking dari berbagai sumber dan semuanya bilang CT itu tentang 'formulasi masalah dan solusi'. Tapi berpikir logis yang saya pelajari di matematika SMA juga tentang formulasi masalah. Jadi bedanya apa CT dengan berpikir logis biasa?</t>
        </is>
      </c>
      <c r="E2" s="3" t="inlineStr">
        <is>
          <t>Mahasiswa, kalian pasti telah memahami definisi Computational Thinking (CT) sebagai "formulasi masalah dan solusi" dari berbagai sumber. Namun, perlu diingat bahwa CT lebih dari sekadar formulasi masalah. Berpikir logis yang kita pelajari di matematika SMA juga tentang formulasi masalah, tapi bedanya adalah CT memungkinkan kita untuk mengidentifikasi pattern dan pola dalam data, serta menggunakan logika dan analisis untuk menyelesaikan masalah.
CT tidak hanya sekadar mencari solusi, tapi juga melibatkan identifikasi goal dan tujuan utama dari masalah, kemudian dekomposisi menjadi sub-masalah yang lebih kecil. Misalnya, pada soal tentang pasangan bilangan bulat, kita perlu mengidentifikasi goal (menghitung berapa banyak pasangan yang memenuhi syarat) dan kemudian memecah proses penyelesaiannya menjadi langkah-langkah lebih kecil yang dapat diselesaikan satu per satu.
Dalam CT, juga digunakan konsep logika dan operator logika untuk menggabungkan ekspresi boolean dan menghasilkan nilai boolean. Contohnya adalah menggunakan operator logika AND dan OR untuk menyelesaikan masalah, serta Is Operator untuk memeriksa tipe atau identitas suatu nilai/objek.
Dalam kaitan ini, juga penting untuk memahami struktur data seperti list (array/sequence of values) yang menyimpan sekumpulan nilai secara berurutan di bawah satu nama variabel. Kegunaan list adalah untuk manipulasi data massal dan dapat membantu kita dalam menyelesaikan masalah.</t>
        </is>
      </c>
      <c r="F2" t="n">
        <v>0.8218</v>
      </c>
      <c r="G2" t="n">
        <v>0.1158</v>
      </c>
      <c r="H2" t="b">
        <v>1</v>
      </c>
      <c r="I2" s="3" t="inlineStr">
        <is>
          <t>Walaupun definisi Computational Thinking (CT) dan berpikir logis biasa sebenarnya memiliki unsur formulasi masalah, namun ada beberapa perbedaan yang membuat CT menjadi lebih spesifik dan unik.
 Pertama, CT tidak hanya tentang formulasi masalah, tapi juga tentang mengembangkan kemampuan untuk memecahkan masalah dengan cara-cara kreatif dan inovatif. Dalam CT, siswa diajarkan untuk berpikir secara sistematis, metodologis, dan analitis dalam menghadapi masalah, sehingga mereka dapat menemukan solusi yang efektif dan efisiensi.
Kedua, CT tidak hanya menggunakan logika matematika biasa, tapi juga menggunakan konsep-konsep lain seperti algoritma, data struktur, dan programming. Dalam CT, siswa diajarkan untuk membuat program komputer yang dapat menyelesaikan masalah dengan cara-cara kreatif dan efektif.
Ketiga, CT tidak hanya tentang mencari solusi yang tepat, tapi juga tentang mengembangkan kemampuan untuk memahami konsep-konsep dasar seperti variables, data types, loops, conditional statements, dan lain-lain. Dalam CT, siswa diajarkan untuk membuat program komputer yang dapat menyelesaikan masalah dengan cara-cara kreatif dan efektif.
Keempat, CT tidak hanya tentang meningkatkan kemampuan problem-solving, tapi juga tentang mengembangkan kemampuan-kemampuan lain seperti critical thinking, creativity, communication, dan collaboration. Dalam CT, siswa diajarkan untuk bekerja sama dalam tim untuk menyelesaikan masalah, serta untuk berkomunikasi dengan cara-cara yang efektif.
Dalam kata lain, Computational Thinking adalah suatu pendekatan yang lebih luas dan holistik untuk menghadapi masalah, dibandingkan dengan berpikir logis biasa. CT tidak hanya tentang formulasi masalah, tapi juga tentang mengembangkan kemampuan-kemampuan yang diperlukan untuk menyelesaikan masalah secara efektif dan efisiensi.</t>
        </is>
      </c>
      <c r="J2" t="n">
        <v>0.7714</v>
      </c>
      <c r="K2" t="n">
        <v>0.1486</v>
      </c>
      <c r="M2" t="n">
        <v>0.0504</v>
      </c>
    </row>
    <row r="3">
      <c r="A3" t="n">
        <v>2</v>
      </c>
      <c r="B3" t="inlineStr">
        <is>
          <t>confusion</t>
        </is>
      </c>
      <c r="C3" t="inlineStr">
        <is>
          <t>1TAR</t>
        </is>
      </c>
      <c r="D3" s="3" t="inlineStr">
        <is>
          <t>Di catatan saya tulis AADP = Abstraksi → Algoritme → Dekomposisi → Pattern Recognition dan saya kerjakan soal dengan urutan itu. Tapi nilai saya jelek. Kata teman, AADP bukan urutan. Lalu AADP itu apa sebenarnya?</t>
        </is>
      </c>
      <c r="E3" s="3" t="inlineStr">
        <is>
          <t>Kamu sebagai tutor Computational Thinking, saya akan menjawab pertanyaan mahasiswa tersebut.
AADP (Abstraksi → Algoritme → Dekomposisi → Pattern Recognition) adalah urutan proses yang digunakan untuk menyelesaikan masalah computational thinking. AADP tidak hanya sekadar urutan, tapi juga representasi konsep dan langkah-langkah yang digunakan untuk memahami dan menyelesaikan masalah.
Abstraksi (Abstrak) berarti mengidentifikasi unsur-unsur penting dalam suatu masalah dan meninggalkan unsur-unsur yang tidak relevan. Algoritme (Algo) berarti mendapatkan ide atau proses untuk menyelesaikan masalah. Dekomposisi (Decomp) berarti membagi masalah menjadi beberapa bagian yang lebih kecil dan lebih mudah dipahami. Pattern Recognition (Pemahaman Pola) berarti mengidentifikasi pola-pola atau pattern dalam data atau masalah.
Dengan menggunakan AADP, mahasiswa dapat memahami masalah dengan lebih baik, mencari solusi, dan mengkomponeninya menjadi beberapa bagian yang lebih kecil. Namun, perlu diingat bahwa AADP bukanlah urutan magis yang harus diikuti, tapi lebih seperti framework atau panduan untuk menyelesaikan masalah computational thinking.
Saya berharap jawaban saya dapat membantu mahasiswa memahami konsep AADP dan menggunakan secara efektif dalam menyelesaikan masalah computational thinking.</t>
        </is>
      </c>
      <c r="F3" t="n">
        <v>0.7644</v>
      </c>
      <c r="G3" t="n">
        <v>0.1531</v>
      </c>
      <c r="H3" t="b">
        <v>1</v>
      </c>
      <c r="I3" s="3" t="inlineStr">
        <is>
          <t>Saya dapat membantu Anda menjawab pertanyaan ini!
AADP tidak hanya berarti Abstraksi → Algoritme → Dekomposisi → Pattern Recognition, melainkan merupakan suatu metode pemecahan masalah yang dikenal sebagai Analyze, Abstract, Decompose, dan Produce (AADP).
Metode AADP ini digunakan untuk mengatasi masalah kompleks dengan cara menganalisis, memahami, dan mendekomposisi masalah tersebut menjadi bagian-bagian yang lebih kecil. Lalu, setelah itu, Anda dapat mengembangkan algoritme atau strategi untuk menyelesaikan masalah tersebut.
Jadi, AADP tidak hanya berupa urutan proses, tapi juga suatu metode sistematis dan struktural untuk mengatasi masalah kompleks.</t>
        </is>
      </c>
      <c r="J3" t="n">
        <v>0.74</v>
      </c>
      <c r="K3" t="n">
        <v>0.169</v>
      </c>
      <c r="L3" t="b">
        <v>1</v>
      </c>
      <c r="M3" t="n">
        <v>0.0244</v>
      </c>
    </row>
    <row r="4">
      <c r="A4" t="n">
        <v>3</v>
      </c>
      <c r="B4" t="inlineStr">
        <is>
          <t>out_of_scope</t>
        </is>
      </c>
      <c r="C4" t="inlineStr">
        <is>
          <t>3TGI</t>
        </is>
      </c>
      <c r="D4" s="3" t="inlineStr">
        <is>
          <t>Dosen bilang kita hidup di era VUCA dan CT itu penting untuk karir. Tapi saya mau jadi dokter, bukan programmer. Apakah CT relevan untuk dokter di era VUCA, atau ini hanya penting untuk orang teknik saja?</t>
        </is>
      </c>
      <c r="E4" s="3" t="inlineStr">
        <is>
          <t>Saya kembali ke masa SMA dan menjadi dosen untuk Anda! Saya akan menjawab pertanyaan Anda dengan menggunakan konsep-konsep yang relevan dari Computational Thinking (CT) dan materinya.
Pertama-tama, saya ingin menjabarkan tentang CT dan bagaimana itu dapat relevan dengan karir sebagai dokter. Meskipun CT sebagian besar diperkenalkan dalam bidang teknologi, konsep-konsep dasar seperti pattern recognition, algorithm, dan problem-solving adalah umum dan dapat digunakan dalam berbagai bidang.
Misalnya, sebagai dokter, Anda mungkin harus mengidentifikasi pola-pola kesehatan yang terjadi diantara pasien. Dengan menggunakan CT, Anda dapat membuat model atau algoritma untuk menentukan diagnosis dan perawatan yang sesuai. Selain itu, Anda juga mungkin harus menyusun langkah-langkah sistematis untuk menyelesaikan masalah-masalah kesehatan.
Namun, saya mengerti jika Anda berpikir bahwa CT hanya relevan dengan orang teknik. Tapi, saya ingin menegaskan bahwa CT adalah lebih dari sekadar programming atau coding. Itu lebih tentang cara berpikir dan berproblem-solving yang dapat digunakan dalam berbagai bidang.
Jadi, jawaban saya adalah: ya, CT relevan untuk dokter di era VUCA. Selain itu, saya juga ingin menyarankan Anda untuk belajar tentang block programming, karena metode ini dapat membantu Anda menjadi lebih fleksibel dan kreatif dalam cara berpikir dan bekerja.</t>
        </is>
      </c>
      <c r="F4" t="n">
        <v>0.7644</v>
      </c>
      <c r="G4" t="n">
        <v>0.1831</v>
      </c>
      <c r="H4" t="b">
        <v>1</v>
      </c>
      <c r="I4" s="3" t="inlineStr">
        <is>
          <t>Saya akan menjawab pertanyaan Anda dengan sebaik mungkin.
Dalam era VUCA (Volatility, Uncertainty, Complexity, Ambiguity), CT (Critical Thinking) memang sangat penting untuk karir, tidak hanya bagi orang teknis seperti programmer, tetapi juga bagi profesional lainnya, termasuk dokter.
Sebagai dokter, Anda harus mampu berpikir kritis dan membuat keputusan yang cepat serta efektif dalam situasi-situasi medis yang kompleks. CT memungkinkan Anda untuk:
1. Menganalisis data klinis dan membuat diagnosa yang tepat.
2. Mengidentifikasi potensi risiko dan berpikir strategis untuk mengelola krisis medis.
3. Berkomunikasi efektif dengan pasien, keluarga, dan tim medis lainnya.
4. Membuat keputusan etis dan profesional dalam situasi-situasi yang tidak pasti.
Dalam era VUCA, dokter harus mampu beradaptasi dengan cepat terhadap perubahan epidemiologis, teknologi medis, dan kebijakan klinis yang selalu berkembang. Oleh karena itu, CT menjadi penting untuk memungkinkan Anda menjadi seorang dokter yang handal dan profesional.
Jadi, jawaban saya adalah: CT sangat relevan untuk dokter di era VUCA, tidak hanya bagi orang teknis saja.</t>
        </is>
      </c>
      <c r="J4" t="n">
        <v>0.6414</v>
      </c>
      <c r="K4" t="n">
        <v>0.2631</v>
      </c>
      <c r="L4" t="b">
        <v>1</v>
      </c>
      <c r="M4" t="n">
        <v>0.123</v>
      </c>
    </row>
    <row r="5">
      <c r="A5" t="n">
        <v>4</v>
      </c>
      <c r="B5" t="inlineStr">
        <is>
          <t>cross_topic</t>
        </is>
      </c>
      <c r="C5" t="inlineStr">
        <is>
          <t>2TAI</t>
        </is>
      </c>
      <c r="D5" s="3" t="inlineStr">
        <is>
          <t>Di silabus ada materi CT dan materi ICT Literacy. Saya bingung — apakah ICT Literacy itu bagian dari CT atau CT bagian dari ICT Literacy? Atau keduanya hal yang sama sekali berbeda?</t>
        </is>
      </c>
      <c r="E5" s="3" t="inlineStr">
        <is>
          <t>Halo!
Sebagai tutor Computational Thinking, saya senang membantu Anda memahami konsep-konsep dasar CT. ICT Literacy dan CT adalah dua konsep yang berbeda namun terkait.
ICT Literacy (Literate Komputasi Informasi) referensi pada kemampuan menggunakan teknologi informasi untuk mengakses, mencari, dan menggunakan informasi dengan efektif dan efisien. Sementara itu, Computational Thinking (Pemikiran Komputasional) adalah keterampilan berpikir yang digunakan untuk memahami dan menyelesaikan masalah melalui analisis, dekomposisi, dan sintesis.
Dalam kaitannya dengan materi referensi, CT (Pemikiran Komputasional) dapat diartikan sebagai kemampuan berpikir sistematis dan logis untuk menghadapi masalah. Sementara ICT Literacy lebih fokus pada kemampuan menggunakan teknologi informasi untuk mencari dan menggunakan informasi.
Sebagai contoh, dalam materi referensi CT (Pemikiran Komputasional), Anda belajar tentang dekomposisi algoritme FPB, operator logika, serta latihan pesan sandi. Sementara ICT Literacy lebih fokus pada kemampuan menggunakan teknologi informasi untuk mengakses dan mencari informasi, seperti dalam materi referensi [GT_DETAIL_PT01_Pendahuluan.txt].
Dalam sintesis, keduanya ICT Literacy dan CT (Pemikiran Komputasional) saling terkait namun berbeda. CT lebih fokus pada kemampuan berpikir sistematis dan logis untuk menghadapi masalah, sementara ICT Literacy lebih fokus pada kemampuan menggunakan teknologi informasi untuk mencari dan menggunakan informasi.</t>
        </is>
      </c>
      <c r="F5" t="n">
        <v>0.757</v>
      </c>
      <c r="G5" t="n">
        <v>0.158</v>
      </c>
      <c r="H5" t="b">
        <v>0</v>
      </c>
      <c r="I5" s="3" t="inlineStr">
        <is>
          <t>Tidak perlu bingung, karena keduanya memiliki definisi dan tujuan yang berbeda.
CT (Computer Technology) mengacu pada materi pelajaran tentang teknologi komputer, seperti fungsi-fungsi dasar sistem operasi, penggunaan aplikasi, pemrograman, dan jaringan komputer. Materi CT lebih fokus pada teknis dan prosedur dalam menggunakan komputer.
Sementara ICT Literacy (Information and Communication Technology Literacy) mengacu pada materi pelajaran tentang kemampuan seseorang untuk menggunakan teknologi informasi dan komunikasi dalam berbagai aspek kehidupan. Materi ICT Literacy lebih fokus pada bagaimana menggunakan teknologi informasi dan komunikasi untuk mencapai tujuan, serta berkomunikasi efektif dengan cara-cara yang tepat.
Jadi, tidak semua CT adalah ICT Literacy, namun keduanya memiliki hubungan yang erat. ICT Literacy adalah hasil dari penggunaan teknologi informasi dan komunikasi yang dilakukan dalam rangka mencapai tujuan, sedangkan CT adalah materi dasar untuk mengembangkan kemampuan ICT Literacy.
Dalam sintaks lainnya, CT dapat dilihat sebagai "input" untuk mengembangkan ICT Literacy. Seorang siswa atau individu harus memiliki pengetahuan dasar tentang teknologi komputer (CT) sebelum dapat menggunakan teknologi informasi dan komunikasi dengan efektif (ICT Literacy).</t>
        </is>
      </c>
      <c r="J5" t="n">
        <v>0.7496</v>
      </c>
      <c r="K5" t="n">
        <v>0.1628</v>
      </c>
      <c r="L5" t="b">
        <v>1</v>
      </c>
      <c r="M5" t="n">
        <v>0.0074</v>
      </c>
    </row>
    <row r="6">
      <c r="A6" t="n">
        <v>5</v>
      </c>
      <c r="B6" t="inlineStr">
        <is>
          <t>confusion</t>
        </is>
      </c>
      <c r="C6" t="inlineStr">
        <is>
          <t>3PAR</t>
        </is>
      </c>
      <c r="D6" s="3" t="inlineStr">
        <is>
          <t>Teman saya bilang saya punya digital footprint besar karena sering pakai Instagram. Tapi saya hampir tidak pernah posting — saya hanya scroll dan nonton video orang lain. Apa betul saya tetap punya digital footprint meski tidak pernah upload apapun?</t>
        </is>
      </c>
      <c r="E6" s="3" t="inlineStr">
        <is>
          <t>Mahasiswa!
Pertanyaan teman Anda memungkinkan kita untuk mengembangkan pengetahuan tentang digital footprint. Berdasarkan definisi digital footprint sebagai jejak digital yang ditinggalkan oleh seseorang melalui aktivitas online, maka jawaban pada pertanyaan ini adalah YA, Anda tetap memiliki digital footprint meski tidak pernah upload apapun.
Hal ini karena Anda sering menggunakan Instagram, termasuk scroll dan nonton video orang lain. Dalam proses tersebut, Anda meninggalkan jejak digital yang dapat dianalisis oleh pihak lain. Contohnya, algoritma sosial media mungkin akan memantau kebiasaan Anda dalam mengikuti akun tertentu atau melihat video yang lebih sering, sehingga membantu platform tersebut menawarkan rekomendasi konten yang sesuai dengan preferensi Anda.
Keterlibatan Anda dalam aktivitas online lainnya juga dapat meninggalkan jejak digital. Misalnya, Anda mungkin telah melakukan pencarian dan mengakses berbagai sumber informasi melalui search engine atau aplikasi lainnya. Semua ini akan menjadi bagian dari digital footprint Anda.
Dalam konteks keterlibatan masyarakat dalam era digital, penting bagi kita untuk memahami konsep digital footprint dan bagaimana jejak digital tersebut dapat digunakan oleh pihak lain. Oleh karena itu, perlu diutamakan kesadaran dan keterampilan dalam menggunakan teknologi secara bijak dan bertanggung jawab.</t>
        </is>
      </c>
      <c r="F6" t="n">
        <v>0.7784</v>
      </c>
      <c r="G6" t="n">
        <v>0.174</v>
      </c>
      <c r="I6" s="3" t="inlineStr">
        <is>
          <t>Teman Anda memiliki poin yang bagus! Meskipun Anda tidak pernah mengupload konten sendiri di Instagram, namun Anda masih memiliki digital footprint.
Digital footprint referensial pada semua data dan informasi yang terkait dengan kita, termasuk aktivitas online yang dilakukan, seperti browsing, scrolling, nonton video, serta interaksi dengan orang lain. Dalam hal ini, karena Anda sering menggunakan Instagram untuk mengakses konten orang lain, maka Anda meninggalkan jejak digital.
Ketika Anda mengakses dan menonton video orang lain di Instagram, Anda memberikan informasi tentang diri Anda sendiri, seperti:
1. IP address: Instagram dapat merekam alamat IP Anda yang terhubung ke internet.
2. Browsing history: Instagram dapat mencatat halaman-halaman yang Anda kunjungi dan konten-konten yang Anda lihat.
3. Interaksi dengan pengguna lain: Dalam beberapa kasus, Anda mungkin memberikan like, komen, atau share postingan orang lain, yang akan meninggalkan jejak digital.
Namun, perlu diingat bahwa tidak semua data ini dapat diakses oleh orang lain. Instagram memiliki kebijakan privasi danamanan yang melindungi informasi pengguna. Meskipun demikian, Anda masih memiliki digital footprint, karena Anda telah berpartisipasi dalam jaringan sosial dan meninggalkan jejak online.
Jadi, jawaban saya adalah: Ya, Anda masih memiliki digital footprint meski tidak pernah upload apapun di Instagram!</t>
        </is>
      </c>
      <c r="J6" t="n">
        <v>0.6362</v>
      </c>
      <c r="K6" t="n">
        <v>0.2665</v>
      </c>
      <c r="L6" t="b">
        <v>1</v>
      </c>
      <c r="M6" t="n">
        <v>0.1422</v>
      </c>
    </row>
    <row r="7">
      <c r="A7" t="n">
        <v>6</v>
      </c>
      <c r="B7" t="inlineStr">
        <is>
          <t>gap</t>
        </is>
      </c>
      <c r="C7" t="inlineStr">
        <is>
          <t>2PAI</t>
        </is>
      </c>
      <c r="D7" s="3" t="inlineStr">
        <is>
          <t>Di slide ada dua istilah: 'ICT Literacy' dan 'Literacy with ICT'. Keduanya terlihat sama — intinya kan paham teknologi. Kenapa perlu dua istilah berbeda untuk hal yang sama?</t>
        </is>
      </c>
      <c r="E7" s="3" t="inlineStr">
        <is>
          <t>Sebagai tutor Computational Thinking, saya akan menjawab pertanyaan mahasiswa dengan menggunakan istilah teknis yang ada dalam materi referensi.
Istilah 'ICT Literacy' dan 'Literacy with ICT' memang terlihat sama, tapi memiliki perbedaan yang signifikan. 'ICT Literacy' merujuk pada kemampuan individu untuk memahami dan menggunakan teknologi informasi dan komunikasi (TIK) dalam kehidupan sehari-hari, seperti mengakses internet, menggunakan aplikasi mobile, atau membuat presentasi dengan PowerPoint.
Sementara itu, 'Literacy with ICT' lebih menekankan pada kemampuan individu untuk memahami dasar-dasar teknologi informasi dan komunikasi, serta bagaimana teknologi tersebut dapat digunakan untuk meningkatkan kualitas hidup, seperti mengakses informasi yang akurat, berkomunikasi dengan orang lain secara efektif, atau membuat keputusan berdasarkan data.
Dalam Computational Thinking, kedua istilah tersebut memiliki peran penting dalam membangun kemampuan individu untuk memformulasikan masalah dan menemukan solusinya melalui penggunaan teknologi informasi dan komunikasi. Oleh karena itu, keduanya harus dipahami dan digunakan secara efektif untuk meningkatkan kemampuan Computational Thinking.</t>
        </is>
      </c>
      <c r="F7" t="n">
        <v>0.5258</v>
      </c>
      <c r="G7" t="n">
        <v>0.3082</v>
      </c>
      <c r="H7" t="b">
        <v>1</v>
      </c>
      <c r="I7" s="3" t="inlineStr">
        <is>
          <t>Dua istilah "ICT Literacy" dan "Literacy with ICT" memang kelihatan sama, tetapi memiliki makna yang sedikit berbeda.
"ICT Literacy" lebih menitikberatkan pada kemampuan individu untuk menggunakan teknologi informasi dan komunikasi (ICT) dengan benar. Istilah ini lebih fokus pada aspek praktis, yaitu bagaimana seseorang dapat menggunakan ICT untuk mencapai tujuan tertentu. Dalam hal ini, orang yang memiliki ICT Literacy harus memiliki kemampuan dasar untuk mengoperasikan perangkat komputer dan internet, serta memahami bagaimana cara menggunakan teknologi tersebut untuk menyelesaikan tugas atau masalah.
Sementara itu, "Literacy with ICT" lebih berfokus pada penggunaan teknologi ICT sebagai alat bantu untuk meningkatkan kemampuan literasi (reading, writing, dan critical thinking) individu. Istilah ini lebih menitikberatkan pada bagaimana seseorang dapat menggunakan ICT untuk memahami, mencari, dan menggunakan informasi yang diperoleh dari berbagai sumber. Dalam hal ini, orang yang memiliki Literacy with ICT harus memiliki kemampuan untuk menginterpretasikan informasi, membuat keputusan yang tepat, serta menganalisis data dengan benar.
Dalam sintesis, "ICT Literacy" lebih menitikberatkan pada aspek praktis penggunaan teknologi, sedangkan "Literacy with ICT" lebih berfokus pada bagaimana seseorang dapat menggunakan teknologi sebagai alat bantu untuk meningkatkan kemampuan literasi. Kedua istilah tersebut memiliki makna yang terkait, namun memiliki titik berbeda dalam fokus dan aplikasinya.</t>
        </is>
      </c>
      <c r="J7" t="n">
        <v>0.5258</v>
      </c>
      <c r="K7" t="n">
        <v>0.3082</v>
      </c>
      <c r="L7" t="b">
        <v>1</v>
      </c>
      <c r="M7" t="n">
        <v>0</v>
      </c>
    </row>
    <row r="8">
      <c r="A8" t="n">
        <v>7</v>
      </c>
      <c r="B8" t="inlineStr">
        <is>
          <t>out_of_scope</t>
        </is>
      </c>
      <c r="C8" t="inlineStr">
        <is>
          <t>4TAI</t>
        </is>
      </c>
      <c r="D8" s="3" t="inlineStr">
        <is>
          <t>Saya buat aplikasi untuk tugas dan kumpulkan data nama dan email teman. Dari materi etika digital, apakah saya perlu minta izin dulu sebelum menyimpan data mereka? Dan kalau sudah terlanjur, apa yang harus saya lakukan?</t>
        </is>
      </c>
      <c r="E8" s="3" t="inlineStr">
        <is>
          <t>Saya dapat membantu menjawab pertanyaan Anda.
Dalam materi etika digital, kita belajar bahwa privasi adalah salah satu aspek penting dalam penggunaan teknologi informasi. Oleh karena itu, sebelum menyimpan data nama dan email teman, Anda perlu minta izin dulu. Konsep ini disebut "informed consent" atau persetujuan yang sah.
Dalam kasus Anda, jika Anda telah mengumpulkan data tersebut tanpa izin, maka Anda harus mengembalikan data tersebut kepada mereka dan memberikan pilihan untuk dihapus atau tidak. Hal ini sesuai dengan Undang-Undang No. 27 Tahun 2022 tentang Perlindungan Data Pribadi yang berlaku di Indonesia.
Dalam penjelasan saya, saya menggunakan istilah teknis seperti "informed consent" dan "perlindungan data pribadi" untuk menjelaskan konsep utama secara langsung dan akurat. Saya juga menggunakan contoh konkret dalam menjawab pertanyaan Anda.</t>
        </is>
      </c>
      <c r="F8" t="n">
        <v>0.7648</v>
      </c>
      <c r="G8" t="n">
        <v>0.1529</v>
      </c>
      <c r="H8" t="b">
        <v>1</v>
      </c>
      <c r="I8" s="3" t="inlineStr">
        <is>
          <t>Menurut materi etika digital, sebelum mengumpulkan dan menyimpan data nama dan email teman, Anda perlu meminta izin atau persetujuan dari mereka terlebih dahulu.
Pada saat Anda mengumpulkan data, Anda harus menjelaskan kepada mereka bagaimana data tersebut akan digunakan dan disimpan. Jika mereka setuju untuk memberikan data tersebut, maka Anda dapat mengumpulkan dan menyimpan data mereka dengan cara yang sesuai dengan keamanan data.
Namun, jika Anda sudah terlanjur mengumpulkan data tanpa izin dari teman-teman, maka Anda harus segera menghubungi mereka untuk meminta persetujuan. Jika mereka menolak untuk memberikan izin, maka Anda harus menghapus atau menghapus data tersebut dengan segera.
Selain itu, Anda juga perlu memperhatikan keamanan data dan mengikuti pedoman etika digital lainnya, seperti tidak menjual atau membagikan data pribadi tanpa izin, serta tidak menggunakan data tersebut untuk tujuan yang tidak sesuai dengan kepentingan teman-teman.
Dalam aplikasi Anda, Anda juga perlu menampilkan informasi tentang privasi dan perlindungan data, serta memberikan opsi bagi pengguna untuk memilih apakah mereka ingin berbagi data atau tidak. Dengan demikian, Anda dapat menjaga keamanan data dan menghormati hak privasi teman-teman.</t>
        </is>
      </c>
      <c r="J8" t="n">
        <v>0.7611</v>
      </c>
      <c r="K8" t="n">
        <v>0.1553</v>
      </c>
      <c r="L8" t="b">
        <v>1</v>
      </c>
      <c r="M8" t="n">
        <v>0.0037</v>
      </c>
    </row>
    <row r="9">
      <c r="A9" t="n">
        <v>8</v>
      </c>
      <c r="B9" t="inlineStr">
        <is>
          <t>confusion</t>
        </is>
      </c>
      <c r="C9" t="inlineStr">
        <is>
          <t>1PAI</t>
        </is>
      </c>
      <c r="D9" s="3" t="inlineStr">
        <is>
          <t>Waktu kerja kelompok, kami bagi tugas: saya bikin bagian A, teman bikin bagian B. Kata saya itu dekomposisi, tapi teman saya bilang itu bukan dekomposisi CT. Lalu apa bedanya 'bagi tugas' biasa dengan dekomposisi dalam CT?</t>
        </is>
      </c>
      <c r="E9" s="3" t="inlineStr">
        <is>
          <t>Dear students,
I'm happy to help you understand the concept of decomposition in Computational Thinking (CT). It's a fundamental idea that can be applied to various problems, from simple tasks like making breakfast to more complex issues like recognizing patterns or designing algorithms.
So, what is decomposition? Simply put, it's breaking down a big problem into smaller, more manageable sub-problems. This process follows a hierarchical pattern, where the main problem is divided into smaller sub-problems until each one can be solved independently. Once all the sub-problems are solved, the original problem is also solved.
To illustrate this concept, let's consider an example from your daily life: making breakfast. At first glance, it may seem like a simple task, but it actually involves several sub-tasks, such as preparing ingredients, cooking food, and serving. Each of these sub-tasks can be further decomposed into smaller steps, like washing the vegetables or scrambling the eggs.
Now, back to your question: what's the difference between "bagi tugas" (dividing tasks) in a usual work setting versus decomposition in CT? In a usual work setting, dividing tasks is more about delegating responsibilities among team members. It doesn't necessarily involve breaking down complex problems into smaller ones or finding solutions that can be combined to solve the original problem.
In contrast, decomposition in CT is a systematic process of breaking down big problems into smaller, more manageable parts. This approach helps us identify patterns, recognize relationships between components, and develop algorithms that can be applied to solve similar problems in the future.
In conclusion, decomposition is a fundamental concept in Computational Thinking that involves breaking down complex problems into smaller sub-problems, solving each one independently, and then combining the solutions to solve the original problem. By applying this concept, you'll be able to tackle more complex challenges and develop creative solutions that can be applied in various contexts.
I hope this explanation has helped clarify the concept of decomposition for you. If you have any further questions or concerns, please don't hesitate to ask!</t>
        </is>
      </c>
      <c r="F9" t="n">
        <v>0.6235000000000001</v>
      </c>
      <c r="G9" t="n">
        <v>0.2447</v>
      </c>
      <c r="H9" t="b">
        <v>1</v>
      </c>
      <c r="I9" s="3" t="inlineStr">
        <is>
          <t>Dalam Continuous Testing (CT), dekomposisi adalah teknik untuk memecahkan down sebuah tugas menjadi beberapa bagian yang lebih kecil dan dapat dikerjakan secara independen. Dekomposisi dilakukan dengan cara mengidentifikasi komponen-komponen yang terlibat dalam suatu sistem atau proses, sehingga masing-masing komponen tersebut dapat diuji secara terpisah.
Dalam kasus Anda, ketika Anda membagi tugas menjadi bagian A dan B, Anda sebenarnya melakukan dekomposisi. Meski demikian, teman Anda memiliki poin yang berbeda karena dalam CT, dekomposisi harus dilakukan dengan cara mengidentifikasi komponen-komponen sistem atau proses yang terlibat, bukan hanya membagi tugas menjadi beberapa bagian.
Perbedaan antara "bagi tugas" biasa dan dekomposisi dalam CT adalah sebagai berikut:
* Bagi tugas biasa: hanya membagi tugas menjadi beberapa bagian, tanpa mengarah pada identifikasi komponen-komponen sistem atau proses yang terlibat.
* Dekomposisi dalam CT: memecahkan down sebuah tugas menjadi beberapa bagian yang lebih kecil dan dapat dikerjakan secara independen, dengan mengidentifikasi komponen-komponen sistem atau proses yang terlibat.
Dalam arti lain, dekomposisi dalam CT memiliki tujuan yang jelas yaitu untuk memahami sistem atau proses yang akan diuji, sedangkan "bagi tugas" biasa hanya berfokus pada bagian-bagian tugas yang harus dikerjakan.</t>
        </is>
      </c>
      <c r="J9" t="n">
        <v>0.6526</v>
      </c>
      <c r="K9" t="n">
        <v>0.2258</v>
      </c>
      <c r="L9" t="b">
        <v>1</v>
      </c>
      <c r="M9" t="n">
        <v>-0.0291</v>
      </c>
    </row>
    <row r="10">
      <c r="A10" t="n">
        <v>9</v>
      </c>
      <c r="B10" t="inlineStr">
        <is>
          <t>application</t>
        </is>
      </c>
      <c r="C10" t="inlineStr">
        <is>
          <t>2PAR</t>
        </is>
      </c>
      <c r="D10" s="3" t="inlineStr">
        <is>
          <t>Ada soal: 2 lift kapasitas masing-masing 30 kg. Ada 9 berang dengan berat: A=2, B=3, C=5, D=8, E=9, F=9, G=12, H=12, I=22 kg. Bagaimana dekomposisi masalah ini untuk memaksimalkan jumlah berang yang terangkut?</t>
        </is>
      </c>
      <c r="E10" s="3" t="inlineStr">
        <is>
          <t>Pada umumnya, abstraksi adalah proses mengidentifikasi komponen-komponen utama dari suatu masalah dan membagi menjadi bagian-bagian yang lebih kecil untuk dipahami dan diselesaikan. Dalam kasus soal ini, kita dapat menganalisis masalah sebagai berikut:
Apa problemnya? (Root cause/Akar Masalah): Tidak semua berang muat di dalam 2 lift dengan kapasitas masing-masing 30 kg.
Apa goal-nya? (Tujuan yang ingin dicapai): Memuat sebanyak mungkin berang dalam 1 kali perjalanan, tidak memaksimalkan berat tetapi jumlah individu.
Apa batasannya? (Constraint yang membatasi ruang solusi): Hanya ada 2 lift dengan kapasitas masing-masing 30 kg dan hanya 1 kali perjalanan.
Apa datanya? (Informasi yang tersedia dan relevan): Berat berang-berang A=2, B=3, C=5, D=8, E=9, F=9, G=12, H=12, I=22 kg.
Dengan menggunakan konsep abstraksi, kita dapat dekomposisi masalah menjadi bagian-bagian yang lebih kecil dan mengoptimalkan isi Lift 1 dan Lift 2 untuk memaksimalkan jumlah berang yang terangkut. Misalnya, dalam kasus ini, kita dapat mengoptimalkan isi Lift 1 dengan memuat berang-berang A, B, C, D, E, dan F sebelum memuat berang-berang G, H, dan I di Lift 2.
Dalam dekomposisi, kita juga perlu mempertimbangkan batasan-batasannya, seperti kapasitas lift dan jumlah perjalanan. Oleh karena itu, dengan menggunakan konsep abstraksi, kita dapat mengoptimalkan isi lift dan memaksimalkan jumlah berang yang terangkut dalam 1 kali perjalanan.</t>
        </is>
      </c>
      <c r="F10" t="n">
        <v>0.8257</v>
      </c>
      <c r="G10" t="n">
        <v>0.1433</v>
      </c>
      <c r="I10" s="3" t="inlineStr">
        <is>
          <t>Untuk memaksimalkan jumlah burung yang terangkut, kita perlu menghitung total berat burung dan kemudian mencari cara terbaik untuk mengangkutnya menggunakan dua lift.
Pertama-tama, kita hitung total berat burung:
A + B + C + D + E + F + G + H + I = 2 + 3 + 5 + 8 + 9 + 9 + 12 + 12 + 22 = 82 kg
Kemudian, kita akan mengangkut burung dalam dua lift. Kita pertama-tama membagi total berat burung menjadi dua bagian yang setimbang:
Bagian 1: (82 kg / 2) = 41 kg
Bagian 2: (82 kg - 41 kg) = 41 kg
Lift pertama dapat mengangkut 3 burung dengan total berat 2 + 3 + 5 = 10 kg, sementara lift kedua dapat mengangkut 6 burung dengan total berat 8 + 9 + 9 + 12 + 12 + 22 = 70 kg. Dengan demikian, kita dapat memaksimalkan jumlah burung yang terangkut sebanyak 9 burung.
Dekomposisi masalah sebagai berikut:
1. Lift pertama mengangkut 3 burung: A, B, C
2. Lift kedua mengangkut 6 burung: D, E, F, G, H, I</t>
        </is>
      </c>
      <c r="J10" t="n">
        <v>0.7756999999999999</v>
      </c>
      <c r="K10" t="n">
        <v>0.1458</v>
      </c>
      <c r="L10" t="b">
        <v>1</v>
      </c>
      <c r="M10" t="n">
        <v>0.05</v>
      </c>
    </row>
    <row r="11">
      <c r="A11" t="n">
        <v>10</v>
      </c>
      <c r="B11" t="inlineStr">
        <is>
          <t>cross_topic</t>
        </is>
      </c>
      <c r="C11" t="inlineStr">
        <is>
          <t>3TAI</t>
        </is>
      </c>
      <c r="D11" s="3" t="inlineStr">
        <is>
          <t>Waktu belajar fungsi, dosen bilang setiap fungsi seharusnya hanya melakukan satu hal. Itu berhubungan dengan dekomposisi kan? Tapi saya bingung — apakah fungsi dalam pemrograman itu implementasi dari dekomposisi CT?</t>
        </is>
      </c>
      <c r="E11" s="3" t="inlineStr">
        <is>
          <t>Mahasiswa! Kalian ingin memahami konsep dekomposisi dan fungsi dalam Computational Thinking (CT). Dekomposisi adalah proses memecah algoritme besar menjadi fungsi-fungsi kecil yang terfokus, seperti yang diterangkan dalam [GT_CT03.txt]. Fungsi sendiri dapat diartikan sebagai sebuah kode yang dapat digunakan kembali tanpa ditulis ulang (reusable), blok kode diberi nama sehingga mudah dipanggil kapan pun dibutuhkan, dan perubahan logika cukup dilakukan di satu tempat saja yaitu di dalam definisi fungsi.
Seorang dosen memperingatkan bahwa setiap fungsi seharusnya hanya melakukan satu hal. Hal ini berhubungan dengan konsep dekomposisi CT, karena fungsi dapat digunakan sebagai alat untuk memecah algoritme besar menjadi bagian-bagian yang lebih kecil dan terfokus. Dalam [GT_CT12.txt], fungsi dianggap sebagai resep masakan yang dapat digunakan kembali tanpa harus menulis ulang setiap langkahnya.
Dengan demikian, fungsi dalam pemrograman dapat diartikan sebagai implementasi dari dekomposisi CT. Fungsi membantu memecah algoritme besar menjadi bagian-bagian yang lebih kecil dan terfokus, sehingga membuat kode lebih mudah dipahami, dikelola, dan dikembangkan.
Dalam contoh latihan seperti [GT_CT12.txt], fungsi "habis_dibagi" misalnya, hanya melakukan satu hal, yaitu menghitung apakah sebuah bilangan habis dibagi oleh bilangan lain. Hal ini sesuai dengan konsep dekomposisi CT yang memecah algoritme besar menjadi bagian-bagian yang lebih kecil dan terfokus.</t>
        </is>
      </c>
      <c r="F11" t="n">
        <v>0.804</v>
      </c>
      <c r="G11" t="n">
        <v>0.1274</v>
      </c>
      <c r="H11" t="b">
        <v>1</v>
      </c>
      <c r="I11" s="3" t="inlineStr">
        <is>
          <t>Iya, dasarnya benar! Dosenmu ingin mengajarkan Anda bahwa setiap fungsi seharusnya hanya memiliki satu tugas atau satu kegunaan, sehingga mudah dipahami dan dikontrol. Hal ini terkait dengan konsep dekomposisi dalam ilmu komputasi, yaitu membagi masalah menjadi bagian-bagian yang lebih kecil dan lebih mudah dikelola.
Dalam pemrograman, fungsi sebenarnya adalah implementasi dari dekomposisi, namun tidak sembarangan. Fungsi dapat dianggap sebagai sebuah blok kode yang melakukan satu hal spesifik, sehingga membantu memecahkan masalah menjadi bagian-bagian yang lebih kecil dan lebih mudah dikelola.
Contohnya, jika Anda ingin membuat program untuk menghitung luas segiempat, maka Anda dapat membuat fungsi untuk menghitung panjang sisi-sisinya, fungsi lain untuk menghitung ketinggian sudut, dan fungsi lain lagi untuk menghitung luas area. Setiap fungsi memiliki satu tugas spesifik dan tidak melakukan banyak hal sekaligus.
Dengan demikian, konsep dekomposisi dalam ilmu komputasi dan pemrograman memang terkait erat. Dekomposisi membantu memecahkan masalah menjadi bagian-bagian yang lebih kecil dan lebih mudah dikelola, sehingga Anda dapat membuat kode yang lebih efektif, efisien, dan mudah dipahami.</t>
        </is>
      </c>
      <c r="J11" t="n">
        <v>0.7735</v>
      </c>
      <c r="K11" t="n">
        <v>0.1472</v>
      </c>
      <c r="L11" t="b">
        <v>1</v>
      </c>
      <c r="M11" t="n">
        <v>0.0305</v>
      </c>
    </row>
    <row r="12">
      <c r="A12" t="n">
        <v>11</v>
      </c>
      <c r="B12" t="inlineStr">
        <is>
          <t>gap</t>
        </is>
      </c>
      <c r="C12" t="inlineStr">
        <is>
          <t>4PGR</t>
        </is>
      </c>
      <c r="D12" s="3" t="inlineStr">
        <is>
          <t>Kalau saya dekomposisi masalah, sampai seberapa dalam saya harus memecahnya? Misalnya 'bikin kue' — apakah saya pecah sampai level 'gerakkan jari untuk ngaduk' atau cukup sampai 'campurkan bahan'? Apa ada kriteria kapan dekomposisi sudah cukup?</t>
        </is>
      </c>
      <c r="E12" s="3" t="inlineStr">
        <is>
          <t>Saya dapat menjawab pertanyaan Anda!
Pada saat dekomposisi masalah, saya tidak perlu memecahnya sampai level "gerakkan jari untuk ngaduk" atau yang lebih kecil. Pecahannya harus berdasarkan pola hierarkis, di mana masalah besar dipecah menjadi sub-masalah yang lebih kecil, dan setiap sub-masalah diselesaikan secara terpisah.
Kriteria kapan dekomposisi sudah cukup adalah ketika kita dapat mengidentifikasi goal atau tujuan utama dari masalah tersebut, kemudian memecah proses penyelesaiannya menjadi langkah-langkah lebih kecil yang dapat diselesaikan satu per satu. Dalam contoh "bikin kue", kita tidak perlu memecahkan prosesnya sampai level "campurkan bahan" sebaliknya, tapi kita harus memahami bagaimana cara membuat kue jenis lain, yaitu dengan mengidentifikasi pola umum bahwa setiap kue memiliki jumlah bahan tertentu yang tepat, dan setiap kue dipanggang untuk jangka waktu tertentu.
Dengan demikian, dekomposisi harus dilakukan sampai kita dapat mengidentifikasi pattern atau pola yang membantu kita menyelesaikan masalah. Jika kita sudah memahami pola tersebut, maka kita dapat menggunakan general solution yang dapat diterapkan untuk berbagai masalah.
Jadi, pada dasarnya, dekomposisi tidak perlu dilakukan sampai level "gerakkan jari" sebaliknya, tapi harus berdasarkan pola hierarkis dan mengidentifikasi goal atau tujuan utama dari masalah.</t>
        </is>
      </c>
      <c r="F12" t="n">
        <v>0.7881</v>
      </c>
      <c r="G12" t="n">
        <v>0.1377</v>
      </c>
      <c r="H12" t="b">
        <v>1</v>
      </c>
      <c r="I12" s="3" t="inlineStr">
        <is>
          <t>Pengalaman dekomposisi masalah, juga dikenal sebagai "breakdown" atau "decomposition", adalah langkah awal dalam proses pemecahan masalah yang efektif. Tujuan utama dekomposisi adalah membagi masalah menjadi bagian-bagian yang lebih kecil dan lebih mudah diurus.
Tidak ada kriteria pasti tentang seberapa dalam kita harus dekomposisi masalah, karena itu tergantung pada jenis masalah, tingkat kompleksitas, dan tujuan akhir. Namun, umumnya dekomposisi masalah mencapai level yang memungkinkan kita untuk:
1. Mengidentifikasi unsur-unsur penting: Dekomposisi dapat membantu kita mengidentifikasi komponen-komponen utama yang terkait dengan masalah.
2. Menemukan hubungan-hubungan: Proses dekomposisi dapat memungkinkan kita untuk menemukan hubungan antara variabel-variabel dan bagaimana mereka berinteraksi.
3. Mengurangi kompleksitas: Dekomposisi dapat membantu kita mengurangi kompleksitas masalah, sehingga lebih mudah diurus.
Dalam contoh "bikin kue", dekomposisi dapat dilakukan sampai level "campurkan bahan" atau "siapkan alat". Pada level ini, kita telah membagi tugas menjadi bagian-bagian yang lebih kecil dan lebih mudah diurus, seperti mencampur adonan, mengukur bahan-bahan, dan menyiapkan oven.
Namun, tidak selalu perlu dekomposisi masalah sampai level "gerakkan jari untuk ngaduk". Dekomposisi yang terlalu dalam dapat membuat masalah menjadi lebih rumit dan sulit diurus. Keterampilan memecah masalah efektif adalah kemampuan untuk menemukan level dekomposisi yang tepat, sehingga kita dapat mengurangi kompleksitas dan meningkatkan kesempatan untuk menyelesaikan masalah.
Oleh karena itu, kriteria untuk seberapa dalam dekomposisi masalah adalah:
1. Masalahnya menjadi lebih mudah diurus.
2. Kita telah mengidentifikasi unsur-unsur penting dan hubungan-hubungan yang terkait.
3. Dekomposisi tidak lagi membantu kita menyelesaikan masalah.
Jika dekomposisi sudah mencapai level yang tepat, maka kita dapat memulai proses pemecahan masalah secara lebih efektif.</t>
        </is>
      </c>
      <c r="J12" t="n">
        <v>0.7667</v>
      </c>
      <c r="K12" t="n">
        <v>0.1516</v>
      </c>
      <c r="L12" t="b">
        <v>1</v>
      </c>
      <c r="M12" t="n">
        <v>0.0214</v>
      </c>
    </row>
    <row r="13">
      <c r="A13" t="n">
        <v>12</v>
      </c>
      <c r="B13" t="inlineStr">
        <is>
          <t>application</t>
        </is>
      </c>
      <c r="C13" t="inlineStr">
        <is>
          <t>3PAI</t>
        </is>
      </c>
      <c r="D13" s="3" t="inlineStr">
        <is>
          <t>Dari soal lift 2 buah kapasitas 30 kg dengan 9 berang (A:2, B:3, C:5, D:8, E:9, F:9, G:12, H:12, I:22), dosen minta saya lakukan abstraksi dulu sebelum cari solusi. Apa yang dimaksud abstraksi untuk soal ini — apa yang perlu difokuskan dan diabaikan?</t>
        </is>
      </c>
      <c r="E13" s="3" t="inlineStr">
        <is>
          <t>Dalam soal lift 2 buah kapasitas 30 kg dengan 9 berang (A:2, B:3, C:5, D:8, E:9, F:9, G:12, H:12, I:22), abstraksi pertama yang perlu dilakukan adalah mengidentifikasi empat komponen utama, yaitu:
1. Root cause/akar masalah: Tidak semua berang muat karena total berat berang (82 kg) melebihi kapasitas 2 lift (60 kg).
2. Goal/tujuan yang ingin dicapai: Memuat sebanyak mungkin berang dalam 1 kali perjalanan, bukan memaksimalkan berat.
3. Constraints/batasan: Hanya ada 2 lift dengan kapasitas masing-masing 30 kg dan hanya 1 kali perjalanan.
4. Data/informasi yang tersedia: Berat berang-berang (A:2, B:3, C:5, D:8, E:9, F:9, G:12, H:12, I:22) dan kapasitas lift.
Dengan melakukan abstraksi ini, kita dapat memfokuskan perhatian pada hal-hal esensial dan mencari solusi yang optimal.</t>
        </is>
      </c>
      <c r="F13" t="n">
        <v>0.8064</v>
      </c>
      <c r="G13" t="n">
        <v>0.1558</v>
      </c>
      <c r="H13" t="b">
        <v>1</v>
      </c>
      <c r="I13" s="3" t="inlineStr">
        <is>
          <t>Untuk melakukan abstraksi, kita perlu memahami apa yang ingin ditanyakan oleh dosen melalui soal tersebut.
Abstraksi pada soal lift ini berarti mencoba untuk mengidentifikasi unsur-unsur utama yang terkait dengan masalah lift dan mengabaikan unsur-unsur lainnya. Dalam hal ini, kita perlu memfokuskan diri pada:
* Lift sebagai objek utama
* Kapasitas lift (30 kg)
* Jumlah berang (9) yang memiliki nilai kapasitas berbeda-beda
Sementara itu, unsur-unsur lain yang tidak terkait dengan masalah lift, seperti nama-nama berang (A, B, C, D, E, F, G, H, I), dapat diabaikan.
Dengan demikian, hasil abstraksi soal lift 2 buah kapasitas 30 kg dengan 9 berang adalah:
* Lift
* Kapasitas lift: 30 kg
* Jumlah berang: 9
Mengabaikan unsur-unsur lainnya, seperti nama-nama berang.</t>
        </is>
      </c>
      <c r="J13" t="n">
        <v>0.7647</v>
      </c>
      <c r="K13" t="n">
        <v>0.1529</v>
      </c>
      <c r="M13" t="n">
        <v>0.0417</v>
      </c>
    </row>
    <row r="14">
      <c r="A14" t="n">
        <v>13</v>
      </c>
      <c r="B14" t="inlineStr">
        <is>
          <t>confusion</t>
        </is>
      </c>
      <c r="C14" t="inlineStr">
        <is>
          <t>4TAI</t>
        </is>
      </c>
      <c r="D14" s="3" t="inlineStr">
        <is>
          <t>Saya bikin model data untuk sistem nilai mahasiswa dan saya buang semua field kecuali nama dan NIM karena 'itu abstraksi'. Tapi dosen bilang abstraksi saya salah. Katanya nilai ujian, kehadiran itu juga penting. Apakah abstraksi berarti membuang detail sebanyak mungkin?</t>
        </is>
      </c>
      <c r="E14" s="3" t="inlineStr">
        <is>
          <t>Saya senang membantu Anda menjawab pertanyaan ini.
Abstraksi tidak hanya berarti membuang detail sebanyak mungkin, melainkan juga memberikan prioritas paling rendah untuk diperhatikan pada bagian tersebut. Abstraksi adalah kemampuan untuk fokus pada hal-hal yang penting, mengidentifikasi dan memusatkan perhatian pada detail yang relevan, serta mengabaikan hal-hal yang tidak relevan dan hanya menjadi gangguan (distraction). Dalam kasus Anda, jika Anda ingin membuat model data sistem nilai mahasiswa, maka abstraksi berarti memberikan prioritas paling rendah untuk mengetahui informasi seperti nilai ujian dan kehadiran, karena mereka bukanlah bagian yang paling penting dalam sistem tersebut.
Dengan kata lain, abstraksi bukan berarti membuang semua detail, melainkan hanya memberikan prioritas pada hal-hal yang paling penting. Dalam contoh Anda, nama dan NIM mahasiswa adalah informasi yang paling penting, sehingga Anda dapat meninggalkan informasi lainnya seperti nilai ujian dan kehadiran.
Untuk menjawab pertanyaan ini, saya menggunakan konsep utama abstraksi sebagai berikut: fokus pada hal-hal yang penting, mengabaikan hal-hal yang tidak relevan, dan memberikan prioritas paling rendah untuk diperhatikan pada bagian tersebut. Saya juga menggunakan contoh konkret untuk menjelaskan konsep ini.
Dalam kesimpulan, abstraksi bukan berarti membuang semua detail, melainkan hanya memberikan prioritas pada hal-hal yang paling penting. Dengan demikian, Anda dapat membuat model data sistem nilai mahasiswa dengan fokus pada nama dan NIM mahasiswa, tanpa perlu mengetahui informasi lainnya seperti nilai ujian dan kehadiran.</t>
        </is>
      </c>
      <c r="F14" t="n">
        <v>0.7827</v>
      </c>
      <c r="G14" t="n">
        <v>0.1712</v>
      </c>
      <c r="H14" t="b">
        <v>1</v>
      </c>
      <c r="I14" s="3" t="inlineStr">
        <is>
          <t>Tidak semua abstraksi sama, dan tidak semua penggunaan kata "abstraksi" memiliki arti yang sama.
Abstraksi pada dasarnya berarti menghilangkan atau mengabaikan informasi yang tidak relevan atau tidak penting untuk tujuan analisis atau penyelesaian masalah. Dalam kasus Anda, jika Anda membuang semua field kecuali nama dan NIM karena itu "itu abstraksi", maka Anda memiliki salah pengertian tentang konsep abstraksi.
Abstraksi sebenarnya berarti mengumpulkan informasi yang paling penting dan relevan untuk tujuan analisis atau penyelesaian masalah, bukan membuang detail sebanyak mungkin. Jika nilai ujian dan kehadiran itu juga penting, maka Anda harus menyertakan field-field tersebut dalam model data Anda.
Dalam pengajaran statistik atau data analysis, abstraksi biasanya berarti mengumpulkan informasi yang paling relevan dan penting untuk tujuan analisis, namun tidak berarti membuang detail sebanyak mungkin. Sebaliknya, abstraksi juga dapat berarti menghilangkan noise atau gangguan dalam data, sehingga Anda dapat melihat pola atau pattern yang sebenarnya.
Jadi, untuk menjawab pertanyaan dosen Anda, nilai ujian dan kehadiran itu memang penting sebagai bagian dari sistem nilai mahasiswa. Anda harus mempertahankan field-field tersebut dalam model data Anda untuk menghasilkan analisis yang akurat dan relevan.</t>
        </is>
      </c>
      <c r="J14" t="n">
        <v>0.6516</v>
      </c>
      <c r="K14" t="n">
        <v>0.2565</v>
      </c>
      <c r="L14" t="b">
        <v>1</v>
      </c>
      <c r="M14" t="n">
        <v>0.1311</v>
      </c>
    </row>
    <row r="15">
      <c r="A15" t="n">
        <v>14</v>
      </c>
      <c r="B15" t="inlineStr">
        <is>
          <t>gap</t>
        </is>
      </c>
      <c r="C15" t="inlineStr">
        <is>
          <t>2TGI</t>
        </is>
      </c>
      <c r="D15" s="3" t="inlineStr">
        <is>
          <t>Di slide abstraksi ada istilah 'helicopter view'. Saya tidak ngerti maksudnya — apa hubungannya helikopter dengan CT? Dan bagaimana cara saya menerapkan helicopter view waktu mengerjakan soal?</t>
        </is>
      </c>
      <c r="E15" s="3" t="inlineStr">
        <is>
          <t>Kami bersama-sama akan memahami konsep "helicopter view" dalam Computational Thinking (CT).
"Helicopter view" sebenarnya tidak berhubungan dengan helikopter secara langsung! Istilah ini berasal dari pandangan yang lebih luas dan menyeluruh, seperti jika kita sedang terbang di atas udara menggunakan helikopter. Dalam CT, "helicopter view" berarti melihat suatu masalah atau situasi dari atas, secara menyeluruh, sebelum memahami detailnya.
Dengan demikian, "helicopter view" dalam CT berfungsi sebagai langkah awal untuk mengidentifikasi tujuan dan sifat masalah. Hal ini membantu kita untuk fokus pada hal-hal yang paling penting dan meninggalkan hal-hal yang tidak relevan. Dalam contoh soal 7, "helicopter view" dapat digunakan untuk melihat dataset 10.000 transaksi penjualan toko online dari atas, yaitu dengan memahami tren temporal penjualan per bulan, produk dengan penjualan tertinggi dan terendah, serta margin keuntungan per kategori produk.
Dalam mengerjakan soal, Anda dapat menerapkan "helicopter view" dengan melakukan langkah-langkah berikut: 1) pertama-tama melihat masalah dari atas, 2) identifikasi tujuan dan sifat masalah, 3) fokus pada hal-hal yang paling penting, dan 4) meninggalkan hal-hal yang tidak relevan. Dengan demikian, Anda dapat mengembangkan kemampuan abstraksi yang efektif dalam mengerjakan soal-soal CT!</t>
        </is>
      </c>
      <c r="F15" t="n">
        <v>0.7847</v>
      </c>
      <c r="G15" t="n">
        <v>0.1399</v>
      </c>
      <c r="I15" s="3" t="inlineStr">
        <is>
          <t>Saya senang membantu!
Istilah "helicopter view" pada slide abstraksi tidak memiliki kaitan langsung dengan helikopter, melainkan lebih berhubungan dengan pandangan yang Anda miliki ketika sedang mengerjakan soal.
"Helicopter view" mengacu pada perspektif yang luas dan umum dalam memahami suatu masalah atau topik. Dalam arti lain, Anda harus memiliki pandangan yang membantu Anda melihat gambaran besar dari suatu sistem, proses, atau masalah, serta bagaimana berbagai komponen tersebut saling terkait.
Untuk menerapkan "helicopter view" dalam mengerjakan soal, Anda dapat melakukan beberapa hal sebagai berikut:
1. Mulai dengan langkah umum: Sebelum membahas detail, coba lihat gambaran besar dari masalah atau topik yang Anda diskusikan.
2. Identifikasi komponen-komponen utama: Coba identifikasi bagaimana komponen-komponen tersebut saling terkait dan bagaimana mereka mempengaruhi satu sama lain.
3. Analisis hubungan antar komponen: Pahami bagaimana berbagai komponen tersebut bekerja sama untuk mencapai tujuan atau memecahkan masalah.
4. Jangan terlalu fokus pada detail: Sementara Anda harus mengetahui detail-detail, jangan lupa memiliki pandangan yang lebih luas dan umum.
Dengan demikian, Anda akan memiliki "helicopter view" yang membantu Anda memahami suatu masalah atau topik secara lebih baik.</t>
        </is>
      </c>
      <c r="J15" t="n">
        <v>0.7655</v>
      </c>
      <c r="K15" t="n">
        <v>0.1524</v>
      </c>
      <c r="M15" t="n">
        <v>0.0192</v>
      </c>
    </row>
    <row r="16">
      <c r="A16" t="n">
        <v>15</v>
      </c>
      <c r="B16" t="inlineStr">
        <is>
          <t>cross_topic</t>
        </is>
      </c>
      <c r="C16" t="inlineStr">
        <is>
          <t>5TGR</t>
        </is>
      </c>
      <c r="D16" s="3" t="inlineStr">
        <is>
          <t>Waktu analisis data nilai ujian, saya buang semua outlier dulu baru cari pola. Apakah membuang outlier itu abstraksi atau pattern recognition? Atau keduanya sekaligus? Saya bingung mana yang mana.</t>
        </is>
      </c>
      <c r="E16" s="3" t="inlineStr">
        <is>
          <t>Waktu analisis data nilai ujian memang dapat menjadi kompleks, terutama jika melibatkan outlier. Dalam konteks Computational Thinking (CT), kita harus mampu memahami konsep abstraksi dan pattern recognition.
Membuang outlier dapat diartikan sebagai proses abstraksi, yaitu mengurangi noisy data untuk mendapatkan gambaran yang lebih jelas tentang pola pada data. Proses ini mirip dengan menggunakan operator logika NOT (bukan) untuk membalik nilai boolean dari operand. Dalam hal ini, kita membalikkan outlier menjadi tidak relevan dalam analisis data.
Pada sisi lain, pattern recognition adalah proses mengidentifikasi pola dan struktur pada data. Dalam konteks analisis data, pattern recognition dapat dilakukan dengan menggunakan struktur data seperti list (array) untuk menyimpan sekumpulan nilai secara berurutan. Kita juga dapat menggunakan operator logika OR (atau) untuk menggabungkan dua atau lebih ekspresi boolean dan menghasilkan nilai boolean.
Dalam kasus analisis data nilai ujian, membuang outlier dapat diartikan sebagai proses abstraksi yang membantu kita mendapatkan pola pada data. Selanjutnya, pattern recognition dapat dilakukan untuk mengidentifikasi korelasi antara variabel dan menemukan hubungan yang relevan. Dengan demikian, membuang outlier bukan hanya abstraksi tapi juga pattern recognition sekaligus.</t>
        </is>
      </c>
      <c r="F16" t="n">
        <v>0.784</v>
      </c>
      <c r="G16" t="n">
        <v>0.1404</v>
      </c>
      <c r="H16" t="b">
        <v>1</v>
      </c>
      <c r="I16" s="3" t="inlineStr">
        <is>
          <t>I understand your concern!
When you remove outliers from the dataset before analyzing patterns, it's a combination of both abstraction and pattern recognition.
Abstraction refers to the process of focusing on specific aspects or features of the data that are relevant for analysis, while ignoring or removing irrelevant information (in this case, the outliers). By removing the outliers, you're abstracting away from the noise and focusing on the underlying patterns in the remaining data.
Pattern recognition, on the other hand, involves identifying regularities, relationships, or structures within the data. In your case, by analyzing the remaining data after removing outliers, you're recognizing patterns that might not be immediately apparent when considering the entire dataset (including outliers).
So, to answer your question: membuang outlier itu sekaligus abstraksi dan pattern recognition.
(Note: However, it's worth noting that simply removing outliers without careful consideration of their potential implications for the analysis and conclusions drawn from it is generally not a recommended practice. It's essential to carefully evaluate the effects of outliers on the analysis and consider alternative approaches, such as using robust statistical methods or visualizing the data to understand their impact.)</t>
        </is>
      </c>
      <c r="J16" t="n">
        <v>0.601</v>
      </c>
      <c r="K16" t="n">
        <v>0.2594</v>
      </c>
      <c r="L16" t="b">
        <v>1</v>
      </c>
      <c r="M16" t="n">
        <v>0.183</v>
      </c>
    </row>
    <row r="17">
      <c r="A17" t="n">
        <v>16</v>
      </c>
      <c r="B17" t="inlineStr">
        <is>
          <t>application</t>
        </is>
      </c>
      <c r="C17" t="inlineStr">
        <is>
          <t>3PGR</t>
        </is>
      </c>
      <c r="D17" s="3" t="inlineStr">
        <is>
          <t>Soal: bebek ke-n mendapat n coklat. Total coklat 500 buah. Bebek nomor berapa yang pertama kali tidak mendapat coklat? Saya sudah coba hitung manual tapi lama sekali.</t>
        </is>
      </c>
      <c r="E17" s="3" t="inlineStr">
        <is>
          <t>Bapak, saya akan menjelaskan soal coklat bebek dengan menggunakan pola deret segitiga. Dalam soal ini, Pak Dengklek memiliki 500 coklat dan bebek ke-n mendapat n coklat. Tujuan adalah menemukan bebek nomor berapa yang pertama kali tidak mendapat coklat.
Pertama-tama, kita perlu memahami pola deret segitiga. Pola ini berbentuk: jumlah coklat hingga bebek ke-n = n(n+1)/2. Dengan demikian, jika total coklat 500, maka kita dapat mencari nilai n yang memenuhi persamaan di atas.
Setelah beberapa langkah hitung, kita menemukan bahwa n = 31. Jika kita berhenti pada bebek ke-30, maka jumlah coklat yang terbagikan adalah 30(30+1)/2 = 465. Kita masih memiliki sisa 500 - 465 = 35 coklat.
Namun, jika kita lanjutkan ke bebek ke-31, maka jumlah coklat yang terbagikan menjadi 31(31+1)/2 = 496. Kita hanya memiliki sisa 4 coklat.
Jika kita berhenti pada bebek ke-32, maka jumlah coklat yang terbagikan menjadi 32(32+1)/2 = 528, yang melebihi batas total coklat 500. Maka, bebek ke-32 tidak dapat mendapat coklat.
Dengan demikian, jawaban adalah bebek ke-32.</t>
        </is>
      </c>
      <c r="F17" t="n">
        <v>0.788</v>
      </c>
      <c r="G17" t="n">
        <v>0.1378</v>
      </c>
      <c r="H17" t="b">
        <v>1</v>
      </c>
      <c r="I17" s="3" t="inlineStr">
        <is>
          <t>Tidak perlu menghitung manual, karena kita dapat menggunakan rumus matematika untuk menyelesaikan masalah ini!
Jumlah bebek yang mendapat coklat adalah n, dan total coklat adalah 500 buah. Kita tahu bahwa coklat dijamin tidak beraturan (random) antara bebek.
Karena itulah, kita dapat menggunakan rumus penyelesaian untuk masalah ini:
n = 1 +-floor((500 - 1)^(1/2))
Jika kita hitung, maka kita akan mendapatkan nilai n sekitar 25. Hal ini berarti bahwa bebek ke-25 adalah yang pertama kali tidak mendapat coklat.
Namun, perlu diingat bahwa rumus di atas hanya berlaku jika distribusi coklat secara acak dan independen. Jika terdapat keterbatasan lainnya, maka perlu diolah ulang masalah ini.
Jadi, jawaban yang tepat adalah bebek ke-25!</t>
        </is>
      </c>
      <c r="J17" t="n">
        <v>0.6573</v>
      </c>
      <c r="K17" t="n">
        <v>0.2228</v>
      </c>
      <c r="L17" t="b">
        <v>1</v>
      </c>
      <c r="M17" t="n">
        <v>0.1307</v>
      </c>
    </row>
    <row r="18">
      <c r="A18" t="n">
        <v>17</v>
      </c>
      <c r="B18" t="inlineStr">
        <is>
          <t>application</t>
        </is>
      </c>
      <c r="C18" t="inlineStr">
        <is>
          <t>4TGR</t>
        </is>
      </c>
      <c r="D18" s="3" t="inlineStr">
        <is>
          <t>Soal ujian: tentukan digit terakhir dari 2 pangkat 2003. Saya tidak mungkin hitung 2^2003 secara langsung. Dosen bilang pakai pattern recognition. Bagaimana caranya?</t>
        </is>
      </c>
      <c r="E18" s="3" t="inlineStr">
        <is>
          <t>Here's the answer:
Dalam soal ini, kita diminta untuk menentukan digit terakhir dari 2 pangkat 2003. Saya tidak mungkin hitung 2^2003 secara langsung. Dosen bilang pakai pattern recognition. Bagaimana caranya?
Kita dapat menggunakan pola pengulangan yang ditemukan dalam materi referensi, yaitu: jika N mod 4 = 1 maka digit terakhir 2; jika N mod 4 = 2 maka digit terakhir 4; jika N mod 4 = 3 maka digit terakhir 8; dan jika N mod 4 = 0 maka digit terakhir 6. Karena 2003 mod 4 = 3, maka digit terakhir dari 2^2003 adalah 8.
Dengan menggunakan pola pengulangan ini, kita tidak perlu menghitung nilai 2^2003 secara langsung. Pola pengulangan juga membantu kita untuk menemukan solusi yang efisien dan akurat.
Dalam konsep pattern recognition, kita mempelajari pola-pola yang terjadi dalam data dan menggunakan pengetahuan tersebut untuk membuat prediksi atau membuat keputusan. Dalam kasus ini, pola pengulangan digunakan untuk menemukan digit terakhir dari 2 pangkat 2003 tanpa perlu menghitung nilai 2^2003 secara langsung.</t>
        </is>
      </c>
      <c r="F18" t="n">
        <v>0.753</v>
      </c>
      <c r="G18" t="n">
        <v>0.1905</v>
      </c>
      <c r="H18" t="b">
        <v>1</v>
      </c>
      <c r="I18" s="3" t="inlineStr">
        <is>
          <t>Untuk menentukan digit terakhir dari 2 pangkat 2003, kita dapat menggunakan prinsip pattern recognition. Berikut adalah langkah-langkahnya:
1. Pertama, kita harus tahu bahwa jika kita memiliki 2 pangkat yang berbeda, maka digit terakhir akan berbeda pula. Misalnya, 2^5 = 32 dan 2^6 = 64, maka digit terakhir dari 2^5 adalah 2 sedangkan digit terakhir dari 2^6 adalah 4.
2. Kita juga perlu mengetahui bahwa jika kita memiliki 2 pangkat yang berbeda dengan perbedaan hanya satu unit, maka digit terakhir akan meningkat sebesar 1. Misalnya, 2^3 = 8 dan 2^4 = 16, maka digit terakhir dari 2^3 adalah 8 sedangkan digit terakhir dari 2^4 adalah 6.
3. Sekarang kita dapat menggunakan prinsip-prinsip di atas untuk menentukan digit terakhir dari 2 pangkat 2003. Kita lihat bahwa 2003 = 2 × 1001 + 1, maka kita dapat melihat bahwa 2^2003 adalah hasil kali 2 dengan 2^1001.
4. Kita tahu bahwa 2^1 = 2, 2^2 = 4, 2^3 = 8, 2^4 = 16, dst. Jadi, kita dapat melihat bahwa digit terakhir dari 2 pangkat yang berikut akan meningkat sebesar 1 untuk setiap perubahan yang terjadi dalam eksponen.
5. Kita lihat bahwa 1001 = 3 × 333 + 2, maka kita dapat melihat bahwa 2^1001 adalah hasil kali 2 dengan 2^332 dan 2^2 (karena 2^2 = 4).
6. Kita tahu bahwa digit terakhir dari 2 pangkat yang berikut akan meningkat sebesar 1 untuk setiap perubahan yang terjadi dalam eksponen. Jadi, kita dapat melihat bahwa digit terakhir dari 2^332 adalah 8 (karena 2^3 = 8) dan digit terakhir dari 2^2 adalah 4.
7. Berdasarkan langkah-langkah di atas, kita dapat menentukan bahwa digit terakhir dari 2 pangkat 2003 adalah hasil kali digit terakhir dari 2^332 dengan 4, yaitu 8 × 4 = 32.
Jadi, jawaban yang tepat adalah: 2.</t>
        </is>
      </c>
      <c r="J18" t="n">
        <v>0.4063</v>
      </c>
      <c r="K18" t="n">
        <v>0.3859</v>
      </c>
      <c r="L18" t="b">
        <v>1</v>
      </c>
      <c r="M18" t="n">
        <v>0.3467</v>
      </c>
    </row>
    <row r="19">
      <c r="A19" t="n">
        <v>18</v>
      </c>
      <c r="B19" t="inlineStr">
        <is>
          <t>confusion</t>
        </is>
      </c>
      <c r="C19" t="inlineStr">
        <is>
          <t>5PAR</t>
        </is>
      </c>
      <c r="D19" s="3" t="inlineStr">
        <is>
          <t>Saya pikir pattern recognition di CT hanya untuk data angka atau deret matematika. Tapi dosen bilang bisa juga untuk teks atau gambar. Apakah pattern recognition di CT sama dengan machine learning pattern recognition? Atau beda?</t>
        </is>
      </c>
      <c r="E19" s="3" t="inlineStr">
        <is>
          <t>Hallo!
Pattern recognition in Computational Thinking (CT) is not limited to numerical data or mathematical sequences only. As you mentioned, it can also be applied to texts or images. In CT, pattern recognition refers to the ability to identify and classify patterns, trends, or relationships within a dataset, regardless of its format.
While machine learning pattern recognition shares some similarities with CT's pattern recognition, they are not identical. Machine learning pattern recognition typically involves more advanced techniques, such as neural networks or decision trees, to recognize patterns in data. In contrast, CT's pattern recognition focuses on developing students' ability to recognize and understand patterns through visual representations, abstract thinking, and logical reasoning.
In the context of CT, pattern recognition is a fundamental skill that enables individuals to analyze complex problems, identify relevant information, and develop creative solutions. By recognizing patterns, students can make informed decisions, simplify complex systems, and improve their problem-solving skills.
So, in short, while both machine learning pattern recognition and CT's pattern recognition involve identifying patterns, they differ in scope, methodology, and application.</t>
        </is>
      </c>
      <c r="F19" t="n">
        <v>0.7367</v>
      </c>
      <c r="G19" t="n">
        <v>0.1711</v>
      </c>
      <c r="H19" t="b">
        <v>1</v>
      </c>
      <c r="I19" s="3" t="inlineStr">
        <is>
          <t>Pattern recognition pada Computer Tomography (CT) tidak sepenuhnya sama dengan Machine Learning pattern recognition, meskipun keduanya berfokus pada pengenalan pola.
Pada CT, pattern recognition biasanya berupa proses analisis visual atau statistik untuk mengidentifikasi pola-pola dalam data dua-dimensional seperti gambar, citra, atau grafik. Tujuan utama adalah mendeteksi dan mengklasifikasikan objek, warna, bentuk, atau tekstur pada gambar.
Di sisi lain, Machine Learning pattern recognition lebih berfokus pada pengenalan pola-pola dalam data yang kompleks dan tidak terstruktur, seperti teks, suara, atau video. Tujuan utama adalah membuat model yang dapat memprediksi perilaku atau hasil berdasarkan pola-pola yang diidentifikasi.
Perbedaan lain antara keduanya adalah:
1. Data input: CT menggunakan data dua-dimensional seperti gambar, sementara Machine Learning dapat menggunakan data satu-dimensional seperti teks atau suara.
2. Tujuan: CT biasanya digunakan untuk mengklasifikasikan objek atau mendeteksi patologi, sedangkan Machine Learning digunakan untuk membuat model yang dapat memprediksi perilaku atau hasil.
3. Algoritma: CT menggunakan algoritma analisis visual atau statistik sederhana, seperti thresholding atau filtering, sedangkan Machine Learning menggunakan algoritma kompleks seperti neural networks atau decision trees.
Namun, keduanya memiliki tujuan yang sama yaitu mengenali pola-pola dan membuat keputusan berdasarkan informasi tersebut. Oleh karena itu, pengetahuan tentang pattern recognition pada CT dapat membantu meningkatkan kemampuan dalam Machine Learning dan sebaliknya.</t>
        </is>
      </c>
      <c r="J19" t="n">
        <v>0.7655999999999999</v>
      </c>
      <c r="K19" t="n">
        <v>0.1524</v>
      </c>
      <c r="L19" t="b">
        <v>1</v>
      </c>
      <c r="M19" t="n">
        <v>-0.0289</v>
      </c>
    </row>
    <row r="20">
      <c r="A20" t="n">
        <v>19</v>
      </c>
      <c r="B20" t="inlineStr">
        <is>
          <t>gap</t>
        </is>
      </c>
      <c r="C20" t="inlineStr">
        <is>
          <t>4PGI</t>
        </is>
      </c>
      <c r="D20" s="3" t="inlineStr">
        <is>
          <t>Saya lihat data absensi dan nemu pola: nilai turun setiap minggu ke-5. Tapi bagaimana saya tahu ini bukan kebetulan? Apa cara CT untuk memvalidasi bahwa pola yang saya temukan itu benar?</t>
        </is>
      </c>
      <c r="E20" s="3" t="inlineStr">
        <is>
          <t>Mahasiswa! Saya senang membantu Anda memahami konsep Computational Thinking (CT) untuk memvalidasi pola absensi yang Anda temukan.
Pertama-tama, Anda harus menggunakan istilah teknis seperti Pattern Recognition dan Algorithm. Anda dapat mengidentifikasi pola dengan menggunakan kemampuan pattern recognition, yaitu memprediksi atau memperoleh cara cepat dalam memandang suatu persoalan. Dalam kasus Anda, pola absensi turun setiap minggu ke-5 adalah contoh pola yang perlu dipahami.
Selanjutnya, Anda harus menggunakan algorithm untuk memvalidasi pola tersebut. Langkah sistematis yang dapat diambil adalah sebagai berikut: (1) list semua data absensi, (2) tentukan prioritas, (3) bagi total jam belajar, (4) tempatkan di slot waktu, dan (5) verifikasi.
Dalam contoh Anda, Anda dapat menggunakan Tabel Kebenaran OR dari materi referensi [GT_DETAIL_PT09_Variabel_TipeData_Operator_List.txt] untuk memvalidasi pola. Misalnya, Anda dapat membuat tabel kebenaran OR untuk mengetahui apakah nilai absensi turun setiap minggu ke-5 masih tetap benar atau tidak.
Jadi, dengan menggunakan kemampuan Pattern Recognition dan Algorithm, Anda dapat memvalidasi pola absensi yang Anda temukan dan mengetahui apakah itu bukan kebetulan.</t>
        </is>
      </c>
      <c r="F20" t="n">
        <v>0.78</v>
      </c>
      <c r="G20" t="n">
        <v>0.143</v>
      </c>
      <c r="H20" t="b">
        <v>1</v>
      </c>
      <c r="I20" s="3" t="inlineStr">
        <is>
          <t>Untuk memvalidasi bahwa pola turun nilai setiap minggu ke-5 bukan hanya kebetulan, Anda dapat menggunakan beberapa cara statistik sebagai berikut:
1. **Hypothesis Testing**: Anda dapat melakukan uji hipotesis untuk mengetahui apakah pola turun nilai tersebut signifikan. Misalnya, Anda dapat menggunakan uji t-test atau Wilcoxon signed-rank test untuk membandingkan rata-rata nilai minggu ke-5 dengan nilai minggu lainnya.
2. **Time Series Analysis**: Anda dapat melakukan analisis time series untuk mengetahui apakah pola turun nilai tersebut sesuai dengan pengamatan data yang dilakukan. Misalnya, Anda dapat menggunakan metode ARIMA (AutoRegressive Integrated Moving Average) atau Exponential Smoothing (ETS) untuk memprediksi nilai berikutnya dan menentukan seberapa besar deviasi dari prediksi.
3. **Residual Analysis**: Anda dapat melakukan analisis residual untuk mengetahui apakah pola turun nilai tersebut tidak terjadi oleh kebetulan. Misalnya, Anda dapat menggunakan plot residuals versus fitted values atau Q-Q plot untuk memeriksa apakah residuals memiliki distribusi yang sesuai dengan hipotesis.
4. **Cross-Validation**: Anda dapat melakukan cross-validation untuk mengetahui apakah pola turun nilai tersebut tidak terjadi oleh kebetulan. Misalnya, Anda dapat menggunakan 10-fold cross-validation untuk membagi data menjadi 10 bagian dan melakukan analisis statistik pada setiap bagian.
Dalam praktiknya, Anda dapat mengkombinasikan beberapa cara di atas untuk meningkatkan kepastian bahwa pola turun nilai tersebut bukan hanya kebetulan.</t>
        </is>
      </c>
      <c r="J20" t="n">
        <v>0.405</v>
      </c>
      <c r="K20" t="n">
        <v>0.3867</v>
      </c>
      <c r="L20" t="b">
        <v>1</v>
      </c>
      <c r="M20" t="n">
        <v>0.375</v>
      </c>
    </row>
    <row r="21">
      <c r="A21" t="n">
        <v>20</v>
      </c>
      <c r="B21" t="inlineStr">
        <is>
          <t>application</t>
        </is>
      </c>
      <c r="C21" t="inlineStr">
        <is>
          <t>3TGR</t>
        </is>
      </c>
      <c r="D21" s="3" t="inlineStr">
        <is>
          <t>Diberikan barisan: 3, 6, 12, 24, 48. Dosen minta saya identifikasi jenis deret, tuliskan rumus suku ke-n, dan hitung suku ke-10 tanpa menghitung satu per satu.</t>
        </is>
      </c>
      <c r="E21" s="3" t="inlineStr">
        <is>
          <t>Based on the provided material references and the level of cognitive thinking required for this task (Level 3 Menengah / Teoritis / Global / Reflektif), I will provide an explanation that is concise, accurate, and relevant to the topic.
The given barisan is: 3, 6, 12, 24, 48. This appears to be a sequence of numbers that increases by a factor of 2 each time. Therefore, we can identify this as a geometric progression with a common ratio (r) of 2.
The formula for the nth term (suksesunya ke-n) in a geometric progression is:
an = ar^(n-1)
where 'a' is the first term and 'r' is the common ratio.
To find the 10th term, we can plug in n = 10 into the above equation:
a10 = 2^(10-1) × a
Since the first term (a) is not given, we need to find it by solving the equation for a. However, since this sequence appears to be starting from 3, we can set up an equation using the first two terms:
6 = 2 × 3
2 = r
Now that we have found 'r', we can use the formula above to calculate the 10th term:
a10 = 2^(10-1) × 3
= 2^9 × 3
= 192
Therefore, the 10th term in this sequence is 192.</t>
        </is>
      </c>
      <c r="F21" t="n">
        <v>0.7175</v>
      </c>
      <c r="G21" t="n">
        <v>0.1836</v>
      </c>
      <c r="H21" t="b">
        <v>1</v>
      </c>
      <c r="I21" s="3" t="inlineStr">
        <is>
          <t>Diberikan barisan 3, 6, 12, 24, 48, maka jenis deretnya adalah deret bilangan ganda (deret geometric).
Rumus suku ke-n pada deret geometric adalah rn = a × r^(n-1), di mana a adalah suku pertama dan r adalah koefisien pangkat.
Dalam kasus ini, suku pertama adalah 3, sehingga a = 3. Suku-suku berikutnya diperoleh dengan mengalikan 2 pada suku sebelumnya, karena faktor pangkat adalah 2 (r = 2).
Rumus suku ke-n dapat ditulis sebagai rn = 3 × 2^(n-1).
Suku ke-10 dapat dihitung sebagai berikut:
rn = 3 × 2^(10-1) = 3 × 2^9 = 3 × 512 = 1536.
Jadi, suku ke-10 dari deret tersebut adalah 1536.</t>
        </is>
      </c>
      <c r="J21" t="n">
        <v>0.7455000000000001</v>
      </c>
      <c r="K21" t="n">
        <v>0.1654</v>
      </c>
      <c r="L21" t="b">
        <v>1</v>
      </c>
      <c r="M21" t="n">
        <v>-0.028</v>
      </c>
    </row>
    <row r="22">
      <c r="A22" t="n">
        <v>21</v>
      </c>
      <c r="B22" t="inlineStr">
        <is>
          <t>confusion</t>
        </is>
      </c>
      <c r="C22" t="inlineStr">
        <is>
          <t>2PAI</t>
        </is>
      </c>
      <c r="D22" s="3" t="inlineStr">
        <is>
          <t>Di tugas saya bikin flowchart karena saya kira itu lebih formal dan benar dari pseudocode. Tapi dosen lebih prefer pseudocode. Apa bedanya pseudocode dengan flowchart, dan mana yang lebih tepat untuk menggambarkan algoritme?</t>
        </is>
      </c>
      <c r="E22" s="3" t="inlineStr">
        <is>
          <t>Mahasiswa,
Pseudocode dan flowchart adalah dua bentuk representasi algoritme yang berbeda, tetapi keduanya memiliki tujuan yang sama, yaitu untuk mendapatkan ide secara cepat dan memudahkan pembacaan algoritme tanpa harus mengikuti aturan grammar (sintaks) bahasa pemrograman yang ketat.
Pseudocode adalah cara informal untuk menuliskan algoritme atau rancangan program komputer. Tujuan utama pseudocode adalah untuk mendapatkan ide secara cepat sekaligus memudahkan pembacaan algoritme tanpa harus mengikuti aturan grammar (sintaks) bahasa pemrograman yang ketat. Pseudocode tidak memiliki aturan penulisan yang baku, namun untuk mengurangi ambiguitas, dibuat konvensi-konvensi tertentu.
Flowchart, sebaliknya, adalah bentuk representasi algoritme yang lebih formal dan visual. Flowchart menggunakan symbol-simbol seperti box, arrow, dan diamond untuk menunjukkan langkah-langkah dalam algoritme. Tujuan utama flowchart adalah untuk mendapatkan gambaran lengkap tentang bagaimana algoritme berjalan.
Dalam beberapa hal, pseudocode lebih sesuai untuk pengembangan algoritme, karena dapat memberikan deskripsi yang lebih detail dan mudah dipahami. Sementara itu, flowchart lebih sesuai untuk visualisasi algoritme, karena dapat membantu dalam memvisualisasikan bagaimana algoritme berjalan.
Jadi, tidak ada yang salah dalam menggunakan keduanya. Dosen Anda lebih prefer pseudocode karena pseudocode dapat memberikan deskripsi yang lebih detail dan mudah dipahami. Namun, flowchart juga memiliki kelebihannya sendiri, seperti dapat membantu dalam memvisualisasikan bagaimana algoritme berjalan.
Saya harap jawaban ini dapat membantu Anda memahami perbedaan antara pseudocode dan flowchart.</t>
        </is>
      </c>
      <c r="F22" t="n">
        <v>0.7945</v>
      </c>
      <c r="G22" t="n">
        <v>0.1336</v>
      </c>
      <c r="H22" t="b">
        <v>1</v>
      </c>
      <c r="I22" s="3" t="inlineStr">
        <is>
          <t>Saya akan menjawab pertanyaan Anda sebaik mungkin.
Pseudocode dan flowchart adalah dua metode yang digunakan untuk menggambarkan algoritme, yaitu langkah-langkah yang diperlukan untuk mencapai tujuan tertentu. Meskipun keduanya memiliki tujuan yang sama, mereka memiliki perbedaan yang signifikan.
Pseudocode adalah suatu sintaks yang mirip dengan bahasa pemrograman namun tidak sesuai untuk dieksekusi secara langsung oleh komputer. Pseudocode lebih fokus pada logika algoritme dan menggunakan kata-kata atau frase yang mirip dengan bahasa pemrograman, seperti "IF statement" atau "LOOP". Pseudocode biasanya digunakan untuk menjelaskan bagaimana algoritme bekerja tanpa perlu memperhatikan detail-detail teknis.
Sementara itu, flowchart adalah suatu diagram yang menggunakan simbol-simbol dan garis-garis untuk menggambarkan algoritme. Flowchart lebih fokus pada struktur logika algoritme dan menggunakan simbol-simbol seperti "START", "END", "IF-THEN", atau "LOOP" untuk menunjukkan arah aliran program. Flowchart biasanya digunakan untuk menjelaskan bagaimana algoritme bekerja melalui serangkaian langkah yang terstruktur.
Jadi, apa yang lebih tepat untuk menggambarkan algoritme? Pseudocode dan flowchart sama-sama memiliki kelebihan dan kekurangan masing-masing. Pseudocode lebih cocok jika Anda ingin menjelaskan bagaimana algoritme bekerja tanpa perlu memperhatikan detail-detail teknis, sedangkan flowchart lebih cocok jika Anda ingin menggambarkan struktur logika algoritme secara lebih rinci.
Dalam kasus Anda, sebenarnya tidak ada yang salah dalam menggunakan flowchart. Dosen mungkin lebih prefer pseudocode karena pseudocode lebih dapat menjelaskan bagaimana algoritme bekerja tanpa perlu memperhatikan detail-detail teknis. Namun, jika Anda ingin menggambarkan struktur logika algoritme secara lebih rinci, maka flowchart masih menjadi pilihan yang sangat baik.</t>
        </is>
      </c>
      <c r="J22" t="n">
        <v>0.7627</v>
      </c>
      <c r="K22" t="n">
        <v>0.1842</v>
      </c>
      <c r="L22" t="b">
        <v>1</v>
      </c>
      <c r="M22" t="n">
        <v>0.0318</v>
      </c>
    </row>
    <row r="23">
      <c r="A23" t="n">
        <v>22</v>
      </c>
      <c r="B23" t="inlineStr">
        <is>
          <t>application</t>
        </is>
      </c>
      <c r="C23" t="inlineStr">
        <is>
          <t>3PAR</t>
        </is>
      </c>
      <c r="D23" s="3" t="inlineStr">
        <is>
          <t>Saya diminta menulis pseudocode algoritme Euclidean untuk mencari FPB dua bilangan. Saya tahu konsep FPB tapi tidak tahu cara tulis pseudocode-nya dengan while loop. Bisa tolong tunjukkan?</t>
        </is>
      </c>
      <c r="E23" s="3" t="inlineStr">
        <is>
          <t>Saya akan membantu Anda menulis pseudocode algoritme Euclidean untuk mencari FPB dua bilangan.
FPB (Faktor Perbesar Besar) dari dua bilangan adalah bilangan terkecil yang membagi keduanya tanpa sisihan. Algoritme Euclidean digunakan untuk mencari FPB ini.
Pseudocode algoritme Euclidean menggunakan perulangan while, seperti berikut:
```
read(a, b)
if (b == 0) then
    print(a)
else
    r = a mod b
    if (r == 0) then
        print(b)
    else
        read(r, b)
```
Keterangan: Pseudocode di atas menggunakan variabel `a` dan `b` sebagai input. Algoritme Euclidean bekerja dengan cara menghitung sisa (`r`) dari pembagian `a` dengan `b`. Jika sisa sama dengan 0, maka `b` adalah FPB. Jika tidak, maka algoritme di ulangi untuk mencari FPB antara `r` dan `b`.
Saya harap pseudocode di atas membantu Anda memahami konsep FPB dan bagaimana algoritme Euclidean digunakan untuk mencarinya.</t>
        </is>
      </c>
      <c r="F23" t="n">
        <v>0.7724</v>
      </c>
      <c r="G23" t="n">
        <v>0.1479</v>
      </c>
      <c r="H23" t="b">
        <v>1</v>
      </c>
      <c r="I23" s="3" t="inlineStr">
        <is>
          <t>Saya dapat membantu Anda menulis pseudocode algoritme Euclidean untuk mencari FPB dua bilangan menggunakan while loop. Berikut adalah contoh pseudocode-nya:
```
PROSEDUR Euklides(a, b)
    jika b == 0 maka
        hasil = a
    lainnya
        q = a / b
        r = a mod b
        Euklides(b, r)
    kembali hasil
```
Pseudocode di atas menggunakan while loop implisit dalam prosedur rekursif `Euklides`. Proses algoritme Euclidean dapat dijelaskan sebagai berikut:
1. Jika bilangan kedua (`b`) adalah 0, maka FPB-nya adalah bilangan pertama (`a`).
2. Jika tidak, maka kita melakukan pembagian dan sisa (`q` dan `r`) antara bilangan pertama (`a`) dengan bilangan kedua (`b`).
3. Kita memanggil fungsi `Euklides` kembali dengan argumen `b` dan `r`, yang akan mengulangi proses tersebut hingga `b` menjadi 0.
4. Hasil akhir adalah FPB-nya.
Namun, jika Anda ingin menulis pseudocode dengan while loop yang lebih tradisional, berikut adalah contoh:
```
PROSEDUR Euklides(a, b)
    hasil = a
    while b != 0 do
        q = a / b
        r = a mod b
        a = b
        b = r
    kembali hasil
```
Pseudocode di atas menggunakan while loop yang lebih tradisional untuk melakukan iterasi hingga `b` menjadi 0. Proses algoritme Euclidean sama seperti sebelumnya, tetapi menggunakan while loop yang lebih jelas dan lebih mudah dipahami.</t>
        </is>
      </c>
      <c r="J23" t="n">
        <v>0.7702</v>
      </c>
      <c r="K23" t="n">
        <v>0.1494</v>
      </c>
      <c r="L23" t="b">
        <v>1</v>
      </c>
      <c r="M23" t="n">
        <v>0.0022</v>
      </c>
    </row>
    <row r="24">
      <c r="A24" t="n">
        <v>23</v>
      </c>
      <c r="B24" t="inlineStr">
        <is>
          <t>gap</t>
        </is>
      </c>
      <c r="C24" t="inlineStr">
        <is>
          <t>1TGR</t>
        </is>
      </c>
      <c r="D24" s="3" t="inlineStr">
        <is>
          <t>Saya sudah buat algoritme untuk cari nilai terbesar dari array dan bisa jalan. Tapi dosen bilang algoritme saya kurang baik meski hasilnya benar. Apa saja ciri algoritme yang dianggap 'baik' selain menghasilkan output yang benar?</t>
        </is>
      </c>
      <c r="E24" s="3" t="inlineStr">
        <is>
          <t>Mahasiswa!
Dalam konteks algoritme, "baik" tidak hanya berarti hasilnya benar, tapi juga efisiensinya dalam menggunakan sumber daya, seperti waktu dan memori. Selain itu, algoritme yang baik juga harus memiliki kelebihan lain, seperti:
1. **Efisiensi**: Algoritme yang efisien dapat mencapai hasil dengan menggunakan sumber daya minimal, sehingga dapat meningkatkan kinerja program.
2. **Stabilitas**: Algoritme yang stabil tidak akan mengalami error atau bug ketika dijalankan pada berbagai input, sehingga dapat dipercaya untuk digunakan dalam aplikasi-praktis.
3. **Skalabilitas**: Algoritme yang skalabel dapat menangani input yang besar dan kompleks, sehingga dapat digunakan dalam aplikasi besar.
Dalam materi referensi, kita telah membahas tentang kompleksitas algoritme (Time Complexity) sebagai ukuran efisiensi suatu algoritme berdasarkan jumlah operasi yang diperlukan seiring bertambahnya ukuran input. Algoritme yang baik harus memiliki kompleksitas waktu yang baik, seperti O(n log n) atau O(n), sehingga dapat mencapai hasil dalam waktu yang relatif cepat.
Dalam kasus Anda, meski algoritme Anda dapat mencari nilai terbesar dari array dan hasilnya benar, namun dosen Anda mungkin menolak algoritme Anda karena efisiensinya yang kurang baik. Oleh karena itu, penting untuk memperbaiki algoritme Anda sehingga memiliki kompleksitas waktu yang lebih baik dan dapat digunakan dalam aplikasi-praktis.
Jadi, jangan hanya fokus pada hasilnya benar, tapi juga perhatikan efisiensi dan stabilisasi algoritme Anda!</t>
        </is>
      </c>
      <c r="F24" t="n">
        <v>0.7803</v>
      </c>
      <c r="G24" t="n">
        <v>0.1728</v>
      </c>
      <c r="I24" s="3" t="inlineStr">
        <is>
          <t>Selain menghasilkan output yang benar, ciri-ciri algoritme yang dianggap "baik" adalah sebagai berikut:
1. **Effisiensi**: Algoritme yang baik harus memiliki efisiensi waktu dan memori yang tinggi. Hal ini berarti algoritme tersebut tidak menggunakan sumber daya CPU atau memory secara berlebihan.
2. **Stabilitas**: Algoritme yang baik harus stabil dan tidak mudah terganggu oleh input yang tidak terprediksi. Stabilitas sangat penting jika algoritme tersebut akan digunakan dalam aplikasi yang memerlukan keandalan tinggi.
3. **Simplicity**: Algoritme yang baik seharusnya sederhana dan mudah dipahami. Sifat ini penting agar dapat di-maintain dan di-debug dengan mudah oleh pengembang.
4. **Flexibilitas**: Algoritme yang baik harus dapat beradaptasi dengan berbagai situasi dan input yang tidak terprediksi. Flexibilitas sangat penting jika algoritme tersebut akan digunakan dalam aplikasi yang memerlukan kemampuan adaptif.
5. **Scalability**: Algoritme yang baik seharusnya dapat beroperasi dengan baik pada skala besar dan kecil. Hal ini berarti algoritme tersebut tidak terhambat oleh input yang besar atau kecil.
6. **Optimality**: Algoritme yang baik seharusnya dapat mencapai output yang optimal dalam jangka waktu tertentu. Dalam beberapa kasus, optimality sangat penting jika algoritme tersebut akan digunakan dalam aplikasi yang memerlukan performa tinggi.
7. **Robustness**: Algoritme yang baik seharusnya dapat beroperasi dengan baik dalam keadaan input yang tidak terprediksi atau rusak. Robustness sangat penting jika algoritme tersebut akan digunakan dalam aplikasi yang memerlukan keandalan tinggi.
Dalam kasus Anda, meski algoritme Anda dapat menghasilkan output yang benar, namun dosen Anda mungkin memiliki beberapa masalah dengan efisiensi waktu, stabilitas, atau simplicity algoritme Anda. Oleh karena itu, perlu di-review dan di-optimalkan algoritme Anda untuk memenuhi kriteria-kriteria tersebut.</t>
        </is>
      </c>
      <c r="J24" t="n">
        <v>0.7622</v>
      </c>
      <c r="K24" t="n">
        <v>0.1846</v>
      </c>
      <c r="L24" t="b">
        <v>1</v>
      </c>
      <c r="M24" t="n">
        <v>0.0181</v>
      </c>
    </row>
    <row r="25">
      <c r="A25" t="n">
        <v>24</v>
      </c>
      <c r="B25" t="inlineStr">
        <is>
          <t>out_of_scope</t>
        </is>
      </c>
      <c r="C25" t="inlineStr">
        <is>
          <t>5TAI</t>
        </is>
      </c>
      <c r="D25" s="3" t="inlineStr">
        <is>
          <t>Saya buat algoritme FPB Euclidean dan ingin tahu kompleksitasnya Big-O. Apakah Euclidean itu O(log n) atau O(n)? Dan kenapa bukan O(1) walaupun sering selesai cepat untuk angka kecil?</t>
        </is>
      </c>
      <c r="E25" s="3" t="inlineStr">
        <is>
          <t>Mahasiswa, sebagai Level 5 Lanjut/Teoritis/Analitis/Intuitif, saya akan menjelaskan konsep kompleksitas algoritme dengan menggunakan materi referensi yang diberikan.
Algoritme FPB Euclidean memiliki kompleksitas O(log n). Keterangan ini dapat dipahami dari analisis struktur kontrol algoritme. Dalam kasus FPB Euclidean, algoritme tidak melakukan looping yang terlalu banyak atau operasi yang berulang kali seiring dengan pertambahan input. Sebaliknya, algoritme menggunakan rekursi dan kondisi percabangan untuk mencari FPB. Karena itulah, kompleksitas O(log n) lebih sesuai untuk deskripsi algoritme ini.
Tidak seperti O(n), yang berarti bahwa operasi algoritme akan meningkat secara linear seiring dengan pertambahan input, atau O(n^2), yang berarti bahwa operasi algoritme akan meningkat secara kuadrat seiring dengan pertambahan input. Karena FPB Euclidean tidak memiliki looping yang terlalu banyak dan menggunakan rekursi serta kondisi percabangan, maka kompleksitas O(log n) lebih sesuai untuk deskripsi algoritme ini.
Perlu diingat bahwa kompleksitas O(1) berarti bahwa operasi algoritme tetap sama seiring dengan pertambahan input. Dalam kasus FPB Euclidean, tidak semua operasi dapat dilakukan dalam waktu konstan, karena algoritme harus melakukan rekursi dan kondisi percabangan yang berbeda-beda untuk mencari FPB. Oleh karena itu, kompleksitas O(1) tidak sesuai untuk deskripsi algoritme ini.
Dalam kesimpulan, FPB Euclidean memiliki kompleksitas O(log n), bukan O(n) atau O(n^2). Karena itulah, efisiensi algoritme harus dipertimbangkan dalam pengembangan algoritme yang akan digunakan untuk input besar.</t>
        </is>
      </c>
      <c r="F25" t="n">
        <v>0.7849</v>
      </c>
      <c r="G25" t="n">
        <v>0.1398</v>
      </c>
      <c r="H25" t="b">
        <v>1</v>
      </c>
      <c r="I25" s="3" t="inlineStr">
        <is>
          <t>Saya dapat menjawab pertanyaan Anda!
Algoritme FPB Euclidean memiliki kompleksitas Big-O yang adalah O(log n). Berikut ini adalah penjelasannya:
* Algoritme FPB Euclidean bekerja dengan cara melakukan beberapa iterasi untuk mencari faktor pembagi terbesar antara dua bilangan. Dalam setiap iterasi, nilai dari salah satu bilangan akan berkurang secara eksponensial (dengan faktor kurang lebih logaritma).
* Oleh karena itu, jumlah iterasi yang dibutuhkan untuk mencapai jawaban tidak tergantung pada nilai bilangan tersebut sendiri, melainkan tergantung pada logaritma dari nilai bilangan. Karena itu, kompleksitas algoritme adalah O(log n), bukan O(n).
* Walaupun algoritme FPB Euclidean sering selesai cepat untuk angka kecil, namun itu tidak berarti bahwa kompleksitasnya adalah O(1). Kompleksitas Big-O menunjukkan tingkat kompleksitas yang diperlukan oleh algoritme pada skenario terburuk (dalam kasus ini, bilangan besar), bukan pada skenario yang umum atau rata-rata.
* Dalam prakteknya, algoritme FPB Euclidean dapat selesai dalam waktu yang relatif cepat untuk angka kecil karena jumlah iterasi yang dibutuhkan relatif sedikit. Namun, jika kita ingin mengetahui kompleksitas yang diperlukan oleh algoritme pada skenario terburuk, maka kita harus mengacu pada Big-O yang sebenarnya, yaitu O(log n).</t>
        </is>
      </c>
      <c r="J25" t="n">
        <v>0.7832</v>
      </c>
      <c r="K25" t="n">
        <v>0.1409</v>
      </c>
      <c r="L25" t="b">
        <v>1</v>
      </c>
      <c r="M25" t="n">
        <v>0.0017</v>
      </c>
    </row>
    <row r="26">
      <c r="A26" t="n">
        <v>25</v>
      </c>
      <c r="B26" t="inlineStr">
        <is>
          <t>confusion</t>
        </is>
      </c>
      <c r="C26" t="inlineStr">
        <is>
          <t>2TGI</t>
        </is>
      </c>
      <c r="D26" s="3" t="inlineStr">
        <is>
          <t>Di pseudocode saya selalu tulis 'int x = 5' karena terbiasa dari C++. Tapi teman saya hanya tulis 'x = 5'. Kata dosen keduanya benar. Lalu apa konvensi pseudocode CT yang benar untuk deklarasi variabel?</t>
        </is>
      </c>
      <c r="E26" s="3" t="inlineStr">
        <is>
          <t>Mahasiswa, sekarang kita akan membahas topik penting tentang deklarasi variabel dalam pseudocode Computational Thinking (CT). Saya percaya bahwa Anda mungkin pernah berpikir bahwa "int x = 5" dan "x = 5" adalah dua cara yang benar untuk mendeklarasikan variabel. Tapi, berapa konvensi CT yang benar?
Dalam materi referensi, kita menemukan bahwa variabel adalah elemen dari algoritme yang berfungsi untuk menyimpan nilai tertentu pada suatu saat, dan nilai tersebut dapat diubah menjadi nilai lain sesuai kebutuhan. Dalam pseudocode, kita tidak perlu menggunakan tipe data seperti "int" atau "float", karena tujuan utama adalah untuk mendapatkan ide secara cepat sekaligus memudahkan pembacaan algoritme.
Jadi, apa konvensi CT yang benar untuk deklarasi variabel? Jawabannya adalah: tidak ada aturan penulisan pseudocode yang baku secara universal. Namun, dalam beberapa kasus, kita dapat menggunakan konvensi-konvensi tertentu untuk mengurangi ambiguitas. Misalnya, jika Anda ingin mendeklarasikan variabel integer, Anda dapat menulis "x" tanpa tipe data "int", seperti yang teman Anda lakukan.
Namun, perlu diingat bahwa pseudocode hanya sebagai representasi informal dari algoritme, dan tidak harus mengikuti aturan grammar (sintaks) bahasa pemrograman yang ketat. Oleh karena itu, kita dapat menggunakan konvensi-konvensi yang sesuai dengan kebutuhan dan sifat algoritme kita.
Dalam sintesis, deklarasi variabel dalam pseudocode CT tidak memiliki aturan baku, tetapi kita dapat menggunakan konvensi-konvensi tertentu untuk mengurangi ambiguitas. Jadi, Anda dapat memilih cara yang sesuai dengan kebutuhan Anda sendiri.</t>
        </is>
      </c>
      <c r="F26" t="n">
        <v>0.8078</v>
      </c>
      <c r="G26" t="n">
        <v>0.1549</v>
      </c>
      <c r="H26" t="b">
        <v>1</v>
      </c>
      <c r="I26" s="3" t="inlineStr">
        <is>
          <t>Dalam pendidikan komputer, terdapat beberapa konvensi yang digunakan dalam menulis pseudocode, termasuk untuk deklarasi variabel.
Menurut CT (Control Structure), konvensi yang dianjurkan adalah menggunakan sintaks 'let x = 5' atau 'var x = 5' untuk deklarasi variabel. Sintaks ini mirip dengan sintaks bahasa pemrograman Pascal, sehingga dapat membantu para mahasiswa memahami konsep programing.
Dalam beberapa kasus, CT juga menerima sintaks 'x = 5', namun hal itu tidak dianjurkan dan lebih umum digunakan dalam pseudocode yang berbasis Bahasa Inggris. Oleh karena itu, jika Anda ingin menulis pseudocode yang sesuai dengan konvensi CT, maka menggunakan sintaks 'let x = 5' atau 'var x = 5' adalah pilihan terbaik.
Jawaban Anda tentang 'x = 5' bukanlah salah, namun sebagai mahasiswa, sebaiknya Anda mengikuti konvensi yang dianjurkan oleh CT untuk menulis pseudocode yang lebih baik dan mudah dipahami.</t>
        </is>
      </c>
      <c r="J26" t="n">
        <v>0.7513</v>
      </c>
      <c r="K26" t="n">
        <v>0.1617</v>
      </c>
      <c r="M26" t="n">
        <v>0.0565</v>
      </c>
    </row>
    <row r="27">
      <c r="A27" t="n">
        <v>26</v>
      </c>
      <c r="B27" t="inlineStr">
        <is>
          <t>application</t>
        </is>
      </c>
      <c r="C27" t="inlineStr">
        <is>
          <t>2PAR</t>
        </is>
      </c>
      <c r="D27" s="3" t="inlineStr">
        <is>
          <t>Soal: hitung nilai ekspresi berikut: (8 + 4) / (2 * 3) - 1. Dan juga: 15 % 4 * 2 + 7 % 3. Saya sudah hitung tapi tidak yakin — apakah modulo punya prioritas yang sama dengan perkalian?</t>
        </is>
      </c>
      <c r="E27" s="3" t="inlineStr">
        <is>
          <t>Kamu adalah tutor Computational Thinking untuk mahasiswa universitas di Indonesia, dengan tipe kognitif Level 2 Dasar/Pragmatis/Analitis/Reflektif. Materi referensi yang relevan termasuk pola serupa.
Untuk soal 1 + 2 + 3 + ... + 10 = ?, kita dapat menggunakan Computational Thinking untuk menemukan pola dan membangun solusi efisien. Pasangkan bilangan dari ujung kiri dan kanan: 1+10=11, 2+9=11, 3+8=11, 4+7=11, 5+6=11 → Ada 5 pasangan, setiap pasangan = 11 → Total = 5 × 11 = 55 → Formula umum: (n/2) × (n+1).
Untuk soal Bebek ke-n mendapa, kita dapat menggunakan Computational Thinking untuk menemukan pola dan membangun solusi efisien. Contoh: 3=27(7), 3^4=81(1), 3^5=243(3) → Siklus 4: 3,9,7,1. Dapat ditemukan bahwa digit terakhir = 1 jika n mod 4 = 0.
Untuk soal SOAL 3 — Pola Bilangan, kita dapat menggunakan Computational Thinking untuk menemukan pola dan membangun solusi efisien. Contoh: a) Selisih: 3, 5, 7, 9, ... (bertambah 2) → Pola: n² + 1; Suku ke-10: 10² + 1 = 101.
Untuk soal SOAL 4 — Pola dalam Algoritme, kita dapat menggunakan Computational Thinking untuk menemukan pola dan membangun solusi efisien. Contoh: [GT_DETAIL_PT01_Pendahuluan.txt] : mengandung tanda minus (-).
Untuk soal SOAL 2 — Tipe Data, kita dapat menggunakan Computational Thinking untuk menemukan tipe data yang paling tepat untuk menyimpan informasi berikut:
* Usia seseorang dalam tahun: Integer
* Nilai IPK (misalnya 3.75): Float
* Nama lengkap mahasiswa: String
* Status kelulusan (lulus/tidak): Boolean
* Inisial nama (satu huruf pertama): Character
* Jumlah produk dalam keranjang belanja: Integer
* Suhu badan dalam derajat Celcius: Float
Untuk soal [SOAL 8 — Pola Bilangan Ganjil], kita dapat menggunakan Computational Thinking untuk menemukan pola dan membangun solusi efisien. Contoh: jumlah n bilangan ganjil pertama = n².
Untuk soal SOAL 3 — Hitung Beban Belajar, kita dapat menggunakan Computational Thinking untuk menemukan pola dan membangun solusi efisien. Contoh: Per minggu: (50×2) + (60×2) + (60×2) = 100 + 120 + 120 = 340 menit = 5 jam 40 menit; Per semester (14 minggu): 340 × 14 = 4.760 menit ≈ 79 jam 20 menit.
Untuk soal SOAL 4 — Penentuan Huruf Mutu, kita dapat menggunakan Computational Thinking untuk menemukan pola dan membangun solusi efisien. Contoh: (8 + 4) / (2 * 3) - 1; 15 % 4 * 2 + 7 % 3.
Dalam menjawab soal-soal di atas, kita harus menggunakan istilah teknis yang ada dalam materi referensi, menjelaskan konsep utama secara langsung dan akurat, serta sesuaikan gaya penjelasan dengan tipe kognitif. Kita juga dapat menggunakan contoh konkret jika membantu pemahaman.</t>
        </is>
      </c>
      <c r="F27" t="n">
        <v>0.8461</v>
      </c>
      <c r="G27" t="n">
        <v>0.1</v>
      </c>
      <c r="H27" t="b">
        <v>1</v>
      </c>
      <c r="I27" s="3" t="inlineStr">
        <is>
          <t>Marahin, saya coba membantu!
Pertama-tama, perlu diingat bahwa operator-operator matematika mempunyai prioritas yang berbeda-beda. Berikut adalah prioritasnya:
1. Kurung: ()
2. Modulo (%)
3. Perkalian (*), Pembagian (/)
4. Penjumlahan (+) dan Pengurangan (-)
Kembali ke soal pertama, (8 + 4) / (2 * 3) - 1:
1. Hitung dalam kurung: 12 / (6) = 2
2. Kemudian, hilangkan minus 1: 2 - 1 = 1
Jadi, nilai ekspresi pertama adalah 1.
Sekarang, ke soal kedua, 15 % 4 * 2 + 7 % 3:
1. Hitung modulo 15 % 4 = 3 (karena sisa 15 dibagi 4 adalah 3)
2. Kemudian, hitung perkalian 3 * 2 = 6
3. Selanjutnya, hitung modulo 7 % 3 = 1 (karena sisa 7 dibagi 3 adalah 1)
4. Akhirnya, tambahkan 6 dan 1: 6 + 1 = 7
Jadi, nilai ekspresi kedua adalah 7.
Saya harap jawaban saya membantu Anda merasa lebih yakin dengan hasil hitungan!</t>
        </is>
      </c>
      <c r="J27" t="n">
        <v>0.6359</v>
      </c>
      <c r="K27" t="n">
        <v>0.2367</v>
      </c>
      <c r="L27" t="b">
        <v>1</v>
      </c>
      <c r="M27" t="n">
        <v>0.2102</v>
      </c>
    </row>
    <row r="28">
      <c r="A28" t="n">
        <v>27</v>
      </c>
      <c r="B28" t="inlineStr">
        <is>
          <t>confusion</t>
        </is>
      </c>
      <c r="C28" t="inlineStr">
        <is>
          <t>4TGI</t>
        </is>
      </c>
      <c r="D28" s="3" t="inlineStr">
        <is>
          <t>Saya sederhanakan ekspresi: NOT (A OR B) menjadi NOT A AND NOT B. Tapi teman saya bilang itu salah — harusnya NOT A OR NOT B. Padahal saya rasa Hukum De Morgan yang kedua memang seperti itu. Mana yang benar dan kenapa?</t>
        </is>
      </c>
      <c r="E28" s="3" t="inlineStr">
        <is>
          <t>Seorang teman saya pernah bertanya tentang ekspresi: NOT (A OR B). Saya menjelaskan bahwa itu sebenarnya Hukum De Morgan, yaitu NOT A AND NOT B. Tapi teman saya bilang bahwa itu salah dan harusnya NOT A OR NOT B. Lalu saya berpikir, apakah saya benar atau tidak?
Untuk memahami hal ini, kita perlu kembali ke materi referensi tentang Hukum De Morgan. Menurut materi tersebut, Hukum De Morgan adalah aturan yang digunakan untuk mengklarifikasi proposisi logika. Dalam kasus ini, NOT (A OR B) sebenarnya menjadi NOT A AND NOT B. Hal ini karena operasi NOT mempunyai prioritas lebih tinggi dibandingkan operasi OR.
Contoh konkret dapat membantu pemahaman. Misalnya, jika kita memiliki dua kondisi: A adalah "saya memiliki uang" dan B adalah "saya memiliki mobil". Jika kita menggunakan operasi OR, maka proposisi menjadi "saya memiliki uang atau saya memiliki mobil". Namun, jika kita ingin mengetahui apakah tidak memiliki uang dan tidak memiliki mobil, maka operasi NOT A AND NOT B sebenarnya yang benar.
Dalam sintesis, saya berpikir bahwa saya benar dalam menjelaskan Hukum De Morgan sebagai NOT A AND NOT B. Kita dapat menggunakan contoh konkret untuk memahami konsep utama ini dan melihat bagaimana operasi logika dapat digunakan untuk mengklarifikasi proposisi.</t>
        </is>
      </c>
      <c r="F28" t="n">
        <v>0.4014</v>
      </c>
      <c r="G28" t="n">
        <v>0.3891</v>
      </c>
      <c r="H28" t="b">
        <v>1</v>
      </c>
      <c r="I28" s="3" t="inlineStr">
        <is>
          <t>Teman Anda memiliki argumen yang lebih tepat! Ekspresi "NOT (A OR B)" sebenarnya menggunakan Hukum De Morgan Kedua, yaitu:
¬(P ∨ Q) = ¬P ∧ ¬Q
Namun, perlu diingat bahwa Hukum De Morgan ini hanya berlaku untuk operasi logika OR (disjunction) dan NOT (negation). Jadi, jika Anda ingin mengubah ekspresi "A OR B" menjadi bentuk negatif, maka harus menggunakan Hukum De Morgan Kedua, yakni:
NOT (A OR B) = NOT A OR NOT B
Bukanlah NOT A AND NOT B. Hukum De Morgan pertama berlaku untuk operasi logika AND (conjunction), bukan OR.
Jadi, teman Anda benar bahwa NOT (A OR B) sebenarnya adalah NOT A OR NOT B, dan tidak sama dengan NOT A AND NOT B.</t>
        </is>
      </c>
      <c r="J28" t="n">
        <v>0.4995</v>
      </c>
      <c r="K28" t="n">
        <v>0.3253</v>
      </c>
      <c r="L28" t="b">
        <v>1</v>
      </c>
      <c r="M28" t="n">
        <v>-0.09810000000000001</v>
      </c>
    </row>
    <row r="29">
      <c r="A29" t="n">
        <v>28</v>
      </c>
      <c r="B29" t="inlineStr">
        <is>
          <t>gap</t>
        </is>
      </c>
      <c r="C29" t="inlineStr">
        <is>
          <t>3TAI</t>
        </is>
      </c>
      <c r="D29" s="3" t="inlineStr">
        <is>
          <t>Di pseudocode CT, kalau saya tulis 7 / 2, hasilnya 3 atau 3.5? Di Python hasilnya 3.5 tapi di C hasilnya 3 karena integer division. Pseudocode CT pakai yang mana? Dan gimana cara nulis integer division di pseudocode?</t>
        </is>
      </c>
      <c r="E29" s="3" t="inlineStr">
        <is>
          <t>Halo! Saya senang membantu Anda dalam menjawab pertanyaan tentang pseudocode Computational Thinking (CT). Pada dasarnya, pseudocode CT tidak membedakan antara integer division dan floating-point division. Karena itu, jika Anda tulis 7 / 2, hasilnya tetap 3.
Namun, jika Anda ingin menulis integer division di pseudocode, maka Anda harus menuliskannya secara eksplisit menggunakan operator pembagian integer. Contohnya, Anda dapat menuliskan sebagai berikut: `read(n); result = n / 2; print(result)`. Dalam kasus ini, hasilnya akan tetap 3 karena integer division.
Dalam pseudocode CT, kita tidak membedakan antara integer division dan floating-point division. Kita hanya menggunakan operator pembagian biasa `/` tanpa menambahkan tanda `int()` atau jenis operator lain untuk menunjukkan bahwa pembagian harus dilakukan secara integer.
Jadi, dalam kasus Anda, jika Anda tulis 7 / 2 di pseudocode CT, hasilnya akan tetap 3.</t>
        </is>
      </c>
      <c r="F29" t="n">
        <v>0.7576000000000001</v>
      </c>
      <c r="G29" t="n">
        <v>0.1576</v>
      </c>
      <c r="I29" s="3" t="inlineStr">
        <is>
          <t>Pertanyaan ini menarik!
Dalam pseudocode CT (Common Table), jika Anda tulis `7 / 2`, hasilnya akan menjadi `3,5` (tidak hanya `3` seperti di C). Pseudocode CT berbasis floating-point number dan tidak melakukan integer division secara default.
Jika Anda ingin melakukan integer division di pseudocode CT, Anda dapat menggunakan operator floor division (`//`) atau round down division (`Math.floor()`), contohnya:
* `7 // 2` hasilnya `3`
* `7 / 2.0` hasilnya `3,5`
Namun, jika Anda tidak ingin melakukan integer division dan ingin mendapatkan hasil floating-point number, Anda dapat menggunakan operator `/` saja.
Saya harap jawaban ini membantu!</t>
        </is>
      </c>
      <c r="J29" t="n">
        <v>0.7471</v>
      </c>
      <c r="K29" t="n">
        <v>0.1644</v>
      </c>
      <c r="M29" t="n">
        <v>0.0105</v>
      </c>
    </row>
    <row r="30">
      <c r="A30" t="n">
        <v>29</v>
      </c>
      <c r="B30" t="inlineStr">
        <is>
          <t>application</t>
        </is>
      </c>
      <c r="C30" t="inlineStr">
        <is>
          <t>3PGI</t>
        </is>
      </c>
      <c r="D30" s="3" t="inlineStr">
        <is>
          <t>Tugas: buat tabel kebenaran untuk ekspresi (A AND NOT B) OR (NOT A AND B). Saya buat untuk semua kombinasi A dan B tapi hasilnya berbeda dengan teman. Saya dapat F,T,T,F tapi teman dapat T,T,T,F. Mana yang benar?</t>
        </is>
      </c>
      <c r="E30" s="3" t="inlineStr">
        <is>
          <t>Dalam tugas ini, kita diminta untuk membuat tabel kebenaran untuk ekspresi `(A AND NOT B) OR (NOT A AND B)`. Ekspresi ini menggunakan operator logika untuk menggabungkan dua atau lebih ekspresi boolean dan menghasilkan nilai boolean.
Pertama-tama, mari kita analisis konsep `AND` dan `NOT`. Operator `AND` digunakan untuk menggabungkan dua atau lebih ekspresi boolean, sehingga hasilnya True hanya jika semua operand bernilai True. Sementara itu, operator `NOT` membalik nilai boolean dari operand.
Sekarang, mari kita lihat ekspresi `(A AND NOT B) OR (NOT A AND B)`. Ekspresi ini terdiri atas dua bagian: `(A AND NOT B)` dan `(NOT A AND B)`. Bagian pertama menggunakan operator `AND` untuk menggabungkan nilai A dengan negasi B, sehingga hasilnya True hanya jika A bernilai True dan B tidak bernilai True. Bagian kedua menggunakan operator `AND` untuk menggabungkan negasi A dengan B, sehingga hasilnya True hanya jika A tidak bernilai True dan B bernilai True.
Dalam sintesis, ekspresi `(A AND NOT B) OR (NOT A AND B)` akan menghasilkan nilai True jika salah satu dari dua kondisi berikut terpenuhi: A tidak bernilai True dan B tidak bernilai True, atau A tidak bernilai True dan B bernilai True. Kondisi-kondisi ini dapat dilihat dalam tabel kebenaran di bawah ini:
| A | B | (A AND NOT B) OR (NOT A AND B) |
| --- | --- | --- |
| T | F | T |
| T | T | F |
| F | F | F |
| F | T | T |
Dalam tabel kebenaran di atas, kita dapat melihat bahwa hasil ekspresi `(A AND NOT B) OR (NOT A AND B)` bergantung pada nilai A dan B. Jika A tidak bernilai True dan B tidak bernilai True, maka hasilnya adalah True. Sebaliknya, jika A tidak bernilai True dan B bernilai True, maka hasilnya adalah False.
Dalam kasus Anda, Anda dapat F,T,T,F sedangkan teman Anda dapat T,T,T,F. Hasil Anda yang berbeda dengan teman Anda karena nilai A dan B yang berbeda.</t>
        </is>
      </c>
      <c r="F30" t="n">
        <v>0.7619</v>
      </c>
      <c r="G30" t="n">
        <v>0.1548</v>
      </c>
      <c r="H30" t="b">
        <v>1</v>
      </c>
      <c r="I30" s="3" t="inlineStr">
        <is>
          <t>Tabel kebenaran untuk ekspresi (A AND NOT B) OR (NOT A AND B) sebagai berikut:
| A | B | (A AND NOT B) | (NOT A AND B) | (A AND NOT B) OR (NOT A AND B) |
| --- | --- | --- | --- | --- |
| T | T | F | F | F |
| T | F | F | T | T |
| F | T | T | F | T |
| F | F | T | T | T |
Dari tabel di atas, dapat dilihat bahwa hasil ekspresi (A AND NOT B) OR (NOT A AND B) adalah:
* Jika A=True dan B=True, maka (A AND NOT B)=F dan (NOT A AND B)=F, sehingga hasilnya F.
* Jika A=True dan B=False, maka (A AND NOT B)=F dan (NOT A AND B)=T, sehingga hasilnya T.
* Jika A=False dan B=True, maka (A AND NOT B)=T dan (NOT A AND B)=F, sehingga hasilnya T.
* Jika A=False dan B=False, maka (A AND NOT B)=T dan (NOT A AND B)=T, sehingga hasilnya T.
Jadi, tabel kebenaran yang benar adalah:
T,F,T,T
Bukan F,T,T,F seperti teman Anda.</t>
        </is>
      </c>
      <c r="J30" t="n">
        <v>0.7266</v>
      </c>
      <c r="K30" t="n">
        <v>0.191</v>
      </c>
      <c r="L30" t="b">
        <v>0</v>
      </c>
      <c r="M30" t="n">
        <v>0.0353</v>
      </c>
    </row>
    <row r="31">
      <c r="A31" t="n">
        <v>30</v>
      </c>
      <c r="B31" t="inlineStr">
        <is>
          <t>out_of_scope</t>
        </is>
      </c>
      <c r="C31" t="inlineStr">
        <is>
          <t>4PAI</t>
        </is>
      </c>
      <c r="D31" s="3" t="inlineStr">
        <is>
          <t>Di materi variabel dan tipe data, kita belajar integer, float, boolean, string, dan list. Tapi bagaimana kalau saya mau simpan data mahasiswa yang punya nama, NIM, dan nilai sekaligus? Apakah ada tipe data gabungan seperti struct di CT?</t>
        </is>
      </c>
      <c r="E31" s="3" t="inlineStr">
        <is>
          <t>Mahasiswa!
Kita telah mempelajari variabel dan tipe data, termasuk integer, float, boolean, string, dan list. Namun, bagaimana jika kita ingin menyimpan data mahasiswa yang memiliki nama, NIM, dan nilai sekaligus? Ada beberapa opsi untuk mengatasi masalah ini.
Pertama, kita dapat menggunakan struktur data gabungan, seperti struct di CT. Struktur data gabungan memungkinkan kita untuk menyimpan beberapa variabel dengan tipe data yang berbeda dalam satu objek. Contohnya, kita dapat membuat struct "Mahasiswa" yang memiliki atribut nama (string), NIM (integer), dan nilai (float). Dengan menggunakan struktur data gabungan ini, kita dapat dengan mudah mengakses dan memanipulasi data mahasiswa.
Kedua, kita juga dapat menggunakan list untuk menyimpan data mahasiswa. Kita dapat membuat list yang berisi beberapa elemen, masing-masing memiliki atribut nama, NIM, dan nilai. Dengan demikian, kita dapat dengan mudah menambahkan, menghapus, atau memanipulasi data mahasiswa.
Jadi, jawaban pada pertanyaan ini adalah bahwa kita dapat menggunakan struktur data gabungan seperti struct di CT, atau menggunakan list untuk menyimpan data mahasiswa. Keduanya memiliki kelebihan dan kekurangannya sendiri, tetapi dapat membantu kita dalam mengatasi masalah penyimpanan data mahasiswa yang kompleks.</t>
        </is>
      </c>
      <c r="F31" t="n">
        <v>0.7786</v>
      </c>
      <c r="G31" t="n">
        <v>0.1439</v>
      </c>
      <c r="H31" t="b">
        <v>1</v>
      </c>
      <c r="I31" s="3" t="inlineStr">
        <is>
          <t>Saya dapat menjawab pertanyaan Anda!
Pada umumnya, pemrograman tidak memiliki tipe data gabungan seperti struct di C, namun kita dapat menggunakan kombinasi dari tipe data yang telah kita pelajari untuk menyimpan data mahasiswa.
Salah satu cara adalah dengan menggunakan dictionary (dalam Python) atau dictionary-like object (dalam bahasa lain). Contohnya, kita dapat membuat sebuah dictionary untuk menyimpan data mahasiswa:
```
data_mahasiswa = {
    "nama": "John Doe",
    "NIM": 12345,
    "nilai": 85.5
}
```
Dengan demikian, kita dapat mengakses nilai-niali tersebut menggunakan kunci (key) seperti `data_mahasiswa["nama"]` atau `data_mahasiswa["nilai"]`.
Cara lain adalah dengan membuat sebuah class untuk representasi data mahasiswa:
```
class Mahasiswa:
    def __init__(self, nama, NIM, nilai):
        self.nama = nama
        self.NIM = NIM
        self.nilai = nilai
mahasiswa = Mahasiswa("John Doe", 12345, 85.5)
print(mahasiswa.nama)  # John Doe
print(mahasiswa.NIM)   # 12345
print(mahasiswa(nilai))  # 85.5
```
Dalam contoh di atas, kita membuat sebuah class `Mahasiswa` dengan atribut-atribut nama, NIM, dan nilai. Kemudian, kita membuat objek `mahasiswa` dari class tersebut dan mengakses nilai-niali tersebut menggunakan atributnya.
Namun, perlu diingat bahwa pada umumnya, tipe data gabungan seperti struct di C tidak ada dalam pemrograman, namun kita dapat menggunakan kombinasi dari tipe data yang telah kita pelajari untuk mencapai tujuan yang sama.</t>
        </is>
      </c>
      <c r="J31" t="n">
        <v>0.7655999999999999</v>
      </c>
      <c r="K31" t="n">
        <v>0.1524</v>
      </c>
      <c r="L31" t="b">
        <v>1</v>
      </c>
      <c r="M31" t="n">
        <v>0.013</v>
      </c>
    </row>
    <row r="32">
      <c r="A32" t="n">
        <v>31</v>
      </c>
      <c r="B32" t="inlineStr">
        <is>
          <t>application</t>
        </is>
      </c>
      <c r="C32" t="inlineStr">
        <is>
          <t>3PGR</t>
        </is>
      </c>
      <c r="D32" s="3" t="inlineStr">
        <is>
          <t>Trace pseudocode ini untuk input x=-3, y=5:
  if (x &gt; 0) then
    if (y &gt; 0) then print('Q1') else print('Q4')
  else
    if (y &gt; 0) then print('Q2') else print('Q3')
Saya dapat Q2 tapi teman dapat Q3. Siapa yang benar?</t>
        </is>
      </c>
      <c r="E32" s="3" t="inlineStr">
        <is>
          <t>Saya akan menjawab pertanyaan mahasiswa dengan menggunakan istilah teknis yang ada dalam materi referensi.
Pseudocode yang diberikan adalah:
```
if (x &gt; 0) then
  if (y &gt; 0) then print('Q1') else print('Q4')
else
  if (y &gt; 0) then print('Q2') else print('Q3')
```
Ketika input x=-3 dan y=5, maka kondisi pertama `x &gt; 0` tidak terpenuhi karena x=-3. Maka, pseudocode akan masuk blok else.
Dalam blok else, kita memiliki kondisi kedua `y &gt; 0`. Kita lihat bahwa y=5, sehingga kondisi ini juga terpenuhi. Maka, pseudocode akan print 'Q2'.
Oleh karena itu, jawaban yang benar adalah Q2.</t>
        </is>
      </c>
      <c r="F32" t="n">
        <v>0.6337</v>
      </c>
      <c r="G32" t="n">
        <v>0.2524</v>
      </c>
      <c r="H32" t="b">
        <v>1</v>
      </c>
      <c r="I32" s="3" t="inlineStr">
        <is>
          <t>Kedua-duanya salah!
Untuk input x = -3 dan y = 5, pseudocode akan dieksekusi seperti berikut:
1. if (x &gt; 0) then ... else ...
Sejak x = -3 tidak lebih dari 0, maka program masuk ke bagian else.
2. else if (y &gt; 0) then print('Q2') else print('Q3')
Sejak y = 5 lebih dari 0, maka program akan mencetak 'Q2', bukan 'Q3'.
Jadi, jawaban yang benar adalah Q2, tapi tidak ada yang salah karena pseudocode telah dieksekusi dengan benar untuk input x = -3 dan y = 5.</t>
        </is>
      </c>
      <c r="J32" t="n">
        <v>0.6208</v>
      </c>
      <c r="K32" t="n">
        <v>0.2665</v>
      </c>
      <c r="L32" t="b">
        <v>1</v>
      </c>
      <c r="M32" t="n">
        <v>0.0129</v>
      </c>
    </row>
    <row r="33">
      <c r="A33" t="n">
        <v>32</v>
      </c>
      <c r="B33" t="inlineStr">
        <is>
          <t>confusion</t>
        </is>
      </c>
      <c r="C33" t="inlineStr">
        <is>
          <t>4PAR</t>
        </is>
      </c>
      <c r="D33" s="3" t="inlineStr">
        <is>
          <t>Saya harus cek: apakah suhu &gt; 35 DAN kelembaban &gt; 80. Saya buat nested if — if suhu&gt;35 then if kelembaban&gt;80. Tapi teman pakai AND: if suhu&gt;35 AND kelembaban&gt;80. Kata dosen keduanya boleh tapi ada perbedaannya. Apa perbedaannya?</t>
        </is>
      </c>
      <c r="E33" s="3" t="inlineStr">
        <is>
          <t>Mahasiswa, Anda harus mencari perbedaan antara nested if dan AND (logika konjungsi) dalam penggunaan conditional statement. Nested if biasanya digunakan untuk mengecek dua atau lebih kondisi yang terjadi secara bergantian, seperti pada contoh:
```
if (suhu &gt; 35) then
    if (kelembaban &gt; 80) then
        print("Suhu dan kelembaban tinggi")
    else
        print("Suhu tinggi, tapi kelembaban rendah")
else
    print("Suhu rendah")
```
Dalam contoh di atas, kita menggunakan nested if untuk mengecek dua kondisi: suhu &gt; 35 dan kelembaban &gt; 80. Jika kedua kondisi terpenuhi, maka akan cetak "Suhu dan kelembaban tinggi". Namun, jika hanya satu kondisi terpenuhi, maka akan cetak pesan lainnya.
Sebaliknya, AND (logika konjungsi) digunakan untuk mengecek dua atau lebih kondisi yang harus terpenuhi secara bersama-sama. Contoh:
```
if (suhu &gt; 35 AND kelembaban &gt; 80) then
    print("Suhu dan kelembaban tinggi")
else
    print("Suhu rendah atau kelembaban rendah")
```
Dalam contoh di atas, kita menggunakan AND untuk mengecek dua kondisi: suhu &gt; 35 dan kelembaban &gt; 80. Jika kedua kondisi terpenuhi secara bersama-sama, maka akan cetak "Suhu dan kelembaban tinggi". Namun, jika salah satu kondisi tidak terpenuhi, maka akan cetak pesan lainnya.
Perbedaan utama antara nested if dan AND adalah bahwa nested if digunakan untuk mengecek dua atau lebih kondisi secara bergantian, sementara AND digunakan untuk mengecek dua atau lebih kondisi yang harus terpenuhi secara bersama-sama.</t>
        </is>
      </c>
      <c r="F33" t="n">
        <v>0.643</v>
      </c>
      <c r="G33" t="n">
        <v>0.2321</v>
      </c>
      <c r="H33" t="b">
        <v>1</v>
      </c>
      <c r="I33" s="3" t="inlineStr">
        <is>
          <t>Saya akan menjawab pertanyaan tersebut sebaik mungkin.
Dalam sintaks nested if, kita menggunakan kondisi if-else untuk mengulangi pengecekan kondisi jika kondisi sebelumnya benar. Dalam kasus Anda, sintaks nested if yang Anda gunakan adalah:
```
if suhu &gt; 35 then
  if kelembaban &gt; 80
    # kode yang akan dijalankan jika suhu &gt; 35 dan kelembaban &gt; 80
  end if
end if
```
Sementara sintaks AND yang digunakan oleh teman Anda adalah:
```
if suhu &gt; 35 AND kelembaban &gt; 80
  # kode yang akan dijalankan jika suhu &gt; 35 dan kelembaban &gt; 80
end if
```
Perbedaan antara keduanya terletak pada cara menghasilkan output. Sintaks nested if hanya menghasilkan output jika kondisi awal (suhu &gt; 35) benar, kemudian kondisi kedua (kelembaban &gt; 80) diulangi dan dieksekusi apabila kondisi awal benar.
Sintaks AND, sebaliknya, akan menghasilkan output hanya jika baik suhu &gt; 35 dan kelembaban &gt; 80 berkonversi. Jika salah satu kondisi tidak benar, maka sintaks AND tidak akan menghasilkan output.
Dalam praktiknya, sintaks AND lebih efektif karena dapat mengeksekusi kode yang sesuai hanya jika semua kondisi terpenuhi. Sintaks nested if biasanya digunakan untuk tujuan lain, seperti dalam kasus Anda yang ingin mengecek beberapa kondisi dan mengulangi pengecekan jika salah satu kondisi benar.
Dengan kata lain, sintaks AND lebih berfokus pada hasil akhir, sedangkan sintaks nested if lebih berfokus pada proses pengecekan.</t>
        </is>
      </c>
      <c r="J33" t="n">
        <v>0.7726</v>
      </c>
      <c r="K33" t="n">
        <v>0.1865</v>
      </c>
      <c r="L33" t="b">
        <v>1</v>
      </c>
      <c r="M33" t="n">
        <v>-0.1296</v>
      </c>
    </row>
    <row r="34">
      <c r="A34" t="n">
        <v>33</v>
      </c>
      <c r="B34" t="inlineStr">
        <is>
          <t>gap</t>
        </is>
      </c>
      <c r="C34" t="inlineStr">
        <is>
          <t>2TAR</t>
        </is>
      </c>
      <c r="D34" s="3" t="inlineStr">
        <is>
          <t>Di else-if untuk konversi nilai: A(&gt;=85), B(&gt;=70), C(&gt;=55), D(lainnya). Nilai saya 90. Kondisi pertama (&gt;=85) true, tapi kondisi kedua (&gt;=70) juga true. Mana yang dieksekusi? Dan kenapa tidak keduanya sekaligus?</t>
        </is>
      </c>
      <c r="E34" s="3" t="inlineStr">
        <is>
          <t>Mahasiswa! Kali ini kita akan membahas tentang percabangan (conditionals) dalam Computational Thinking.
Percabangan adalah struktur kontrol yang memilih blok instruksi berdasarkan kondisi. Kondisi selalu bernilai True atau False. Ada beberapa bentuk percabangan, seperti if-then, if-then-else, else-if sekuensial, dan nested (bersarang).
Kita akan fokus pada else-if untuk konversi nilai. Contohnya adalah sebagai berikut:
```
if (nilai &gt;= 85) then
    instruksi-A
else if (nilai &gt;= 70) then
    instruksi-B
else if (nilai &gt;= 55) then
    instruksi-C
else
    instruksi-D
```
Dalam kasus ini, nilai Anda adalah 90. Kondisi pertama (`nilai &gt;= 85`) benar, tapi kondisi kedua (`nilai &gt;= 70`) juga benar. Namun, hanya satu blok instruksi yang akan dieksekusi.
Pada dasarnya, else-if bekerja dengan cara memeriksa kondisi-kondisi secara berurutan hingga salah satu kondisi terpenuhi. Jika kondisi pertama bernilai True, maka blok instruksi yang terkait dengannya akan dieksekusi. Jika tidak, maka program akan lanjut ke kondisi kedua dan seterusnya.
Dalam contoh Anda, karena nilai 90 &gt;= 85, maka kondisi pertama benar dan blok instruksi-A akan dieksekusi. Kondisi-kondisi lain tidak perlu diperiksa lagi.
Jadi, jawaban adalah instruksi-A, dan kenapa tidak keduanya sekaligus? Karena else-if bekerja dengan cara memeriksa kondisi-kondisi secara berurutan hingga salah satu kondisi terpenuhi.</t>
        </is>
      </c>
      <c r="F34" t="n">
        <v>0.8027</v>
      </c>
      <c r="G34" t="n">
        <v>0.1282</v>
      </c>
      <c r="H34" t="b">
        <v>1</v>
      </c>
      <c r="I34" s="3" t="inlineStr">
        <is>
          <t>Jawab: Kondisi yang dieksekusi adalah A, dengan nilai 90.
Penjelasan: Dalam else-if, kita memiliki beberapa kondisi yang diuji secara berurutan. Kita lihat kondisi pertama (&gt;=85) dan karena nilai saya 90, maka kondisi ini true. Karena kondisi pertama sudah true, maka proses evaluasi tidak melanjutkan ke kondisi-kondisi lainnya.
Ketika kita memiliki else-if dengan beberapa kondisi, hanya satu kondisi yang dieksekusi jika kondisi-kondisi sebelumnya sudah true. Jadi, dalam kasus ini, hanya A yang dieksekusi dan nilai saya adalah A (90-100%).
Itu karena else-if bekerja secara "short-circuit" atau "stop-at-first-match". Artinya, jika kita memiliki beberapa kondisi, maka else-if akan berhenti di kondisi pertama yang true dan tidak melanjutkan evaluasi ke kondisi-kondisi lainnya.</t>
        </is>
      </c>
      <c r="J34" t="n">
        <v>0.7589</v>
      </c>
      <c r="K34" t="n">
        <v>0.1567</v>
      </c>
      <c r="M34" t="n">
        <v>0.0438</v>
      </c>
    </row>
    <row r="35">
      <c r="A35" t="n">
        <v>34</v>
      </c>
      <c r="B35" t="inlineStr">
        <is>
          <t>application</t>
        </is>
      </c>
      <c r="C35" t="inlineStr">
        <is>
          <t>2PGI</t>
        </is>
      </c>
      <c r="D35" s="3" t="inlineStr">
        <is>
          <t>Trace pseudocode konversi nilai untuk input nilai=68:
  if (nilai&gt;=85) then print('A')
  else if (nilai&gt;=70) then print('B')
  else if (nilai&gt;=55) then print('C')
  else print('D')
Saya dapat C tapi teman dapat D. Mana yang benar dan kenapa?</t>
        </is>
      </c>
      <c r="E35" s="3" t="inlineStr">
        <is>
          <t>I'm happy to help!
Pertanyaan mahasiswa: "Saya dapat C tapi teman dapat D. Mana yang benar dan kenapa?"
Jawaban:
Ternyata, masalah ini terkait dengan pseudocode konversi nilai. Pseudocode tersebut adalah: `if (nilai&gt;=85) then print('A') else if (nilai&gt;=70) then print('B') else if (nilai&gt;=55) then print('C') else print('D')`.
Untuk input nilai=68, kita lihat bahwa 68 &gt;= 55, maka output yang diharapkan adalah 'C'. Namun, teman Anda mendapatkan output 'D' karena 68 &lt; 70.
Jadi, jawaban yang benar adalah C. Kenapa? Karena pseudocode tersebut menggunakan kondisi `if-else` untuk mengkonversi nilai ke huruf. Kondisi-kondisi tersebut diterapkan secara berurutan, dan jika nilai tidak memenuhi syarat pada kondisi pertama, maka akan diuji oleh kondisi-kondisi lainnya.
Dengan demikian, kita lihat bahwa output 'C' adalah yang benar untuk input nilai=68.</t>
        </is>
      </c>
      <c r="F35" t="n">
        <v>0.761</v>
      </c>
      <c r="G35" t="n">
        <v>0.1707</v>
      </c>
      <c r="H35" t="b">
        <v>0</v>
      </c>
      <c r="I35" s="3" t="inlineStr">
        <is>
          <t>Pertanyaan ini menyangkut tentang konversi nilai untuk input nilai=68, sehingga kita perlu menjelajahi algoritma pseudocode tersebut.
Dalam pseudocode tersebut, terdapat empat kondisi if-else yang digunakan untuk mengkonversi nilai menjadi huruf (A, B, C, atau D). Kondisi-kondisi tersebut adalah:
1. Jika nilai &gt;= 85, maka output 'A'.
2. Jika nilai &gt;= 70 tapi tidak sama dengan 85, maka output 'B'.
3. Jika nilai &gt;= 55 tapi tidak sama dengan 70, maka output 'C'.
4. Jika nilai &lt; 55, maka output 'D'.
Sekarang, mari kita lihat apa yang terjadi ketika input nilai adalah 68:
* Nilai 68 lebih besar atau sama dengan 55 (kondisi ke-3), sehingga output 'C'. Maka jawaban teman Anda, C, adalah benar.
Jadi, jawaban yang benar adalah C.</t>
        </is>
      </c>
      <c r="J35" t="n">
        <v>0.7528</v>
      </c>
      <c r="K35" t="n">
        <v>0.174</v>
      </c>
      <c r="L35" t="b">
        <v>1</v>
      </c>
      <c r="M35" t="n">
        <v>0.008200000000000001</v>
      </c>
    </row>
    <row r="36">
      <c r="A36" t="n">
        <v>35</v>
      </c>
      <c r="B36" t="inlineStr">
        <is>
          <t>cross_topic</t>
        </is>
      </c>
      <c r="C36" t="inlineStr">
        <is>
          <t>3TAR</t>
        </is>
      </c>
      <c r="D36" s="3" t="inlineStr">
        <is>
          <t>Saya mau buat program yang minta input terus sampai user masukkan angka valid (1-100). Ini perlu loop (while) dan percabangan (if untuk cek valid) sekaligus. Mana yang jadi 'pembungkus' — apakah if di dalam while, atau while di dalam if?</t>
        </is>
      </c>
      <c r="E36" s="3" t="inlineStr">
        <is>
          <t>Mahasiswa! Saya senang membantu Anda memahami konsep perulangan berdasarkan kondisi (perulangan "while") dan percabangan.
Perlu diketahui bahwa perulangan "while" digunakan ketika jumlah pengulangan yang diperlukan tidak selalu diketahui sebelumnya, melainkan bergantung pada kondisi yang dievaluasi selama algoritme berjalan. Dalam kasus Anda, Anda ingin membuat program yang minta input terus sampai user masukkan angka valid (1-100). Maka, perulangan "while" menjadi pilihan yang tepat.
Konsep utama adalah bahwa perulangan "while" memerlukan kondisi yang dievaluasi sebelum body dijalankan. Kondisi ini harus mengubah sesuatu yang mempengaruhi kondisi sehingga loop tidak terus-menerus berjalan.
Untuk kasus Anda, Anda dapat menggunakan perulangan "while" seperti berikut:
```pseudocode
read(x)
while x &lt; 1 or x &gt; 100 do
    print("Invalid input. Try again!")
    read(x)
print("Valid input: ", x)
```
Dalam contoh di atas, kondisi `x &lt; 1 or x &gt; 100` dievaluasi sebelum body (`print("Invalid input. Try again!") dan `read(x)`) dijalankan. Kondisi ini berubah setiap iterasi sehingga loop tidak terus-menerus berjalan.
Dalam perulangan "while", Anda dapat menggabungkan dengan percabangan (if-then-else) untuk menangkap validitas input user. Contoh:
```pseudocode
read(x)
while x &lt; 1 or x &gt; 100 do
    if x &lt; 1 then
        print("Input must be greater than 0.")
    else if x &gt; 100 then
        print("Input must be less than or equal to 100.")
    read(x)
print("Valid input: ", x)
```
Dalam contoh di atas, percabangan digunakan untuk menangkap validitas input user sebelum meminta input lagi.
Jadi, jawaban Anda adalah: perulangan "while" dengan percabangan (if-then-else) sebagai "pembungkus".</t>
        </is>
      </c>
      <c r="F36" t="n">
        <v>0.6987</v>
      </c>
      <c r="G36" t="n">
        <v>0.1958</v>
      </c>
      <c r="H36" t="b">
        <v>1</v>
      </c>
      <c r="I36" s="3" t="inlineStr">
        <is>
          <t>Untuk membuat program yang minta input terus sampai user masukkan angka valid (1-100), Anda dapat menggunakan struktur kontrol loop dan percabangan sebagai berikut:
```java
int input = 0;
while(true) {
    try {
        System.out.print("Masukkan angka (1-100): ");
        input = Integer.parseInt(System.console().readLine());
        if(input &gt;= 1 &amp;&amp; input &lt;= 100) {
            break; // Keluar dari loop jika input valid
        } else {
            System.out.println("Angka tidak valid, silakan coba lagi!");
        }
    } catch(NumberFormatException e) {
        System.out.println("Input harus berupa angka, silakan coba lagi!");
    }
}
```
Dalam contoh di atas, `while(true)` adalah loop yang akan terus berulang hingga kondisi tertentu terpenuhi. Kondisi dalam loop ini adalah while-true, sehingga loop ini akan berulang secara terus menerus.
Percabangan `if(input &gt;= 1 &amp;&amp; input &lt;= 100) { ... }` digunakan untuk memeriksa apakah input yang diterima adalah angka valid (1-100). Jika input valid, maka program akan keluar dari loop dengan menggunakan perintah `break`.
Jika input tidak valid, maka program akan menampilkan pesan error dan kembali ke awal loop. Proses ini akan terus berulang sampai user memasukkan angka yang valid.
Jadi, jawaban Anda adalah: while di dalam if!</t>
        </is>
      </c>
      <c r="J36" t="n">
        <v>0.4353</v>
      </c>
      <c r="K36" t="n">
        <v>0.3671</v>
      </c>
      <c r="L36" t="b">
        <v>0</v>
      </c>
      <c r="M36" t="n">
        <v>0.2634</v>
      </c>
    </row>
    <row r="37">
      <c r="A37" t="n">
        <v>36</v>
      </c>
      <c r="B37" t="inlineStr">
        <is>
          <t>confusion</t>
        </is>
      </c>
      <c r="C37" t="inlineStr">
        <is>
          <t>2PAI</t>
        </is>
      </c>
      <c r="D37" s="3" t="inlineStr">
        <is>
          <t>Saya diminta baca semua baris file CSV sampai habis. Saya tidak tahu ada berapa baris di file itu. Apakah saya pakai for atau while? Dosen bilang ada kasus pakai for tapi ada yang pakai while untuk hal yang sama.</t>
        </is>
      </c>
      <c r="E37" s="3" t="inlineStr">
        <is>
          <t>Tolong, saya coba jawab pertanyaan Anda!
Pertama-tama, saya harus mengerti situasi: "Saya diminta baca semua baris file CSV sampai habis. Saya tidak tahu ada berapa baris di file itu. Apakah saya pakai for atau while? Dosen bilang ada kasus pakai for tapi ada yang pakai while untuk hal yang sama."
Dalam materi referensi, terdapat tiga jenis perulangan: Iterasi Tetap (Perulangan "for"), Iterasi Berdasarkan Kondisi (perulangan "while", "do-while", "do-until"), dan Iterasi Berbasis Koleksi (perulangan "for-in").
Dalam kasus ini, saya harus menggunakan perulangan yang sesuai untuk membaca semua baris file CSV. Jika jumlah baris file CSV sudah diketahui sebelumnya, maka saya dapat menggunakan perulangan "for" dengan syntax: `for(i = 0; i &lt; totalBaris; i++) { ... }`. Namun, jika jumlah baris file CSV tidak diketahui sebelumnya, maka saya harus menggunakan perulangan "while" dengan syntax: `int i = 0; while (i &lt; totalBaris) { ... i++; }`.
Jadi, jawaban saya adalah: "Pakai for jika jumlah baris file CSV sudah diketahui sebelumnya, atau pakai while jika jumlah baris file CSV tidak diketahui sebelumnya."
Harap maklum, saya hanya menggunakan materi referensi dan tidak mengarang fakta di luar materi referensi.</t>
        </is>
      </c>
      <c r="F37" t="n">
        <v>0.7592</v>
      </c>
      <c r="G37" t="n">
        <v>0.1865</v>
      </c>
      <c r="H37" t="b">
        <v>1</v>
      </c>
      <c r="I37" s="3" t="inlineStr">
        <is>
          <t>Saya akan menjawab pertanyaan Anda sebaik mungkin!
Dalam situasi ini, Anda ingin membaca semua baris file CSV sampai habis tanpa mengetahui berapa banyak baris yang ada di file tersebut. Dalam hal ini, baik for loop maupun while loop dapat digunakan.
Pada dasarnya, untuk membaca file CSV secara iteratif, Anda biasanya menggunakan sebuah variabel yang berisi nilai baris saat ini (misalnya `i` atau `baris`) dan menggunakannya sebagai kondisi while loop. Kondisi while loop akan tetap true selama variabel tersebut kurang dari jumlah total baris file CSV.
Contoh kode yang dapat digunakan:
```java
int i = 0;
while (i &lt; jumlahBarisFile) {
    // proses membaca baris ke-i
    i++;
}
```
Namun, kadang-kadang Anda juga dapat menggunakan for loop dengan length dari array atau collection sebagai opsi. Contohnya:
```java
for (int i = 0; i &lt; jumlahBarisFile; i++) {
    // proses membaca baris ke-i
}
```
Dalam beberapa kasus, for loop dapat digunakan karena Anda tidak perlu memastikan kondisi while loop yang lebih rumit. Namun, dalam kasus lain, while loop mungkin lebih sesuai jika Anda ingin mengontrol iterasi lebih ketat.
Jadi, jawaban dari dosen Anda bahwa ada kasus pakai for dan ada yang pakai while adalah benar. Keduanya dapat digunakan untuk membaca file CSV secara iteratif tanpa mengetahui berapa banyak baris yang ada di file tersebut.</t>
        </is>
      </c>
      <c r="J37" t="n">
        <v>0.7635</v>
      </c>
      <c r="K37" t="n">
        <v>0.1837</v>
      </c>
      <c r="M37" t="n">
        <v>-0.0043</v>
      </c>
    </row>
    <row r="38">
      <c r="A38" t="n">
        <v>37</v>
      </c>
      <c r="B38" t="inlineStr">
        <is>
          <t>application</t>
        </is>
      </c>
      <c r="C38" t="inlineStr">
        <is>
          <t>2TGR</t>
        </is>
      </c>
      <c r="D38" s="3" t="inlineStr">
        <is>
          <t>Saya diminta tulis pseudocode untuk cetak 10 bilangan genap pertama (2, 4, ..., 20) dalam DUA versi berbeda: satu dengan step dan satu tanpa step (pakai akumulasi). Versi dengan step saya sudah bisa, tapi yang akumulasi saya tidak mengerti maksudnya.</t>
        </is>
      </c>
      <c r="E38" s="3" t="inlineStr">
        <is>
          <t>Saya akan menjawab pertanyaan mahasiswa dengan menggunakan istilah teknis dan konsep utama dari materi referensi.
Pseudocode untuk mencetak 10 bilangan genap pertama (2, 4, ..., 20) dalam dua versi berbeda adalah sebagai berikut:
**Versi dengan step:**
```
for i = 2 to 20 step 2 do
    print(i)
```
**Versi tanpa step (akumulasi):**
```
s = 0
while s &lt;= 20 do
    s = s + 2
    print(s)
```
Konsep utama yang digunakan adalah perulangan iterasi tetap dan akumulasi nilai. Dalam versi dengan step, kita menggunakan operator `step` untuk menentukan langkah penambahan bilangan genap. Sedangkan dalam versi tanpa step, kita menggunakan variabel akumulasi `s` untuk menghitung bilangan genap secara linear.
Dengan demikian, keduanya akan mencetak 10 bilangan genap pertama (2, 4, ..., 20) dengan cara yang berbeda.</t>
        </is>
      </c>
      <c r="F38" t="n">
        <v>0.655</v>
      </c>
      <c r="G38" t="n">
        <v>0.2242</v>
      </c>
      <c r="H38" t="b">
        <v>1</v>
      </c>
      <c r="I38" s="3" t="inlineStr">
        <is>
          <t>Saya dapat membantu Anda menulis pseudocode untuk mencetak 10 bilangan genap pertama dalam dua versi berbeda: satu dengan step dan satu tanpa step (pakai akumulasi).
**Versi dengan Step**
Pseudocode:
```
DEKLARASI
    i = 2
    n = 20
PROSES
    WHILE i &lt;= n
        Cetak(i)
        i += 2
    AKHIR while
AKHIR program
```
Pada versi ini, kita menggunakan perulangan `while` untuk mencetak bilangan genap dari 2 hingga 20 dengan interval 2. Dalam setiap iterasi, nilai `i` ditambahkan 2.
**Versi tanpa Step (Akumulasi)**
Pseudocode:
```
DEKLARASI
    i = 2
    n = 10
    total = 0
PROSES
    WHILE total &lt;= n
        Cetak(i)
        total += i
        i += 2
    AKHIR while
AKHIR program
```
Pada versi ini, kita menggunakan perulangan `while` untuk mencetak bilangan genap dari 2 hingga 20 dengan akumulasi. Dalam setiap iterasi, nilai `total` ditambahkan nilai `i`, dan kemudian nilai `i` ditambahkan 2.
Pada akhirnya, kita menghentikan perulangan ketika nilai `total` melebihi nilai `n`. Pada saat itu, kita telah mencetak 10 bilangan genap pertama.</t>
        </is>
      </c>
      <c r="J38" t="n">
        <v>0.7672</v>
      </c>
      <c r="K38" t="n">
        <v>0.1513</v>
      </c>
      <c r="L38" t="b">
        <v>1</v>
      </c>
      <c r="M38" t="n">
        <v>-0.1122</v>
      </c>
    </row>
    <row r="39">
      <c r="A39" t="n">
        <v>38</v>
      </c>
      <c r="B39" t="inlineStr">
        <is>
          <t>gap</t>
        </is>
      </c>
      <c r="C39" t="inlineStr">
        <is>
          <t>3PAI</t>
        </is>
      </c>
      <c r="D39" s="3" t="inlineStr">
        <is>
          <t>Di slide perulangan ada istilah 'sentinel value'. Katanya ini alternatif dari while biasa untuk baca input. Saya tidak paham apa itu sentinel dan kapan saya pakai itu daripada while biasa dengan kondisi boolean?</t>
        </is>
      </c>
      <c r="E39" s="3" t="inlineStr">
        <is>
          <t>Mahasiswa, sentinel value (nilai pengintai) adalah sebuah konsep penting dalam programming, yang digunakan sebagai alternatif untuk while loop biasa. Sentinel value adalah nilai yang ditentukan oleh programmer sebelum while loop dimulai, dan nilainya akan diubah ketika kondisi while loop terpenuhi.
Contohnya, jika kita ingin membuat program yang terus meminta input dari pengguna hingga input tersebut adalah "quit", maka kita dapat menggunakan sentinel value "quit" sebagai nilai pengintai. Kode programnya seperti ini:
```
input = ""
while input != "quit":
    # proses input
    input = input()
print("Program selesai")
```
Dalam contoh di atas, nilai pengintai adalah "quit", dan program akan terus meminta input hingga pengguna memasukkan nilai tersebut. Setelah itu, program akan berhenti.
Sedangkan while loop biasa digunakan untuk mengulangi suatu tindakan hingga kondisi tertentu terpenuhi, sentinel value digunakan untuk mengulangi suatu tindakan hingga nilai pengintai tercapai. Keduanya dapat digunakan bergantung pada kebutuhan program.
Demikianlah, mahasiswa! Sentinel value adalah sebuah konsep yang penting dalam programming, dan kalian harus memahami bagaimana menggunakan nilainya untuk membuat program yang efektif dan efisien.</t>
        </is>
      </c>
      <c r="F39" t="n">
        <v>0.6533</v>
      </c>
      <c r="G39" t="n">
        <v>0.2254</v>
      </c>
      <c r="H39" t="b">
        <v>1</v>
      </c>
      <c r="I39" s="3" t="inlineStr">
        <is>
          <t>Saya senang membantu!
Sentinel value (nilai pengawal) adalah konsep yang digunakan dalam perulangan (looping) sebagai alternative dari perulangan biasa menggunakan kondisi boolean (while loop). Sentinel value adalah nilai tertentu yang ditetapkan sebagai batas akhir dari perulangan, sehingga program akan berhenti ketika nilai input mencapai nilai pengawal tersebut.
Contohnya, jika Anda ingin membaca input hingga user memasukkan nilai 0 (nol), maka nilai pengawal adalah 0. Ketika user memasukkan nilai lain kecuali 0, perulangan akan terus berlangsung. Namun, ketika user memasukkan nilai 0, perulangan akan berhenti.
Kelebihan menggunakan sentinel value adalah:
1. Mudah diimplementasikan: Sentinel value tidak memerlukan kondisi boolean yang kompleks.
2. Lebih efisien: Sentinel value dapat mengurangi jumlah kode yang diperlukan untuk menulis kembali perulangan.
Contoh penggunaan sentinel value dalam Python:
```
nilai = 1
while nilai != 0:
    nilai = int(input("Masukkan nilai (0 untuk berhenti): "))
print("Perulangan selesai!")
```
Dalam contoh di atas, nilai 0 adalah sentinel value. Ketika user memasukkan nilai lain kecuali 0, perulangan akan terus berlangsung. Namun, ketika user memasukkan nilai 0, perulangan akan berhenti.
Saya harap jawaban ini membantu Anda memahami konsep sentinel value dan kapan Anda harus menggunakan alternatif dari while loop dengan kondisi boolean!</t>
        </is>
      </c>
      <c r="J39" t="n">
        <v>0.77</v>
      </c>
      <c r="K39" t="n">
        <v>0.1495</v>
      </c>
      <c r="L39" t="b">
        <v>1</v>
      </c>
      <c r="M39" t="n">
        <v>-0.1167</v>
      </c>
    </row>
    <row r="40">
      <c r="A40" t="n">
        <v>39</v>
      </c>
      <c r="B40" t="inlineStr">
        <is>
          <t>application</t>
        </is>
      </c>
      <c r="C40" t="inlineStr">
        <is>
          <t>3TGR</t>
        </is>
      </c>
      <c r="D40" s="3" t="inlineStr">
        <is>
          <t>Trace pseudocode berikut untuk input n=4523:
  jumlah = 0
  while (n &gt; 0) do
    jumlah = jumlah + (n mod 10)
    n = n div 10
  print(jumlah)
Saya dapat 14 tapi teman dapat 41. Mana yang benar?</t>
        </is>
      </c>
      <c r="E40" s="3" t="inlineStr">
        <is>
          <t>Saya sangat senang menjabarkan pseudocode untuk Anda! Pseudocode adalah sintaks artifisial yang digunakan untuk menuliskan algoritme atau proses logika, dan biasanya tidak dilakukan oleh komputer.
Pertama-tama, mari kita lihat Trace pseudocode "Digit Terbalik" yang Anda tuliskan sebelumnya. Pseudocode ini menghitung digit terbalik dari sebuah bilangan positif n! Misalnya, jika n=12345, maka outputnya adalah 54321.
Kemudian, mari kita lihat perbedaan antara do-while dan while dalam pseudocode. Do-while akan menjalankan body minimal satu kali sebelum menguji kondisi, sedangkan while hanya menjalankan body jika kondisi benar. Contoh, jika Anda menggunakan do-while dengan input n=10, maka outputnya adalah 10, karena body dijalankan dulu sebelum cek kondisi.
Selanjutnya, mari kita lihat pseudocode untuk menghitung n! (n faktorial). Pseudocode ini menggunakan iterasi dan penjumlahan untuk menghitung hasil dari n!
Saya juga siap membantu Anda jika Anda memiliki pertanyaan lain tentang pseudocode atau materi referensi lainnya. Silakan tanyalah!</t>
        </is>
      </c>
      <c r="F40" t="n">
        <v>0.8102</v>
      </c>
      <c r="G40" t="n">
        <v>0.1234</v>
      </c>
      <c r="H40" t="b">
        <v>0</v>
      </c>
      <c r="I40" s="3" t="inlineStr">
        <is>
          <t>Let's trace the pseudocode step by step for input n=4523.
1. `jumlah` is initialized to 0.
2. The while loop condition is checked: `n &gt; 0`. Since `n` is 4523, the condition is true.
3. Inside the loop:
   - Calculate `n mod 10`: `4523 % 10 = 3`.
   - Add the result to `jumlah`: `jumlah = 0 + 3 = 3`.
   - Update `n` by dividing it by 10: `4523 / 10 = 452.3`. Since we're dealing with integers, round down to `452`.
4. Loop back:
	+ Check the condition again: `452 &gt; 0`. True.
	- Repeat steps 3(a-c): `n mod 10`: `452 % 10 = 2`.
	- Update `jumlah`: `jumlah = 3 + 2 = 5`.
	- Update `n`: `452 / 10 = 45.2`, rounding down to `45`.
5. Loop back again:
	+ Check the condition: `45 &gt; 0`. True.
	- Repeat steps 3(a-c): `n mod 10`: `45 % 10 = 5`.
	- Update `jumlah`: `jumlah = 5 + 5 = 10`.
	- Update `n`: `45 / 10 = 4.5`, rounding down to `4`.
6. Loop back once more:
	+ Check the condition: `4 &gt; 0`. True.
	- Repeat steps 3(a-c): `n mod 10`: `4 % 10 = 4`.
	- Update `jumlah`: `jumlah = 10 + 4 = 14`.
	- Update `n`: `4 / 10 = 0.4`, rounding down to `0`.
7. Exit the loop: `n` is now 0.
8. Print the final value of `jumlah`: `14`.
So, for input n=4523, the correct output is indeed **14**. Your friend's answer was incorrect.</t>
        </is>
      </c>
      <c r="J40" t="n">
        <v>0.6373</v>
      </c>
      <c r="K40" t="n">
        <v>0.2358</v>
      </c>
      <c r="L40" t="b">
        <v>0</v>
      </c>
      <c r="M40" t="n">
        <v>0.1729</v>
      </c>
    </row>
    <row r="41">
      <c r="A41" t="n">
        <v>40</v>
      </c>
      <c r="B41" t="inlineStr">
        <is>
          <t>out_of_scope</t>
        </is>
      </c>
      <c r="C41" t="inlineStr">
        <is>
          <t>4TGI</t>
        </is>
      </c>
      <c r="D41" s="3" t="inlineStr">
        <is>
          <t>Di C++ dan Java ada do-while loop yang eksekusi body setidaknya satu kali. Di pseudocode CT kita hanya belajar for dan while. Apakah do-while ada di pseudocode CT? Dan bagaimana simulasi do-while dengan while biasa?</t>
        </is>
      </c>
      <c r="E41" s="3" t="inlineStr">
        <is>
          <t>Halo! Selamat datang pada pertanyaan Anda. Kita akan membahas topik perulangan "do-while" dalam pseudocode Computational Thinking (CT).
Di CT, kita hanya belajar tentang for dan while loop, namun di beberapa bahasa pemrograman seperti C++ dan Java, ada do-while loop yang menjalankan body setidaknya satu kali. Jika Anda mempertanyakan apakah do-while juga ada dalam pseudocode CT, jawabannya adalah tidak secara eksplisit. Pseudocode CT lebih fokus pada konsep dasar perulangan seperti for dan while, serta menggunakan sintaks yang sederhana untuk menjelaskan algoritme.
Namun, kita dapat memahami bagaimana simulasi do-while dengan while biasa. Dalam pseudocode CT, kita dapat menulis kode seperti berikut:
```
i = 10
while i &gt;= 5 do
  print(i)
  i = i - 1
print("DOne!")
```
Kode di atas akan menjalankan loop sebanyak 5 kali, dan akhirnya mencetak "Done!". Jika kita ingin membuat simulasi do-while, kita dapat menulis kode seperti berikut:
```
i = 10
while true do
  if i &lt; 5 then break
  print(i)
  i = i - 1
print("DOne!")
```
Kode di atas akan menjalankan loop sebanyak 5 kali, dan akhirnya mencetak "Done!". Pada dasarnya, simulasi do-while dengan while biasa memungkinkan kita untuk menulis kode yang mirip dengan do-while loop, namun tidak secara eksplisit menggunakan sintaks do-while.
Dalam kesimpulan, walaupun pseudocode CT tidak secara eksplisit membahas tentang do-while loop, kita dapat memahami bagaimana simulasi do-while dengan while biasa dan menulis kode yang mirip dengan do-while loop.</t>
        </is>
      </c>
      <c r="F41" t="n">
        <v>0.794</v>
      </c>
      <c r="G41" t="n">
        <v>0.1339</v>
      </c>
      <c r="H41" t="b">
        <v>0</v>
      </c>
      <c r="I41" s="3" t="inlineStr">
        <is>
          <t>Pertanyaan Anda sangat menarik!
Jawab: Tidak, do-while loop tidak ada di pseudocode CT. Pseudocode CT hanya memiliki sintaks untuk for dan while loops.
Namun, jika kita ingin melakukan simulasi do-while loop dengan menggunakan while loop biasa, kita dapat melakukannya dengan cara berikut:
Contoh:
```pseudocode
do {
    // kode yang ingin di-repeater
} while (condition);
```
Bisa diterjemahkan menjadi pseudocode CT seperti berikut:
```pseudocode
while (true) {
    // kode yang ingin di-repeater
    if (!condition) break;
}
```
Dalam contoh di atas, kita menggunakan perulangan while dengan kondisi `true`, sehingga kode dalam loop akan dieksekusi setidaknya satu kali. Kemudian, kita mengecek kondisi dan jika kondisi tidak terpenuhi, maka kita menggunakan perintah `break` untuk keluar dari loop.
Dengan demikian, kita dapat melakukan simulasi do-while loop dengan menggunakan while loop biasa di pseudocode CT.</t>
        </is>
      </c>
      <c r="J41" t="n">
        <v>0.7689</v>
      </c>
      <c r="K41" t="n">
        <v>0.1502</v>
      </c>
      <c r="L41" t="b">
        <v>1</v>
      </c>
      <c r="M41" t="n">
        <v>0.0251</v>
      </c>
    </row>
    <row r="42">
      <c r="A42" t="n">
        <v>41</v>
      </c>
      <c r="B42" t="inlineStr">
        <is>
          <t>application</t>
        </is>
      </c>
      <c r="C42" t="inlineStr">
        <is>
          <t>2PAR</t>
        </is>
      </c>
      <c r="D42" s="3" t="inlineStr">
        <is>
          <t>Saya bisa buat segitiga bintang biasa (1 bintang di baris pertama, semakin banyak ke bawah). Tapi dosen minta buat yang TERBALIK: 5 bintang di baris pertama, semakin sedikit ke bawah. Saya tidak tahu harus ubah kondisi loop dalam-nya bagaimana.</t>
        </is>
      </c>
      <c r="E42" s="3" t="inlineStr">
        <is>
          <t>I'd be happy to help you with your assignment!
**SOAL 4 — Abstraksi: Optimalkan Anggaran Belanja**
To optimize the budget for the startup, we can abstract the problem by focusing on the essential information. Let's categorize the expenses into different groups, such as office equipment, software, and miscellaneous items. Then, we can calculate the total cost for each category and compare it with the available budget of Rp 50 juta.
**SOAL 4 — Abstraksi dalam Kehidupan Sehari-hari**
In making a monthly financial report for a company, abstraction is crucial to make the process manageable. Instead of including every single transaction (which would be thousands of rows), we can focus on the essential information such as total income, total expenses, main categories, profit/loss, and cash flow. This way, the report becomes more concise and practical.
**SOAL 4 — Perulangan Bersarang**
To print a box of stars with 4 rows and 5 columns in reverse order (i.e., starting from F and ending at S), we can use nested loops. The outer loop controls the number of rows, while the inner loop handles the printing of each row.
**LIST (ARRAY / SEQUENCE OF VALUES)**
A list is a data structure that stores multiple values in a sequence under one variable name. Unlike a regular variable, which holds only one value, a list can hold many values with one name. We access elements of a list using indexes or positions (usually starting from 0 or 1). This data structure is useful for manipulating large datasets.
**Pertanyaan Mahasiswa: Segitiga Bintang Terbalik**
To create an inverted triangle of stars, where the first row has 5 stars and each subsequent row has one fewer star, we can modify the inner loop condition. We need to adjust the range of the inner loop so that it decreases by 1 for each iteration.
I hope this helps! Let me know if you have any further questions.</t>
        </is>
      </c>
      <c r="F42" t="n">
        <v>0.7633</v>
      </c>
      <c r="G42" t="n">
        <v>0.1539</v>
      </c>
      <c r="H42" t="b">
        <v>0</v>
      </c>
      <c r="I42" s="3" t="inlineStr">
        <is>
          <t>Saya dapat membantu Anda dengan menjawab pertanyaan tersebut!
Untuk membuat segitiga bintang terbalik, Anda perlu mengubah struktur loop Anda. Saya akan memberikan contoh kode Python sebagai referensi:
```
for i in range(5, 0, -1):
    print(' ' * (5 - i) + '*' * i)
```
Kode di atas menggunakan loop `for` dengan parameter `range`, yang memungkinkan Anda untuk mengulangi tindakan sebanyak kali yang Anda inginkan. Dalam kasus ini, Anda ingin membuat 5 baris pertama, lalu semakin sedikit ke bawah.
Parameter `range(5, 0, -1)` berarti:
* `5` adalah nilai awal
* `0` adalah nilai akhir (hanya untuk memberikan batas)
* `-1` adalah nilai penurunan (berarti Anda akan mengulangi tindakan sebanyak 4 kali, dari 5 ke 1)
Dalam setiap iterasi loop, Anda mencetak karakter spasi (`' '`) sebanyak `5 - i` dan bintang (`'*'`) sebanyak `i`. Karena penurunan nilai `i`, segitiga bintang terbalik akan terlihat.
Jika Anda tidak familiar dengan sintaks Python, Anda dapat menggunakan contoh lain yang lebih mudah dipahami. Namun, dalam hal ini, struktur loop Anda harus berbeda untuk membuat segitiga bintang terbalik.</t>
        </is>
      </c>
      <c r="J42" t="n">
        <v>0.7735</v>
      </c>
      <c r="K42" t="n">
        <v>0.1472</v>
      </c>
      <c r="L42" t="b">
        <v>1</v>
      </c>
      <c r="M42" t="n">
        <v>-0.0102</v>
      </c>
    </row>
    <row r="43">
      <c r="A43" t="n">
        <v>42</v>
      </c>
      <c r="B43" t="inlineStr">
        <is>
          <t>confusion</t>
        </is>
      </c>
      <c r="C43" t="inlineStr">
        <is>
          <t>3PAR</t>
        </is>
      </c>
      <c r="D43" s="3" t="inlineStr">
        <is>
          <t>Saya punya nested loop: luar 5 iterasi, dalam 3 iterasi. Saya kira total iterasinya 5+3=8. Tapi kata teman 5×3=15. Mana yang benar dan kenapa? Saya bingung karena selalu tambah di logika saya.</t>
        </is>
      </c>
      <c r="E43" s="3" t="inlineStr">
        <is>
          <t>Mahasiswa universitas, selamat datang! Kali ini kita akan membahas tentang perulangan bersarang (nested loop) dan kompleksitas waktu (Big-O). Perulangan bersarang adalah suatu teknik perulangan yang terdiri atas dua atau lebih loop yang berisi iterasi-iterasi.
Konsep utama perulangan bersarang adalah sebagai berikut:
* Setiap 1 iterasi luar → dalam menyelesaikan SEMUA iterasinya
* Total iterasi = iterasi_luar × iterasi_dalam
* Kompleksitas: O(m × n) untuk m × n grid
Contoh perulangan bersarang yang kita dapatkan adalah mencetak kotak 4×5 bintang, seperti yang ditunjukkan pada contoh di atas.
Jika Anda memiliki nested loop dengan luar 5 iterasi dan dalam 3 iterasi, maka total iterasinya bukanlah 5+3=8, melainkan 5 × 3 = 15. Alasan ini adalah karena perulangan luar akan menyelesaikan semua iterasinya sebelum menuju ke perulangan dalam.
Dalam merancang perulangan bersarang, Anda harus membagi tugas antara loop luar dan dalam. Loop luar biasanya digunakan untuk baris, sedangkan loop dalam digunakan untuk kolom (atau sebaliknya). Jika Anda ingin mencetak kotak 4×5 bintang, maka Anda akan menggunakan perulangan bersarang dengan loop luar 4 iterasi dan loop dalam 5 iterasi.
Saya harap ini membantu Anda memahami konsep perulangan bersarang dan kompleksitas waktu (Big-O). Jika Anda masih memiliki pertanyaan atau kebingungan, saya siap membantu Anda.</t>
        </is>
      </c>
      <c r="F43" t="n">
        <v>0.8017</v>
      </c>
      <c r="G43" t="n">
        <v>0.1289</v>
      </c>
      <c r="H43" t="b">
        <v>1</v>
      </c>
      <c r="I43" s="3" t="inlineStr">
        <is>
          <t>Temanmu memiliki kemampuan matematika yang lebih baik dari pada Anda!
Jawabannya adalah: 5 × 3 = 15, bukan 8. Berikut penjelasan:
Dalam nested loop, luar (outer) loop akan melakukan 5 iterasi, dan dalam setiap iterasi, inner (inner) loop juga akan melakukan 3 iterasi.
Jadi, untuk setiap iterasi luar, terdapat 3 iterasi dalam. Oleh karena itu, total iterasinya adalah 5 × 3 = 15.
Contohnya seperti ini:
```
for (int i = 0; i &lt; 5; i++) {
    for (int j = 0; j &lt; 3; j++) {
        // kode loop
    }
}
```
Dalam contoh di atas, luar loop akan melakukan 5 iterasi, dan dalam setiap iterasi, inner loop juga akan melakukan 3 iterasi. Jadi, total iterasinya adalah 5 × 3 = 15.
Jadi, temanmu benar, dan Anda salah!</t>
        </is>
      </c>
      <c r="J43" t="n">
        <v>0.6331</v>
      </c>
      <c r="K43" t="n">
        <v>0.2385</v>
      </c>
      <c r="L43" t="b">
        <v>1</v>
      </c>
      <c r="M43" t="n">
        <v>0.1686</v>
      </c>
    </row>
    <row r="44">
      <c r="A44" t="n">
        <v>43</v>
      </c>
      <c r="B44" t="inlineStr">
        <is>
          <t>application</t>
        </is>
      </c>
      <c r="C44" t="inlineStr">
        <is>
          <t>4PAI</t>
        </is>
      </c>
      <c r="D44" s="3" t="inlineStr">
        <is>
          <t>Tugas: cetak matriks identitas 3x3 dengan pseudocode nested loop. Saya tahu diagonal utamanya berisi 1 dan sisanya 0, tapi saya tidak tahu cara menulis kondisi untuk diagonal di pseudocode.</t>
        </is>
      </c>
      <c r="E44" s="3" t="inlineStr">
        <is>
          <t>Mahasiswa, untuk tugas ini, kita akan membuat pseudocode nested loop untuk mencetak matriks identitas 3x3. Kita akan menggunakan konsep perulangan bersarang (nested loop) dan percabangan (conditionals).
Pseudocode untuk mencetak matriks identitas 3x3:
```
for i = 1 to 3 do
  for j = 1 to 3 do
    if (i == j) then // kondisi diagonal utama
      print(1)
    else
      print(0)
  print() // pindah baris
```
Kita menggunakan perulangan bersarang untuk mengulangi pelaksanaan instruksi sebanyak 3x3. Kondisi `i == j` digunakan untuk menentukan apakah elemen matriks adalah diagonal utama (berisi 1) atau tidak (berisi 0). Jika kondisi benar, maka akan cetak 1, jika tidak, maka akan cetak 0.
Dengan menggunakan pseudocode ini, kita dapat dengan mudah mencetak matriks identitas 3x3 yang memiliki diagonal utama berisi 1 dan sisanya 0.</t>
        </is>
      </c>
      <c r="F44" t="n">
        <v>0.4321</v>
      </c>
      <c r="G44" t="n">
        <v>0.3691</v>
      </c>
      <c r="H44" t="b">
        <v>1</v>
      </c>
      <c r="I44" s="3" t="inlineStr">
        <is>
          <t>Berikut adalah jawaban pertanyaan Anda:
Matriks identitas 3x3 dapat dicetak menggunakan pseudocode nested loop sebagai berikut:
```
PROSES cetak_matriks_identitas(ukuran)
  M = matriks baru dengan ukuran ukuran x ukuran
  untuk i dari 0 hingga ukuran - 1
    untuk j dari 0 hingga ukuran - 1
      JIKA i == j
        M[i][j] = 1
      SAKTI lainnya
        M[i][j] = 0
  Tampilkan M
ENDE PROSES
```
Pseudocode di atas menggunakan nested loop untuk mengakses setiap elemen matriks. Kondisi `Jika i == j` digunakan untuk menentukan apakah elemen tersebut berada pada diagonal utama (i.e., i = j). Jika demikian, maka nilai elemen tersebut diatur menjadi 1. Sementara itu, kondisi `SAkti lainnya` digunakan untuk menentukan apakah elemen tersebut tidak berada pada diagonal utama. Jika demikian, maka nilai elemen tersebut diatur menjadi 0.
Contoh hasil dari pseudocode di atas adalah:
```
1 0 0
0 1 0
0 0 1
```
Matriks di atas adalah matriks identitas 3x3.</t>
        </is>
      </c>
      <c r="J44" t="n">
        <v>0.1769</v>
      </c>
      <c r="K44" t="n">
        <v>0.535</v>
      </c>
      <c r="L44" t="b">
        <v>1</v>
      </c>
      <c r="M44" t="n">
        <v>0.2552</v>
      </c>
    </row>
    <row r="45">
      <c r="A45" t="n">
        <v>44</v>
      </c>
      <c r="B45" t="inlineStr">
        <is>
          <t>gap</t>
        </is>
      </c>
      <c r="C45" t="inlineStr">
        <is>
          <t>5TGR</t>
        </is>
      </c>
      <c r="D45" s="3" t="inlineStr">
        <is>
          <t>Dosen bilang nested loop selalu O(n²). Tapi saya punya nested loop: luar dari 1 to n, dalam dari 1 to 5 (konstan). Apakah itu masih O(n²)? Karena loop dalamnya tidak bergantung n.</t>
        </is>
      </c>
      <c r="E45" s="3" t="inlineStr">
        <is>
          <t>Saya senang menjabarkan jawaban untuk pertanyaan mahasiswa ini.
Pertama-tama, perlu diperhatikan bahwa nested loop memiliki kompleksitas waktu yang bergantung pada ukuran inputnya. Dalam kasus Anda, nested loop luar dari 1 to n dan dalam dari 1 to 5 (konstan) dapat dihitung sebagai O(n × 5). Karena 5 adalah konstanta, maka kompleksitas waktu dari nested loop tersebut sebenarnya adalah O(n).
Namun, perlu diingat bahwa jika Anda memiliki beberapa iterasi luar yang bergantung pada ukuran input, maka kompleksitas waktu menjadi O(n^2) atau lebih besar. Jadi, dalam kasus ini, kompleksitas waktu dari nested loop Anda sebenarnya adalah O(n), karena loop dalamnya tidak bergantung pada ukuran input.
Dalam materi referensi, dosen juga menjelaskan bahwa kalikan loop bersarang dapat dihitung sebagai O(n^2). Namun, dalam kasus Anda, tidak ada kalikan loop bersarang yang digunakan, sehingga kompleksitas waktu menjadi O(n) saja.</t>
        </is>
      </c>
      <c r="F45" t="n">
        <v>0.662</v>
      </c>
      <c r="G45" t="n">
        <v>0.2197</v>
      </c>
      <c r="I45" s="3" t="inlineStr">
        <is>
          <t>Jawabannya adalah tidak. Dalam kompleksitas waktu, loop dalam yang memiliki keterbatasan konstan seperti 1 to 5 tidak termasuk dalam faktor O(n²) karena loop dalam tidak bergantung pada variabel n.
Kompleksitas waktu dari nested loop tersebut dapat dihitung sebagai berikut:
* Loop luar: O(n)
* Loop dalam: O(1), karena tidak bergantung pada variabel n
* Jadi, kompleksitas waktu total adalah: O(n) × O(1) = O(n)
Jadi, nested loop Anda memiliki kompleksitas waktu O(n), bukan O(n²). Dosen mungkin salah jika mengatakan bahwa nested loop selalu O(n²).</t>
        </is>
      </c>
      <c r="J45" t="n">
        <v>0.6445</v>
      </c>
      <c r="K45" t="n">
        <v>0.2611</v>
      </c>
      <c r="M45" t="n">
        <v>0.0175</v>
      </c>
    </row>
    <row r="46">
      <c r="A46" t="n">
        <v>45</v>
      </c>
      <c r="B46" t="inlineStr">
        <is>
          <t>confusion</t>
        </is>
      </c>
      <c r="C46" t="inlineStr">
        <is>
          <t>3TAR</t>
        </is>
      </c>
      <c r="D46" s="3" t="inlineStr">
        <is>
          <t>Di Python, def bisa return nilai atau tidak — keduanya sama-sama 'fungsi'. Tapi di pseudocode CT, dosen bedakan 'fungsi' dan 'prosedur'. Apakah perbedaan ini penting di CT, atau hanya formalitas?</t>
        </is>
      </c>
      <c r="E46" s="3" t="inlineStr">
        <is>
          <t>Berikut jawaban Anda:
Pertanyaan mahasiswa: Di Python, def bisa return nilai atau tidak — keduanya sama-sama 'fungsi'. Tapi di pseudocode CT, dosen bedakan 'fungsi' dan 'prosedur'. Apakah perbedaan ini penting di CT, atau hanya formalitas?
Jawaban:
Perbedaan antara fungsi dan prosedur di pseudocode CT memang penting. Fungsi sebenarnya memiliki karakteristik yang berbeda dengan prosedur. Fungsi memiliki return type (tipe hasil), yaitu tipe data dari output yang akan dihasilkan dan dikembalikan oleh fungsi. Sebagai contoh, definisi fungsi `buatJusMangga` memiliki parameter air, mangga, dan gula, serta return type yang menghasilkan jus siap diminum.
Sementara itu, prosedur tidak memiliki return type dan hanya melakukan sesuatu tanpa mengembalikan nilai. Contoh prosedur `meowing` langsung print nama kucing dan suaranya.
Dalam praktik Computational Thinking (CT), perbedaan antara fungsi dan prosedur penting karena membantu dalam menganalogkan algoritme menjadi blok kode yang lebih kecil dan terstruktur. Dekomposisi dan abstraksi juga dapat dilakukan dengan menggunakan fungsi, sehingga memudahkan pengembangan program.
Dalam sintesis, perbedaan antara fungsi dan prosedur di pseudocode CT penting karena membantu dalam mengembangkan kemampuan Computational Thinking yang lebih baik.</t>
        </is>
      </c>
      <c r="F46" t="n">
        <v>0.8045</v>
      </c>
      <c r="G46" t="n">
        <v>0.1271</v>
      </c>
      <c r="H46" t="b">
        <v>1</v>
      </c>
      <c r="I46" s="3" t="inlineStr">
        <is>
          <t>Perbedaan antara "fungsi" dan "prosedur" di CT (pseudocode) memang memiliki makna yang signifikan, tidak hanya sebagai formalitas.
Dalam pseudocode CT, "fungsi" merujuk pada sebuah blok kode yang dapat mengembalikan nilai, seperti dalam halnya definisi fungsi di Python. Fungsi di sini berfokus pada pengolahan data dan mengembalikan hasil output yang dapat digunakan kembali.
Sebaliknya, "prosedur" di CT mengacu pada sebuah blok kode yang tidak mengembalikan nilai, melainkan hanya melakukan suatu tindakan atau aksi tertentu. Prosedur biasanya digunakan untuk menjalankan beberapa langkah proses, seperti input data, mengeluarkan output, atau melakukan operasi tertentu.
Perbedaan ini penting karena memungkinkan programmer CT untuk lebih spesifik dan jelas dalam mendefinisikan tujuan dan fungsi kode. Dalam halnya, menggunakan kata "fungsi" dapat menunjukkan bahwa blok kode tersebut berfokus pada pengolahan data, sedangkan menggunakan kata "prosedur" dapat menunjukkan bahwa blok kode tersebut hanya melakukan tindakan tertentu.
Dalam praktiknya, perbedaan ini juga dapat membantu programmer CT untuk lebih mudah dalam:
1. Membuat code yang lebih modular dan terstruktur.
2. Menghindari kemungkinan error karena tidak jelas tujuan dari blok kode.
3. Memudahkan komunikasi dengan rekan atau pengguna lain.
Dalam konklusi, perbedaan antara "fungsi" dan "prosedur" di CT bukan hanya sebagai formalitas, melainkan memiliki makna yang signifikan dalam mendefinisikan tujuan dan fungsi kode.</t>
        </is>
      </c>
      <c r="J46" t="n">
        <v>0.7786999999999999</v>
      </c>
      <c r="K46" t="n">
        <v>0.1738</v>
      </c>
      <c r="L46" t="b">
        <v>1</v>
      </c>
      <c r="M46" t="n">
        <v>0.0258</v>
      </c>
    </row>
    <row r="47">
      <c r="A47" t="n">
        <v>46</v>
      </c>
      <c r="B47" t="inlineStr">
        <is>
          <t>application</t>
        </is>
      </c>
      <c r="C47" t="inlineStr">
        <is>
          <t>2PAI</t>
        </is>
      </c>
      <c r="D47" s="3" t="inlineStr">
        <is>
          <t>Tugas: tulis tiga fungsi untuk luas persegi panjang, segitiga, dan lingkaran. Lalu buat program utama yang memanggil ketiganya. Saya bingung cara menulis parameter dengan tipe data di pseudocode CT.</t>
        </is>
      </c>
      <c r="E47" s="3" t="inlineStr">
        <is>
          <t>Mahasiswa!
Kami akan membahas topik Variabel dan Percabangan dalam Computational Thinking.
Variabel adalah elemen algoritme yang berfungsi untuk menyimpan nilai tertentu pada suatu saat, dan nilai tersebut dapat diubah menjadi nilai lain sesuai kebutuhan. Variabel harus memiliki nama unik, terdiri dari karakter alphanumeric, dan harus diawali dengan huruf (bukan angka atau karakter khusus). Contoh nama variabel yang valid antara lain: data, data123, d4t4, data_3.
Sekarang, mari kita telaah Percabangan! Percabangan adalah struktur kontrol yang memungkinkan algoritme untuk mengambil keputusan dan menjalankan blok instruksi yang berbeda bergantung pada kondisi tertentu. Kondisi pada percabangan harus linear, sehingga kami dapat menggunakan if-else statement.
Untuk menyelesaikan tugas Anda, mari kita buat pseudocode untuk fungsi-fungsi tersebut:
Fungsi 1: Luas Persegi Panjang
- Input: panjang dan lebar
- Output: luas persegi panjang
- Proses:
  read(panjang, lebar)
  luas = panjang * lebar
  print(luas)
Fungsi 2: Luas Segitiga
- Input: alas dan tinggi
- Output: luas segitiga
- Proses:
  read(alas, tinggi)
  luas = (alas * tinggi) / 2
  print(luas)
Fungsi 3: Luas Lingkaran
- Input: jari-jari
- Output: luas lingkaran
- Proses:
  read(jari-jari)
  luas = 3.14 * (jari-jari)^2
  print(luas)
Program Utama:
- Input: pilihan fungsi dan inputnya
- Output: hasil dari fungsi yang dipanggil
- Proses:
  read(pilihan, input_fungsi)
  if pilihan == "persegi panjang" then
    call(fungsi_1(input_fungsi))
  else if pilihan == "segitiga" then
    call(fungsi_2(input_fungsi))
  else if pilihan == "lingkaran" then
    call(fungsi_3(input_fungsi))
  end
Jangan lupa untuk menggunakan istilah teknis yang ada dalam materi referensi dan menjelaskan konsep utama secara langsung dan akurat.</t>
        </is>
      </c>
      <c r="F47" t="n">
        <v>0.8258</v>
      </c>
      <c r="G47" t="n">
        <v>0.1132</v>
      </c>
      <c r="H47" t="b">
        <v>1</v>
      </c>
      <c r="I47" s="3" t="inlineStr">
        <is>
          <t>Tugas ini adalah untuk membuat fungsi-fungsi yang menghitung luas dari persegi panjang, segitiga, dan lingkaran. Berikut adalah contoh kode pseudocode yang menjelaskan cara menulis fungsi-fungsi tersebut:
Fungsi 1: Fungsi Luas Persegi Panjang
```
fungsi_luas_persegi_panjang(l = double, p = double):
    return l * p
```
Fungsi 2: Fungsi Luas Segitiga
```
fungsi_luas_segitiga(a = double, t = double):
    if t == 0:
        return 0.5 * a * a
    else:
        return 0.5 * a * t
```
Fungsi 3: Fungsi Luas Lingkaran
```
fungsi_luas_lingkaran(r = double):
    return 3.14 * r * r
```
Program Utama
```
program_utama():
    print("Pilih bentuk bangun datar:")
    print("1. Persegi Panjang")
    print("2. Segitiga")
    print("3. Lingkaran")
    pilihan = input("Masukkan pilihan (1/2/3): ")
    if pilihan == "1":
        panjang = float(input("Masukkan panjang: "))
        lebar = float(input("Masukkan lebar: "))
        hasil = fungsi_luas_persegi_panjang(panjang, lebar)
        print("Luas Persegi Panjang:", hasil)
    elif pilihan == "2":
        alas = float(input("Masukkan alas: "))
        tinggi = float(input("Masukkan tinggi: "))
        hasil = fungsi_luas_segitiga(alas, tinggi)
        print("Luas Segitiga:", hasil)
    elif pilihan == "3":
        jari = float(input("Masukkan jari-jari: "))
        hasil = fungsi_luas_lingkaran(jari)
        print("Luas Lingkaran:", hasil)
    else:
        print("Pilihan tidak valid. Silakan coba lagi!")
```
Namun, perlu diingat bahwa pseudocode CT (Cyclic Transition) adalah pseudocode yang digunakan untuk menerjemahkan algoritma menjadi kode program, sehingga dalam pseudocode CT, parameter tidak dibuat secara eksplisit. Namun, dalam contoh di atas, saya telah menulis parameter dengan tipe data double untuk memudahkan penggunaan fungsi-fungsi tersebut.</t>
        </is>
      </c>
      <c r="J47" t="n">
        <v>0.7739</v>
      </c>
      <c r="K47" t="n">
        <v>0.147</v>
      </c>
      <c r="L47" t="b">
        <v>1</v>
      </c>
      <c r="M47" t="n">
        <v>0.0519</v>
      </c>
    </row>
    <row r="48">
      <c r="A48" t="n">
        <v>47</v>
      </c>
      <c r="B48" t="inlineStr">
        <is>
          <t>gap</t>
        </is>
      </c>
      <c r="C48" t="inlineStr">
        <is>
          <t>3TAI</t>
        </is>
      </c>
      <c r="D48" s="3" t="inlineStr">
        <is>
          <t>Saya punya variabel x = 10 di program utama. Di dalam fungsi saya ubah x = 99. Setelah fungsi selesai, nilai x di program utama jadi 99 atau tetap 10? Saya bingung karena di Python bisa berbeda hasilnya.</t>
        </is>
      </c>
      <c r="E48" s="3" t="inlineStr">
        <is>
          <t>Mahasiswa! Saya senang dapat membantu menjawab pertanyaan Anda.
Pertama-tama, mari kita bahas perbedaan output dari dua pseudocode berikut:
Kode A:
  i = 10
  while i &lt; 5 do
    print(i)
    i = i + 1
Kode B:
  i = 10
  do
    print(i)
    i = i + 1
  while i &lt; 5
Saya menjawab bahwa Kode A tidak akan pernah menjalankan body-nya karena kondisi awal `i &lt; 5` adalah False. Oleh karena itu, output dari Kode A adalah tidak ada.
Sementara itu, Kode B mengalami perulangan do-while, yang berarti body-nya akan dijalankan minimal satu kali sebelum cek kondisi. Pada awalnya, `i` bernilai 10, sehingga `print(10)` dan kemudian `i = 11`. Kondisi `i &lt; 5` menjadi False, sehingga perulangan berhenti. Output dari Kode B adalah hanya `10`.
Selanjutnya, mari kita bahas tentang penghitungan n! (n faktorial). Pseudocode untuk menghitung n! dapat ditulis sebagai berikut:
read(n)
result = 1
i = 2
while i &lt;= n do
  result = result * i
  i = i + 1
print(result)
Namun, perlu diingat bahwa ada metode yang lebih efisien untuk menghitung n!, yaitu dengan menggunakan rumus matematika yang lebih cepat dan akurat.
Terakhir, mari kita bahas tentang fungsi sebagai implementasi dekomposisi dan abstraksi. Fungsi memecah algoritme besar menjadi fungsi-fungsi yang lebih kecil dan fokus pada tugas spesifik. Abstraksi diterapkan dengan cara menggabungkan beberapa fungsi menjadi satu fungsi yang lebih besar.
Saya juga menjawab pertanyaan Anda tentang variabel x. Di program utama, nilai x adalah 10. Namun, ketika di dalam fungsi x dibuat menjadi 99, maka perubahan tersebut hanya lokal dan tidak mempengaruhi nilai x di program utama. Oleh karena itu, nilai x di program utama tetap 10.
Harapannya, jawaban saya dapat membantu Anda memahami konsep-konsep computational thinking yang diperkenalkan dalam materi referensi.</t>
        </is>
      </c>
      <c r="F48" t="n">
        <v>0.6987</v>
      </c>
      <c r="G48" t="n">
        <v>0.1958</v>
      </c>
      <c r="H48" t="b">
        <v>0</v>
      </c>
      <c r="I48" s="3" t="inlineStr">
        <is>
          <t>Pertanyaan ini terkait dengan konsep variabel dan scope dalam programming.
Dalam kebanyakan bahasa pemrograman, termasuk Python, variabel yang didefinisikan di dalam fungsi tidak akan mengubah nilai variabel dengan nama sama di luar fungsi. Hal ini karena variabel di dalam fungsi memiliki scope yang terbatas hanya pada fungsi tersebut.
Dalam kasus Anda, variabel `x` di program utama memiliki nilai 10, kemudian Anda mendefinisikan variabel `x` lagi dengan nilai 99 di dalam fungsi. Ketika fungsi selesai, nilai `x` di dalam fungsi akan hilang dan tidak akan berpengaruh pada nilai `x` di program utama.
Jadi, setelah fungsi selesai, nilai `x` di program utama tetap sebagai 10, tidak menjadi 99.
Namun, perlu diingat bahwa beberapa bahasa pemrograman memiliki fitur seperti "pass by reference" atau "pass by value" yang dapat mempengaruhi nilai variabel di luar fungsi. Namun, dalam Python, variabel di dalam fungsi tidak akan mengubah nilai variabel di luar fungsi, sehingga hasilnya tetap sebagai 10.</t>
        </is>
      </c>
      <c r="J48" t="n">
        <v>0.6267</v>
      </c>
      <c r="K48" t="n">
        <v>0.2426</v>
      </c>
      <c r="L48" t="b">
        <v>1</v>
      </c>
      <c r="M48" t="n">
        <v>0.07199999999999999</v>
      </c>
    </row>
    <row r="49">
      <c r="A49" t="n">
        <v>48</v>
      </c>
      <c r="B49" t="inlineStr">
        <is>
          <t>cross_topic</t>
        </is>
      </c>
      <c r="C49" t="inlineStr">
        <is>
          <t>4TGI</t>
        </is>
      </c>
      <c r="D49" s="3" t="inlineStr">
        <is>
          <t>Rekursi itu fungsi yang memanggil dirinya sendiri. Tapi kalau rekursi adalah fungsi, kenapa diajarkan terpisah? Apa yang membuat rekursi 'spesial' dibanding fungsi biasa?</t>
        </is>
      </c>
      <c r="E49" s="3" t="inlineStr">
        <is>
          <t>Saya akan menjawab pertanyaan mahasiswa dengan menggunakan istilah teknis yang ada dalam materi referensi.
Rekursi, sebagai fungsi yang memanggil dirinya sendiri, tidak memiliki perbedaan fundamental dengan fungsi biasa. Fungsi biasa juga dapat memanggil dirinya sendiri jika didefinisikan dengan benar. Namun, rekursi 'spesial' karena memiliki sifat yang berbeda dalam hal implementasinya.
Penggunaan rekursi biasanya dilakukan ketika kita ingin menghitung atau menyelesaikan masalah yang memiliki struktur hierarki atau pengulangan. Fungsi rekursi dapat digunakan untuk memecahkan masalah yang lebih kompleks dan memiliki kemampuan untuk mengulang proses hingga mencapai solusi yang diinginkan.
Dalam materi referensi, kita telah menemukan contoh aplikasi rekursi dalam definisi fungsi `habis_dibagi` dan `luas`. Kedua fungsi tersebut menggunakan konsep dekomposisi untuk memecah masalah menjadi sub-masalah yang lebih kecil. Hal ini membantu kita untuk mendapatkan solusi yang lebih efektif dan efisien.
Dalam kesimpulan, rekursi bukanlah fungsi 'spesial' karena memiliki perbedaan fundamental dengan fungsi biasa. Rekursi adalah salah satu contoh aplikasi fungsi yang memanggil dirinya sendiri untuk mencapai solusi yang diinginkan.</t>
        </is>
      </c>
      <c r="F49" t="n">
        <v>0.7718</v>
      </c>
      <c r="G49" t="n">
        <v>0.1483</v>
      </c>
      <c r="H49" t="b">
        <v>0</v>
      </c>
      <c r="I49" s="3" t="inlineStr">
        <is>
          <t>Rekursi memanggil dirinya sendiri karena memiliki sifat khusus yang berbeda dengan fungsi biasa. Salah satu hal yang membuat rekursi "spesial" adalah adanya hubungan antara panggilan dan definisi fungsi itu sendiri.
Pada umumnya, fungsi didefinisikan sebagai sebuah operasi yang dapat diaplikasikan pada input tertentu untuk menghasilkan output. Namun, rekursi tidak hanya menerima input dari luar, tetapi juga memanggil dirinya sendiri dengan argumen yang berbeda-beda. Hal ini membuat rekursi harus memiliki definisi yang lebih kompleks dan spesifik dibanding fungsi biasa.
Keterkaitan antara panggilan dan definisi fungsi itu sendiri membuat rekursi memerlukan penanganan khusus dalam analisis dan implementasinya. Oleh karena itu, rekursi tidak hanya dianggap sebagai sebuah fungsi, tapi juga memiliki sifat yang berbeda dan perlu dipahami secara spesifik.
Dalam pelajaran matematika dan ilmu komputer, rekursi biasanya diajarkan terpisah karena memiliki aplikasi yang lebih luas dan kompleks dibanding fungsi biasa. Rekursi digunakan dalam banyak bidang, seperti analisis numerik, teori graf, dan ilmu komputer, serta memiliki implikasi penting pada algoritma dan efisiensi program.
Dalam sintesis, rekursi "spesial" karena memiliki sifat khusus yang berbeda dengan fungsi biasa, yaitu memanggil dirinya sendiri dengan argumen yang berbeda-beda. Keterkaitan antara panggilan dan definisi fungsi itu sendiri membuat rekursi memerlukan penanganan khusus dalam analisis dan implementasinya.</t>
        </is>
      </c>
      <c r="J49" t="n">
        <v>0.7672</v>
      </c>
      <c r="K49" t="n">
        <v>0.1513</v>
      </c>
      <c r="L49" t="b">
        <v>0</v>
      </c>
      <c r="M49" t="n">
        <v>0.0046</v>
      </c>
    </row>
    <row r="50">
      <c r="A50" t="n">
        <v>49</v>
      </c>
      <c r="B50" t="inlineStr">
        <is>
          <t>out_of_scope</t>
        </is>
      </c>
      <c r="C50" t="inlineStr">
        <is>
          <t>5PAI</t>
        </is>
      </c>
      <c r="D50" s="3" t="inlineStr">
        <is>
          <t>Di Python ada konsep fungsi yang menerima fungsi lain sebagai parameter — disebut higher-order function. Apakah konsep ini diajarkan di CT? Atau CT hanya bahas fungsi yang menerima tipe data primitif?</t>
        </is>
      </c>
      <c r="E50" s="3" t="inlineStr">
        <is>
          <t>Berikut adalah jawaban Anda:
Mahasiswa: Level 5 Lanjut / Pragmatis / Analitis / Intuitif
Kamu: Tutor Computational Thinking untuk mahasiswa universitas di Indonesia.
Materi referensi: [GT_CT12.txt], [EDUR vs. FUNGSI], [GT_SUBTOPIK_02_Abstraksi_Formulasi.txt], [SOAL 6 — Abstraksi vs Symptom], [SOAL 7 — Abstraksi Data], [FUNGSI SEBAGAI DEKOMPOSISI DAN ABSTRAKSI], F. TIGA LATIHAN DARI SLIDE, [SOAL 2 — Fungsi dengan Kondisi].
Pertanyaan mahasiswa: Di Python ada konsep fungsi yang menerima fungsi lain sebagai parameter — disebut higher-order function. Apakah konsep ini diajarkan di CT? Atau CT hanya bahas fungsi yang menerima tipe data primitif?
Jawaban:
Di Computational Thinking, konsep fungsi yang menerima fungsi lain sebagai parameter (higher-order function) tidak secara eksplisit dibahas dalam materi referensi. Namun, pada slide [FUNGSI SEBAGAI DEKOMPOSISI DAN ABSTRAKSI], dikatakan bahwa dekomposisi memecah algoritme besar menjadi fungsi-fungsi kecil yang terfokus, sedangkan abstraksi menyembunyikan kerumitan implementasi di dalam fungsi. Dengan demikian, dapat disimpulkan bahwa CT hanya membahas fungsi yang menerima tipe data primitif.
Namun, konsep higher-order function sangat penting dalam Computational Thinking, karena memungkinkan penggunaan fungsi sebagai parameter dan hasilnya untuk menghasilkan output yang lebih kompleks. Oleh karena itu, saya sarankan Anda untuk mempelajari materi referensi tambahan tentang higher-order function agar Anda dapat lebih paham konsep ini.
Jumlah kata: 245</t>
        </is>
      </c>
      <c r="F50" t="n">
        <v>0.7855</v>
      </c>
      <c r="G50" t="n">
        <v>0.1394</v>
      </c>
      <c r="H50" t="b">
        <v>1</v>
      </c>
      <c r="I50" s="3" t="inlineStr">
        <is>
          <t>Tidak, konsep higher-order function yang mengizinkan suatu fungsi untuk menerima fungsi lain sebagai parameter tidak diajarkan secara eksplisit di CT (Computer Science) karena CT lebih berfokus pada konsep dasar komputasi seperti algoritma, struktur data, serta aspek-aspek fundamental programming.
Namun, pada umumnya, materi tentang fungsi dan parameterization dalam CT akan membahas tentang fungsi yang menerima tipe data primitif seperti integer, string, atau boolean. Fungsi-fungsi yang menerima fungsi lain sebagai parameter biasanya ditemukan dalam pengembangan program yang lebih lanjut, seperti pemrograman functional programming atau konsep-konsep tingkat tinggi lainnya.
Jika Anda ingin mempelajari lebih lanjut tentang higher-order function dan konsep-konsep terkait, maka Anda perlu belajar sendiri tentang materi-materi tersebut melalui sumber-sumber tambahan seperti buku-buku atau kursus online.</t>
        </is>
      </c>
      <c r="J50" t="n">
        <v>0.758</v>
      </c>
      <c r="K50" t="n">
        <v>0.1573</v>
      </c>
      <c r="L50" t="b">
        <v>1</v>
      </c>
      <c r="M50" t="n">
        <v>0.0275</v>
      </c>
    </row>
    <row r="51">
      <c r="A51" t="n">
        <v>50</v>
      </c>
      <c r="B51" t="inlineStr">
        <is>
          <t>confusion</t>
        </is>
      </c>
      <c r="C51" t="inlineStr">
        <is>
          <t>3PAI</t>
        </is>
      </c>
      <c r="D51" s="3" t="inlineStr">
        <is>
          <t>Saya tulis fungsi rekursif tapi program saya crash dengan error 'maximum recursion depth exceeded'. Saya sudah tambahkan base case tapi masih crash. Apa yang salah? Apakah base case saya yang bermasalah atau ada hal lain?</t>
        </is>
      </c>
      <c r="E51" s="3" t="inlineStr">
        <is>
          <t>Saya dapat membantu Anda menjawab pertanyaan-pertanyaan yang ada. Berikut adalah jawaban saya:
[SOAL 1 — Symptom vs. Problem]
a) "Aplikasi mobile saya sering crash saat dibuka." - Gejala (symptom), karena aplikasi mobile tidak berfungsi seperti biasanya.
b) "Nilai rata-rata UTS mahasiswa kelas A sangat rendah." - Masalah (problem), karena nilai rata-rata UTS tidak mencapai standar yang diinginkan.
c) "Server website mengalami downtime." - Gejala (symptom), karena server tidak berfungsi seperti biasanya.
[SOAL 5 — Masalah Coklat Bebek dengan Modulo]
Pseudocode untuk menemukan bebek pertama yang tidak dapat coklat:
```
function hitungCoklat(C: int) : int
  n = floor((-1 + sqrt(1 + 8*C)) / 2)
  return n
```
[SOAL 6 — Fungsi Lingkaran (Memanggil Fungsi)]
Pseudocode untuk menemukan total keliling lingkaran yang luasnya &gt; 100:
```
function hitungLuas(r: float) : float
  return 3.14 * r * r
function hitungKeliling(luas: float) : int
  return 2 * pi * sqrt(luas / 3.14)
```
[SOAL 7 — Error Fungsi]
Error pada fungsi `hitung(a: int, b: float, c: string) : string` adalah:
b) Error tipe param 1 salah (string bukan int)
c) Kurang 1 parameter
d) Urutan tipe terbalik
e) Kelebihan 1 parameter
[Saya memahami bahwa Anda ingin saya menjawab pertanyaan-pertanyaan yang ada, termasuk SOAL 7 — Error Fungsi. Jika Anda memiliki pertanyaan lain, silakan kirimkan!]</t>
        </is>
      </c>
      <c r="F51" t="n">
        <v>0.6829</v>
      </c>
      <c r="G51" t="n">
        <v>0.2061</v>
      </c>
      <c r="H51" t="b">
        <v>1</v>
      </c>
      <c r="I51" s="3" t="inlineStr">
        <is>
          <t>Terkadang, kita lupa bahwa fungsi rekursif itu memang memiliki batas kemampuan berulang (recursion depth) yang dapat diatasi oleh compiler atau runtime-nya. Jika kita tidak hati-hati dalam menulis fungsi rekursif, maka dapat terjadi error "maximum recursion depth exceeded".
Namun, pada kasus Anda yang sudah menambahkan base case, kemungkinan besar ada salah satu hal berikut:
1. Base case Anda belum benar-benar tepat: Pastikan bahwa base case Anda memang mencapai kondisi yang sesuai untuk menghentikan fungsi rekursif. Jika tidak, maka fungsi rekursif akan terus berulang dan menghabiskan batas kemampuan berulang.
2. Fungsi rekursif Anda memiliki jalur pengulangan yang tak terhingga: Ada kemungkinan bahwa fungsi rekursif Anda memiliki jalur pengulangan yang tidak pernah mencapai base case, sehingga fungsi rekursif akan terus berulang dan menghabiskan batas kemampuan berulang.
3. Data input Anda tidak sesuai dengan fungsi rekursif: Pastikan bahwa data input Anda sesuai dengan fungsi rekursif yang Anda tulis. Jika data input tidak sesuai, maka fungsi rekursif dapat terus berulang dan menghabiskan batas kemampuan berulang.
Untuk menyelesaikan masalah ini, Anda dapat mencoba beberapa hal berikut:
1. Cek kembali base case Anda dan pastikan bahwa itu memang sesuai dengan kondisi yang Anda inginkan.
2. Perbarui fungsi rekursif Anda untuk menghindari jalur pengulangan yang tak terhingga.
3. Pastikan bahwa data input Anda sesuai dengan fungsi rekursif yang Anda tulis.
4. Jika masih crash, maka Anda dapat mencoba menggunakan fungsi iteratif sebagai alternatif.
Dengan demikian, Anda dapat menyelesaikan masalah "maximum recursion depth exceeded" dan membuat program Anda lebih stabil.</t>
        </is>
      </c>
      <c r="J51" t="n">
        <v>0.646</v>
      </c>
      <c r="K51" t="n">
        <v>0.2601</v>
      </c>
      <c r="L51" t="b">
        <v>1</v>
      </c>
      <c r="M51" t="n">
        <v>0.0369</v>
      </c>
    </row>
    <row r="52">
      <c r="A52" t="n">
        <v>51</v>
      </c>
      <c r="B52" t="inlineStr">
        <is>
          <t>application</t>
        </is>
      </c>
      <c r="C52" t="inlineStr">
        <is>
          <t>3TGR</t>
        </is>
      </c>
      <c r="D52" s="3" t="inlineStr">
        <is>
          <t>Saya diminta trace faktorial(4) secara lengkap dan tunjukkan call stack di fase 'turun' (push) dan fase 'naik' (pop). Saya bingung apa bedanya fase turun dan fase naik.</t>
        </is>
      </c>
      <c r="E52" s="3" t="inlineStr">
        <is>
          <t>Mahasiswa, mari kita telusuri konsep stack bersama!
Dalam context stack, kita memiliki dua fase utama: fase "naik" (push) dan fase "turun" (pop). Fase naik terjadi ketika data ditambahkan ke dalam stack, sedangkan fase turun terjadi ketika data dihapus dari stack.
Fase "naik" (push):
Pada fase ini, kita menggunakan operasi push untuk menambahkan data ke dalam stack. Prosesnya sebagai berikut:
1. Data ditambahkan ke atas stack.
2. Stack tidak kosong, sehingga data baru ditumpuk di atas data sebelumnya.
Contoh: push 5 → push 7 → push 2
Fase "turun" (pop):
Pada fase ini, kita menggunakan operasi pop untuk menghapus data dari stack. Prosesnya sebagai berikut:
1. Data teratas dihapus dari stack.
2. Jumlah data yang tersimpan dalam stack berkurang.
Contoh: pop → push 6 → push 9 → push 6 → pop → pop → pop
Dengan demikian, fase "naik" dan "turun" memungkinkan kita untuk menambahkan dan menghapus data dari stack secara efektif.</t>
        </is>
      </c>
      <c r="F52" t="n">
        <v>0.7511</v>
      </c>
      <c r="G52" t="n">
        <v>0.1618</v>
      </c>
      <c r="H52" t="b">
        <v>1</v>
      </c>
      <c r="I52" s="3" t="inlineStr">
        <is>
          <t>Saya senang membantu Anda!
Faktorial (4) adalah operasi matematika yang menghitung hasil perkalian semua angka dari 1 sampai 4, yaitu 4! = 4 × 3 × 2 × 1 = 24.
Pada saat kita melakukan faktorial, terjadi beberapa fase dalam memprosesnya. Pada fase "turun" (push), kita memasukkan nilai-nilai ke dalam stack (tumpukan) untuk kemudian diolah. Pada fase "naik" (pop), kita menghapus nilai-nilai dari stack dan menggunakannya untuk perhitungan.
Berikut adalah proses faktorial(4) secara lengkap:
1. Fase "Turun" (Push):
	* 4 → Stack: [4]
	* 3 → Stack: [4, 3]
	* 2 → Stack: [4, 3, 2]
	* 1 → Stack: [4, 3, 2, 1]
2. Fase "Naik" (Pop):
	* Pop: 1 dari stack → Result: 1
	* 4 × 1 = 4, lalu pop: 2 dari stack → Result: 4 × 2 = 8
	* 3 × 8 = 24, lalu pop: 3 dari stack → Result: 24
	* 24 (hasil akhir)
Jadi, fase "turun" adalah saat kita memasukkan nilai-nilai ke dalam stack untuk kemudian diolah. Fase "naik" adalah saat kita menghapus nilai-nilai dari stack dan menggunakannya untuk perhitungan.</t>
        </is>
      </c>
      <c r="J52" t="n">
        <v>0.5065</v>
      </c>
      <c r="K52" t="n">
        <v>0.3208</v>
      </c>
      <c r="L52" t="b">
        <v>0</v>
      </c>
      <c r="M52" t="n">
        <v>0.2446</v>
      </c>
    </row>
    <row r="53">
      <c r="A53" t="n">
        <v>52</v>
      </c>
      <c r="B53" t="inlineStr">
        <is>
          <t>confusion</t>
        </is>
      </c>
      <c r="C53" t="inlineStr">
        <is>
          <t>5TAR</t>
        </is>
      </c>
      <c r="D53" s="3" t="inlineStr">
        <is>
          <t>Saya buat Fibonacci rekursif dan berjalan normal untuk Fib(10). Tapi waktu saya coba Fib(40) program sangat lambat — hampir 1 menit. Padahal logikanya sederhana. Kenapa bisa selambat itu?</t>
        </is>
      </c>
      <c r="E53" s="3" t="inlineStr">
        <is>
          <t>Saya sangat senang membantu Anda, saudara/i. Berikut jawaban saya:
Saya memahami bahwa Anda membuat algoritme Fibonacci rekursif dan berjalan normal untuk Fib(10), namun ketika Anda mencoba Fib(40), program Anda menjadi sangat lambat, yaitu sekitar 1 menit. Hal ini tampaknya tidak sesuai dengan logika yang sederhana. Mari kita analisis masalah ini.
Keterlambatan algoritme tersebut disebabkan oleh faktor kompleksitas algoritme. Algoritme Fibonacci rekursif memiliki kompleksitas O(2^n), yaitu eksponensial. Hal ini berarti bahwa waktu eksekusi algoritme akan meningkat pesat ketika inputnya semakin besar. Dalam kasus Anda, Fib(40) memerlukan waktu yang lama karena algoritme tersebut harus melakukan banyak perhitungan rekursif.
Untuk meningkatkan performa program, Anda dapat menggunakan algoritme lain seperti algoritme Fibonacci tidak rekursif dengan kompleksitas O(n), yaitu linear. Algoritme ini jauh lebih efisien dan cepat ketika inputnya besar.
Dalam kaitannya dengan materi referensi, kita dapat melihat bahwa kompleksitas algoritme sangat penting dalam menentukan waktu eksekusi program. Sebagai contoh, O(n) lebih cepat daripada O(2^n), seperti yang kita lihat pada tabel kompleksitas Big-O.
Saya berharap jawaban saya ini membantu Anda memahami masalah tersebut. Jika Anda memiliki pertanyaan lain, silakan ajukan.</t>
        </is>
      </c>
      <c r="F53" t="n">
        <v>0.538</v>
      </c>
      <c r="G53" t="n">
        <v>0.3303</v>
      </c>
      <c r="H53" t="b">
        <v>0</v>
      </c>
      <c r="I53" s="3" t="inlineStr">
        <is>
          <t>Problema yang Anda hadapi dapat dijelaskan oleh fenomena "rekursif" dalam program Anda. Dalam program Fibonacci rekursif, setiap nilai Fib(x) dipanggil ulang untuk menghitung nilai Fib(x+1) dan Fib(x+2). Hal ini berarti bahwa fungsi rekursif akan terus dipanggil hingga mencapai batas yang ditentukan (dalam kasus Anda, Fib(40)).
Ketika Anda mencoba Fib(40), program akan menghitung nilai Fib(39) dan Fib(38) dengan cara sama, yakni dengan menggunakan fungsi rekursif. Namun, dalam beberapa langkah, program akan mulai menghitung nilai Fib(20), lalu Fib(13), lalu Fib(8), dan seterusnya. Hal ini berarti bahwa program akan melakukan banyak pengulangan dan panggilan fungsi, sehingga waktu eksekusi menjadi sangat lambat.
Penggunaan rekursif dalam kasus Fibonacci dapat efektif untuk nilai yang relatif kecil, seperti Fib(10). Namun, ketika Anda mencoba mencapai nilai yang lebih besar, seperti Fib(40), program akan mengalami masalah performansi. Oleh karena itu, disarankan menggunakan algoritma non-rekursif atau menggunakan teknik memoization untuk meningkatkan kinerja program.
Dalam contoh, Anda dapat menggunakan array untuk menyimpan hasil perhitungan sebelumnya dan menggunakannya saat diperlukan. Dengan demikian, Anda tidak perlu melakukan perhitungan ulang untuk nilai yang telah dihitung sebelumnya.</t>
        </is>
      </c>
      <c r="J53" t="n">
        <v>0.4161</v>
      </c>
      <c r="K53" t="n">
        <v>0.3795</v>
      </c>
      <c r="L53" t="b">
        <v>1</v>
      </c>
      <c r="M53" t="n">
        <v>0.1219</v>
      </c>
    </row>
    <row r="54">
      <c r="A54" t="n">
        <v>53</v>
      </c>
      <c r="B54" t="inlineStr">
        <is>
          <t>application</t>
        </is>
      </c>
      <c r="C54" t="inlineStr">
        <is>
          <t>3TGI</t>
        </is>
      </c>
      <c r="D54" s="3" t="inlineStr">
        <is>
          <t>Hitung Fib(6) menggunakan definisi rekursif: Fib(1)=1, Fib(2)=1, Fib(n)=Fib(n-1)+Fib(n-2). Saya dapat 11 tapi teman dapat 8. Tolong trace dari awal untuk membuktikan mana yang benar.</t>
        </is>
      </c>
      <c r="E54" s="3" t="inlineStr">
        <is>
          <t>Saya dapat menjawab soal-soal Anda dengan menggunakan materi referensi yang relevan dan gaya penjelasan yang sesuai dengan tipe kognitif: Level 3 Menengah / Teoritis / Global / Intuitif.
1. Latihan Pesan Sandi (Dekripsi):
Saya menjawab soal ini dengan mengidentifikasi pola enkripsi yang digunakan oleh putri untuk mengirimkan pesan sandi kepada suaminya. Berdasarkan pola 3 dan 4, saya dapat menemukan selisih antar pola yaitu 4, 8, 12, ... → bertambah 4 setiap langkah. Kemudian, saya menggunakan formula an = 2n² - 2n + 1 untuk menghitung suku ke-5, yang memiliki nilai 41. Dengan demikian, pola ke-5 adalah 25 + 16 = 41.
2. SOAL 8 — Pola Bilangan Ganjil:
Saya menjawab soal ini dengan menggunakan pengenalan pola. Saya menemukan bahwa jumlah n bilangan ganjil pertama sama dengan nilai kuadrat dari n. Dengan demikian, formula yang tepat adalah 1 + 3 + 5 + ... + (2n-1) = n².
3. SOAL 5 — Deret Fibonacci:
Saya menjawab soal ini dengan menggunakan pengenalan pola. Saya menemukan bahwa suku ke-12 adalah 144 dan rasio dua suku berurutan mendekati pada suku besar yaitu bilangan Emas (Golden Ratio) φ ≈ 1.618033...
4. SOAL 6 — Jumlah Deret Spesial:
Saya menjawab soal ini dengan menggunakan pengenalan pola. Saya menemukan bahwa jumlah deret pertama adalah n, jumlah deret kuadrat adalah n², dan jumlah deret perkalian adalah (n+1)(n-1)/2.
5. SOAL 7 — Optimasi Algoritme:
Saya menjawab soal ini dengan menggunakan algoritme mencari apakah ada dua elemen di array yang memiliki selisih tepat 2. Saya urutkan terlebih dahulu dan kemudian mencari pasangan dengan selisih = 2. Dengan demikian, saya menemukan enam pasangan.
6. SOAL 3 — Pola Bilangan:
Saya menjawab soal ini dengan menggunakan pengenalan pola. Saya menemukan bahwa suku ke-10 dari barisan a adalah 101, suku ke-10 dari barisan b adalah 55, dan suku ke-10 dari barisan c adalah 1536.
7. SOAL 4 — Pola dalam Algoritme:
Saya menjawab soal ini dengan menggunakan definisi rekursif untuk menghitung Fib(6). Saya menjelaskan bahwa definisi rekursif adalah Fib(n) = Fib(n-1) + Fib(n-2), dan kemudian saya menerapkan definisi ini untuk menemukan nilai Fib(6).
Dalam jawaban saya, saya menggunakan istilah teknis yang ada dalam materi referensi, menjelaskan konsep utama secara langsung dan akurat, dan sesuai dengan gaya penjelasan yang sesuai dengan tipe kognitif: Level 3 Menengah / Teoritis / Global / Intuitif. Saya juga menggunakan contoh konkret jika membantu pemahaman dan menjawab dalam Bahasa Indonesia yang jelas dan akademis.</t>
        </is>
      </c>
      <c r="F54" t="n">
        <v>0.4853</v>
      </c>
      <c r="G54" t="n">
        <v>0.3346</v>
      </c>
      <c r="H54" t="b">
        <v>1</v>
      </c>
      <c r="I54" s="3" t="inlineStr">
        <is>
          <t>Kita akan menggunakan definisi rekursif Fib(6) sebagai berikut:
1. Fib(1) = 1 (disebutkan)
2. Fib(2) = 1 (disebutkan)
3. Untuk n ≥ 3, Fib(n) = Fib(n-1) + Fib(n-2)
Kita mulai dari Fib(6):
Fib(6) = Fib(5) + Fib(4)
(Fib(n) bergantung pada dua nilai sebelumnya: Fib(n-1) dan Fib(n-2))
Sekarang kita lihat Fib(5) dan Fib(4):
Fib(5) = Fib(4) + Fib(3)
Fib(4) = Fib(3) + Fib(2)
Kita lanjutkan:
Fib(3) = Fib(2) + Fib(1)
Fib(2) = 1 (disebutkan)
Sekarang kita memiliki:
Fib(5) = Fib(4) + Fib(3)
= (Fib(3) + Fib(2)) + Fib(2)
= (1 + 1) + 1
= 3
Jadi, Fib(4) = 3 dan Fib(5) = 3.
Kembali ke Fib(6):
Fib(6) = Fib(5) + Fib(4)
= 3 + 3
= 6
Maka, Fib(6) = 6. Ternyata teman Anda yang benar!</t>
        </is>
      </c>
      <c r="J54" t="n">
        <v>0.2741</v>
      </c>
      <c r="K54" t="n">
        <v>0.4718</v>
      </c>
      <c r="L54" t="b">
        <v>1</v>
      </c>
      <c r="M54" t="n">
        <v>0.2112</v>
      </c>
    </row>
    <row r="55">
      <c r="A55" t="n">
        <v>54</v>
      </c>
      <c r="B55" t="inlineStr">
        <is>
          <t>cross_topic</t>
        </is>
      </c>
      <c r="C55" t="inlineStr">
        <is>
          <t>5TGI</t>
        </is>
      </c>
      <c r="D55" s="3" t="inlineStr">
        <is>
          <t>Dosen bilang faktorial rekursif O(n) tapi Fibonacci rekursif O(2^n). Keduanya rekursi, kenapa kompleksitasnya bisa beda jauh? Apa yang menentukan kompleksitas dari sebuah fungsi rekursif?</t>
        </is>
      </c>
      <c r="E55" s="3" t="inlineStr">
        <is>
          <t>Saya senang membantu Anda menyelesaikan soal ini.
Perbedaan kompleksitas antara faktorial rekursif dan Fibonacci rekursif terletak pada cara algoritme tersebut memproses inputnya. Faktorial rekursif memiliki struktur kontrol yang lebih sederhana, yaitu dengan menggunakan kondisi `n &lt;= 2` sebagai batas akhir. Kondisi ini memungkinkan algoritme untuk berhenti looping dan langsung mengembalikan nilai yang sesuai.
Sebaliknya, Fibonacci rekursif memiliki struktur kontrol yang lebih kompleks karena setiap iterasi bergantung pada dua iterasi sebelumnya. Kondisi `n &lt;= 2` tidak berlaku dalam kasus ini, sehingga algoritme harus terus melakukan looping sampai mencapai nilai yang diinginkan. Dalam hal ini, kompleksitas O(2^n) timbul karena algoritme harus memproses setiap iterasi dengan cara yang sama, sehingga waktu eksekusi meningkat eksponensial.
Kesimpulannya, kompleksitas fungsi rekursif tergantung pada struktur kontrol dan cara input diproses. Faktorial rekursif memiliki kompleksitas O(n) karena struktur kontrol yang sederhana, sedangkan Fibonacci rekursif memiliki kompleksitas O(2^n) karena struktur kontrol yang lebih kompleks.
Saya berharap jawaban ini membantu Anda memahami perbedaan kompleksitas antara faktorial rekursif dan Fibonacci rekursif.</t>
        </is>
      </c>
      <c r="F55" t="n">
        <v>0.6516999999999999</v>
      </c>
      <c r="G55" t="n">
        <v>0.2264</v>
      </c>
      <c r="H55" t="b">
        <v>1</v>
      </c>
      <c r="I55" s="3" t="inlineStr">
        <is>
          <t>Saya akan menjawab pertanyaan Anda dengan sebaik mungkin.
Pertama-tama, perlu diingat bahwa kompleksitas suatu fungsi rekursif ditentukan oleh faktor-faktor berikut:
1. Banyaknya panggilan fungsi (dalam hal ini, "rekursi") yang dilakukan.
2. Biaya waktu dan memori untuk masing-masing panggilan fungsi.
Dalam kasus faktorial rekursif O(n), kompleksitasnya dapat dijelaskan sebagai berikut:
* Fungsi faktorial hanya memanggil dirinya sendiri sebanyak n-1 kali, karena kita tidak perlu menghitung faktorial 0 dan 1.
* Biaya waktu untuk setiap panggilan fungsi adalah O(1), karena kita hanya perlu melakukan operasi sederhana seperti perkalian.
* Oleh karena itu, total biaya waktu adalah O(n-1) = O(n).
Dalam kasus Fibonacci rekursif O(2^n), kompleksitasnya dapat dijelaskan sebagai berikut:
* Fungsi Fibonacci memanggil dirinya sendiri sebanyak n-2 kali untuk menghitung anggota sebelumnya, sehingga total panggilan fungsi adalah 2^(n-1) (karena setiap panggilan fungsi memanggil diri sendiri sebanyak dua kali).
* Biaya waktu untuk setiap panggilan fungsi adalah O(1), karena kita hanya perlu melakukan operasi sederhana seperti penjumlahan.
* Oleh karena itu, total biaya waktu adalah O(2^(n-1)) = O(2^n).
Dalam sintesis, kompleksitas suatu fungsi rekursif ditentukan oleh jumlah panggilan fungsi yang dilakukan dan biaya waktu untuk masing-masing panggilan. Dalam kasus faktorial, jumlah panggilan fungsi adalah linear dengan input (O(n)), sedangkan dalam kasus Fibonacci, jumlah panggilan fungsi adalah eksponensial dengan input (O(2^n)). Oleh karena itu, kompleksitasnya dapat berbeda jauh walaupun keduanya rekursi.</t>
        </is>
      </c>
      <c r="J55" t="n">
        <v>0.5294</v>
      </c>
      <c r="K55" t="n">
        <v>0.3359</v>
      </c>
      <c r="L55" t="b">
        <v>1</v>
      </c>
      <c r="M55" t="n">
        <v>0.1223</v>
      </c>
    </row>
    <row r="56">
      <c r="A56" t="n">
        <v>55</v>
      </c>
      <c r="B56" t="inlineStr">
        <is>
          <t>confusion</t>
        </is>
      </c>
      <c r="C56" t="inlineStr">
        <is>
          <t>4TGR</t>
        </is>
      </c>
      <c r="D56" s="3" t="inlineStr">
        <is>
          <t>Di Python saya pakai list untuk segalanya dan tidak pernah ada masalah. Tapi di slide CT dibedakan antara array dan list. Apakah Python list itu array? Kalau iya, kenapa disebut beda?</t>
        </is>
      </c>
      <c r="E56" s="3" t="inlineStr">
        <is>
          <t>Kepada mahasiswa,
Dalam materi referensi, kita belajar tentang keterbedaan antara array dan list di Python. Berdasarkan slide CT, array dan list memiliki definisi yang berbeda.
Array adalah struktur data yang menampung elemen-elemen yang sama jenisnya, seperti integer, float, atau string. Array dalam Python disebut dengan nama `array`, misalnya `array('i', [1, 2, 3])`. Array memiliki ukuran tetap dan elemen-elemennya dapat diakses menggunakan indeks.
Sementara itu, list adalah struktur data yang lebih umum digunakan dalam programing. List dapat menampung elemen-elemen yang berbeda jenis, seperti integer, float, string, atau objek lainnya. List dalam Python disebut dengan nama `list`, misalnya `[1, 2, 'hello', {'name': 'John'}]`. List memiliki ukuran yang dapat bertambah-tambah dan elemen-elemennya dapat diakses menggunakan indeks.
Dalam Python, list dapat digunakan sebagai array, namun bukan berarti semua list adalah array. Contoh, jika kita memiliki list `[1, 2, 3]`, maka list ini dapat digunakan sebagai array, tetapi juga dapat digunakan sebagai list yang lebih umum. Karena itu, istilah "array" dan "list" memiliki makna yang berbeda dalam konteks programing.
Saya harap jawaban ini membantu mahasiswa memahami konsep keterbedaan antara array dan list di Python.</t>
        </is>
      </c>
      <c r="F56" t="n">
        <v>0.6551</v>
      </c>
      <c r="G56" t="n">
        <v>0.2242</v>
      </c>
      <c r="H56" t="b">
        <v>1</v>
      </c>
      <c r="I56" s="3" t="inlineStr">
        <is>
          <t>Idea penting tentang data structure!
Di Python, `list` (juga dikenal sebagai array) adalah sebuah objek yang dapat menampung sejumlah nilai dari tipe data yang sama atau berbeda. Contohnya: `[1, 2, 3, 'hello', True]`.
Namun, jika kita lihat lebih dalam, kita akan melihat bahwa `list` Python tidak sepenuhnya sama dengan array seperti yang digunakan di beberapa bahasa pemrograman lainnya, seperti C atau Java. Di Python, `list` adalah sebuah objek dinamis yang memiliki fitur-fitur berikut:
1. **Homogeneous**: Semua elemen dalam list harus memiliki tipe data yang sama.
2. **Dynamic sizing**: Ukuran list dapat diubah secara dinamis dengan menggunakan metode seperti `append()` atau `extend()`.
3. **Mutable**: List dapat diubah setelah dibuat.
Sementara itu, array di beberapa bahasa pemrograman lainnya (seperti C atau Java) adalah objek yang:
1. **Homogeneous**: Semua elemen dalam array harus memiliki tipe data yang sama.
2. **Fixed sizing**: Ukuran array harus ditentukan pada waktu kompilasi dan tidak dapat diubah setelah itu.
3. **Immutable**: Array tidak dapat diubah setelah dibuat.
Oleh karena itu, meskipun `list` Python dapat digunakan sebagai array, tetapi itu bukanlah sebuah array sebagaimana mestinya jika kita lihat dari perspektif bahasa pemrograman lainnya. Penamaan "beda" antara array dan list di slide CT berarti bahwa mereka memiliki fitur-fitur yang berbeda, walaupun keduanya dapat digunakan untuk menampung koleksi nilai.
Jadi, jawabannya adalah: `list` Python bukanlah sebuah array sebagaimana mestinya, tetapi memiliki beberapa fitur yang mirip dengan array.</t>
        </is>
      </c>
      <c r="J56" t="n">
        <v>0.7655999999999999</v>
      </c>
      <c r="K56" t="n">
        <v>0.1524</v>
      </c>
      <c r="L56" t="b">
        <v>1</v>
      </c>
      <c r="M56" t="n">
        <v>-0.1105</v>
      </c>
    </row>
    <row r="57">
      <c r="A57" t="n">
        <v>56</v>
      </c>
      <c r="B57" t="inlineStr">
        <is>
          <t>gap</t>
        </is>
      </c>
      <c r="C57" t="inlineStr">
        <is>
          <t>5PAR</t>
        </is>
      </c>
      <c r="D57" s="3" t="inlineStr">
        <is>
          <t>Kalau Python list sudah bisa melakukan semua yang array bisa — tambah elemen, akses indeks, loop — kenapa orang masih pakai array? Kapan tepatnya array lebih baik dari list?</t>
        </is>
      </c>
      <c r="E57" s="3" t="inlineStr">
        <is>
          <t>Berhubung dengan pertanyaan mahasiswa yang menanyakan alasan menggunakan array jika Python list sudah dapat melakukan semua fungsi array, mari kita analisis kelebihan dan kekurangan kedua jenis data struktur tersebut.
Python list adalah implementasi dari array, sehingga memiliki fungsi yang serupa seperti mengakses indeks, mengulangi elemen, serta menambahkan atau menghapus elemen. Namun, array biasanya digunakan ketika kita perlu mengakses elemen secara langsung dan efisien, seperti dalam kasus merekam nilai-nilai ujian mahasiswa atau harga produk.
Array memiliki beberapa kelebihan dibandingkan list, seperti:
* Akses langsung ke elemen yang terdekat dengan indeks tertentu
* Lebih efisien dalam penggunaan memori dan waktu eksekusi
* Dapat digunakan untuk merekam data struktur yang lebih kompleks, seperti matrix atau multidimensional array
Namun, list juga memiliki beberapa kelebihan, seperti:
* Lebih fleksibel dalam menghandle data, karena dapat menambahkan atau menghapus elemen secara dinamis
* Dapat digunakan sebagai tipe data dasar untuk membuat struktur data yang lebih kompleks
Dalam sintesis, array lebih baik digunakan ketika kita perlu mengakses data secara langsung dan efisien, serta memerlukan penggunaan memori dan waktu eksekusi yang lebih efektif. Sementara list lebih cocok digunakan ketika kita perlu membuat struktur data yang lebih kompleks atau memerlukan fleksibilitas dalam menghandle data.
Dengan demikian, jawaban pada pertanyaan adalah array lebih baik digunakan ketika kita perlu mengakses data secara langsung dan efisien, serta memerlukan penggunaan memori dan waktu eksekusi yang lebih efektif.</t>
        </is>
      </c>
      <c r="F57" t="n">
        <v>0.7819</v>
      </c>
      <c r="G57" t="n">
        <v>0.1418</v>
      </c>
      <c r="I57" s="3" t="inlineStr">
        <is>
          <t>Pertanyaan ini memang menarik! Kita akan coba menjawabnya dengan sebaik mungkin.
Dalam Python, list (juga dikenal sebagai array) sudah dapat melakukan semua fungsi yang biasa diakukan oleh array, seperti menambahkan elemen, mengakses indeks, serta melakukan looping. Namun, ada beberapa situasi di mana array lebih cocok digunakan daripada list. Berikut adalah beberapa contoh:
1. **Fixed-size**: Array memiliki ukuran tetap dan tidak dapat direorganisasi, sehingga membuatnya lebih efisiensi dalam penggunaan memori. Contohnya, jika Anda memiliki data yang harus disimpan dalam format file biner, maka array menjadi pilihan yang lebih tepat.
2. **Memory efficiency**: Array biasanya lebih efektif dalam penggunaan memori daripada list, karena list menggunakan pointers untuk mengakses elemen-elemennya, sedangkan array menggunakan nilai literal. Jadi, jika Anda memiliki data yang besar dan perlu disimpan dalam memori, maka array menjadi pilihan yang lebih tepat.
3. **Performance-critical code**: Dalam kode yang kritis terhadap performansi, seperti kode numerik atau kode game, array dapat membantu meningkatkan kecepatan eksekusi kode karena tidak ada overhead dari pointer dan dynamic memory allocation.
4. **Interoperability with C code**: Jika Anda memiliki kode C yang harus di-embed dengan Python, maka array menjadi pilihan yang lebih tepat, karena array adalah jenis data yang diketahui oleh C, sehingga memungkinkan Anda untuk melakukan operasi-overload antara Python dan C.
Jadi, dalam beberapa situasi, array masih memiliki kelebihan-kelebihan yang membuatnya lebih cocok digunakan daripada list. Namun, dalam mayoritas kasus, list adalah pilihan yang lebih tepat karena lebih fleksibel dan mudah digunakan.</t>
        </is>
      </c>
      <c r="J57" t="n">
        <v>0.7788</v>
      </c>
      <c r="K57" t="n">
        <v>0.1738</v>
      </c>
      <c r="L57" t="b">
        <v>0</v>
      </c>
      <c r="M57" t="n">
        <v>0.0031</v>
      </c>
    </row>
    <row r="58">
      <c r="A58" t="n">
        <v>57</v>
      </c>
      <c r="B58" t="inlineStr">
        <is>
          <t>out_of_scope</t>
        </is>
      </c>
      <c r="C58" t="inlineStr">
        <is>
          <t>4TGI</t>
        </is>
      </c>
      <c r="D58" s="3" t="inlineStr">
        <is>
          <t>Saya baca tentang linked list di internet dan katanya lebih efisien dari array untuk insert dan delete. Apakah linked list diajarkan di mata kuliah CT ini? Kalau tidak, apa yang membedakan dengan array?</t>
        </is>
      </c>
      <c r="E58" s="3" t="inlineStr">
        <is>
          <t>Berdasarkan tipe kognitif mahasiswa sebagai Level 4 Mahir / Teoritis / Global / Intuitif, maka penjelasan akan berfokus pada konsep utama dan menggunakan istilah teknis yang ada dalam materi referensi.
Linked list adalah struktur data yang terdiri dari node-node yang saling terhubung. Dalam linked list, setiap node memiliki dua bagian: data dan pointer ke node lainnya. Kelebihan linked list dibandingkan array adalah kemampuan untuk melakukan insert dan delete dengan lebih efisien.
Dalam array, insert atau delete memerlukan penggantian beberapa elemen, sehingga dapat menyebabkan perubahan pada seluruh struktur data. Sedangkan dalam linked list, proses insert atau delete hanya memerlukan mengubah pointer dari node-node yang terhubung, sehingga tidak mempengaruhi struktur data lainnya.
Jadi, jawaban untuk pertanyaan mahasiswa adalah ya, linked list diajarkan di mata kuliah CT ini. Konsep linked list sangat relevan dengan materi referensi tentang stack dan queue, serta graph dan tree.</t>
        </is>
      </c>
      <c r="F58" t="n">
        <v>0.7642</v>
      </c>
      <c r="G58" t="n">
        <v>0.1533</v>
      </c>
      <c r="H58" t="b">
        <v>1</v>
      </c>
      <c r="I58" s="3" t="inlineStr">
        <is>
          <t>Iya, linked list memang diajarkan di mata kuliah CT (Computer Technology) dan mempunyai beberapa kelebihan dibandingkan dengan array.
Salah satu kelebihan utama linked list adalah efisiensi operasi insert dan delete. Dalam linked list, setiap elemen tidak memiliki referensi langsung ke elemen lainnya seperti dalam array. Sebaliknya, setiap elemen hanya memiliki referensi ke elemen sebelumnya (seperti "next" atau "prev"). Karena itu, saat Anda ingin memasukkan atau menghapus suatu elemen di tengah-tengah linked list, Anda tidak perlu menggeser semua elemen lainnya seperti dalam array. Hal ini membuat operasi insert dan delete lebih efisien dan efektif.
Kelebihan lainnya adalah bahwa linked list dapat menampung data dengan ukuran variabel, sehingga Anda tidak harus membagi blok memori secara teratur untuk setiap elemen seperti dalam array. Selain itu, linked list juga memiliki kelebihan pada penggunaan ruang memori, karena hanya membutuhkan ruang memori yang diperlukan oleh masing-masing elemen tanpa perlu membagi blok memori secara teratur.
Namun, linked list juga memiliki beberapa kelemahan, seperti lebih kompleks dalam implementasinya dan memerlukan lebih banyak waktu untuk operasi read dan write.</t>
        </is>
      </c>
      <c r="J58" t="n">
        <v>0.6353</v>
      </c>
      <c r="K58" t="n">
        <v>0.2371</v>
      </c>
      <c r="L58" t="b">
        <v>1</v>
      </c>
      <c r="M58" t="n">
        <v>0.1289</v>
      </c>
    </row>
    <row r="59">
      <c r="A59" t="n">
        <v>58</v>
      </c>
      <c r="B59" t="inlineStr">
        <is>
          <t>application</t>
        </is>
      </c>
      <c r="C59" t="inlineStr">
        <is>
          <t>3PAI</t>
        </is>
      </c>
      <c r="D59" s="3" t="inlineStr">
        <is>
          <t>Saya punya list nilai [75, 82, 60, 91, 55, 88, 70]. Saya diminta hitung rata-rata, lalu tampilkan berapa mahasiswa di atas dan di bawah rata-rata. Apakah ini bisa diselesaikan dengan satu loop atau perlu dua loop?</t>
        </is>
      </c>
      <c r="E59" s="3" t="inlineStr">
        <is>
          <t>Sebagai tutor Computational Thinking, saya akan menjawab pertanyaan mahasiswa tentang bagaimana mencari rata-rata dan membagi mahasiswa menjadi dua kelompok: di atas dan di bawah rata-rata.
Saya akan menggunakan konsep loop dan analisis kompleksitas waktu yang diajarkan dalam materi referensi. Rata-rata dapat dicari dengan menggunakan loop untuk menghitung jumlah nilai dan kemudian membagi dengan jumlah nilai. Berikut adalah contoh pseudocode:
```
sum = 0
count = 0
for each score in scores do
  sum += score
  count++
rata_rata = sum / count
```
Dalam loop di atas, kita menggunakan variabel `sum` untuk menghitung jumlah nilai dan `count` untuk menghitung jumlahnilai. Kemudian, kita membagi hasil penjumlahan dengan jumlah nilai untuk mendapatkan rata-rata.
Untuk membagi mahasiswa menjadi dua kelompok: di atas dan di bawah rata-rata, kita dapat menggunakan loop lagi untuk menghitung jumlah mahasiswa yang memiliki skor lebih besar atau sama dengan rata-rata, serta jumlah mahasiswa yang memiliki skor kurang dari rata-rata. Berikut adalah contoh pseudocode:
```
above_rata_rata = 0
below_rata_rata = 0
for each score in scores do
  if score &gt;= rata_rata then
    above_rata_rata++
  else
    below_rata_rata++
```
Dalam loop di atas, kita menggunakan variabel `above_rata_rata` dan `below_rata_rata` untuk menghitung jumlah mahasiswa yang memiliki skor lebih besar atau sama dengan rata-rata, serta jumlah mahasiswa yang memiliki skor kurang dari rata-rata.
Kita tidak perlu menggunakan dua loop karena kita dapat menggunakan variabel `rata_rata` sebagai kondisi dalam loop. Berikut adalah contoh pseudocode:
```
count = 0
for each score in scores do
  if score &gt;= rata_rata then
    count++
  else
    break
mahasiswa_di_atas = count
mahasiswa_di_bawah = len(scores) - mahasiswa_di_atas
```
Dalam loop di atas, kita menggunakan variabel `count` untuk menghitung jumlah mahasiswa yang memiliki skor lebih besar atau sama dengan rata-rata. Kemudian, kita membagi total jumlah mahasiswa menjadi dua kelompok: di atas dan di bawah rata-rata.
Jadi, jawaban saya adalah bahwa kita dapat mencari rata-rata dan membagi mahasiswa menjadi dua kelompok: di atas dan di bawah rata-rata dengan menggunakan satu loop.</t>
        </is>
      </c>
      <c r="F59" t="n">
        <v>0.3136</v>
      </c>
      <c r="G59" t="n">
        <v>0.4462</v>
      </c>
      <c r="H59" t="b">
        <v>1</v>
      </c>
      <c r="I59" s="3" t="inlineStr">
        <is>
          <t>Saya dapat membantu Anda menyelesaikan masalah ini.
Pertama, kita akan menghitung nilai rata-rata dari list nilai yang diberikan. Rata-rata dapat dihitung dengan menjumlahkan semua nilai dan kemudian membagi dengan jumlah data. Dalam kasus ini, kita memiliki 7 data, jadi kita perlu menjumlahkan semua nilai dan kemudian membagi dengan 7.
Kita dapat menggunakan satu loop untuk melakukan hal ini:
```
nilai_rata = 0
jumlah_data = 0
for nilai in [75, 82, 60, 91, 55, 88, 70]:
    nilai_rata += nilai
    jumlah_data += 1
nilai_rata /= jumlah_data
print("Nilai rata-rata:", nilai_rata)
```
Kemudian, kita dapat menggunakan loop lain untuk menentukan berapa mahasiswa yang nilai mereka di atas dan di bawah rata-rata. Kita dapat menggunakan kondisi if untuk melakukan hal ini:
```
di_atas_rata = 0
di_bawah_rata = 0
for nilai in [75, 82, 60, 91, 55, 88, 70]:
    if nilai &gt; nilai_rata:
        di_atas_rata += 1
    elif nilai &lt; nilai_rata:
        di_bawah_rata += 1
print("Mahasiswa di atas rata-rata:", di_atas_rata)
print("Mahasiswa di bawah rata-rata:", di_bawah_rata)
```
Dalam kode di atas, kita menggunakan dua loop. Loop pertama untuk menghitung nilai rata-rata, dan loop kedua untuk menentukan berapa mahasiswa yang nilai mereka di atas dan di bawah rata-rata.
Namun, jika Anda ingin menggunakan hanya satu loop, Anda dapat menggunakan kondisi if dalam loop tersebut:
```
nilai_rata = 0
jumlah_data = 0
di_atas_rata = 0
di_bawah_rata = 0
for nilai in [75, 82, 60, 91, 55, 88, 70]:
    nilai_rata += nilai
    jumlah_data += 1
    if nilai &gt; nilai_rata:
        di_atas_rata += 1
    elif nilai &lt; nilai_rata:
        di_bawah_rata += 1
nilai_rata /= jumlah_data
print("Nilai rata-rata:", nilai_rata)
print("Mahasiswa di atas rata-rata:", di_atas_rata)
print("Mahasiswa di bawah rata-rata:", di_bawah_rata)
```
Dalam kode di atas, kita menggunakan hanya satu loop untuk menghitung nilai rata-rata dan menentukan berapa mahasiswa yang nilai mereka di atas dan di bawah rata-rata.</t>
        </is>
      </c>
      <c r="J59" t="n">
        <v>0.1861</v>
      </c>
      <c r="K59" t="n">
        <v>0.529</v>
      </c>
      <c r="L59" t="b">
        <v>1</v>
      </c>
      <c r="M59" t="n">
        <v>0.1275</v>
      </c>
    </row>
    <row r="60">
      <c r="A60" t="n">
        <v>59</v>
      </c>
      <c r="B60" t="inlineStr">
        <is>
          <t>application</t>
        </is>
      </c>
      <c r="C60" t="inlineStr">
        <is>
          <t>2TGI</t>
        </is>
      </c>
      <c r="D60" s="3" t="inlineStr">
        <is>
          <t>Simulasikan stack dengan operasi berurutan:
PUSH(7), PUSH(2), PUSH(5), POP, PUSH(9), PEEK, POP, POP.
Saya tidak yakin apa yang dikembalikan PEEK — apakah elemen terhapus atau tidak?</t>
        </is>
      </c>
      <c r="E60" s="3" t="inlineStr">
        <is>
          <t>Tutor Computational Thinking: Stack and Queue
Halo, mahasiswa! Kita akan membahas tentang struktur data stack dan queue.
Stack adalah struktur data yang berisi elemen-elemen yang ditambahkan secara terpisah (seperti push). Elemen-elemen di dalam stack dikeluarkan dengan operasi pop. Contoh aplikasi yang memerlukan stack adalah fitur undo dan redo pada aplikasi perkantoran.
Queue, sebaliknya, memiliki prinsip First In First Out (FIFO). Operasi enqueue menambahkan elemen baru ke antrian, sedangkan dequeue mengeluarkan elemen pertama di dalam antrian. Contoh aplikasi yang memerlukan queue adalah sistem antrian pada restoran atau bank.
Simulasikan operasi berikut pada stack: push(3) → push(8) → push(1) → pop → push(5) → pop → pop → push(2) → pop. Jawaban: push(3): stack=[3], push(8): stack=[3,8], push(1): stack=[3,8,1], pop: keluarkan 1, stack=[3,8] → OUTPUT: 1, push(5): stack=[3,8,5], pop: keluarkan 5, stack=[3,8] → OUTPUT: 5.
Penerapan stack dan queue sangat luas dalam berbagai aplikasi komputer. Sebuah aplikasi peta seperti Google Maps memerlukan struktur data yang mendukung perhitungan jalur terpendek atau tercepat antara dua titik. Pemilihan struktur data yang tepat menjadi kunci efisiensi dan kebenaran suatu sistem komputasi.
Saya harap materi ini membantu Anda memahami konsep stack dan queue. Jika Anda memiliki pertanyaan, silakan tanyakan!</t>
        </is>
      </c>
      <c r="F60" t="n">
        <v>0.8287</v>
      </c>
      <c r="G60" t="n">
        <v>0.1113</v>
      </c>
      <c r="H60" t="b">
        <v>1</v>
      </c>
      <c r="I60" s="3" t="inlineStr">
        <is>
          <t>Mari kita simulasikan stack dengan operasi berurutan:
1. PUSH(7): Stack menjadi [7]
2. PUSH(2): Stack menjadi [7, 2]
3. PUSH(5): Stack menjadi [7, 2, 5]
4. POP: Stack menjadi [7, 2] ( elemen teratas, yaitu 5, dihapus)
5. PUSH(9): Stack menjadi [7, 2, 9]
6. PEEK: Stack saat ini adalah [7, 2, 9], jadi PEEK akan mengembalikan nilai yang terletak paling atas, yakni 7 (atau 2, karena kedua elemen tersebut masih tersedia di stack).
7. POP: Stack menjadi [7] (elemen teratas, yaitu 2, dihapus)
8. POP: Stack menjadi [] (elemen teratas, yaitu 7, dihapus)
Dengan demikian, PEEK pada operasi ke-6 akan mengembalikan nilai 7, bukan elemen yang dihapus sebelumnya (yaitu 2).</t>
        </is>
      </c>
      <c r="J60" t="n">
        <v>0.7551</v>
      </c>
      <c r="K60" t="n">
        <v>0.1592</v>
      </c>
      <c r="L60" t="b">
        <v>1</v>
      </c>
      <c r="M60" t="n">
        <v>0.0736</v>
      </c>
    </row>
    <row r="61">
      <c r="A61" t="n">
        <v>60</v>
      </c>
      <c r="B61" t="inlineStr">
        <is>
          <t>application</t>
        </is>
      </c>
      <c r="C61" t="inlineStr">
        <is>
          <t>2PAR</t>
        </is>
      </c>
      <c r="D61" s="3" t="inlineStr">
        <is>
          <t>Simulasikan queue dengan operasi:
ENQUEUE(P), ENQUEUE(Q), ENQUEUE(R), DEQUEUE, ENQUEUE(S), DEQUEUE, DEQUEUE.
Tunjukkan isi queue setelah setiap operasi dan nilai yang dikembalikan DEQUEUE.</t>
        </is>
      </c>
      <c r="E61" s="3" t="inlineStr">
        <is>
          <t>Saya dapat membantu menjawab pertanyaan mahasiswa tentang simulasi queue dengan operasi: ENQUEUE(P), ENQUEUE(Q), ENQUEUE(R), DEQUEUE, ENQUEUE(S), DEQUEUE, DEQUEUE.
Queue awalnya kosong, maka:
ENQUEUE(P): queue=[P]
ENQUEUE(Q): queue=[P,Q]
ENQUEUE(R): queue=[P,Q,R]
DEQUEUE: output=P, queue=[Q,R] (data P dihapus dari antrian dan data Q menjadi data terdepan)
ENQUEUE(S): queue=[Q,R,S]
DEQUEUE: output=Q, queue=[R,S] (data Q dihapus dari antrian dan data R menjadi data terdepan)
DEQUEUE: output=R, queue=[S] (data R dihapus dari antrian dan data S menjadi data terdepan)
Dengan demikian, isi queue setelah setiap operasi adalah:
* ENQUEUE(P): [P]
* ENQUEUE(Q): [P,Q]
* ENQUEUE(R): [P,Q,R]
* DEQUEUE: [Q,R]
* ENQUEUE(S): [Q,R,S]
* DEQUEUE: [R,S]
* DEQUEUE: [S]
Nilai yang dikembalikan DEQUEUE adalah:
* P (data pertama dihapus dari antrian)
* Q (data kedua dihapus dari antrian)
* R (data ketiga dihapus dari antrian)
Demikian, simulasi queue dengan operasi tersebut menunjukkan isi queue setelah setiap operasi dan nilai yang dikembalikan DEQUEUE.</t>
        </is>
      </c>
      <c r="F61" t="n">
        <v>0.7621</v>
      </c>
      <c r="G61" t="n">
        <v>0.1546</v>
      </c>
      <c r="H61" t="b">
        <v>1</v>
      </c>
      <c r="I61" s="3" t="inlineStr">
        <is>
          <t>Simulasi queue dengan operasi:
1. ENQUEUE(P)
Isi queue: P
Nilai yang dikembalikan: None (tidak ada)
2. ENQUEUE(Q)
Isi queue: P, Q
Nilai yang dikembalikan: None (tidak ada)
3. ENQUEUE(R)
Isi queue: P, Q, R
Nilai yang dikembalikan: None (tidak ada)
4. DEQUEUE
Isi queue: P, Q, R
Nilai yang dikembalikan: P (elemen terdepan dihapus dan dikembalikan)
5. ENQUEUE(S)
Isi queue: P, Q, R, S
Nilai yang dikembalikan: None (tidak ada)
6. DEQUEUE
Isi queue: P, Q, R
Nilai yang dikembalikan: Q (elemen terdepan dihapus dan dikembalikan)
7. DEQUEUE
Isi queue: P, R
Nilai yang dikembalikan: R (elemen terdepan dihapus dan dikembalikan)
Jadi, isi queue setelah semua operasi adalah P, R.</t>
        </is>
      </c>
      <c r="J61" t="n">
        <v>0.738</v>
      </c>
      <c r="K61" t="n">
        <v>0.1703</v>
      </c>
      <c r="L61" t="b">
        <v>1</v>
      </c>
      <c r="M61" t="n">
        <v>0.0241</v>
      </c>
    </row>
    <row r="62">
      <c r="A62" t="n">
        <v>61</v>
      </c>
      <c r="B62" t="inlineStr">
        <is>
          <t>confusion</t>
        </is>
      </c>
      <c r="C62" t="inlineStr">
        <is>
          <t>3TAI</t>
        </is>
      </c>
      <c r="D62" s="3" t="inlineStr">
        <is>
          <t>Saya mau buat fitur undo di aplikasi teks editor saya. Setiap aksi disimpan dan bisa di-undo ke aksi sebelumnya. Apakah saya pakai stack atau queue? Dan mengapa?</t>
        </is>
      </c>
      <c r="E62" s="3" t="inlineStr">
        <is>
          <t>Mahasiswa!
Saya akan menjawab pertanyaan Anda dengan menggunakan istilah teknis dan contoh konkret.
Untuk membuat fitur undo di aplikasi teks editor, saya merekomendasikan penggunaan stack. Stack cocok untuk fitur undo karena setiap aksi disimpan dan dapat di-undo ke aksi sebelumnya. Stack juga memiliki prinsip LIFO (Last In First Out), yang berarti aksi terbaru akan di-undo terlebih dahulu.
Dalam contoh Anda, setiap aksi seperti menulis teks, menghapus karakter, atau membuat format, dapat disimpan ke dalam stack. Ketika user ingin melakukan undo, aplikasi dapat mempopkan aksi dari atas (top) stack dan kembali ke aksi sebelumnya. Dengan demikian, fitur undo dapat berfungsi secara efektif.
Dalam perbandingan, queue tidak cocok untuk fitur undo karena queue menggunakan prinsip FIFO (First In First Out), yang berarti aksi pertama akan di-undo terlebih dahulu. Jika aplikasi menggunakan queue, user tidak dapat melakukan undo ke aksi sebelumnya.
Jadi, untuk membuat fitur undo di aplikasi teks editor, saya merekomendasikan penggunaan stack!</t>
        </is>
      </c>
      <c r="F62" t="n">
        <v>0.7691</v>
      </c>
      <c r="G62" t="n">
        <v>0.1501</v>
      </c>
      <c r="H62" t="b">
        <v>1</v>
      </c>
      <c r="I62" s="3" t="inlineStr">
        <is>
          <t>Menyajikan feature undo pada aplikasi teks editor memungkinkan pengguna untuk membatalkan perubahan yang telah dilakukan. Dalam hal ini, Anda perlu menggunakan struktur data stack untuk mengimplementasikan fitur tersebut.
Alasan menggunakan stack adalah sebagai berikut:
1. **First-In-First-Out (FIFO)**: Stack mengikuti konsep FIFO, artinya aksi terakhir yang dilakukan akan dihapus terlebih dahulu ketika pengguna ingin melakukan undo. Dalam aplikasi teks editor, aksi terbaru biasanya berupa perubahan pada teks, maka logis jika aksi terbaru yang dilakukan harus dihapus terlebih dahulu.
2. **Efficiency**: Stack lebih efisien dalam menghandle operasi push dan pop dibandingkan queue. Pada aplikasi teks editor, Anda tidak ingin pengguna menunggu lama untuk melakukan undo, maka menggunakan stack dapat meningkatkan performa.
3. **Consistency**: Dengan menggunakan stack, Anda dapat memastikan bahwa aksi terbaru yang dilakukan akan dihapus terlebih dahulu, sehingga fitur undo tetap konsisten dan mudah dipahami oleh pengguna.
Jadi, dalam implementasikan feature undo pada aplikasi teks editor, saya merekomendasikan menggunakan stack sebagai struktur data yang paling sesuai.</t>
        </is>
      </c>
      <c r="J62" t="n">
        <v>0.775</v>
      </c>
      <c r="K62" t="n">
        <v>0.1462</v>
      </c>
      <c r="L62" t="b">
        <v>1</v>
      </c>
      <c r="M62" t="n">
        <v>-0.0059</v>
      </c>
    </row>
    <row r="63">
      <c r="A63" t="n">
        <v>62</v>
      </c>
      <c r="B63" t="inlineStr">
        <is>
          <t>application</t>
        </is>
      </c>
      <c r="C63" t="inlineStr">
        <is>
          <t>5TGI</t>
        </is>
      </c>
      <c r="D63" s="3" t="inlineStr">
        <is>
          <t>Soal: periksa apakah ekspresi '((a+b)*(c-d))' seimbang kurungnya. Dosen minta pakai stack. Saya paham LIFO tapi tidak tahu cara terapkan ke masalah kurung ini.</t>
        </is>
      </c>
      <c r="E63" s="3" t="inlineStr">
        <is>
          <t>Mahasiswa!
Saya akan membantu Anda menyelesaikan soal ini dengan menggunakan konsep stack (LIFO).
Soalnya adalah, apakah ekspresi '((a+b)*(c-d))' seimbang kurungnya. Untuk menentukan apakah ekspresi ini seimbang atau tidak, kita dapat menggunakan struktur data stack.
Kita akan memasukkan setiap karakter dalam ekspresi ke dalam stack. Berikut adalah langkah-langkah yang kita lakukan:
1. Push '('
2. Push '+'
3. Push 'a'
4. Push 'b'
5. Pop (seimbang dengan '(')
6. Push '*'
7. Push '('
8. Push 'c'
9. Push '-'
10. Push 'd'
11. Pop (seimbang dengan ')')
12. Pop (seimbang dengan ')')
Setelah kita selesai memasukkan setiap karakter ke dalam stack, kita dapat melihat apakah ekspresi ini seimbang atau tidak.
Dengan menggunakan konsep LIFO dari stack, kita dapat menentukan bahwa ekspresi '((a+b)*(c-d))' adalah seimbang. Kita dapat melihat bahwa setiap kurung yang dibuka harus ditutup paling awal, dan demikian juga dengan operator '+' dan '*'.
Jadi, jawaban saya adalah: EKSPRESI '((a+b)*(c-d))' ADALAH SEIMBANG.
Semoga bermanfaat, mahasiswa!</t>
        </is>
      </c>
      <c r="F63" t="n">
        <v>0.4069</v>
      </c>
      <c r="G63" t="n">
        <v>0.3855</v>
      </c>
      <c r="H63" t="b">
        <v>1</v>
      </c>
      <c r="I63" s="3" t="inlineStr">
        <is>
          <t>Kita akan menggunakan konsep stack (Last In First Out) untuk memeriksa apakah ekspresi '((a+b)*(c-d))' seimbang kurungnya. Berikut langkah-langkahnya:
1. Buatlah stack kosong.
2. Masukkan setiap karakter ke dalam stack, mulai dari awal ekspresi:
	* Awal: (
	* Stack: [(]
	* Masukkan 'a': [a(]
	* Masukkan '+': [a(+]
	* Masukkan 'b': [a+b(]
3. Ketika kita menjumpai karakter kurung tutup, maka kita harus melepaskan karakter-karakter yang tersimpan di stack:
	* Ketemu ')': [a+b] (stack: [(])
	* Lepaskan '(': [] (stack)
4. Ulangi langkah 2-3 untuk karakter-karakter lainnya:
	* Masukkan '*': [*[] (stack)
	* Masukkan 'c': [*ca+]
	* Masukkan '-': [*ca+-] (stack: [(])
	* Lepaskan '(': [] (stack)
5. Ketika kita selesai menginput semua karakter, maka stack harus kosong untuk ekspresi seimbang kurungnya.
6. Periksa apakah stack masih ada isi atau tidak:
	* Jika stack masih ada isi, maka ekspresi tidak seimbang kurungnya.
	* Jika stack kosong, maka ekspresi seimbang kurungnya.
Dalam kasus ini, kita akan melihat bahwa stack menjadi kosong setelah menginput semua karakter. Maka, ekspresi '((a+b)*(c-d))' seimbang kurungnya!</t>
        </is>
      </c>
      <c r="J63" t="n">
        <v>0.6341</v>
      </c>
      <c r="K63" t="n">
        <v>0.2378</v>
      </c>
      <c r="L63" t="b">
        <v>1</v>
      </c>
      <c r="M63" t="n">
        <v>-0.2272</v>
      </c>
    </row>
    <row r="64">
      <c r="A64" t="n">
        <v>63</v>
      </c>
      <c r="B64" t="inlineStr">
        <is>
          <t>gap</t>
        </is>
      </c>
      <c r="C64" t="inlineStr">
        <is>
          <t>4TGR</t>
        </is>
      </c>
      <c r="D64" s="3" t="inlineStr">
        <is>
          <t>Di slide stack ada pseudocode implementasi dengan array dan variabel 'top'. Saya tidak mengerti mengapa perlu variabel top — kenapa tidak langsung pakai panjang array? Apa fungsi variabel top dalam implementasi stack?</t>
        </is>
      </c>
      <c r="E64" s="3" t="inlineStr">
        <is>
          <t>Saya senang membantu menjawab pertanyaan mahasiswa!
Variabel "top" dalam implementasi stack memiliki fungsi penting sebagai indikator posisi elemen teratas (top) pada array yang mewakili stack. Dengan menggunakan variabel top, kita dapat dengan cepat mengetahui posisi elemen terbaru yang ditambahkan ke dalam stack dan menghilangkan perluasan panjang array yang menjadi kompleksitas.
Dalam implementasi stack, array digunakan sebagai representasi elemen-elemen yang dikandung oleh stack. Variabel top memegang nilai indeks array yang menunjukkan posisi elemen teratas. Dengan demikian, ketika kita melakukan operasi push, variabel top diincrement untuk menunjukkan posisi baru elemen yang ditambahkan. Sementara saat operasi pop, variabel top decrement untuk menunjukkan posisi sebelumnya.
Dalam perbandingan, jika kita tidak menggunakan variabel top dan langsung memakai panjang array, maka akan sulit mengatur posisi elemen teratas dan dapat menyebabkan error atau masalah lain. Oleh karena itu, variabel top menjadi bagian penting dalam implementasi stack yang efektif.
Dengan demikian, saya harap menjawab pertanyaan mahasiswa telah memahami konsep utama variabel "top" dalam implementasi stack!</t>
        </is>
      </c>
      <c r="F64" t="n">
        <v>0.2931</v>
      </c>
      <c r="G64" t="n">
        <v>0.4595</v>
      </c>
      <c r="H64" t="b">
        <v>1</v>
      </c>
      <c r="I64" s="3" t="inlineStr">
        <is>
          <t>Saya akan menjelaskan penggunaan variabel "top" dalam implementasi stack menggunakan array.
Dalam implementasi stack dengan array, variabel "top" digunakan untuk menunjukkan index terakhir dari elemen yang terkandung di dalam stack. Dengan kata lain, variabel "top" merepresentasikan posisi puncak (peak) dari stack.
Ketika Anda melakukan operasi push (memasukkan elemen baru ke dalam stack), nilai "top" ditingkatkan menjadi index terbaru dari elemen yang dibuat.
Contohnya, jika stack berisi elemen {A, B, C} dan nilai "top" adalah 2, maka puncak stack terletak di index 2. Jika Anda melakukan push elemen D, maka nilai "top" akan ditingkatkan menjadi 3, sehingga puncak stack terletak di index 3.
Sebagai lawan, ketika Anda melakukan operasi pop (menghapus elemen dari atas stack), nilai "top" dikurangi menjadi index sebelumnya. Contohnya, jika stack berisi elemen {A, B, C} dan nilai "top" adalah 2, maka Anda melakukan pop. Maka, nilai "top" akan dikurangi menjadi 1, sehingga puncak stack terletak di index 1.
Mengapa tidak langsung menggunakan panjang array sebagai referensi? Karena panjang array hanya menunjukkan jumlah elemen yang terkandung dalam array, namun tidak memberikan informasi tentang posisi puncak (peak) dari stack. Variabel "top" memberikan informasi tersebut, sehingga Anda dapat melakukan operasi push dan pop dengan benar.
Dalam sintaks pseudocode, variabel "top" digunakan sebagai referensi untuk mengakses elemen di atas yang terkandung dalam array. Contohnya: `stack[top]` akan mengakses elemen terakhir (puncak) dari stack.</t>
        </is>
      </c>
      <c r="J64" t="n">
        <v>0.2931</v>
      </c>
      <c r="K64" t="n">
        <v>0.4595</v>
      </c>
      <c r="L64" t="b">
        <v>1</v>
      </c>
      <c r="M64" t="n">
        <v>0</v>
      </c>
    </row>
    <row r="65">
      <c r="A65" t="n">
        <v>64</v>
      </c>
      <c r="B65" t="inlineStr">
        <is>
          <t>confusion</t>
        </is>
      </c>
      <c r="C65" t="inlineStr">
        <is>
          <t>4TGI</t>
        </is>
      </c>
      <c r="D65" s="3" t="inlineStr">
        <is>
          <t>Dosen bilang tree itu 'graph khusus'. Tapi kalau tree adalah graph, kenapa diajarkan terpisah? Apa yang membuat graph dianggap tree dan bukan hanya graph biasa?</t>
        </is>
      </c>
      <c r="E65" s="3" t="inlineStr">
        <is>
          <t>Mahasiswa! Dosen memanggil tree sebagai "graph khusus" karena memiliki sifat hierarkis, dimana setiap node (kecuali root) hanya memiliki 1 parent. Sementara itu, graph biasa tidak memiliki aturan seperti itu.
Tree adalah suatu bentuk graph yang tidak mengandung cycle, dan memiliki struktur hierarkis yang unik. Root adalah node paling atas, sedangkan leaf adalah node yang tidak memiliki child. Parent adalah node yang memiliki child, dan level/depth adalah jarak dari root. Sifat utama tree adalah bersifat hierarkis, sehingga setiap node (kecuali root) hanya memiliki 1 parent.
Graph, pada sisi lain, adalah struktur data terdiri dari Node/Vertex dan Edge. Graph dapat berupa directed atau undirected, bergantung pada arah hubungan antar node. Dalam kasus tree, edge tidak mengandung cycle, sehingga memungkinkan penggunaan struktur data tree untuk merepresentasikan relasi hierarkis.
Dengan demikian, dosen memanggil tree sebagai "graph khusus" karena memiliki sifat hierarkis yang unik dan berbeda dengan graph biasa. Tree dapat digunakan untuk merepresentasikan hubungan antar node dalam struktur data yang bersifat hierarkis, seperti sistem kecerdasan buatan atau compiler bahasa pemrograman.</t>
        </is>
      </c>
      <c r="F65" t="n">
        <v>0.8054</v>
      </c>
      <c r="G65" t="n">
        <v>0.1265</v>
      </c>
      <c r="H65" t="b">
        <v>1</v>
      </c>
      <c r="I65" s="3" t="inlineStr">
        <is>
          <t>Pertanyaan ini memang menarik! Dalam teori graf, sebuah "tree" (tengga) adalah jenis khusus dari graph (graf) yang memiliki beberapa sifat unik. Sifat-sifat tersebut membuat tree menjadi penting dalam analisis dan aplikasi graf.
Ada tiga syarat yang harus dipenuhi oleh sebuah graph untuk disebut sebagai tree:
1. Tidak ada loop (sirkulasi). Dalam graph, tidak ada bagian yang mengelilingi dirinya sendiri.
2. Setiap node memiliki minimal satu edge yang terhubung ke node lainnya. Artinya, setiap node harus terhubung dengan node lainnya melalui edge.
3. Graph tidak memiliki cycle (siklus). Dalam graph, tidak ada bagian yang mengelilingi dirinya sendiri dan membuat sebuah lingkaran.
Karena tree memiliki sifat-sifat tersebut, maka diajarkan sebagai subkelas dari graph. Sifat-sifat unik tree membuatnya lebih mudah dipahami dan diaplikasikan dalam berbagai bidang, seperti sistem informasi, teknologi jaringan, dan analisis data.
Dalam sintesis, "tree" tidak hanya sebuah graph biasa karena memiliki sifat-sifat khusus yang membedakan tree dari graph lainnya. Sifat-sifat tersebut membuat tree menjadi penting dalam analisis dan aplikasi graf, sehingga perlu dipahami dan diajarkan terpisah sebagai subkelas dari graph.</t>
        </is>
      </c>
      <c r="J65" t="n">
        <v>0.7603</v>
      </c>
      <c r="K65" t="n">
        <v>0.1558</v>
      </c>
      <c r="L65" t="b">
        <v>1</v>
      </c>
      <c r="M65" t="n">
        <v>0.0451</v>
      </c>
    </row>
    <row r="66">
      <c r="A66" t="n">
        <v>65</v>
      </c>
      <c r="B66" t="inlineStr">
        <is>
          <t>application</t>
        </is>
      </c>
      <c r="C66" t="inlineStr">
        <is>
          <t>3TGI</t>
        </is>
      </c>
      <c r="D66" s="3" t="inlineStr">
        <is>
          <t>Graph: A-B(4), A-C(2), B-D(3), C-D(5), D-E(1). Cari jarak terpendek dari A ke E menggunakan Dijkstra. Saya sudah coba tapi selalu dapat jalur yang berbeda dari teman.</t>
        </is>
      </c>
      <c r="E66" s="3" t="inlineStr">
        <is>
          <t>Saya senang dapat membantu Anda menyelesaikan masalah ini!
Untuk pertanyaan tentang Graph, saya akan menjelaskan konsep Dijkstra untuk mencari jarak terpendek dari A ke E.
Dalam graph yang memiliki berbagai jenis node dan edge, Dijkstra adalah algoritme yang digunakan untuk mencari jarak terpendek (shortest path) antara dua node. Algoritme ini bekerja dengan cara menghitung jarak antara node A dan node E menggunakan tabel penyelesaian.
Pertama-tama, kita perlu membuat tabel penyelesaian dengan kolom untuk node A, B, C, D, dan E. Kemudian, kita hitung jarak dari node A ke setiap node lainnya menggunakan formula: jarak(A, B) = 4 (karena edge A-B memiliki bobot 4).
Lanjutkan dengan menghitung jarak dari node A ke node D melalui node C dan node B: jarak(A, D) = jarak(A, C) + jarak(C, D) = 2 + 5 = 7. Kemudian, kita hitung jarak dari node A ke node E melalui node D: jarak(A, E) = jarak(A, D) + jarak(D, E) = 7 + 1 = 8.
Dalam tabel penyelesaian, jarak terpendek dari A ke E adalah 10 (melalui jalur A-C-B-D-E). Jadi, jawaban yang tepat adalah A-C-B-D-E dengan jarak 10.
Saya harap jawaban saya dapat membantu Anda memahami konsep Dijkstra untuk mencari jarak terpendek dalam graph!</t>
        </is>
      </c>
      <c r="F66" t="n">
        <v>0.7563</v>
      </c>
      <c r="G66" t="n">
        <v>0.1584</v>
      </c>
      <c r="H66" t="b">
        <v>1</v>
      </c>
      <c r="I66" s="3" t="inlineStr">
        <is>
          <t>Kita akan menggunakan algoritma Dijkstra untuk menemukan jarak terpendek dari A ke E. Berikut adalah langkah-langkahnya:
1. Buat tabel jarak dan sebelumnya:
```
      | A   | B   | C   | D   | E
A    | 0   | ?   | ?   | ?   | ?
B    | ?   | 4   | ?   | 3   | ?
C    | ?   | ?   | 2   | ?   | ?
D    | ?   | ?   | ?   | 1   | ?
E    | ?   | ?   | ?   | ?   | 0
```
2. Tentukan titik awal, yaitu A. Jarak dari A ke A adalah 0.
```
      | A   | B   | C   | D   | E
A    | 0   | ?   | ?   | ?   | ?
B    | INF | 4   | ?   | 3   | ?
C    | INF | ?   | 2   | ?   | ?
D    | INF | ?   | ?   | 1   | ?
E    | INF | ?   | ?   | ?   | 0
```
3. Pilih titik dengan jarak terpendek yang belum diupdate, yaitu B.
4. Hitung jarak dari A ke B: 4 (A-B)
```
      | A   | B   | C   | D   | E
A    | 0   | 4   | ?   | ?   | ?
B    | INF | 4   | ?   | 3   | ?
C    | INF | ?   | 2   | ?   | ?
D    | INF | ?   | ?   | 1   | ?
E    | INF | ?   | ?   | ?   | 0
```
5. Pilih titik dengan jarak terpendek yang belum diupdate, yaitu C.
6. Hitung jarak dari A ke C: 2 (A-C)
```
      | A   | B   | C   | D   | E
A    | 0   | 4   | 2   | ?   | ?
B    | INF | 4   | ?   | 3   | ?
C    | INF | ?   | 2   | ?   | ?
D    | INF | ?   | ?   | 1   | ?
E    | INF | ?   | ?   | ?   | 0
```
7. Pilih titik dengan jarak terpendek yang belum diupdate, yaitu D.
8. Hitung jarak dari A ke D: 5 (A-C) + 3 (C-D) = 8
```
      | A   | B   | C   | D   | E
A    | 0   | 4   | 2   | 8   | ?
B    | INF | 4   | ?   | 3   | ?
C    | INF | ?   | 2   | ?   | ?
D    | INF | ?   | ?   | 1   | ?
E    | INF | ?   | ?   | ?   | 0
```
9. Pilih titik dengan jarak terpendek yang belum diupdate, yaitu E.
10. Hitung jarak dari A ke E: 8 (A-D) + 1 (D-E) = 9
Jadi, jarak terpendek dari A ke E adalah 9. Jalur terpendeknya adalah A-B-C-D-E.</t>
        </is>
      </c>
      <c r="J66" t="n">
        <v>0.7371</v>
      </c>
      <c r="K66" t="n">
        <v>0.1709</v>
      </c>
      <c r="L66" t="b">
        <v>1</v>
      </c>
      <c r="M66" t="n">
        <v>0.0192</v>
      </c>
    </row>
    <row r="67">
      <c r="A67" t="n">
        <v>66</v>
      </c>
      <c r="B67" t="inlineStr">
        <is>
          <t>comparative</t>
        </is>
      </c>
      <c r="C67" t="inlineStr">
        <is>
          <t>4TGI</t>
        </is>
      </c>
      <c r="D67" s="3" t="inlineStr">
        <is>
          <t>Graph: A→B, A→C, B→D, B→E, C→F. Saya trace BFS dari A dan dapat: A, B, C, D, E, F. Teman trace DFS dari A dan dapat: A, B, D, E, C, F. Apakah keduanya benar? Dan kenapa urutannya bisa berbeda?</t>
        </is>
      </c>
      <c r="E67" s="3" t="inlineStr">
        <is>
          <t>Saya senang menjawab pertanyaan Anda, mahasiswa! Saya akan menjelaskan konsep utama secara langsung dan akurat, serta sesuai dengan tipe kognitif: Level 4 Mahir / Teoritis / Global / Intuitif.
Pertama-tama, saya ingin menjabarkan tentang BFS (Breadth-First Search) yang Anda trace dari A. Prosesnya adalah sebagai berikut: mulai dari node A, lalu enqueue B dan C, kemudian proses B, tetangga D dan E, enqueue D dan E, dan seterusnya. Akhirnya, Anda mendapatkan urutan BFS: A, B, C, D, E, F.
Sekarang, mari kita bahas tentang DFS (Depth-First Search). Teman Anda trace DFS dari A dan mendapatkan urutan: A, B, D, E, C, F. Apakah keduanya benar? Jawabnya adalah YA! Kedua urutan tersebut memang benar, karena BFS dan DFS memiliki prinsip yang berbeda.
BFS melakukan traversal secara lebar (breadth), yaitu mengunjungi semua anak-anak node sebelum menjelajahi lebih dalam. Sebaliknya, DFS melakukan traversal secara dalam (depth), yaitu mengunjungi anak-anak node hingga mencapai akhir dan kemudian kembali ke atas.
Perbedaan urutan antara BFS dan DFS terletak pada cara mendapatkan hasilnya. BFS mencari semua node yang dapat dijangkau dari node awal sebelum melanjutkan, sedangkan DFS menyelesaikan traversal untuk setiap anak-anak node sebelum melanjutkan ke anak-anak node lainnya.
Dengan demikian, keduanya memiliki urutan yang berbeda, tetapi masih benar dan memenuhi prinsip traversal yang sama.</t>
        </is>
      </c>
      <c r="F67" t="n">
        <v>0.6662</v>
      </c>
      <c r="G67" t="n">
        <v>0.217</v>
      </c>
      <c r="H67" t="b">
        <v>1</v>
      </c>
      <c r="I67" s="3" t="inlineStr">
        <is>
          <t>Kedua cara tracing graph, BFS (Breadth-First Search) dan DFS (Depth-First Search), memiliki kelebihan masing-masing dan dapat menghasilkan urutan yang berbeda.
Pertama-tama, kita harus memahami bagaimana kedua algoritma bekerja. BFS adalah sebuah algoritma yang mengunjungi semua vertex yang pada jarak k-1 dari sumber (dalam kasus ini, A) sebelum mengunjungi vertex yang lebih jauh. Dalam contoh Anda, BFS memulai dengan A, lalu mengunjungi B dan C karena mereka berjarak 1 dari A. Setelah itu, BFS mengunjungi D dan E karena mereka berjarak 2 dari A, dan akhirnya F.
Sementara itu, DFS adalah sebuah algoritma yang mengunjungi vertex yang paling jauh dari sumber (dalam kasus ini, A) sebelum kembali ke vertex yang lebih dekat. Dalam contoh Anda, DFS memulai dengan A, lalu mengunjungi B dan kemudian kembali ke A untuk mengunjungi C. Setelah itu, DFS mengunjungi D dan E, dan akhirnya F.
Kedua cara tracing graph dapat menghasilkan urutan yang berbeda karena mereka memiliki pendekatan yang berbeda dalam mengunjungi vertex-vertex pada graf. BFS lebih sering digunakan jika kita ingin menemukan semua solusi atau mencari path terpendek antara dua vertex, sedangkan DFS lebih sering digunakan jika kita ingin menemukan apakah sebuah graph terhubung atau tidak.
Dalam kasus Anda, urutan yang dihasilkan oleh kedua algoritma sebenarnya benar, tetapi memiliki perbedaan dalam urutannya.</t>
        </is>
      </c>
      <c r="J67" t="n">
        <v>0.7631</v>
      </c>
      <c r="K67" t="n">
        <v>0.154</v>
      </c>
      <c r="L67" t="b">
        <v>1</v>
      </c>
      <c r="M67" t="n">
        <v>-0.0969</v>
      </c>
    </row>
    <row r="68">
      <c r="A68" t="n">
        <v>67</v>
      </c>
      <c r="B68" t="inlineStr">
        <is>
          <t>gap</t>
        </is>
      </c>
      <c r="C68" t="inlineStr">
        <is>
          <t>3PAR</t>
        </is>
      </c>
      <c r="D68" s="3" t="inlineStr">
        <is>
          <t>Di slide graph ada directed dan undirected. Dosen minta pilih jenis graph yang tepat untuk 'jaringan pertemanan di media sosial'. Saya tidak yakin — pertemanan kan simetris tapi ada yang following tanpa difollow balik. Mana yang benar?</t>
        </is>
      </c>
      <c r="E68" s="3" t="inlineStr">
        <is>
          <t>Dosen menawarkan pertanyaan bagaimana kita dapat menggunakan graph untuk merepresentasikan "jaringan pertemanan" di media sosial. Kita harus memilih jenis graph yang tepat untuk merepresentasikan hubungan antar akun.
Dalam materi referensi, dikenal dua jenis graph: Directed (Berarah) dan Undirected (Tidak Berarah). Directed Graph digunakan ketika hubungan antar node tidak bersifat simetris, seperti dalam kasus follow di media sosial. Hubungan follow tidak harus bersifat simetris, karena akun A dapat mengikuti akun B tanpa B mengikuti A.
Oleh karena itu, graph yang tepat untuk merepresentasikan "jaringan pertemanan" di media sosial adalah Graph Berarah (Directed Graph). Pada graph ini, edge memiliki arah yang menunjukkan dari node mana menuju node mana, sehingga dapat merepresentasikan hubungan follow yang tidak bersifat simetris.</t>
        </is>
      </c>
      <c r="F68" t="n">
        <v>0.7907</v>
      </c>
      <c r="G68" t="n">
        <v>0.136</v>
      </c>
      <c r="H68" t="b">
        <v>1</v>
      </c>
      <c r="I68" s="3" t="inlineStr">
        <is>
          <t>Dalam jaringan pertemanan di media sosial, jenis graph yang tepat adalah undirected graph (graph tak berarah). Alasannya adalah sebagai berikut:
* Pertemanan yang simetris (misalnya, A mengikuti B dan B juga mengikuti A) dapat diwakili dengan arah dua jalan (undirected).
* Ada yang following tanpa difollow balik (misalnya, A mengikuti B tapi tidak ada pengikut balik dari A ke B), tetapi ini tidak berarti graph harus berarah. Karena dalam kasus seperti itu, Anda masih dapat membuat undirected edge antara node A dan node B.
Jadi, dalam jaringan pertemanan di media sosial, undirected graph adalah pilihan yang lebih tepat karena merefleksikan sifat simetris dan asimetris dari hubungan-hubungan tersebut.</t>
        </is>
      </c>
      <c r="J68" t="n">
        <v>0.7776</v>
      </c>
      <c r="K68" t="n">
        <v>0.1446</v>
      </c>
      <c r="M68" t="n">
        <v>0.0131</v>
      </c>
    </row>
    <row r="69">
      <c r="A69" t="n">
        <v>68</v>
      </c>
      <c r="B69" t="inlineStr">
        <is>
          <t>out_of_scope</t>
        </is>
      </c>
      <c r="C69" t="inlineStr">
        <is>
          <t>5PGR</t>
        </is>
      </c>
      <c r="D69" s="3" t="inlineStr">
        <is>
          <t>Saya baca tentang Binary Search Tree (BST) di internet. Apakah BST diajarkan di CT? Kalau ya, bagaimana cara insert dan search di BST?</t>
        </is>
      </c>
      <c r="E69" s="3" t="inlineStr">
        <is>
          <t>Saya akan menjawab pertanyaan Anda dengan menggunakan istilah teknis yang ada dalam materi referensi dan sesuai dengan tipe kognitif: Level 5 Lanjut / Pragmatis / Global / Reflektiv.
BST (Binary Search Tree) adalah salah satu struktur data yang diajarkan di CT. BST adalah sebuah tree yang setiap node memiliki maksimal dua anak, yaitu left child dan right child. Insertion pada BST dilakukan dengan cara melakukan traversal dari root node ke arah kanan atau kiri hingga found data yang ingin disimpan. Pada saat find, node akan direplace (diperbarui) dengan data baru. Berikut adalah contoh algoritma insertion BST:
1. Start at the root node.
2. Compare the key of the current node with the key of the new node.
3. If the key of the new node is less than the key of the current node, move to the left child.
4. If the key of the new node is greater than the key of the current node, move to the right child.
5. Repeat steps 2-4 until an empty node is found or the new node is inserted.
Search pada BST dilakukan dengan cara melakukan traversal dari root node ke arah kanan atau kiri hingga found data yang dicari. Berikut adalah contoh algoritma search BST:
1. Start at the root node.
2. Compare the key of the current node with the key of the searched data.
3. If the key of the searched data is less than the key of the current node, move to the left child.
4. If the key of the searched data is greater than the key of the current node, move to the right child.
5. Repeat steps 2-4 until found or not found.
Dalam BST, operasi insert dan search dilakukan dengan cara menggunakan algoritma traversal yang mencari posisi node terbaik untuk menempatkan data baru atau mencari data yang dicari.</t>
        </is>
      </c>
      <c r="F69" t="n">
        <v>0.6296</v>
      </c>
      <c r="G69" t="n">
        <v>0.2408</v>
      </c>
      <c r="H69" t="b">
        <v>1</v>
      </c>
      <c r="I69" s="3" t="inlineStr">
        <is>
          <t>Iya, Binary Search Tree (BST) adalah materi yang dipelajari di Computational Theory (CT). BST adalah struktur data yang digunakan untuk menyimpan dan mengorganisasikan data secara efisien.
Cara insert (pemasukan) data ke BST adalah sebagai berikut:
1. Pilih node root (node induk) dari BST.
2. Bandingkan nilai data dengan nilai node root.
3. Jika data lebih besar daripada nilai node root, maka pindahkan ke kanan (right child).
4. Jika data lebih kecil daripada nilai node root, maka pindahkan ke kiri (left child).
5. Jika data tidak ada di BST, maka buat node baru dan taruh di tempat yang sesuai.
Contoh:
Misalkan kita memiliki BST seperti berikut:
     4
    /   \
   2     6
  / \   / \
 1   3 5   7
Kita ingin memasukkan data 8 ke dalam BST. Berikut langkah-langkahnya:
1. Pilih node root, yakni 4.
2. Bandingkan nilai 8 dengan nilai 4. Karena 8 lebih besar daripada 4, maka pindahkan ke kanan (right child).
3. Node kanan adalah 6, bandingkan nilai 8 dengan nilai 6. Karena 8 lebih besar daripada 6, maka pindahkan ke kanan lagi.
4. Node kanan dari 6 tidak ada, maka buat node baru dan taruh di tempat yang sesuai.
BST setelah memasukkan data 8 menjadi:
     4
    /   \
   2     6
  / \   / \
 1   3 5   7
        /
       8
Cara search (pencarian) data di BST adalah sebagai berikut:
1. Pilih node root dari BST.
2. Bandingkan nilai data dengan nilai node root.
3. Jika data lebih besar daripada nilai node root, maka pindahkan ke kanan.
4. Jika data lebih kecil daripada nilai node root, maka pindahkan ke kiri.
5. Ulangi langkah 2-4 sampai menemukan data yang dicari atau sampai node tidak ada.
Contoh:
Kita ingin mencari data 3 di BST sebelum memasukkan data 8. Berikut langkah-langkahnya:
1. Pilih node root, yakni 4.
2. Bandingkan nilai 3 dengan nilai 4. Karena 3 lebih kecil daripada 4, maka pindahkan ke kiri.
3. Node kiri adalah 2, bandingkan nilai 3 dengan nilai 2. Karena 3 lebih besar daripada 2, maka pindahkan ke kanan.
4. Node kanan dari 2 adalah 1, dan 1 tidak lagi berisi data 3. Maka data 3 ditemukan!
Dengan demikian, BST adalah struktur data yang efektif untuk mengorganisasikan dan mencari data.</t>
        </is>
      </c>
      <c r="J69" t="n">
        <v>0.3976</v>
      </c>
      <c r="K69" t="n">
        <v>0.3916</v>
      </c>
      <c r="L69" t="b">
        <v>1</v>
      </c>
      <c r="M69" t="n">
        <v>0.232</v>
      </c>
    </row>
    <row r="70">
      <c r="A70" t="n">
        <v>69</v>
      </c>
      <c r="B70" t="inlineStr">
        <is>
          <t>application</t>
        </is>
      </c>
      <c r="C70" t="inlineStr">
        <is>
          <t>3PAI</t>
        </is>
      </c>
      <c r="D70" s="3" t="inlineStr">
        <is>
          <t>Tentukan kompleksitas waktu dari:
a) x = arr[5]
b) for i=1 to n: print(arr[i])
c) for i=1 to n: for j=1 to n: print(i+j)
Saya dapat a=O(1), b=O(n), c=O(n²). Apakah benar?</t>
        </is>
      </c>
      <c r="E70" s="3" t="inlineStr">
        <is>
          <t>Sebagai tutor Computational Thinking untuk mahasiswa universitas di Indonesia, saya akan menjawab pertanyaan mahasiswa tentang kompleksitas waktu dari tiga pseudocode berikut:
a) x = arr[5] -&gt; O(1) karena akses langsung ke indeks 5 dalam array, hanya butuh satu operasi konstan.
b) for i=1 to n: print(arr[i]) -&gt; O(n) karena loop yang iteratif sebanyak n kali, setiap iterasi melakukan operasi print yang membutuhkan waktu konstan.
c) for i=1 to n: for j=1 to n: print(i+j) -&gt; O(n²) karena terdapat dua loop yang berjalan dalam waktu kompleksitas O(n), sehingga total komplexitasnya adalah O(n × n) = O(n²).
Saya setuju dengan jawaban mahasiswa, yaitu a=O(1), b=O(n), dan c=O(n²).</t>
        </is>
      </c>
      <c r="F70" t="n">
        <v>0.7724</v>
      </c>
      <c r="G70" t="n">
        <v>0.1479</v>
      </c>
      <c r="H70" t="b">
        <v>1</v>
      </c>
      <c r="I70" s="3" t="inlineStr">
        <is>
          <t>Iya, jawaban Anda adalah benar!
a) x = arr[5] memiliki kompleksitas waktu O(1) karena hanya mengakses elemen array di index ke-5, tidak tergantung pada ukuran array.
b) for i=1 to n: print(arr[i]) memiliki kompleksitas waktu O(n) karena perulangan dilakukan sebanyak n kali, dan setiap iterasi memiliki komplitas waktu konstan.
c) for i=1 to n: for j=1 to n: print(i+j) memiliki kompleksitas waktu O(n²) karena terdapat dua perulangan yang berurutan, masing-masing dilakukan sebanyak n kali. Jadi, kompleksitas waktu total adalah n × n = n².</t>
        </is>
      </c>
      <c r="J70" t="n">
        <v>0.7655</v>
      </c>
      <c r="K70" t="n">
        <v>0.1524</v>
      </c>
      <c r="M70" t="n">
        <v>0.0069</v>
      </c>
    </row>
    <row r="71">
      <c r="A71" t="n">
        <v>70</v>
      </c>
      <c r="B71" t="inlineStr">
        <is>
          <t>confusion</t>
        </is>
      </c>
      <c r="C71" t="inlineStr">
        <is>
          <t>4PAR</t>
        </is>
      </c>
      <c r="D71" s="3" t="inlineStr">
        <is>
          <t>Program saya punya satu nested loop O(n²) dan satu loop biasa O(n) yang berjalan setelahnya. Saya tulis kompleksitasnya O(n²+n). Tapi dosen coret itu dan tulis O(n²). Kenapa n-nya dibuang?</t>
        </is>
      </c>
      <c r="E71" s="3" t="inlineStr">
        <is>
          <t>Saya akan menjawab pertanyaan mahasiswa dengan menggunakan istilah teknis dari materi referensi.
Mahasiswa bertanya, "Kenapa n-nya dibuang?" dalam menentukan kompleksitas waktu program yang memiliki nested loop O(n²) dan satu loop biasa O(n) yang berjalan setelahnya. Jawabannya adalah bahwa kompleksitas waktu total harus diperhitungkan sebagai O(n²), tidak hanya O(n²+n). Hal ini karena loop biasa O(n) akan dijalankan sebanyak n kali, sehingga kontribusi pada kompleksitas waktu total.
Dalam contoh nested loop, jumlah operasi yang diperlukan untuk mencetak kotak bintang 4 baris × 5 kolom adalah 4 × 5 = 20 operasi. Jika kita memiliki m baris dan n kolom, maka jumlah operasi yang diperlukan adalah m × n, sehingga kompleksitas waktu totalnya adalah O(m × n). Karena itu, dalam menentukan kompleksitas waktu program, kita harus memperhatikan jumlah iterasi loop luar dan dalam untuk mendapatkan nilai yang tepat.
Jadi, jawaban yang benar adalah O(n²), tidak O(n²+n). Saya harap ini menjelaskan konsep utama dengan jelas dan akurat.</t>
        </is>
      </c>
      <c r="F71" t="n">
        <v>0.5563</v>
      </c>
      <c r="G71" t="n">
        <v>0.3106</v>
      </c>
      <c r="H71" t="b">
        <v>1</v>
      </c>
      <c r="I71" s="3" t="inlineStr">
        <is>
          <t>Dosen Anda tidak salah, tetapi Anda kurang paham tentang notasi Big O.
Notasi Big O digunakan untuk menuliskan kompleksitas algoritma terhadap ukuran input. Dalam kasus Anda, memiliki loop nested O(n²) dan loop biasa O(n). Karena loop nested lebih besar, maka kompleksitas overall menjadi O(n²).
Tetapi, Anda juga memiliki loop biasa O(n) yang berjalan setelahnya. Loop ini tidak bergantung pada ukuran input, sehingga kompleksitas overallnya masih tetap O(n²), karena loop nested memainkan peranan utama.
Dosen Anda benar-benar menuliskan kompleksitas overall Anda sebagai O(n²) dan bukan O(n²+n). Namun, alasan tidak karena n-nya dibuang, tapi karena loop biasa O(n) tidak berpengaruh terhadap kompleksitas overall yang ditentukan oleh loop nested O(n²).
Dalam notasi Big O, kita hanya memperhatikan term yang memiliki pengaruh terbesar pada kompleksitas algoritma. Jika loop biasa O(n) tidak berpengaruh signifikan terhadap kompleksitas overall, maka kita dapat mengabaikan term tersebut dan tetap tuliskan kompleksitas overall sebagai O(n²).</t>
        </is>
      </c>
      <c r="J71" t="n">
        <v>0.7738</v>
      </c>
      <c r="K71" t="n">
        <v>0.147</v>
      </c>
      <c r="L71" t="b">
        <v>1</v>
      </c>
      <c r="M71" t="n">
        <v>-0.2175</v>
      </c>
    </row>
    <row r="72">
      <c r="A72" t="n">
        <v>71</v>
      </c>
      <c r="B72" t="inlineStr">
        <is>
          <t>application</t>
        </is>
      </c>
      <c r="C72" t="inlineStr">
        <is>
          <t>5TGI</t>
        </is>
      </c>
      <c r="D72" s="3" t="inlineStr">
        <is>
          <t>Tentukan Big-O pseudocode ini:
  for i=1 to n do
    j=1
    while (j &lt; n) do
      print(i,j)
      j = j*2
Saya kira jawabannya O(n²) karena ada nested loop. Tapi dosen bilang bukan.</t>
        </is>
      </c>
      <c r="E72" s="3" t="inlineStr">
        <is>
          <t>Mahasiswa!
Pertanyaan Anda sangat bagus! Saya senang membantu menjawabnya.
Dalam pseudocode, `for i=1 to n do` memiliki kompleksitas waktu O(n), karena jumlah operasi bertumbuh sebanding dengan nilai n. Kemudian, dalam loop tersebut terdapat loop while yang mempunyai kompleksitas waktu O(log n) (karena j mulai dari 1 dan berkembang menjadi n dengan cara berulang kali dikalikan dua), sehingga overall complexity adalah O(n log n).
Namun, perlu diingat bahwa dalam Big-O notation, kita hanya memperhatikan operasi yang memiliki pengaruh terbesar pada kompleksitas waktu. Dalam kasus ini, operasi print(i,j) berjumlah n^2, sehingga overall complexity yang paling signifikan adalah O(n^2).
Jadi, jawaban yang tepat adalah O(n^2). Saya berharap ini menjawab pertanyaan Anda!</t>
        </is>
      </c>
      <c r="F72" t="n">
        <v>0.7704</v>
      </c>
      <c r="G72" t="n">
        <v>0.1492</v>
      </c>
      <c r="H72" t="b">
        <v>1</v>
      </c>
      <c r="I72" s="3" t="inlineStr">
        <is>
          <t>Pseudocode tersebut tidak sebenarnya memiliki complexity O(n²). Alasan itu adalah karena while loop hanya berjalan logaritma dari n, bukan n itself.
Dalam pseudocode tersebut, while loop akan berhenti ketika j ≥ n. Berapa banyak iterasi yang dibutuhkan untuk mencapai kondisi tersebut? Jawabannya adalah log2(n), karena setiap iterasi j dilakukan dengan meningkatkan nilai j sebanyak 2.
Oleh karena itu, total complexity pseudocode tersebut adalah O(n × log2(n)) atau dapat dikurangi menjadi O(n × log n) untuk lebih sederhana.</t>
        </is>
      </c>
      <c r="J72" t="n">
        <v>0.6332</v>
      </c>
      <c r="K72" t="n">
        <v>0.2384</v>
      </c>
      <c r="L72" t="b">
        <v>1</v>
      </c>
      <c r="M72" t="n">
        <v>0.1372</v>
      </c>
    </row>
    <row r="73">
      <c r="A73" t="n">
        <v>72</v>
      </c>
      <c r="B73" t="inlineStr">
        <is>
          <t>comparative</t>
        </is>
      </c>
      <c r="C73" t="inlineStr">
        <is>
          <t>5PAR</t>
        </is>
      </c>
      <c r="D73" s="3" t="inlineStr">
        <is>
          <t>Saya punya 100.000 data yang perlu diurutkan. Bubble sort terasa lambat. Dosen menyarankan merge sort. Kalau keduanya bisa menghasilkan array terurut, kenapa merge sort lebih baik untuk data besar?</t>
        </is>
      </c>
      <c r="E73" s="3" t="inlineStr">
        <is>
          <t>Berikut jawaban saya:
Saya paham Anda memiliki 100.000 data yang perlu diurutkan, dan Anda merasa bubble sort terasa lambat. Dosen menyarankan merge sort sebagai solusi lebih baik untuk data besar. Mengapa demikian? Kita akan melihat kompleksitas algoritme keduanya.
Bubble sort memiliki kompleksitas O(n^2), yang berarti jumlah operasi meningkat pesat seiring dengan ukuran data (n). Dalam kasus Anda, bubble sort akan memerlukan waktu yang lama untuk menyelesaikan tugas. Sementara itu, merge sort memiliki kompleksitas O(n log n) yang lebih baik. Algoritme ini bekerja dengan cara menggabungkan bagian-bagian array yang sudah terurut menjadi satu, sehingga jumlah operasi meningkat linier dengan ukuran data.
Dengan demikian, merge sort lebih baik untuk data besar karena memiliki kompleksitas yang lebih efisien. Dalam kasus Anda, merge sort akan memerlukan waktu yang relatif singkat untuk menyelesaikan tugas, tidak seperti bubble sort.</t>
        </is>
      </c>
      <c r="F73" t="n">
        <v>0.7729</v>
      </c>
      <c r="G73" t="n">
        <v>0.1476</v>
      </c>
      <c r="H73" t="b">
        <v>1</v>
      </c>
      <c r="I73" s="3" t="inlineStr">
        <is>
          <t>Menghadapi 100.000 data yang perlu diurutkan memang menjadi tantangan! Bubble sort, meskipun sederhana, dapat menjadi lambat dan kurang efektif ketika menghadapi jumlah data yang besar seperti itu.
Dosen menyarankan merge sort karena algoritma ini lebih sesuai untuk data besar. Berikut beberapa alasan mengapa merge sort lebih baik:
1. **Ekspektasi waktu**: Merge sort memiliki ekspektasi waktu yang lebih baik, yaitu O(n log n), sedangkan bubble sort memiliki ekspektasi waktu yang kurang baik, yaitu O(n^2). Dengan kata lain, merge sort dapat mengurutkan data dalam waktu yang relatif lebih singkat dan efektif.
2. **Kompleksitas**: Merge sort adalah algoritma yang lebih kompleks dibanding bubble sort, tetapi kompleksitas ini membayar dengan kinerja yang lebih baik pada data besar.
3. **Efisiensi memori**: Merge sort dapat mengurutkan data tanpa perlu menyimpan semua data dalam memori sekaligus, sehingga menjadi lebih efisien dan hemat memori.
4. **Scalability**: Merge sort dapat dijalankan secara efektif pada data besar karena tidak tergantung pada ukuran data yang akan diurutkan.
Dalam sintesis, merge sort lebih baik untuk data besar seperti 100.000 data karena memiliki ekspektasi waktu yang lebih baik, kompleksitas yang sesuai, efisiensi memori, dan skalabilitas yang tinggi.</t>
        </is>
      </c>
      <c r="J73" t="n">
        <v>0.7745</v>
      </c>
      <c r="K73" t="n">
        <v>0.1466</v>
      </c>
      <c r="L73" t="b">
        <v>1</v>
      </c>
      <c r="M73" t="n">
        <v>-0.0016</v>
      </c>
    </row>
    <row r="74">
      <c r="A74" t="n">
        <v>73</v>
      </c>
      <c r="B74" t="inlineStr">
        <is>
          <t>gap</t>
        </is>
      </c>
      <c r="C74" t="inlineStr">
        <is>
          <t>4TGR</t>
        </is>
      </c>
      <c r="D74" s="3" t="inlineStr">
        <is>
          <t>Saya hanya tahu time complexity. Tapi dosen juga tanya space complexity dari algoritme saya. Apa itu space complexity dan bagaimana cara menganalisisnya? Apakah O(1) space berarti tidak pakai memori sama sekali?</t>
        </is>
      </c>
      <c r="E74" s="3" t="inlineStr">
        <is>
          <t>Mahasiswa!
Space complexity (kompleksitas ruang) adalah suatu konsep yang menentukan seberapa besar memori yang dibutuhkan oleh algoritme untuk menjalankan prosesnya. Dalam analisis space complexity, kita ingin mengetahui berapa besar memori yang dibutuhkan dan bagaimana memori tersebut digunakan.
Contohnya, pada Algoritme A, waktu kompleksitas O(n) dan ruang kompleksitas O(1), artinya algoritme tersebut butuh hanya 2 variabel untuk menjalankan prosesnya, tidak peduli berapa besar n. Sebaliknya, pada Algoritme B, waktu kompleksitas O(n^2) dan ruang kompleksitas O(n), artinya algoritme tersebut butuh menyimpan semua n bilangan di array.
O(1) space berarti tidak pakai memori sama sekali? Tidak! O(1) space berarti hanya menggunakan konstan jumlah memori, biasanya 2-4 variabel, tidak bergantung pada ukuran input. Contohnya, Algoritme D (Fibonacci iteratif dengan dua variabel) memiliki ruang kompleksitas O(1), karena hanya butuh 2 variabel untuk menjalankan prosesnya.
Dalam analisis space complexity, kita perlu mempertimbangkan bagaimana algoritme tersebut menggunakan memori dan berapa besar memori yang dibutuhkan. Dengan demikian, kita dapat mengetahui apakah algoritme tersebut efisien dalam penggunaan memori atau tidak.</t>
        </is>
      </c>
      <c r="F74" t="n">
        <v>0.5374</v>
      </c>
      <c r="G74" t="n">
        <v>0.3007</v>
      </c>
      <c r="H74" t="b">
        <v>1</v>
      </c>
      <c r="I74" s="3" t="inlineStr">
        <is>
          <t>Kamu telah ditantang dengan pertanyaan yang umum dihadapi oleh programmer!
Space complexity, atau kompleksitas ruang, adalah ukuran jumlah memori yang diperlukan oleh suatu algoritme untuk menjalankan prosesnya. Dalam arti lain, space complexity menunjukkan berapa banyak memori yang digunakan oleh algoritme dalam waktu worst-case.
Cara menganalisis space complexity:
1. Analisis variabel dan struktur data: Identifikasi semua variabel dan struktur data yang digunakan oleh algoritme.
2. Hitung jumlah memori: Hitung jumlah memori yang dibutuhkan oleh setiap variabel dan struktur data. Jika variabel atau struktur data memiliki ukuran dinamis (misalnya, array dengan panjang yang dapat berubah), maka perhitungan space complexity akan menjadi lebih rumit.
3. Tentukan ruang yang diperlukan: Berdasarkan hasil perhitungan sebelumnya, tentukan jumlah memori yang dibutuhkan oleh algoritme.
Contoh:
* Algoritme yang hanya menggunakan beberapa variabel numerik lokal tidak memerlukan banyak memori, sehingga space complexity-nya adalah O(1), artinya konstan.
* Algoritme yang menggunakan array dengan panjang yang dapat berubah maka space complexity-nya adalah O(n), dimana n adalah panjang array.
O(1) space complexity:
O(1) space complexity tidak berarti bahwa algoritme tidak memerlukan memori sama sekali. Artinya, algoritme hanya memerlukan konstan jumlah memori, yang tidak tergantung pada ukuran input atau lainnya. Contoh algoritme yang memiliki O(1) space complexity adalah fungsi sederhana seperti `x = x + 1`, yang hanya menggunakan beberapa variabel lokal.
Namun, perlu diingat bahwa space complexity adalah ukuran memori yang diperlukan oleh algoritme dalam waktu worst-case. Oleh karena itu, jika algoritme memiliki O(1) space complexity, maka itu tidak berarti bahwa algoritme akan selalu menggunakan jumlah memori yang konstan.</t>
        </is>
      </c>
      <c r="J74" t="n">
        <v>0.7766999999999999</v>
      </c>
      <c r="K74" t="n">
        <v>0.1451</v>
      </c>
      <c r="L74" t="b">
        <v>1</v>
      </c>
      <c r="M74" t="n">
        <v>-0.2393</v>
      </c>
    </row>
    <row r="75">
      <c r="A75" t="n">
        <v>74</v>
      </c>
      <c r="B75" t="inlineStr">
        <is>
          <t>out_of_scope</t>
        </is>
      </c>
      <c r="C75" t="inlineStr">
        <is>
          <t>6TGR</t>
        </is>
      </c>
      <c r="D75" s="3" t="inlineStr">
        <is>
          <t>Saya baca bahwa append ke Python list itu O(1) amortized, bukan O(1) biasa. Apa itu amortized complexity dan kenapa append tidak selalu O(1)?</t>
        </is>
      </c>
      <c r="E75" s="3" t="inlineStr">
        <is>
          <t>Based on the provided material, I will explain the concept of amortized complexity and why append operation in Python list is not always O(1) using an analogy from daily life.
In a company, there are many employees with different job descriptions. When the HR department needs to process employee data, they don't need to know every detail about each employee, such as their skills or personal preferences. They only focus on essential information like salary, job title, and department. This is an example of abstraction.
Similarly, when analyzing the complexity of an algorithm, we often use amortized complexity. Amortized complexity considers not just the time it takes to perform a single operation, but also the average time spent over a sequence of operations. In other words, it's like looking at the total cost of processing employee data over a certain period rather than just the cost of processing one piece of data.
Now, let's discuss why append operation in Python list is not always O(1). When you append an element to a list, Python doesn't need to create a new array and copy all the elements from the old array. Instead, it uses a technique called "amortized analysis" or "lazy allocation." This means that when you append an element, Python initially allocates space for the new element in the existing array. However, if the array becomes full, Python will resize the array to accommodate more elements. This process takes constant time O(1) amortized because it's done infrequently compared to the number of operations.
In conclusion, amortized complexity is a concept used to analyze the average time spent on a sequence of operations rather than just the time taken for a single operation. In Python list, the append operation may not always be O(1) due to the use of "lazy allocation" or "amortized analysis." This approach allows for efficient memory management and reduces the need for frequent reallocations.
Note: The provided material focuses on abstraction, algorithmic thinking, and computational complexity, which are relevant to the topic.</t>
        </is>
      </c>
      <c r="F75" t="n">
        <v>0.3724</v>
      </c>
      <c r="G75" t="n">
        <v>0.4079</v>
      </c>
      <c r="H75" t="b">
        <v>1</v>
      </c>
      <c r="I75" s="3" t="inlineStr">
        <is>
          <t>Saya senang membantu menjawab pertanyaan Anda!
Dalam teorai kompleksitas, "amortized" refers to the average-case time complexity of a sequence of operations on an object, rather than the time complexity of a single operation.
Pada dasarnya, append ke Python list seharusnya O(1), karena hanya perlu menambahkan referensi ke elemen baru pada akhir list. Namun, dalam implementasi Python list (disebut sebagai "dynamic arrays"), yang menggunakan alokasi dinamik untuk membagi dan menggabungkan elemen, kompleksitas append tidak selalu O(1).
Ketika Anda melakukan append pertama kali ke sebuah list yang kosong, Python perlu membuat alokasi baru untuk menyimpan elemen tersebut. Alokasi ini biasanya dilakukan dengan cara mencari ruang kosong di dalam heap untuk menempatkan elemen baru. Proses ini memerlukan waktu O(n), dimana n adalah ukuran list sebelumnya.
Namun, setelah alokasi pertama, append berikutnya hanya perlu menambahkan referensi ke elemen baru pada akhir list, sehingga kompleksitasnya menjadi O(1). Dengan demikian, rata-rata kompleksitas (amortized complexity) untuk beberapa operasi append adalah O(1), karena alokasi pertama dihitung sebagai bagian dari kompleksitas keseluruhan.
Dalam sintesis, amortized complexity mengambil akun bahwa beberapa operasi mungkin memerlukan waktu yang lebih lama untuk melihat efeknya, namun rata-rata waktu yang dibutuhkan masih tetap menjadi O(1).</t>
        </is>
      </c>
      <c r="J75" t="n">
        <v>0.4038</v>
      </c>
      <c r="K75" t="n">
        <v>0.4175</v>
      </c>
      <c r="L75" t="b">
        <v>1</v>
      </c>
      <c r="M75" t="n">
        <v>-0.0314</v>
      </c>
    </row>
    <row r="76">
      <c r="A76" t="n">
        <v>75</v>
      </c>
      <c r="B76" t="inlineStr">
        <is>
          <t>application</t>
        </is>
      </c>
      <c r="C76" t="inlineStr">
        <is>
          <t>3TGR</t>
        </is>
      </c>
      <c r="D76" s="3" t="inlineStr">
        <is>
          <t>Array terurut: [3, 7, 12, 18, 25, 31, 44, 56, 67, 89]. Cari angka 25. Saya trace binary search dan butuh 4 langkah. Teman hanya butuh 2 langkah. Tolong trace dari awal untuk verifikasi berapa langkah yang benar.</t>
        </is>
      </c>
      <c r="E76" s="3" t="inlineStr">
        <is>
          <t>Saya akan membantu mahasiswa memahami konsep utama terkait dengan Computational Thinking.
Firstly, let's trace the binary search for finding the number 25 in the array [3, 7, 12, 18, 25, 31, 44, 56, 67, 89]. The correct steps are as follows:
1. Compare the target number (25) with the middle element of the array, which is 18. Since 25 is greater than 18, we move to the right half of the array.
2. Compare the target number (25) with the middle element of the right half, which is 31. Since 25 is less than 31, we move to the left half of the right half.
3. Compare the target number (25) with the middle element of the left half, which is 25. Since they are equal, we have found the target number.
This process takes 4 steps in total.
Now, let's talk about decomposition (dekomposisi). Decomposition is a powerful technique to break down complex problems into smaller, more manageable sub-problems. In the context of optimization, decomposition can help reduce the complexity of an algorithm and make it more efficient.
For example, consider the problem of finding the maximum value in an array of 49 numbers. We can decompose this problem by dividing the array into 7 groups of 7 numbers each. Then, we find the maximum value in each group (7 operations) and compare the results to find the global maximum.
This decomposition approach can significantly reduce the time complexity of the algorithm, making it more efficient for large inputs.
Finally, let's discuss the concept of big O notation (notation O). Big O notation is used to describe the time complexity of an algorithm. It provides an upper bound on the number of steps required by an algorithm to complete its task. In other words, it measures how fast or slow an algorithm will run as the input size increases.
For example, consider an algorithm with a time complexity of O(n^2), where n is the input size. This means that the algorithm's running time grows quadratically with the input size. If we double the input size, the algorithm's running time will also increase by a factor of four (2^2).
In conclusion, computational thinking is all about breaking down complex problems into smaller, more manageable parts and using efficient algorithms to solve them. By mastering decomposition and big O notation, we can develop fast and scalable solutions that can handle large inputs.</t>
        </is>
      </c>
      <c r="F76" t="n">
        <v>0.6162</v>
      </c>
      <c r="G76" t="n">
        <v>0.2495</v>
      </c>
      <c r="H76" t="b">
        <v>1</v>
      </c>
      <c r="I76" s="3" t="inlineStr">
        <is>
          <t>Kami akan melakukan binary search pada array terurut [3, 7, 12, 18, 25, 31, 44, 56, 67, 89] untuk mencari angka 25.
**Langkah 1:**
Kita mulai dengan membandingkan nilai tengah dari array, yaitu (10). Karena 25 lebih besar daripada 12, maka kita akan lanjutkan ke kanan.
Array setelah langkah 1: [18, 25, 31, 44, 56, 67, 89]
**Langkah 2:**
Kita membandingkan nilai tengah lagi, yaitu (25). Karena 25 adalah angka yang kita cari, maka kita sudah menemukannya!
Jadi, teman saya benar bahwa binary search dapat mencapai angka 25 dalam hanya 2 langkah.</t>
        </is>
      </c>
      <c r="J76" t="n">
        <v>0.2713</v>
      </c>
      <c r="K76" t="n">
        <v>0.4737</v>
      </c>
      <c r="L76" t="b">
        <v>1</v>
      </c>
      <c r="M76" t="n">
        <v>0.3449</v>
      </c>
    </row>
    <row r="77">
      <c r="A77" t="n">
        <v>76</v>
      </c>
      <c r="B77" t="inlineStr">
        <is>
          <t>confusion</t>
        </is>
      </c>
      <c r="C77" t="inlineStr">
        <is>
          <t>2PAI</t>
        </is>
      </c>
      <c r="D77" s="3" t="inlineStr">
        <is>
          <t>Saya coba binary search untuk array [5, 3, 8, 1, 9] dan hasilnya salah — elemen yang ada tidak ketemu. Padahal algoritmanya sudah benar. Kenapa binary search saya gagal?</t>
        </is>
      </c>
      <c r="E77" s="3" t="inlineStr">
        <is>
          <t>Saya akan menjawab pertanyaan mahasiswa dengan menggunakan konsep utama dari materi referensi.
Pertanyaan mahasiswa: Saya coba binary search untuk array [5, 3, 8, 1, 9] dan hasilnya salah — elemen yang ada tidak ketemu. Padahal algoritmanya sudah benar. Kenapa binary search saya gagal?
Jawaban:
Binary search adalah algoritme rekursif yang digunakan untuk mencari nilai target di dalam array terurut. Algoritme ini bekerja dengan cara membagi array menjadi dua bagian, lalu mencari nilai target di salah satu bagian tersebut. Jika nilai target tidak ditemukan, maka binary search akan mengulangi proses pembagian hingga nilai target ditemukan atau array dikemudi.
Namun, dalam kasus ini, binary search Anda gagal karena Anda tidak memastikan bahwa array harus terurut sebelum menggunakan algoritme. Binary search hanya bekerja dengan baik jika array terurut, sehingga Anda harus terlebih dahulu mengurutkan array sebelum menjalankan binary search.
Dengan kata lain, masalahnya bukan pada algoritmanya sendiri, tapi pada input yang digunakan. Untuk menggunakan binary search dengan benar, Anda harus memastikan bahwa array terurut dan nilai target dapat ditemukan di dalam array tersebut.</t>
        </is>
      </c>
      <c r="F77" t="n">
        <v>0.7712</v>
      </c>
      <c r="G77" t="n">
        <v>0.1487</v>
      </c>
      <c r="I77" s="3" t="inlineStr">
        <is>
          <t>Masalahnya terletak pada array [5, 3, 8, 1, 9] yang Anda gunakan sebagai input untuk binary search. Binary search hanya berfungsi jika array yang digunakan telah diurutkan dalam urutan ascending (naik). Dalam kasus ini, array tidak diurutkan dan sehingga binary search tidak dapat menemukan elemen yang dicari.
Jika Anda ingin menggunakan binary search, maka perlu mengurutkan array terlebih dahulu menjadi [1, 3, 5, 8, 9]. Setelah itu, Anda dapat menggunakan binary search untuk mencari elemen yang dicari.</t>
        </is>
      </c>
      <c r="J77" t="n">
        <v>0.4755</v>
      </c>
      <c r="K77" t="n">
        <v>0.3409</v>
      </c>
      <c r="L77" t="b">
        <v>1</v>
      </c>
      <c r="M77" t="n">
        <v>0.2957</v>
      </c>
    </row>
    <row r="78">
      <c r="A78" t="n">
        <v>77</v>
      </c>
      <c r="B78" t="inlineStr">
        <is>
          <t>application</t>
        </is>
      </c>
      <c r="C78" t="inlineStr">
        <is>
          <t>2TAI</t>
        </is>
      </c>
      <c r="D78" s="3" t="inlineStr">
        <is>
          <t>Trace bubble sort untuk array [5, 2, 8, 1, 9] — tunjukkan semua pertukaran di setiap pass sampai array terurut. Saya bingung kapan pass berhenti dan berapa total pass yang dibutuhkan.</t>
        </is>
      </c>
      <c r="E78" s="3" t="inlineStr">
        <is>
          <t>Dalam soal ini, Anda diminta untuk membantu mahasiswa universitas di Indonesia memahami kompleksitas algoritme dan memberikan rekomendasi yang lebih baik.
Pertama-tama, kita perlu membandingkan kompleksitas dua algoritme yang diberikan: Algoritme A dan Algoritme B. Algoritme A memiliki kompleksitas O(n), sedangkan Algoritme B memiliki kompleksitas O(n^2). Kita dapat melihat bahwa Algoritme A jauh lebih efisien daripada Algoritme B, terutama untuk input besar.
Dalam contoh lain, kita diberikan algoritme versi C yang menggunakan hash set dan memiliki kompleksitas O(n) average. Algoritme ini jauh lebih cepat daripada Algoritme A dan Algoritme B, serta lebih efisien dalam mengurangi waktu eksekusi.
Selanjutnya, kita diberikan soal-soal lain yang terkait dengan kompleksitas algoritme, seperti analisis FPB Euclidean, kompleksitas rekursi, dan optimasi algoritme. Kita harus menggunakan konsep-konsep utama dalam materi referensi untuk menjawab soal-soal ini.
Dalam kesimpulan, pemilihan algoritme sangat penting untuk input besar. Oleh karena itu, kita perlu memahami kompleksitas algoritme dan memberikan rekomendasi yang lebih baik untuk mencapai efisiensi yang lebih tinggi.</t>
        </is>
      </c>
      <c r="F78" t="n">
        <v>0.6655</v>
      </c>
      <c r="G78" t="n">
        <v>0.2174</v>
      </c>
      <c r="H78" t="b">
        <v>1</v>
      </c>
      <c r="I78" s="3" t="inlineStr">
        <is>
          <t>Kami akan menggunakan algoritma bubble sort untuk mengurutkan array [5, 2, 8, 1, 9]. Prosesnya sebagai berikut:
**Pass 1:**
* Perulangan pertama: [5, 2, 8, 1, 9]
	+ Cek pasangan pertama (5 dan 2), karena 5 &gt; 2 maka kita melakukan pertukaran, menjadi [2, 5, 8, 1, 9].
* Perulangan kedua: [2, 5, 8, 1, 9]
	+ Cek pasangan pertama (2 dan 5), tidak perlu pertukaran.
	+ Cek pasangan kedua (5 dan 8), tidak perlu pertukaran.
	+ Cek pasangan ketiga (8 dan 1), karena 8 &gt; 1 maka kita melakukan pertukaran, menjadi [2, 5, 1, 8, 9].
* Perulangan ketiga: [2, 5, 1, 8, 9]
	+ Cek pasangan pertama (2 dan 5), tidak perlu pertukaran.
	+ Cek pasangan kedua (5 dan 1), karena 5 &gt; 1 maka kita melakukan pertukaran, menjadi [2, 1, 5, 8, 9].
* Perulangan keempat: [2, 1, 5, 8, 9]
	+ Cek pasangan pertama (2 dan 1), karena 2 &gt; 1 maka kita melakukan pertukaran, menjadi [1, 2, 5, 8, 9].
* Perulangan kelima: [1, 2, 5, 8, 9]
	+ Cek pasangan pertama (1 dan 2), tidak perlu pertukaran.
	+ Cek pasangan kedua (2 dan 5), tidak perlu pertukaran.
	+ Cek pasangan ketiga (5 dan 8), tidak perlu pertukaran.
	+ Cek pasangan keempat (8 dan 9), tidak perlu pertukaran.
**Pass 2:**
* Perulangan pertama: [1, 2, 5, 8, 9]
	+ Cek pasangan pertama (1 dan 2), tidak perlu pertukaran.
	+ Cek pasangan kedua (2 dan 5), tidak perlu pertukaran.
	+ Cek pasangan ketiga (5 dan 8), tidak perlu pertukaran.
	+ Cek pasangan keempat (8 dan 9), tidak perlu pertukaran.
Array telah terurut setelah dua pass, jadi kita berhenti di sini. Total pass yang dibutuhkan adalah 2.</t>
        </is>
      </c>
      <c r="J78" t="n">
        <v>0.1711</v>
      </c>
      <c r="K78" t="n">
        <v>0.5387999999999999</v>
      </c>
      <c r="L78" t="b">
        <v>1</v>
      </c>
      <c r="M78" t="n">
        <v>0.4944</v>
      </c>
    </row>
    <row r="79">
      <c r="A79" t="n">
        <v>78</v>
      </c>
      <c r="B79" t="inlineStr">
        <is>
          <t>application</t>
        </is>
      </c>
      <c r="C79" t="inlineStr">
        <is>
          <t>3PGI</t>
        </is>
      </c>
      <c r="D79" s="3" t="inlineStr">
        <is>
          <t>Trace selection sort untuk array [4, 7, 2, 9, 1, 5]. Saya tidak yakin cara kerja selection sort — apakah dia cari minimum atau maximum dulu? Dan apakah hasilnya ascending atau descending?</t>
        </is>
      </c>
      <c r="E79" s="3" t="inlineStr">
        <is>
          <t>Selamat datang, mahasiswa! Saya senang dapat membantu Anda memahami kompleksitas algoritme.
Pertama-tama, mari kita bahas tentang faktorial rekursif (a). Faktorial rekursif memiliki kompleksitas O(n log n) karena setiap iterasi memerlukan operasi pembagian dan perkalian. Namun, jika Anda menggunakan algoritme lain untuk menghitung faktorial, seperti algoritme memoized, maka kompleksitas dapat menjadi lebih baik.
Kemudian, mari kita bicara tentang fib(n) rekursif naive (b). Algoritme ini memiliki kompleksitas O(2^n) karena setiap iterasi memerlukan operasi pembagian dan perkalian. Hal ini membuat algoritme ini tidak efisien untuk input besar.
Selanjutnya, mari kita bahas tentang binarySearch(arr, n) rekursif (c). Algoritme ini memiliki kompleksitas O(n log n) karena setiap iterasi memerlukan operasi pencarian dan pembagian. Namun, jika Anda menggunakan algoritme lain untuk mencari nilai dalam array, seperti algoritme hash table, maka kompleksitas dapat menjadi lebih baik.
Terakhir, mari kita bicara tentang SOAL 7 -- Optimasi Algoritme. Dalam soal ini, Anda diberikan algoritme yang mencari apakah ada dua elemen di array yang memiliki nilai sama. Algoritme A memiliki kompleksitas O(n) dan jauh lebih efisien daripada Algoritme B yang memiliki kompleksitas O(n^2). Oleh karena itu, rekomendasi adalah menggunakan Algoritme A.
Saya harap jawaban saya dapat membantu Anda memahami kompleksitas algoritme. Jika Anda memiliki pertanyaan lain, silakan tanyakan!</t>
        </is>
      </c>
      <c r="F79" t="n">
        <v>0.5518999999999999</v>
      </c>
      <c r="G79" t="n">
        <v>0.2913</v>
      </c>
      <c r="H79" t="b">
        <v>1</v>
      </c>
      <c r="I79" s="3" t="inlineStr">
        <is>
          <t>Kedua pertanyaan Anda akan dijawab dengan baik!
Pertama, seleksi sort (Selection Sort) mencari nilai minimum dalam array, bukan maksimum. Tujuannya adalah untuk mengurangi nilai terkecil dan memindahkannya ke posisi awal, sehingga array menjadi lebih teratur.
Kedua, hasil dari proses seleksi sort adalah array yang teratur dalam urutan ascending (naik). Artinya, elemen-elemen dalam array akan disusun dalam urutan yang semakin besar, seperti [1, 2, 4, 5, 7, 9].</t>
        </is>
      </c>
      <c r="J79" t="n">
        <v>0.6291</v>
      </c>
      <c r="K79" t="n">
        <v>0.2411</v>
      </c>
      <c r="L79" t="b">
        <v>1</v>
      </c>
      <c r="M79" t="n">
        <v>-0.0772</v>
      </c>
    </row>
    <row r="80">
      <c r="A80" t="n">
        <v>79</v>
      </c>
      <c r="B80" t="inlineStr">
        <is>
          <t>comparative</t>
        </is>
      </c>
      <c r="C80" t="inlineStr">
        <is>
          <t>4PAI</t>
        </is>
      </c>
      <c r="D80" s="3" t="inlineStr">
        <is>
          <t>Teman saya selalu pakai binary search karena katanya lebih cepat. Tapi dosen bilang ada kasus di mana linear search lebih tepat. Kapan linear search lebih baik atau lebih tepat digunakan daripada binary search?</t>
        </is>
      </c>
      <c r="E80" s="3" t="inlineStr">
        <is>
          <t>Saya dapat menjawab pertanyaan mahasiswa Anda.
Teman Anda membandingkan binary search dengan linear search, namun dosen Anda berpendapat bahwa linear search lebih tepat digunakan dalam beberapa kasus. Hal ini karena tidak hanya kinerja waktu yang perlu dipertimbangkan, tetapi juga kompleksitas ruang (space complexity) dan alokasi sumber daya.
Dalam beberapa kasus, linear search dapat menjadi pilihan yang lebih baik daripada binary search. Contohnya, jika ukuran input sangat besar sehingga membutuhkan ruang memory yang lebih kecil untuk dipertahankan. Dalam hal ini, linear search dengan O(1) space complexity dapat menjadi pilihan yang lebih tepat daripada binary search dengan O(log n) space complexity.
Selain itu, jika data input telah terurut secara ascending atau descending, maka linear search dapat lebih efektif karena tidak perlu melakukan searching lagi setelah menemukan nilai target. Dalam kasus ini, binary search dapat menjadi pilihan yang kurang efektif.
Dalam kesimpulan, penentuan algoritme yang tepat bergantung pada kondisi input dan kebutuhan sistem. Dalam beberapa kasus, linear search dapat menjadi pilihan yang lebih baik daripada binary search, sehingga perlu dipertimbangkan faktor-faktor lain selain hanya kinerja waktu saja.</t>
        </is>
      </c>
      <c r="F80" t="n">
        <v>0.7805</v>
      </c>
      <c r="G80" t="n">
        <v>0.1427</v>
      </c>
      <c r="I80" s="3" t="inlineStr">
        <is>
          <t>Teman Anda yang cerdas memang senang menggunakan binary search karena kecepatannya, tapi dosen Anda punya poin yang valid. Berikut beberapa kasus di mana linear search lebih baik atau tepat digunakan daripada binary search:
1. **Kumpulan data kecil**: Jika ukuran kumpulan data sangat kecil, seperti kurang dari 10 elemen, maka linear search jauh lebih efektif dan cepat daripada binary search.
2. **Data tidak terorganisasi**: Jika data tidak terorganisasi secara logikah (misalnya, tidak diurutkan atau tidak memiliki struktur), maka linear search lebih mudah digunakan karena tidak memerlukan pengetahuan tentang struktur data.
3. **Element yang dicari tidak berada dalam range tertentu**: Jika element yang dicari tidak berada dalam range tertentu, maka binary search tidak akan efektif dan linear search menjadi pilihan yang lebih baik.
4. **Data memiliki banyak duplicate**: Jika data memiliki banyak duplikat, maka linear search dapat lebih cepat karena tidak perlu melakukan pengecekan lagi untuk menghindari duplikat.
5. **Ketepatan mutlak dibutuhkan**: Jika aplikasi memerlukan ketepatan mutlak dalam mencari element, maka linear search menjadi pilihan yang lebih tepat daripada binary search.
Dalam beberapa kasus lainnya, seperti pada kumpulan data besar dan terorganisasi secara logikah, binary search akan lebih efektif dan cepat. Namun, perlu diingat bahwa dalam banyak kasus, linear search dapat menjadi pilihan yang lebih tepat atau lebih baik daripada binary search.</t>
        </is>
      </c>
      <c r="J80" t="n">
        <v>0.7728</v>
      </c>
      <c r="K80" t="n">
        <v>0.1477</v>
      </c>
      <c r="L80" t="b">
        <v>1</v>
      </c>
      <c r="M80" t="n">
        <v>0.0077</v>
      </c>
    </row>
    <row r="81">
      <c r="A81" t="n">
        <v>80</v>
      </c>
      <c r="B81" t="inlineStr">
        <is>
          <t>cross_topic</t>
        </is>
      </c>
      <c r="C81" t="inlineStr">
        <is>
          <t>6PAR</t>
        </is>
      </c>
      <c r="D81" s="3" t="inlineStr">
        <is>
          <t>Saya mau buat sistem pencarian kontak dari 10.000 data. Dosen minta saya dekomposisi dulu, baru pilih algoritme berdasarkan Big-O. Dari perspektif CT, bagaimana cara menggabungkan dekomposisi dan analisis Big-O untuk memilih solusi yang tepat?</t>
        </is>
      </c>
      <c r="E81" s="3" t="inlineStr">
        <is>
          <t>Pakar/Pragmatis/Analitis/Reflektif! Sebagai tutor Computational Thinking, saya akan membantu Anda memahami bagaimana cara menggabungkan dekomposisi dan analisis Big-O untuk memilih solusi yang tepat.
Dalam konteks problema Anda, yaitu membuat sistem pencarian kontak dari 10.000 data, langkah pertama adalah melakukan dekomposisi terhadap masalah tersebut. Dengan demikian, Anda dapat mengidentifikasi sub-masalah yang lebih kecil dan lebih mudah ditangani. Contohnya, Anda dapat membagi tugas menjadi tiga bagian: (1) preprocessing data, (2) mencari kontak yang sesuai, dan (3) menampilkan hasil.
Setelah melakukan dekomposisi, langkah berikutnya adalah menganalisis Big-O untuk setiap sub-masalah. Dalam hal ini, Anda dapat menggunakan konsep Big-O untuk memprediksi kinerja algoritme yang akan digunakan. Contohnya, jika Anda menggunakan algoritme pencarian linear, maka time complexity-nya akan menjadi O(n), sedangkan jika Anda menggunakan algoritme binary search, maka time complexity-nya akan menjadi O(log n). Dengan demikian, Anda dapat memilih solusi yang tepat berdasarkan prioritas dan kinerja yang diinginkan.
Dalam sintesis, dekomposisi dan analisis Big-O adalah dua konsep yang saling terkait dalam Computational Thinking. Dekomposisi membantu Anda mengidentifikasi sub-masalah yang lebih kecil dan lebih mudah ditangani, sementara analisis Big-O membantu Anda memprediksi kinerja algoritme yang akan digunakan. Dengan demikian, Anda dapat memilih solusi yang tepat untuk menyelesaikan masalah tersebut.</t>
        </is>
      </c>
      <c r="F81" t="n">
        <v>0.7723</v>
      </c>
      <c r="G81" t="n">
        <v>0.148</v>
      </c>
      <c r="H81" t="b">
        <v>1</v>
      </c>
      <c r="I81" s="3" t="inlineStr">
        <is>
          <t>Dalam menyelesaikan masalah pencarian kontak dengan 10.000 data, pertama-tama kita perlu mendekomposisikan data menjadi lebih kecil dan lebih mudah dipahami. Dekomposisi dapat dilakukan menggunakan berbagai teknik, seperti:
1. Membagi data menjadi beberapa bagian yang lebih kecil, kemudian mencari kontak pada setiap bagian.
2. Menggunakan indexing, seperti trie atau suffix tree, untuk mempercepat pencarian kontak.
3. Menggunakan struktur data khusus, seperti array atau linked list, untuk menyimpan dan mencari kontak.
Setelah mendekomposisikan data, kita perlu menganalisis algoritme yang akan digunakan dengan menggunakan notasi Big-O. Notasi Big-O digunakan untuk menentukan kompleksitas waktu dari suatu algoritme, yaitu bilangan yang menggambarkan berapa kali operasi harus dilakukan sebelum algoritme dapat mencapai hasil.
Dalam hal ini, kita perlu memilih algoritme yang memiliki waktu eksekusi yang sesuai dengan jumlah data yang besar, yaitu 10.000 data. Berikut beberapa contoh algoritme yang dapat dipertimbangkan:
1. Linear Search (O(n)) - Cepat untuk data kecil, tetapi lambat untuk data besar.
2. Binary Search (O(log n)) - Lebih cepat daripada linear search, tetapi memerlukan indexing yang sesuai.
3. Hash Table (O(1)) - Cepat dan efisien, tetapi memerlukan ruang storage yang lebih besar.
4. Trie Search (O(m)) - Cepat untuk data yang memiliki struktur khusus, seperti kata-kata atau frase.
Dengan menggunakan notasi Big-O, kita dapat menentukan algoritme mana yang sesuai dengan jumlah data yang besar dan memenuhi kebutan waktu eksekusi yang tinggi. Berikut beberapa tip untuk memilih solusi yang tepat:
1. Analisis kebutan: Identifikasi kebutan apa yang harus dipenuhi, seperti waktu eksekusi atau ruang storage.
2. Menganalisis algoritme: Lihat kompleksitas waktu dan konsumsi sumber daya masing-masing algoritme.
3. Menentukan prioritas: Tentukan prioritas mana yang lebih penting, yaitu waktu eksekusi atau ruang storage.
4. Menggabungkan dekomposisi dan analisis Big-O: Menggabungkan dekomposisi data dengan analisis Big-O untuk menentukan algoritme mana yang sesuai.
Dengan menggunakan dekomposisi data dan analisis Big-O, kita dapat memilih solusi yang tepat untuk masalah pencarian kontak dengan 10.000 data.</t>
        </is>
      </c>
      <c r="J81" t="n">
        <v>0.6791</v>
      </c>
      <c r="K81" t="n">
        <v>0.2086</v>
      </c>
      <c r="L81" t="b">
        <v>1</v>
      </c>
      <c r="M81" t="n">
        <v>0.09320000000000001</v>
      </c>
    </row>
    <row r="82">
      <c r="A82" t="n">
        <v>81</v>
      </c>
      <c r="B82" t="inlineStr">
        <is>
          <t>cross_topic</t>
        </is>
      </c>
      <c r="C82" t="inlineStr">
        <is>
          <t>5TGR</t>
        </is>
      </c>
      <c r="D82" s="3" t="inlineStr">
        <is>
          <t>Waktu belajar rekursi, dosen bilang setiap pemanggilan rekursif disimpan di 'call stack'. Waktu belajar struktur data, kita belajar 'stack' sebagai ADT. Apakah call stack dalam rekursi sama dengan stack yang kita pelajari di struktur data?</t>
        </is>
      </c>
      <c r="E82" s="3" t="inlineStr">
        <is>
          <t>Mahasiswa,
Pada dasarnya, call stack dalam rekursi dan struktur data stack adalah sama. Kedua konsep tersebut berbagi prinsip LIFO (Last In First Out), di mana elemen terakhir yang ditambahkan ke dalamnya akan pertama dihapus. Call stack digunakan untuk menyimpan pemanggilan rekursif, sementara struktur data stack digunakan untuk menampung dan mengelola data.
Dalam rekursi, setiap pemanggilan fungsi rekursif disimpan di call stack, yang berarti call stack tumbuh hingga kedalaman rekursif. Pada akhirnya, fungsi rekursif akan berhenti dan elemen terakhir yang ditambahkan ke dalam call stack akan pertama dihapus. Konsep ini sangat mirip dengan struktur data stack, di mana elemen terakhir yang ditambahkan ke dalam stack akan pertama dihapus melalui operasi pop.
Dalam beide, kedua konsep tersebut memiliki prinsip yang sama, yaitu LIFO. Mereka berbagi tujuan untuk mengelola dan menampung data, tetapi digunakan dalam konteks yang berbeda. Call stack digunakan dalam rekursi untuk menyimpan pemanggilan fungsi, sementara struktur data stack digunakan untuk menampung dan mengelola data dalam aplikasi komputasi.
Dalam sintesis, call stack dalam rekursi dan struktur data stack adalah sama, dengan prinsip LIFO yang berbagi. Mereka digunakan dalam konteks yang berbeda, tetapi memiliki tujuan yang sama yaitu mengelola dan menampung data.</t>
        </is>
      </c>
      <c r="F82" t="n">
        <v>0.7763</v>
      </c>
      <c r="G82" t="n">
        <v>0.1454</v>
      </c>
      <c r="H82" t="b">
        <v>1</v>
      </c>
      <c r="I82" s="3" t="inlineStr">
        <is>
          <t>Bukankah pertanyaan ini sangat menarik dan membingungkan bagi sebagian orang? Sebelum menjawab, mari kita pertimbangkan definisi 'call stack' dan 'stack' sebagai ADT.
Dalam rekursi, 'call stack' adalah struktur data yang digunakan untuk menyimpan informasi tentang setiap pemanggilan fungsi rekursif. Informasi tersebut termasuk alamat memori, argumen fungsi, dan lokasi di mana fungsi dipanggil. Saat fungsi rekursif dipanggil, informasinya disimpan di 'call stack' dan menjadi bagian dari lingkaran pemanggilan.
Sementara itu, dalam struktur data, 'stack' adalah Abstract Data Type (ADT) yang memiliki operasi pengambilan elemen terakhir (pop), penambahan elemen baru (push), dan pengecekkan apakah stack kosong. Stack bekerja dengan cara mempertahankan elemen-elemen dalam urutan tertentu, biasanya first-in-first-out (FIFO).
Jawaban saya: Tidak, 'call stack' dalam rekursi tidak sama dengan 'stack' sebagai ADT yang kita pelajari di struktur data. 'Call stack' hanya digunakan untuk menyimpan informasi tentang pemanggilan fungsi rekursif, sedangkan 'stack' adalah ADT yang dapat digunakan untuk berbagai tujuan, seperti menampung elemen-elemen dalam urutan tertentu.
Namun, perlu diingat bahwa 'call stack' dan 'stack' sebagai ADT memiliki kesamaan dalam hal struktur data yang digunakan. Keduanya menggunakan prinsip "LIFO" (last-in-first-out) untuk mengatur urutan elemen-elemen.</t>
        </is>
      </c>
      <c r="J82" t="n">
        <v>0.7929</v>
      </c>
      <c r="K82" t="n">
        <v>0.1346</v>
      </c>
      <c r="L82" t="b">
        <v>1</v>
      </c>
      <c r="M82" t="n">
        <v>-0.0166</v>
      </c>
    </row>
    <row r="83">
      <c r="A83" t="n">
        <v>82</v>
      </c>
      <c r="B83" t="inlineStr">
        <is>
          <t>cross_topic</t>
        </is>
      </c>
      <c r="C83" t="inlineStr">
        <is>
          <t>5PAI</t>
        </is>
      </c>
      <c r="D83" s="3" t="inlineStr">
        <is>
          <t>Dosen bilang kita bisa gunakan pattern recognition untuk langsung tahu Big-O dari kode tanpa menghitung detail. Misalnya 'lihat nested loop langsung tahu O(n²)'. Apa saja pola-pola kode yang bisa langsung saya kenali Big-O-nya?</t>
        </is>
      </c>
      <c r="E83" s="3" t="inlineStr">
        <is>
          <t>Saya dapat menjawab pertanyaan mahasiswa dengan menggunakan konsep pattern recognition.
Dalam materi referensi, kita telah belajar tentang berbagai struktur kontrol, termasuk perulangan (loop) dan percabangan (conditionals). Dengan menggunakan pattern recognition, kita dapat langsung mengetahui Big-O dari kode tanpa menghitung detail.
Contoh-contoh yang saya jelaskan di atas adalah sebagai berikut:
* Perulangan bersarang (nested loop): O(m × n) untuk m × n grid
* Percabangan: O(1) untuk kondisi tunggal, O(n) untuk kondisi linear, dan O(log n) untuk kondisi logaritmik
Dengan menggunakan pattern recognition, kita dapat langsung mengetahui Big-O dari kode berdasarkan struktur kontrol yang digunakan. Contoh-contoh lainnya adalah sebagai berikut:
* Loop tunggal: O(n) untuk loop dengan iterasi konstan
* Loop bersarang dengan percabangan: O(m × n) untuk m × n grid dan O(n) untuk kondisi linear
Dengan demikian, kita dapat menggunakan pattern recognition untuk langsung mengetahui Big-O dari kode tanpa menghitung detail.</t>
        </is>
      </c>
      <c r="F83" t="n">
        <v>0.7714</v>
      </c>
      <c r="G83" t="n">
        <v>0.1486</v>
      </c>
      <c r="H83" t="b">
        <v>1</v>
      </c>
      <c r="I83" s="3" t="inlineStr">
        <is>
          <t>Dalam teori kompleksitas, pattern recognition adalah salah satu cara untuk segera mengetahui big-O notation dari sebuah kode tanpa harus menghitung detailnya. Berikut beberapa pola kode yang biasanya dapat langsung diketahui big-O-nya:
1. Looping (Pengulangan):
	* Single loop: O(n) - Contoh: for (int i = 0; i &lt; n; i++)
	* Nested loops: O(n × m) - Contoh: for (int i = 0; i &lt; n; i++) { for (int j = 0; j &lt; m; j++) {}
2. Recursive function:
	* Linear recursion: O(n) - Contoh: fungsi yang memanggil dirinya sendiri sebanyak n kali
	* Quadratic recursion: O(n²) - Contoh: fungsi yang memanggil dirinya sendiri sebanyak n kali dan setiap panggilan memanggil dirinya lagi sebanyak n-1 kali
3. Divide and Conquer:
	* Merge sort: O(n log n) - Contoh: algoritma pengurutan yang menggabungkan dua bagian daftar dan membandingkan elemen-elemennya
4. Dynamic Programming:
	* Bottom-up approach: O(n) - Contoh: algoritma yang membangun tabel dinamis dengan cara menjalankan loop sebanyak n kali
5. Linear Search:
	* Simple search: O(n) - Contoh: mencari nilai tertentu dalam array dengan cara mengulangi semua elemen
Perlu diingat bahwa pattern recognition hanya dapat digunakan sebagai estimasi awal dan perlu diperiksa lebih lanjut untuk memastikan big-O notation yang tepat. Selain itu, tidak semua kode dapat langsung diketahui big-O-nya dengan menggunakan pola-pola di atas, karena kompleksitas algoritma dapat tergantung pada input data dan kondisi lainnya.</t>
        </is>
      </c>
      <c r="J83" t="n">
        <v>0.668</v>
      </c>
      <c r="K83" t="n">
        <v>0.2158</v>
      </c>
      <c r="L83" t="b">
        <v>1</v>
      </c>
      <c r="M83" t="n">
        <v>0.1034</v>
      </c>
    </row>
    <row r="84">
      <c r="A84" t="n">
        <v>83</v>
      </c>
      <c r="B84" t="inlineStr">
        <is>
          <t>cross_topic</t>
        </is>
      </c>
      <c r="C84" t="inlineStr">
        <is>
          <t>4TAI</t>
        </is>
      </c>
      <c r="D84" s="3" t="inlineStr">
        <is>
          <t>Kalau abstraksi adalah 'sembunyikan detail yang tidak perlu', apakah setiap fungsi yang saya buat otomatis mengimplementasikan abstraksi? Atau ada bedanya antara fungsi yang mengimplementasikan abstraksi dan yang tidak?</t>
        </is>
      </c>
      <c r="E84" s="3" t="inlineStr">
        <is>
          <t>Mahasiswa!
Abstraksi bukan hanya tentang "sembunyikan detail yang tidak perlu". Dalam kaitannya dengan problem solving, abstraksi berarti fokus pada hal-hal yang penting dan relevan, serta mengabaikan hal-hal yang tidak relevan dan menjadi gangguan (distraction). Abstraksi bukan membuang bagian yang tidak penting, melainkan hanya memberikan prioritas paling rendah untuk diperhatikan pada bagian tersebut.
Jawaban Anda: Tidak setiap fungsi yang Anda buat otomatis mengimplementasikan abstraksi. Fungsi yang mengimplementasikan abstraksi memang mencoba mengabaikan hal-hal yang tidak relevan dan fokus pada hal-hal yang penting, sedangkan fungsi yang tidak mengimplementasikan abstraksi mungkin hanya fokus pada detail-detail kecil tanpa memperhatikan konteks keseluruhan.
Sebagai contoh, dalam problem solving, Anda dapat menggunakan prinsip "helicopter view" untuk melihat persoalan dari atas secara menyeluruh sebelum mendalami detail. Hal ini berbeda dengan "losing sight of the forest for the trees", yang terlalu fokus pada detail hingga kehilangan gambaran besar.
Dalam bidang lain, seperti karya ilmiah dan statistika, abstraksi juga digunakan untuk merangkum inti dari keseluruhan karya ilmiah atau data. Dengan demikian, abstraksi adalah proses yang penting dalam problem solving dan berbagai bidang kehidupan.</t>
        </is>
      </c>
      <c r="F84" t="n">
        <v>0.8052</v>
      </c>
      <c r="G84" t="n">
        <v>0.1566</v>
      </c>
      <c r="I84" s="3" t="inlineStr">
        <is>
          <t>Tidak, tidak setiap fungsi yang Anda buat otomatis mengimplementasikan abstraksi. Abstraksi hanya terjadi ketika Anda "sembunyikan detail yang tidak perlu" dengan cara menulis kode yang lebih umum dan fleksibel, sehingga tidak memerlukan pengetahuan tentang bagian-bagian internal fungsi.
Fungsi dapat dibuat tanpa abstraksi jika Anda hanya menggabungkan beberapa operasi yang sederhana dalam sebuah blok kode. Dalam kasus ini, Anda tidak "sembunyikan detail yang tidak perlu" dan tidak membuat kode lebih umum atau fleksibel.
Contoh:
* Fungsi `hitungLuasSegitiga(height, width)` hanya melakukan beberapa operasi sederhana untuk menghitung luas segitga. Dalam kasus ini, Anda tidak "sembunyikan detail yang tidak perlu" dan fungsi tersebut tidak mengimplementasikan abstraksi.
* Fungsi `calculatePayment(amount, taxRate)` mungkin menggunakan cara yang lebih umum dan fleksibel untuk menghitung pajak. Dalam kasus ini, Anda "sembunyikan detail yang tidak perlu" dengan cara menulis kode yang lebih umum, sehingga fungsi tersebut mengimplementasikan abstraksi.
Dalam sintaks, Anda dapat mengidentifikasi fungsi yang mengimplementasikan abstraksi jika kode internalnya tidak terlihat atau tidak berpengaruh pada perilaku fungsi, dan hanya memberikan interface yang sesuai untuk menggunakan fungsi.</t>
        </is>
      </c>
      <c r="J84" t="n">
        <v>0.5182</v>
      </c>
      <c r="K84" t="n">
        <v>0.3432</v>
      </c>
      <c r="L84" t="b">
        <v>1</v>
      </c>
      <c r="M84" t="n">
        <v>0.287</v>
      </c>
    </row>
    <row r="85">
      <c r="A85" t="n">
        <v>84</v>
      </c>
      <c r="B85" t="inlineStr">
        <is>
          <t>cross_topic</t>
        </is>
      </c>
      <c r="C85" t="inlineStr">
        <is>
          <t>5TGI</t>
        </is>
      </c>
      <c r="D85" s="3" t="inlineStr">
        <is>
          <t>Dosen bilang DFS di graph biasanya diimplementasikan rekursif. Saya paham rekursi dan paham DFS secara konsep, tapi tidak paham kenapa DFS alami untuk diimplementasikan rekursif sementara BFS tidak?</t>
        </is>
      </c>
      <c r="E85" s="3" t="inlineStr">
        <is>
          <t>Saya akan menjawab pertanyaan mahasiswa.
Dosen bilang DFS di graph biasanya diimplementasikan rekursif karena algoritma tersebut memiliki struktur hierarkis yang sesuai dengan prinsip rekursi. Dalam DFS, kita mulai dari node tertentu dan kemudian eksplorasi seluruh anak-anaknya secara rekursif. Kita tidak perlu memperhatikan jalur-jalur yang telah dikunjungi sebelumnya, karena kita hanya ingin menemukan semua node yang terhubung ke node induk.
Misalnya, jika kita memiliki graph sebagai berikut:
A -&gt; B -&gt; C
|    /   |
D -- E
Kita mulai dari node A dan kemudian eksplorasi node-node anaknya, yaitu B dan D. Kemudian, kita akan pergi ke node B dan eksplorasi node-node anaknya, yaitu C dan E. Proses ini dilakukan secara rekursif sampai kita mencapai node terakhir.
Sebaliknya, BFS di graph diimplementasikan menggunakan antrian (queue), karena algoritma tersebut memerlukan penjelasan semua node yang berada di jalur-jalur yang sama sebelum dapat pergi ke jalur lain. Jika kita menggunakan rekursi untuk implementasikan BFS, maka akan sulit untuk menangani situasi-situasi seperti graph yang memiliki beberapa jalur yang sama.
Dengan demikian, DFS lebih cocok diimplementasikan secara rekursif karena struktur hierarkisnya sesuai dengan prinsip rekursi.</t>
        </is>
      </c>
      <c r="F85" t="n">
        <v>0.5345</v>
      </c>
      <c r="G85" t="n">
        <v>0.3026</v>
      </c>
      <c r="H85" t="b">
        <v>1</v>
      </c>
      <c r="I85" s="3" t="inlineStr">
        <is>
          <t>DFS (Depth-First Search) seringkali diimplementasikan menggunakan rekursi karena memiliki beberapa kelebihan yang membuatnya lebih cocok digunakan pada DFS. Berikut beberapa alasan mengapa DFS biasanya diimplementasikan rekursif:
1. **Eksplorasi yang dalam**: DFS melakukan eksplorasi yang sangat dalam dalam graph, artinya DFS akan menjelajahi setiap simpul dan kembali ke simpul awal sebelum melanjutkan ke simpul lainnya. Rekursi sangat cocok untuk mencapai tujuan ini karena dapat memanggil fungsi sendiri secara terus-menerus hingga mencapai simpul yang ingin dicek.
2. **Tidak perlu menyimpan informasi**: Dalam implementasi rekursif, DFS tidak perlu menyimpan informasi tentang node-node yang sudah dikunjungi sebelumnya. Rekursi dapat memanfaatkan stack untuk merekam node-node yang akan diunjungi berikutnya, sehingga tidak perlu menggunakan data struktur lain seperti queue atau array.
3. **Cepat dan efisien**: Implementasi rekursif DFS dapat lebih cepat dan efisien karena tidak perlu membuat copy dari graph atau menyimpan informasi tentang node-node yang sudah dikunjungi sebelumnya.
Sementara itu, BFS (Breadth-First Search) memiliki kelebihan lain yang tidak sesuai dengan kelebihan rekursi. BFS lebih cocok digunakan dalam implementasi menggunakan queue karena:
1. **Eksplorasi yang luas**: BFS melakukan eksplorasi yang luas dan tidak perlu menjelajahi setiap simpul secara terus-menerus.
2. **Perlu menyimpan informasi**: Dalam implementasi queue, BFS perlu menyimpan informasi tentang node-node yang sudah dikunjungi sebelumnya untuk menghindari revisiting node yang sama.
Dalam kesimpulan, DFS diimplementasikan rekursif karena memiliki kelebihan dalam eksplorasi yang dalam dan tidak perlu menyimpan informasi, sementara BFS lebih cocok digunakan dengan implementasi queue karena eksplorasi yang luas dan perlu menyimpan informasi.</t>
        </is>
      </c>
      <c r="J85" t="n">
        <v>0.6448</v>
      </c>
      <c r="K85" t="n">
        <v>0.2309</v>
      </c>
      <c r="L85" t="b">
        <v>1</v>
      </c>
      <c r="M85" t="n">
        <v>-0.1103</v>
      </c>
    </row>
    <row r="86">
      <c r="A86" t="n">
        <v>85</v>
      </c>
      <c r="B86" t="inlineStr">
        <is>
          <t>application</t>
        </is>
      </c>
      <c r="C86" t="inlineStr">
        <is>
          <t>4TAI</t>
        </is>
      </c>
      <c r="D86" s="3" t="inlineStr">
        <is>
          <t>Saya diminta cek apakah kata 'katak' adalah palindrom tanpa pakai fungsi string bawaan. Saya coba dengan loop biasa tapi hasilnya salah untuk beberapa input. Bagaimana algoritme yang benar untuk cek palindrom?</t>
        </is>
      </c>
      <c r="E86" s="3" t="inlineStr">
        <is>
          <t>Dalam menyelesaikan masalah cek apakah kata 'katak' adalah palindrom tanpa menggunakan fungsi string bawaan, kita dapat memanfaatkan perulangan untuk menganalisis setiap huruf dalam kata dan menggantikan dengan huruf sebelumnya. Berikut adalah pseudocode yang dapat digunakan:
```
function cek_palindrom(kata):
  // Inversi kata
  kata_sebelum = ""
  for setiap huruf h dalam kata:
    kata_sebelum = kata_sebelum + huruf_sebelum(h)  // A→Z, B→A, dst.
  // Cek apakah kata sama dengan inversinya
  if kata == kata_sebelum:
    return "Kata 'katak' adalah palindrom"
  else:
    return "Kata 'katak' bukan palindrom"
print(cek_palindrom("katak"))
```
Pada dasarnya, algoritme ini bekerja dengan menginversi kata dan kemudian membandingkan hasilnya dengan kata asli. Jika hasil inversinya sama dengan kata asli, maka kata tersebut adalah palindrom.
Perlu diingat bahwa perulangan dalam pseudocode di atas menggunakan konsep iterasi tetap (loop for) yang linear, sehingga kompleksitas waktunya adalah O(n), dimana n adalah panjang kata.</t>
        </is>
      </c>
      <c r="F86" t="n">
        <v>0.668</v>
      </c>
      <c r="G86" t="n">
        <v>0.2158</v>
      </c>
      <c r="H86" t="b">
        <v>1</v>
      </c>
      <c r="I86" s="3" t="inlineStr">
        <is>
          <t>Terkemuk! Pernyataan bahwa "katak" adalah palindrom memang benar, karena kata tersebut dapat dibalik dan tetap sama: "katak" menjadi "katak".
Untuk cek apakah suatu kata adalah palindrom tanpa menggunakan fungsi string bawaan, kita dapat menggunakan algoritme berikut:
1. Buat variabel `temp` untuk menyimpan kata asli.
2. Buat variabel `reversed` untuk menyimpan kata yang dibalik.
3. Looping melalui setengah bagian dari kata asli (misalnya, jika panjang kata adalah `n`, maka looping dilakukan sampai `n/2`).
4. Dalam loop tersebut, simpan karakter ke dalam variabel `reversed` dengan urutan sebalik.
5. Setelah loop selesai, bandingkan kata asli (`temp`) dengan kata yang dibalik (`reversed`). Jika kedua kata sama, maka kata asli adalah palindrom.
Berikut contoh kode pemrograman dalam bahasa C untuk algoritme di atas:
```c
#include &lt;stdio.h&gt;
#include &lt;string.h&gt;
int main() {
    char kata[10] = "katak";
    int n = strlen(kata);
    char temp[n+1];
    strcpy(temp, kata);
    char reversed[n+1];
    for (int i = 0; i &lt; n/2; i++) {
        reversed[i] = kata[n-1-i];
    }
    reversed[n/2] = '\0'; // tambahkan karakter akhir untuk membuat string
    if (strcmp(temp, reversed) == 0) {
        printf("%s adalah palindrom.\n", kata);
    } else {
        printf("%s bukan palindrom.\n", kata);
    }
    return 0;
}
```
Dalam kode di atas, kita menggunakan fungsi `strlen` untuk mendapatkan panjang kata, lalu loop melalui setengah bagian dari kata asli. Karakter dibalik dengan menggunakan index yang sebalik, kemudian diakhiri dengan karakter akhir (`\0`). Akhirnya, kita bandingkan kata asli dengan kata yang dibalik menggunakan fungsi `strcmp`, dan jika sama maka kata asli adalah palindrom.
Dengan algoritme ini, kita dapat cek apakah suatu kata adalah palindrom tanpa menggunakan fungsi string bawaan.</t>
        </is>
      </c>
      <c r="J86" t="n">
        <v>0.6697</v>
      </c>
      <c r="K86" t="n">
        <v>0.2147</v>
      </c>
      <c r="L86" t="b">
        <v>1</v>
      </c>
      <c r="M86" t="n">
        <v>-0.0017</v>
      </c>
    </row>
    <row r="87">
      <c r="A87" t="n">
        <v>86</v>
      </c>
      <c r="B87" t="inlineStr">
        <is>
          <t>application</t>
        </is>
      </c>
      <c r="C87" t="inlineStr">
        <is>
          <t>5TGR</t>
        </is>
      </c>
      <c r="D87" s="3" t="inlineStr">
        <is>
          <t>Saya buat program cek bilangan prima dengan loop dari 2 sampai n. Untuk n=1.000.000 sangat lambat. Dosen bilang ada cara lebih cepat. Bagaimana cara mengoptimasi pengecekan bilangan prima?</t>
        </is>
      </c>
      <c r="E87" s="3" t="inlineStr">
        <is>
          <t>Sebagai tutor Computational Thinking, saya akan membantu mahasiswa memahami konsep optimasi pengecekan bilangan prima.
Pengecekan bilangan prima dengan loop dari 2 sampai n dapat menjadi lambat ketika nilai n tinggi, seperti pada contoh n = 1.000.000. Hal ini karena algoritma loop harus melakukan operasi untuk setiap iterasi, sehingga kompleksitas waktu perulangan menjadi O(n).
Cara mengoptimasi pengecekan bilangan prima adalah dengan menggunakan algoritma cekPrima yang lebih efisien. Algoritma ini memanfaatkan fakta bahwa jika n tidak prima, maka n harus memiliki faktor lain selain 1 dan dirinya sendiri. Oleh karena itu, kita dapat menghemat waktu dengan hanya perlu mencari faktor-faktor dari 2 sampai √n.
Contoh algoritma cekPrima yang lebih efisien adalah sebagai berikut:
```pascal
function cekPrima(n: int): boolean
  if (n &lt;= 1) then return False
  if (n == 2) then return True
  if (n mod 2 == 0) then return False
  for i = 3 to sqrt(n) step 2 do
    if (n mod i == 0) then return False
  return True
```
Dengan menggunakan algoritma cekPrima yang lebih efisien, kita dapat meningkatkan kecepatan pengecekan bilangan prima dan mengurangi kompleksitas waktu perulangan.</t>
        </is>
      </c>
      <c r="F87" t="n">
        <v>0.7762</v>
      </c>
      <c r="G87" t="n">
        <v>0.1455</v>
      </c>
      <c r="H87" t="b">
        <v>1</v>
      </c>
      <c r="I87" s="3" t="inlineStr">
        <is>
          <t>Saya dapat menjawab pertanyaan Anda dengan baik.
Cara yang paling efektif untuk mengecek bilangan prima dengan cepat adalah menggunakan algoritma Miller-Rabin, yang memiliki waktu kompleksitas O(log^7 n). Algoritma ini didesain khusus untuk mencari bilangan prima dengan menggunakan hujah-hujah matematika.
Namun, jika Anda ingin menggunakan loop dari 2 sampai n, maka saya dapat memberikan beberapa tips untuk mengoptimasi pengecekan bilangan prima:
1. **Hanya perlu cek bilangan prima sampai akar(n)**: Karena bilangan prima hanya dapat terjadi pada faktor prima, maka kita tidak perlu cek semua bilangan dari 2 sampai n. Cukup cek sampai akar(n), karena setelah itu, bilangan prima tidak akan terjadi lagi.
2. **Gunakan loop odd only**: Karena bilangan prima harus ganjil, maka kita hanya perlu cek bilangan ganjil dalam loop. Bilangan genap tidak perlu di-cek sebagai bilangan prima.
3. **Menggunakan Wheel Implementation**: Wheel implementation adalah suatu teknik untuk mengurangi jumlah iterasi dalam cek bilangan prima. Teknik ini bekerja dengan cara membuat wheel yang terdiri dari bilangan prima-bilangan prima, sehingga kita hanya perlu cek beberapa angka saja.
Contoh implementasinya dalam Bahasa C dapat dilihat sebagai berikut:
```c
#include &lt;stdio.h&gt;
#include &lt;math.h&gt;
int is_prime(int n) {
    if (n &lt;= 1) return 0;
    if (n == 2 || n == 3) return 1;
    if (n % 2 == 0) return 0;
    for (int i = 3; i * i &lt;= n; i += 2) {
        if (n % i == 0) return 0;
    }
    return 1;
}
int main() {
    int n = 1000000;
    for (int i = 2; i &lt;= sqrt(n); i++) {
        if (is_prime(i)) printf("%d ", i);
    }
    printf("\n");
    return 0;
}
```
Dengan menggunakan teknik di atas, Anda dapat meningkatkan kinerja program cek bilangan prima dengan waktu kompleksitas O(√n).</t>
        </is>
      </c>
      <c r="J87" t="n">
        <v>0.652</v>
      </c>
      <c r="K87" t="n">
        <v>0.2262</v>
      </c>
      <c r="L87" t="b">
        <v>1</v>
      </c>
      <c r="M87" t="n">
        <v>0.1242</v>
      </c>
    </row>
    <row r="88">
      <c r="A88" t="n">
        <v>87</v>
      </c>
      <c r="B88" t="inlineStr">
        <is>
          <t>application</t>
        </is>
      </c>
      <c r="C88" t="inlineStr">
        <is>
          <t>3PAR</t>
        </is>
      </c>
      <c r="D88" s="3" t="inlineStr">
        <is>
          <t>Tugas: hitung berapa digit bilangan 98765 tanpa mengubahnya ke string. Hanya boleh pakai operasi aritmatika. Saya tahu pembagian berulang bisa dipakai tapi tidak tahu cara pseudocode-nya.</t>
        </is>
      </c>
      <c r="E88" s="3" t="inlineStr">
        <is>
          <t>Mahasiswa, untuk menyelesaikan tugas Anda, kita akan menggunakan konsep dasar dari pseudocode dan operasi aritmatika.
Pertama-tama, kita akan memahami bahwa 98765 adalah bilangan yang memiliki banyak digit. Untuk menghitung berapa digit bilangan tersebut tanpa mengubahnya ke string, kita dapat menggunakan operasi aritmatika.
Kita dapat menggunakan konsep modulo (sisa) untuk menentukan jumlah digit dari bilangan 98765. Misalnya, jika kita ingin mengetahui apakah bilangan tersebut memiliki 1 digit atau 2 digit, kita dapat menghitung sisa hasil pembagian dengan modulo 10.
Misalnya, 98765 % 10 = 5 (sisa 5)
Jika kita lanjutkan untuk mendapatkan jumlah digit yang lebih banyak, kita dapat menghitung sisa dengan modulo 100.
Misalnya, 98765 % 100 = 65 (sisa 65)
Dengan demikian, kita dapat menentukan bahwa bilangan 98765 memiliki 5 digit.
Jadi, jawaban Anda adalah 5.</t>
        </is>
      </c>
      <c r="F88" t="n">
        <v>0.7657</v>
      </c>
      <c r="G88" t="n">
        <v>0.1523</v>
      </c>
      <c r="I88" s="3" t="inlineStr">
        <is>
          <t>Tugas ini memang menarik! Dalam masalah ini, kita perlu menghitung jumlah digit bilangan 98765 tanpa mengubahnya menjadi string. Kita hanya boleh menggunakan operasi aritmatika.
Cara termudah untuk menyelesaikan masalah ini adalah dengan cara pembagian berulang. Berikut adalah pseudocode-nya:
```
integer = 98765
jumlah_digit = 0
while (integer &gt; 0) {
  integer /= 10
  jumlah_digit += 1
}
print(jumlah_digit)
```
Dalam Bahasa Indonesia, jawaban yang kita dapatkan adalah: 5 digit.
Rincian jawaban:
- Kita awalnya memiliki bilangan 98765.
- Kita lakukan pembagian berulang dengan cara mengalikan bilangan dengan 10 (integer /= 10) dan menambahkan 1 ke variabel jumlah_digit untuk setiap kali pembagian.
- Pembagian akan terhenti ketika integer = 0, artinya kita telah mencapai digit pertama dari bilangan asli.
- Jumlah digit yang kita dapatkan adalah 5.</t>
        </is>
      </c>
      <c r="J88" t="n">
        <v>0.7727000000000001</v>
      </c>
      <c r="K88" t="n">
        <v>0.1477</v>
      </c>
      <c r="L88" t="b">
        <v>1</v>
      </c>
      <c r="M88" t="n">
        <v>-0.007</v>
      </c>
    </row>
    <row r="89">
      <c r="A89" t="n">
        <v>88</v>
      </c>
      <c r="B89" t="inlineStr">
        <is>
          <t>scenario</t>
        </is>
      </c>
      <c r="C89" t="inlineStr">
        <is>
          <t>5PAI</t>
        </is>
      </c>
      <c r="D89" s="3" t="inlineStr">
        <is>
          <t>Saya diminta desain sistem antrian loket bank: nasabah biasa antri normal, lansia dan ibu hamil diprioritaskan. Struktur data apa yang paling cocok untuk kasus ini?</t>
        </is>
      </c>
      <c r="E89" s="3" t="inlineStr">
        <is>
          <t>Saya akan menjawab pertanyaan Anda dengan menggunakan istilah teknis yang ada dalam materi referensi di atas.
Dalam kasus antrian loket bank, saya merekomendasikan penggunaan struktur data Queue (Antrean) sebagai solusi terbaik. Queue memungkinkan nasabah untuk menunggu giliran tanpa membandingkan prioritas antara lansia, ibu hamil, dan nasabah biasa. Dengan menggunakan Queue, nasabah dapat diprioritaskan berdasarkan kategori yang telah ditentukan sebelumnya.
Contoh: Nasabah biasa antri normal → Lansi → Ibu Hamil
Queue juga memungkinkan pelanggan untuk menunggu giliran tanpa perlu memperhatikan urutan kehadiran mereka. Dalam hal ini, lansia dan ibu hamil diprioritaskan karena mereka memiliki prioritas yang lebih tinggi dibandingkan dengan nasabah biasa.
Dengan menggunakan struktur data Queue, Anda dapat menyelesaikan masalah antrian loket bank dengan cara yang efektif dan efisien.</t>
        </is>
      </c>
      <c r="F89" t="n">
        <v>0.4095</v>
      </c>
      <c r="G89" t="n">
        <v>0.3838</v>
      </c>
      <c r="H89" t="b">
        <v>1</v>
      </c>
      <c r="I89" s="3" t="inlineStr">
        <is>
          <t>Saya akan menjawab pertanyaan Anda sebaik mungkin!
Dalam kasus antrian loket bank dengan prioritas bagi nasabah lansia dan ibu hamil, saya merekomendasikan penggunaan Priority Queue (Antrean Prioritas) sebagai struktur data terbaik untuk menangani kebutuhan tersebut.
Priority Queue adalah sebuah data structure yang memungkinkan Anda untuk menginputkan elemen-elemen dengan prioritas yang berbeda. Dalam kasus ini, Anda dapat membuat tiga jenis prioritas:
1. Nasabah biasa (normal) = Prioritas rendah
2. Lansia = Prioritas tinggi
3. Ibu hamil = Prioritas sangat tinggi
Dengan menggunakan Priority Queue, Anda dapat dengan mudah mengatur prioritas antrian dan memprioritaskan nasabah yang memiliki prioritas lebih tinggi untuk diaturnya dahulu.
Contoh implementasi dalam Bahasa Pemrograman Python:
```python
import heapq
class PriorityQueue:
    def __init__(self):
        self.items = []
    def enqueue(self, item, priority):
        heapq.heappush(self.items, (priority, item))
    def dequeue(self):
        return heapq.heappop(self.items)[1]
pq = PriorityQueue()
pq.enqueue("Nasabah Biasa", 0)
pq.enqueue("Lansia", 2)
pq.enqueue("Ibu Hamil", 3)
print(pq.dequeue())  # Output: Ibu Hamil
print(pq.dequeue())  # Output: Lansia
print(pq.dequeue())  # Output: Nasabah Biasa
```
Dengan menggunakan Priority Queue, Anda dapat dengan mudah mengatur prioritas antrian dan memprioritaskan nasabah yang memiliki prioritas lebih tinggi untuk diaturnya dahulu.</t>
        </is>
      </c>
      <c r="J89" t="n">
        <v>0.7579</v>
      </c>
      <c r="K89" t="n">
        <v>0.1874</v>
      </c>
      <c r="L89" t="b">
        <v>1</v>
      </c>
      <c r="M89" t="n">
        <v>-0.3484</v>
      </c>
    </row>
    <row r="90">
      <c r="A90" t="n">
        <v>89</v>
      </c>
      <c r="B90" t="inlineStr">
        <is>
          <t>scenario</t>
        </is>
      </c>
      <c r="C90" t="inlineStr">
        <is>
          <t>5PGR</t>
        </is>
      </c>
      <c r="D90" s="3" t="inlineStr">
        <is>
          <t>Soal ujian: tulis fungsi rekursif untuk C(5,2) menggunakan sifat Pascal: C(n,k) = C(n-1,k-1) + C(n-1,k), dengan C(n,0)=C(n,n)=1. Saya tidak tahu cara trace-nya dan tidak yakin berapa hasilnya.</t>
        </is>
      </c>
      <c r="E90" s="3" t="inlineStr">
        <is>
          <t>Kami akan membantu Anda dalam mengerjakan soal-soal yang diberikan.
**SOAL 5 — Deret Fibonacci**
a) Tentukan suku ke-12:
Lanjutkan: 34, 55, 89 → suku ke-12 = 144
b) Berapakah rasio dua suku berurutan mendekati pada suku besar?
Rasio suku berurutan: 89/55≈1.618, 144/89≈1.618, 233/144≈1.618 → Mendekati bilangan Emas (Golden Ratio) φ ≈ 1.618033...
**SOAL 6 — Jumlah Deret Spesial**
a) 1 + 2 + 3 + ... + n = ?
b) 1² + 2² + 3² + ... + n² = ?
c) 1×2 + 2×3 + 3×4 + ..
Pola: Selisih antar pola = 4, 8, 12, ... → Bertambah 4 setiap langkah
Selisih ke-5: 16
Pola ke-5: 25 + 16 = 41
Formula: an = 2n² - 2n + 1
Verifikasi: n=5: 50-10+1=41 ✓
**SOAL 8 — Pola Bilangan Ganjil**
Jumlah n bilangan ganjil pertama: 1 + 3 + 5 + ... + (2n-1) = ?
Buktikan dengan pengenalan pola!
Pola: jumlah n bilangan ganjil pertama = n²
Formula: 1 + 3 + 5 + ... + (2n-1) = n²
**SOAL 2 — Deret Aritmatika**
Tentukan suku ke-15 dan jumlah 15 suku pertama dari deret:
3, 7, 11, 15, 19, ...
Jawaban: Suku ke-n: an = a1 + (n-1)d = 3 + (n-1)×4
Suku ke-15: a15 = 3 + 14×4 = 59
**PERBEDAAN MATHEMATICAL THINKING vs. COMPUTATIONAL THINKING**
Mathematical Thinking (kalkulasi bertahap): 1+2=3, 3+3=6, 6+4=10, 10+5=15, ... = 55 (10 langkah)
Computational Thinking (pengenalan pola): Pasangkan bilangan dari ujung kiri dan kanan: 1+10=11, 2+9=11, 3+8=11, 4+7=11, 5+6=11 → Ada 5 pasangan, setiap pasangan = 11 → Total = 5 × 11 = 55 → Formula umum: (n/2) × (n+1)
Kunci: CT mencari POLA untuk membangun SOLUSI EFISIEN, bukan menghitung satu per satu.
**SOAL COKLAT BEBEK — PENGENALAN POLA DERET SEGITIGA**
Bebek ke-n mendapat coklat.
Pola: jumlah komulatif s/d bebek ke-n = n(n+1)/2
Cari n terbesar sehingga n(n+1)/2 ≤ 500:
n=31: 31×32/2 = 496 ≤ 500 ✓
Jawaban: Bebek nomor 32.
**SOAL 2 — Deret Aritmatika**
Tentukan suku ke-15 dan jumlah 15 suku pertama dari deret:
3, 7, 11, 15, 19, ...
Jawaban: Suku ke-n: an = a1 + (n-1)d = 3 + (n-1)×4
Suku ke-15: a15 = 3 + 14×4 = 59
**SOAL COKLAT BEBEK — PENGENALAN POLA DERET SEGITIGA**
Bebek ke-n mendapat coklat.
Pola: jumlah komulatif s/d bebek ke-n = n(n+1)/2
Cari n terbesar sehingga n(n+1)/2 ≤ 500:
n=31: 31×32/2 = 496 ≤ 500 ✓
Jawaban: Bebek nomor 32.
**DEKOMPOSISI ALGORITME FPB**
Dekomposisikan masalah "mencari FPB dari tiga bilangan a, b, c" menjadi sub-masalah yang lebih kecil!
Dekomposisi:
- Sub-masalah 1: cari FPB(a, b) → hasil1
- Sub-masalah 2: cari FPB(hasil1, c) → FPB akhir
**SOAL 6 — Knapsack Sederhana**
Seorang pendaki membawa ransel kapasitas 15 kg.
Barang: Tenda(5kg,nilai:10), Sleeping bag(3kg,nilai:8),
        Makanan(4kg,nilai:5)
Pertanyaan mahasiswa:
Soal ujian: tulis fungsi rekursif untuk C(5,2) menggunakan sifat Pascal: C(n,k) = C(n-1,k-1) + C(n-1,k), dengan C(n,0)=C(n,n)=1. Saya tidak tahu cara trace-nya dan tidak yakin berapa hasilnya.
INSTRUKSI:
Gunakan istilah teknis yang ada dalam materi referensi di atas.
Jelaskan konsep utama secara langsung dan akurat.
Sesuaikan gaya penjelasan dengan tipe kognitif: Level 5 Lanjut / Pragmatis / Global / Reflektif.
Gunakan contoh konkret jika membantu pemahaman.</t>
        </is>
      </c>
      <c r="F90" t="n">
        <v>0.7596000000000001</v>
      </c>
      <c r="G90" t="n">
        <v>0.1863</v>
      </c>
      <c r="I90" s="3" t="inlineStr">
        <is>
          <t>Kita dapat menuliskan fungsi rekursif untuk menghitung nilai C(5,2) menggunakan sifat Pascal sebagai berikut:
```
int C(int n, int k) {
  if (k == 0 || k == n) {
    return 1; // karena C(n,0) = C(n,n) = 1
  } else {
    return C(n-1, k-1) + C(n-1, k);
  }
}
```
Fungsi ini akan menghitung nilai C(5,2) dengan menggunakan sifat Pascal. Kita dapat melihat bahwa fungsi ini memiliki dua kasus:
1. Jika k adalah 0 atau n, maka kita dapat langsung mengembalikan nilai 1, karena C(n,0) = C(n,n) = 1.
2. Jika k bukan 0 dan n, maka kita dapat menggunakan sifat Pascal untuk menghitung nilai C(n,k). Kita akan memanggil fungsi ini dua kali dengan argumen yang berbeda: C(n-1,k-1) dan C(n-1,k).
Dengan demikian, fungsi ini akan terus dipanggil hingga kita mencapai kasus di atas, pada mana kita dapat langsung mengembalikan nilai 1. Hasil akhir dari fungsi ini adalah nilai C(5,2), yang adalah 10.
Note: Untuk menyelesaikan masalah ini, Anda tidak perlu tracing recursive call. Kita hanya perlu memahami algoritma rekursif dan mencoba menerapkan sifat Pascal untuk menghitung nilai C(n,k).</t>
        </is>
      </c>
      <c r="J90" t="n">
        <v>0.5141</v>
      </c>
      <c r="K90" t="n">
        <v>0.3158</v>
      </c>
      <c r="L90" t="b">
        <v>1</v>
      </c>
      <c r="M90" t="n">
        <v>0.2455</v>
      </c>
    </row>
    <row r="91">
      <c r="A91" t="n">
        <v>90</v>
      </c>
      <c r="B91" t="inlineStr">
        <is>
          <t>scenario</t>
        </is>
      </c>
      <c r="C91" t="inlineStr">
        <is>
          <t>5TAI</t>
        </is>
      </c>
      <c r="D91" s="3" t="inlineStr">
        <is>
          <t>Saya punya data nilai ujian 30.000 mahasiswa yang hampir terurut — hanya beberapa data yang posisinya tidak tepat. Dari bubble sort, selection sort, dan merge sort, mana yang paling efisien?</t>
        </is>
      </c>
      <c r="E91" s="3" t="inlineStr">
        <is>
          <t>Dalam analisis kompleksitas algoritme, kita dapat melihat bahwa algoritme bubble sort memiliki kompleksitas O(n^2) karena pada setiap iterasi, kita melakukan perbandingan dan swap sebanyak n-1 elemen.
Sementara itu, algoritme selection sort memiliki kompleksitas O(n^2) karena pada setiap iterasi, kita memeriksa setiap elemen dalam array dan mengganti posisi elemen terkecil menjadi posisi pertama. Kita juga perlu mempertahankan variabel temp untuk menampung nilai minimum.
Algoritme merge sort memiliki kompleksitas O(n log n) karena pada setiap iterasi, kita membagi array menjadi dua bagian yang lebih kecil dan kemudian menggabungkan kembali dengan cara yang efisien. Kita juga perlu mempertahankan variabel temp untuk menampung nilai minimum.
Dalam hal ini, algoritme bubble sort dan selection sort memiliki kompleksitas yang kurang efektif dibandingkan dengan algoritme merge sort. Oleh karena itu, jika kita ingin mencari solusi yang lebih efisien untuk masalah ini, maka kita dapat memilih algoritme merge sort.
Namun, perlu diingat bahwa kompleksitas algoritme hanya salah satu aspek yang perlu dipertimbangkan dalam analisis dan implementasi algoritme. Kita juga perlu mempertimbangkan faktor lain seperti masalah input, kemampuan hardware, dan kebutuhan spesifik aplikasi.
Dalam kaitannya dengan soal pertama, kita dapat melihat bahwa algoritme rekursif memiliki kompleksitas yang lebih tinggi dibandingkan dengan algoritme non-rekursif. Oleh karena itu, jika kita ingin mencari solusi yang lebih efisien untuk masalah ini, maka kita dapat memilih algoritme non-rekursif.
Dalam kaitannya dengan soal kedua, kita dapat melihat bahwa abstraksi data adalah langkah awal yang penting dalam analisis dan solusi masalah. Oleh karena itu, jika kita ingin mencari solusi yang lebih efisien untuk masalah ini, maka kita harus melakukan abstraksi data yang tepat dan logis.
Dalam kaitannya dengan soal ketiga, kita dapat melihat bahwa algoritme ideal memiliki kompleksitas yang lebih rendah dibandingkan dengan algoritme lain. Oleh karena itu, jika kita ingin mencari solusi yang lebih efisien untuk masalah ini, maka kita harus melakukan analisis dan implementasi algoritme yang tepat dan logis.
Dalam kaitannya dengan soal keempat, kita dapat melihat bahwa struktur data queue memiliki dua operasi utama yaitu enqueue dan dequeue. Oleh karena itu, jika kita ingin mencari solusi yang lebih efisien untuk masalah ini, maka kita harus melakukan analisis dan implementasi algoritme yang tepat dan logis.
Dalam kaitannya dengan soal kelima, kita dapat melihat bahwa kompleksitas algoritme hanya salah satu aspek yang perlu dipertimbangkan dalam analisis dan implementasi algoritme. Oleh karena itu, jika kita ingin mencari solusi yang lebih efisien untuk masalah ini, maka kita harus melakukan analisis dan implementasi algoritme yang tepat dan logis.</t>
        </is>
      </c>
      <c r="F91" t="n">
        <v>0.7969000000000001</v>
      </c>
      <c r="G91" t="n">
        <v>0.132</v>
      </c>
      <c r="H91" t="b">
        <v>1</v>
      </c>
      <c r="I91" s="3" t="inlineStr">
        <is>
          <t>Dalam soal ini, kita harus membandingkan efisiensi tiga algoritma sorting yang disebut: bubble sort, selection sort, dan merge sort.
Berdasarkan analisis teoretis, merge sort memiliki complexity waktu O(n log n), sedangkan bubble sort dan selection sort memiliki complexity waktu O(n^2). Dalam beberapa data nilai ujian 30.000 mahasiswa, perbedaan efisiensi antara algoritma sorting ini akan sangat signifikan.
Dengan demikian, jawaban yang paling tepat adalah: merge sort. Merge sort memiliki kecepatan yang jauh lebih cepat dibandingkan dengan bubble sort dan selection sort, terutama ketika data nilai ujian 30.000 mahasiswa.</t>
        </is>
      </c>
      <c r="J91" t="n">
        <v>0.6186</v>
      </c>
      <c r="K91" t="n">
        <v>0.2479</v>
      </c>
      <c r="L91" t="b">
        <v>1</v>
      </c>
      <c r="M91" t="n">
        <v>0.1783</v>
      </c>
    </row>
    <row r="92">
      <c r="A92" t="n">
        <v>91</v>
      </c>
      <c r="B92" t="inlineStr">
        <is>
          <t>confusion</t>
        </is>
      </c>
      <c r="C92" t="inlineStr">
        <is>
          <t>2PAI</t>
        </is>
      </c>
      <c r="D92" s="3" t="inlineStr">
        <is>
          <t>Fungsi saya punya dua return: pertama di dalam if, kedua di akhir. Untuk input tertentu, kondisi if true. Apakah program akan mengeksekusi return pertama lalu lanjut ke return kedua? Atau stop di return pertama?</t>
        </is>
      </c>
      <c r="E92" s="3" t="inlineStr">
        <is>
          <t>Saya akan menjawab pertanyaan mahasiswa tentang fungsi dengan dua return.
Pertama-tama, perlu ditekankan bahwa fungsi memiliki tujuan utama yaitu mengembalikan nilai yang sesuai dengan kondisi-kondisi tertentu. Dalam kasus ini, fungsi kita memiliki dua return: pertama di dalam if dan kedua di akhir.
Dalam sintaks fungsi, return pertama akan dieksekusi ketika kondisi if benar. Namun, program tidak akan berhenti di situ karena fungsi masih perlu mengeksekusi return kedua. Return kedua hanya akan dieksekusi jika program telah melewati block kode di dalam if.
Dalam contoh yang diberikan, jika input tertentu memenuhi kondisi if, maka return pertama ("A", "B", atau lainnya) akan dieksekusi. Namun, program tidak akan berhenti di situ, melainkan akan lanjut ke block kode berikutnya dan mengeksekusi return kedua.
Dengan demikian, jawaban pada pertanyaan mahasiswa adalah: program akan mengeksekusi return pertama lalu lanjut ke return kedua.</t>
        </is>
      </c>
      <c r="F92" t="n">
        <v>0.7672</v>
      </c>
      <c r="G92" t="n">
        <v>0.1513</v>
      </c>
      <c r="H92" t="b">
        <v>1</v>
      </c>
      <c r="I92" s="3" t="inlineStr">
        <is>
          <t>Dalam bahasa Inggris, fungsi tersebut dikenal sebagai "early returns" atau "short-circuit evaluation". Dalam hal ini, ketika kondisi if true, maka program akan menghentikan eksekusi dan tidak akan mencapai return kedua.
Artinya, jawaban yang paling tepat adalah: Program akan stop di return pertama dan tidak akan lanjut ke return kedua.</t>
        </is>
      </c>
      <c r="J92" t="n">
        <v>0.7387</v>
      </c>
      <c r="K92" t="n">
        <v>0.1698</v>
      </c>
      <c r="L92" t="b">
        <v>1</v>
      </c>
      <c r="M92" t="n">
        <v>0.0285</v>
      </c>
    </row>
    <row r="93">
      <c r="A93" t="n">
        <v>92</v>
      </c>
      <c r="B93" t="inlineStr">
        <is>
          <t>confusion</t>
        </is>
      </c>
      <c r="C93" t="inlineStr">
        <is>
          <t>4TGI</t>
        </is>
      </c>
      <c r="D93" s="3" t="inlineStr">
        <is>
          <t>Fungsi faktorial saya hanya punya base case n==0. Teman bilang harus tambahkan n==1 juga. Tapi hasil faktorial(4) saya tetap 24 tanpa n==1. Apakah n==1 wajib sebagai base case kedua atau tidak?</t>
        </is>
      </c>
      <c r="E93" s="3" t="inlineStr">
        <is>
          <t>Dalam fungsi faktorial, base case adalah kondisi penghentian yang tidak memerlukan pemanggilan diri sendiri lagi. Dalam kasus Anda, n==0 sudah dapat dijadikan sebagai base case karena nilai faktorial 0 secara definitif tidak dipertanyakan.
Teman Anda mungkin mengajukan saran untuk menambahkan n==1 sebagai base case kedua karena beberapa alasan, seperti memastikan fungsi dapat berfungsi dengan benar pada input awal. Namun, dalam kasus ini, nilai faktorial 4 sebenarnya tetap 24 tidak peduli ada atau tidak n==1. Fungsi faktorial hanya memiliki satu definisi yang jelas dan konsisten, yaitu produk dari bilangan natural mulai dari 1 hingga n.
Dalam sintesis, fungsionalitas fungsi faktorial dapat dipertahankan dengan menggunakan base case tunggal n==0. Tidak perlu menambahkan n==1 sebagai base case kedua karena nilai faktorial 4 masih tetap 24 tanpa ada n==1.</t>
        </is>
      </c>
      <c r="F93" t="n">
        <v>0.7595</v>
      </c>
      <c r="G93" t="n">
        <v>0.1863</v>
      </c>
      <c r="H93" t="b">
        <v>1</v>
      </c>
      <c r="I93" s="3" t="inlineStr">
        <is>
          <t>Teman Anda mempunyai argument yang valid. Faktorial (n!) memiliki definisi bahwa jika n adalah bilangan positif, maka faktorialnya adalah hasil kali semua bilangan positif dari 1 sampai n. Jadi, untuk n = 4, faktorialnya seharusnya adalah 4 × 3 × 2 × 1 = 24.
Namun, Anda juga berhak memiliki argumen bahwa kenyataan bahwa n == 0 adalah base case yang cukup untuk fungsi faktorial. Karena, dalam definisi faktorial, jika n == 0 maka hasilnya seharusnya adalah 1 (dalam matematika, 0! = 1).
Jadi, apakah n == 1 wajib sebagai base case kedua? Jawabannya adalah tidak. Fungsi faktorial yang Anda buat masih berfungsi dengan baik tanpa n == 1 sebagai base case, asalkan Anda tetap memenuhi definisi faktorial untuk semua nilai n positif.
Namun, perlu diingat bahwa penambahan base case n == 1 dapat membantu meningkatkan keterbacaan dan keamanan kode Anda, karena itulah bagian dari definisi faktorial yang lebih lengkap. Jadi, jika Anda ingin membuat fungsi faktorial yang lebih umum dan lebih mudah dipahami, maka penambahan base case n == 1 dapat diterima.</t>
        </is>
      </c>
      <c r="J93" t="n">
        <v>0.7526</v>
      </c>
      <c r="K93" t="n">
        <v>0.1608</v>
      </c>
      <c r="L93" t="b">
        <v>1</v>
      </c>
      <c r="M93" t="n">
        <v>0.0069</v>
      </c>
    </row>
    <row r="94">
      <c r="A94" t="n">
        <v>93</v>
      </c>
      <c r="B94" t="inlineStr">
        <is>
          <t>gap</t>
        </is>
      </c>
      <c r="C94" t="inlineStr">
        <is>
          <t>3TAI</t>
        </is>
      </c>
      <c r="D94" s="3" t="inlineStr">
        <is>
          <t>Program saya sudah jalan 5 menit untuk input besar dan belum selesai. Apakah itu infinite loop atau hanya lambat? Bagaimana cara membedakan antara algoritme yang sangat lambat dengan yang benar-benar infinite loop?</t>
        </is>
      </c>
      <c r="E94" s="3" t="inlineStr">
        <is>
          <t>Mahasiswa, saya akan menjelaskan konsep perulangan bersarang (nested loop) dan cara membedakan antara algoritme yang sangat lambat dengan yang benar-benar infinite loop.
Perulangan bersarang adalah kumpulan perulangan yang di dalamnya terdapat perulangan lain. Dalam contoh, kita dapat melihat bahwa perulangan luar (outer loop) akan menyelesaikan seluruh iterasinya dari awal hingga akhir, dan setiap satu kali iterasi perulangan luar akan mempengaruhi kondisi perulangan dalam (inner loop). Oleh karena itu, total iterasi adalah jumlah iterasi perulangan luar kali iterasi perulangan dalam.
Saat membedakan antara algoritme yang sangat lambat dengan yang benar-benar infinite loop, kita harus memperhatikan apakah algoritme tersebut mengubah sesuatu yang mempengaruhi kondisi perulangan. Jika tidak, maka algoritme tersebut akan berada dalam infinite loop. Contoh, jika kita memiliki perulangan seperti `while x &gt; 1 do x = x/2; print(x)`, maka algoritme tersebut akan berada dalam infinite loop karena nilai x tidak akan pernah mencapai nilai 1.
Namun, jika algoritme tersebut mengubah sesuatu yang mempengaruhi kondisi perulangan, maka algoritme tersebut hanya lambat. Contoh, jika kita memiliki perulangan seperti `for i = 1 to n do for j = 1 to n do print(i, j)`, maka algoritme tersebut akan berjalan dalam waktu O(n^2) karena jumlah operasi bertumbuh sebanding dengan nilai n.
Dalam kesimpulan, perulangan bersarang adalah kumpulan perulangan yang di dalamnya terdapat perulangan lain, dan cara membedakan antara algoritme yang sangat lambat dengan yang benar-benar infinite loop adalah dengan memperhatikan apakah algoritme tersebut mengubah sesuatu yang mempengaruhi kondisi perulangan.</t>
        </is>
      </c>
      <c r="F94" t="n">
        <v>0.6859</v>
      </c>
      <c r="G94" t="n">
        <v>0.2042</v>
      </c>
      <c r="H94" t="b">
        <v>1</v>
      </c>
      <c r="I94" s="3" t="inlineStr">
        <is>
          <t>Saya akan menjawab pertanyaan Anda sebaik mungkin.
Dalam program komputer, jika suatu program tidak menyelesaikan input besar dan berlangsung lama (lebih dari 5 menit), namun belum selesai, maka kemungkinan besar itu bukan infinite loop. Infinite loop adalah situasi di mana program terus-menerus menjalankan cycle yang sama tanpa pernah berhenti, sehingga tidak akan pernah selesai.
Jika program Anda lambat tetapi masih dapat menyelesaikan input, maka algoritme tersebut mungkin hanya memerlukan waktu yang lama untuk menyelesaikan tugas, namun bukan infinite loop. Ada beberapa faktor yang dapat menyebabkan program menjadi lambat, seperti:
1. Kompleksitas algoritme: Jika algoritme Anda terlalu kompleks dan memerlukan banyak sumber daya sistem (seperti CPU, RAM, atau disk space), maka program tersebut mungkin akan berlangsung lama.
2. Input besar: Jika input Anda sangat besar, maka program tersebut mungkin akan memerlukan waktu yang lama untuk menyelesaikan tugas.
3. Keterbatasan sumber daya sistem: Jika sistem Anda memiliki keterbatasan sumber daya (seperti RAM atau CPU), maka program tersebut mungkin tidak dapat berjalan dengan cepat.
Untuk membedakan antara algoritme yang sangat lambat dengan yang benar-benar infinite loop, Anda dapat melakukan beberapa hal:
1. Cek jalur logika: Jika Anda melihat bahwa program Anda terus-menerus menjalankan cycle yang sama tanpa pernah berhenti, maka kemungkinan besar itu infinite loop.
2. Cek ketergantungan: Jika program Anda bergantung pada input yang sangat besar, maka kemungkinan besar itu algoritme lambat dan tidak infinite loop.
3. Uji coba: Lakukan beberapa uji coba untuk melihat apakah program Anda dapat menyelesaikan tugas dalam waktu yang wajar. Jika tidak, maka Anda dapat memperbaiki algoritme atau meningkatkan sumber daya sistem.
Dalam kasus Anda, jika program Anda telah berjalan 5 menit dan belum selesai, maka kemungkinan besar itu algoritme lambat dan bukan infinite loop. Namun, untuk memastikan, Anda harus melakukan beberapa langkah untuk membedakan antara keduanya.</t>
        </is>
      </c>
      <c r="J94" t="n">
        <v>0.7861</v>
      </c>
      <c r="K94" t="n">
        <v>0.169</v>
      </c>
      <c r="L94" t="b">
        <v>0</v>
      </c>
      <c r="M94" t="n">
        <v>-0.1002</v>
      </c>
    </row>
    <row r="95">
      <c r="A95" t="n">
        <v>94</v>
      </c>
      <c r="B95" t="inlineStr">
        <is>
          <t>application</t>
        </is>
      </c>
      <c r="C95" t="inlineStr">
        <is>
          <t>3TGR</t>
        </is>
      </c>
      <c r="D95" s="3" t="inlineStr">
        <is>
          <t>Trace rekursif untuk fungsi:
  function f(n): if n&lt;=2 return 1 else return f(n-1)+f(n-2)
Hitung f(6). Saya dapat 11, teman dapat 8. Tolong trace lengkap dan tunjukkan mana yang benar.</t>
        </is>
      </c>
      <c r="E95" s="3" t="inlineStr">
        <is>
          <t>I'd be happy to help you with that!
The problem is related to the recursive function f(n) = if n &lt;= 2 then return 1 else return f(n-1)+f(n-2). The students are asked to calculate f(6).
At first glance, it seems that there's a discrepancy between your answer (11) and your friend's answer (8). Let's dive deeper into the recursive function.
The key concept here is the concept of recursion. A recursive function calls itself repeatedly until it reaches a base case, at which point it starts returning values back up the call stack. In this case, the base case is when n &lt;= 2, in which case the function returns 1.
Now, let's trace the recursive calls for f(6):
f(6) = f(5) + f(4)
= (f(4) + f(3)) + f(4)
= ((f(3) + f(2)) + f(3)) + f(4)
= (((1) + 1) + 1) + 1
= 8
As you can see, the correct answer is indeed 8. The recursive function correctly calculates the 6th Fibonacci number as 8.
To summarize, the key concepts at play here are recursion and the concept of base cases. By tracing the recursive calls, we can arrive at the correct solution for f(6).</t>
        </is>
      </c>
      <c r="F95" t="n">
        <v>0.7479</v>
      </c>
      <c r="G95" t="n">
        <v>0.1939</v>
      </c>
      <c r="H95" t="b">
        <v>1</v>
      </c>
      <c r="I95" s="3" t="inlineStr">
        <is>
          <t>Mari kita trace rekursif fungsi `f(n)` untuk mengetahui nilai `f(6)`:
**Fungsi `f(n)`:**
1. Jika `n` &lt;= 2, maka return 1
2. Jika `n` &gt; 2, maka return `f(n-1) + f(n-2)`
**Trace untuk `f(6)`:**
1. `n = 6`, maka tidak memenuhi syarat `n &lt;= 2`, jadi kita lanjutkan ke langkah 2.
2. Kita tinggal mencari nilai `f(5)` dan `f(4)`.
	* Untuk `f(5)`: `n = 5` juga tidak memenuhi syarat `n &lt;= 2`, maka kita lanjutkan ke langkah 2.
	* Untuk `f(5)`:
		+ `n = 5`, maka tidak memenuhi syarat `n &lt;= 2`, jadi kita lanjutkan ke langkah 2.
		+ Kita tinggal mencari nilai `f(4)` dan `f(3)`.
			- Untuk `f(4)`:
				+ `n = 4`, maka tidak memenuhi syarat `n &lt;= 2`, jadi kita lanjutkan ke langkah 2.
				+ Kita tinggal mencari nilai `f(3)` dan `f(2)`.
					- Untuk `f(3)`:
						+ `n = 3`, maka tidak memenuhi syarat `n &lt;= 2`, jadi kita lanjutkan ke langkah 2.
						+ Kita tinggal mencari nilai `f(2)` dan `f(1)`.
							- Untuk `f(2)`:
								+ `n = 2` memenuhi syarat `n &lt;= 2`, maka return 1
							- Untuk `f(1)`:
								+ `n = 1` memenuhi syarat `n &lt;= 2`, maka return 1
Kita telah mencapai titik terbawah, yaitu mencari nilai `f(2)` dan `f(1)`. Kita dapat melanjutkan kembali ke atas:
* Untuk `f(3)`: `f(3) = f(2) + f(1) = 1 + 1 = 2`
* Untuk `f(4)`: `f(4) = f(3) + f(2) = 2 + 1 = 3`
* Untuk `f(5)`: `f(5) = f(4) + f(3) = 3 + 2 = 5`
* Untuk `f(6)`:
	+ `f(6) = f(5) + f(4) = 5 + 3 = 8`
Jadi, nilai `f(6)` adalah **8**. Temanmu yang menghitung nilai `f(6)` sebagai 11 salah.
Saya harap jawaban ini membantu!</t>
        </is>
      </c>
      <c r="J95" t="n">
        <v>0.754</v>
      </c>
      <c r="K95" t="n">
        <v>0.1599</v>
      </c>
      <c r="L95" t="b">
        <v>1</v>
      </c>
      <c r="M95" t="n">
        <v>-0.0061</v>
      </c>
    </row>
    <row r="96">
      <c r="A96" t="n">
        <v>95</v>
      </c>
      <c r="B96" t="inlineStr">
        <is>
          <t>application</t>
        </is>
      </c>
      <c r="C96" t="inlineStr">
        <is>
          <t>2TGI</t>
        </is>
      </c>
      <c r="D96" s="3" t="inlineStr">
        <is>
          <t>Tulis pseudocode untuk membaca 5 bilangan dari input dan tampilkan nilai terbesarnya. Saya bingung apakah harus simpan semua dulu ke array atau bisa langsung bandingkan satu per satu tanpa menyimpan ke array.</t>
        </is>
      </c>
      <c r="E96" s="3" t="inlineStr">
        <is>
          <t>Mahasiswa!
Pseudocode adalah cara informal untuk menuliskan algoritme atau rancangan program komputer. Dalam materi referensi, pseudocode digunakan untuk mendeskripsikan algoritme secara lebih mudah dan cepat.
Untuk menjawab pertanyaan Anda, mari kita buat pseudocode untuk membaca 5 bilangan dari input dan menampilkan nilai terbesarnya. Kita tidak perlu menyimpan semua bilangan ke array, kita hanya perlu membandingkan satu per satu tanpa menyimpan ke array.
Pseudocode:
```
Input : 5 bilangan
Proses :
  read(bilangan1)
  read(bilangan2)
  read(bilangan3)
  read(bilangan4)
  read(bilangan5)
Nilai terbesar = bilangan1
for setiap bilangan lain dalam [bilangan2, bilangan3, bilangan4, bilangan5] do
  if (bilangan lain &gt; Nilai terbesar) then
    Nilai terbesar = bilangan lain
print(Nilai terbesar)
```
Dalam pseudocode di atas, kita membaca 5 bilangan dari input dan menetapkan nilai terbesar sebagai bilangan pertama. Lalu, kita membandingkan setiap bilangan lain dengan nilai terbesar dan menggantikan jika ditemukan bilangan yang lebih besar. Akhirnya, kita menampilkan nilai terbesar.
Konsep utama dalam pseudocode di atas adalah penggunaan variabel (Nilai terbesar) untuk menyimpan nilai tertentu dan perulangan for untuk membandingkan setiap bilangan lain dengan nilai terbesar.</t>
        </is>
      </c>
      <c r="F96" t="n">
        <v>0.6749000000000001</v>
      </c>
      <c r="G96" t="n">
        <v>0.2113</v>
      </c>
      <c r="I96" s="3" t="inlineStr">
        <is>
          <t>Berikut adalah pseudocode untuk membaca 5 bilangan dari input dan menampilkan nilai terbesarnya:
```
PROSEDUR TAMPIL_NILAI_TERBESAR():
    DEKLARASI:
        n1, n2, n3, n4, n5: integer
        max_nilai: integer
    ALGORITMA:
        // Baca 5 bilangan dari input
        baca(n1)
        baca(n2)
        baca(n3)
        baca(n4)
        baca(n5)
        // Bandingkan nilai-nilai secara langsung tanpa menyimpan ke array
        IF n1 &gt; n2 THEN
            max_nilai = n1
        ELSE
            max_nilai = n2
        IF n3 &gt; max_nilai THEN
            max_nilai = n3
        IF n4 &gt; max_nilai THEN
            max_nilai = n4
        IF n5 &gt; max_nilai THEN
            max_nilai = n5
        // Tampilkan nilai terbesarnya
        tulis("Nilai terbesar adalah:", max_nilai)
    Fungsi:
        baca(x): membaca input dan menyimpan ke variabel x
        tulis(s, x): menulis string s diikuti oleh nilai integer x
```
Dalam pseudocode ini, kami tidak perlu menyimpan semua bilangan ke array. Kami hanya perlu membandingkan setiap bilangan dengan nilai terbesar yang telah ditemukan sebelumnya, sehingga kami dapat langsung menemukan nilai terbesar tanpa harus menyimpan semua bilangan.</t>
        </is>
      </c>
      <c r="J96" t="n">
        <v>0.7774</v>
      </c>
      <c r="K96" t="n">
        <v>0.1447</v>
      </c>
      <c r="L96" t="b">
        <v>1</v>
      </c>
      <c r="M96" t="n">
        <v>-0.1025</v>
      </c>
    </row>
    <row r="97">
      <c r="A97" t="n">
        <v>96</v>
      </c>
      <c r="B97" t="inlineStr">
        <is>
          <t>gap</t>
        </is>
      </c>
      <c r="C97" t="inlineStr">
        <is>
          <t>3TAI</t>
        </is>
      </c>
      <c r="D97" s="3" t="inlineStr">
        <is>
          <t>Di fungsi saya, saya ubah nilai parameter dan berharap nilai aslinya ikut berubah. Tapi setelah fungsi selesai, nilai aslinya tidak berubah. Kenapa perubahan di dalam fungsi tidak mempengaruhi variabel di luar?</t>
        </is>
      </c>
      <c r="E97" s="3" t="inlineStr">
        <is>
          <t>Saya akan menjawab pertanyaan mahasiswa dengan menggunakan istilah teknis yang ada dalam materi referensi.
Perubahan nilai parameter dalam fungsi tidak mempengaruhi variabel di luar karena fungsi hanya memiliki akses kepada nilai parameter yang dikirimkan ke dalamnya. Fungsi tidak dapat mengakses atau mengubah nilai variabel di luar, termasuk nilai aslinya. Hal ini disebabkan oleh karakteristik fungsi sebagai blok kode yang terisolasi dan memiliki return value saja.
Dalam hal ini, kita perlu memahami perbedaan antara parameter dan variabel. Parameter adalah input yang dikirimkan ke dalam fungsi, sedangkan variabel adalah nilai yang didefinisikan di luar fungsi. Fungsi hanya dapat mengakses dan mengubah nilai parameter, tidak termasuk nilai variabel di luar.
Contohnya adalah pada fungsi getMeowSound(berat: int) : string. Fungsi ini memiliki parameter berat yang dikirimkan ke dalamnya, dan return value-nya adalah suara kucing. Namun, nilai aslinya tidak ikut berubah karena hanya parameter yang diakses oleh fungsi.
Dengan demikian, kita harus memahami bahwa fungsi hanya memiliki akses kepada nilai parameter yang dikirimkan ke dalamnya, dan tidak dapat mengakses atau mengubah nilai variabel di luar.</t>
        </is>
      </c>
      <c r="F97" t="n">
        <v>0.6652</v>
      </c>
      <c r="G97" t="n">
        <v>0.2176</v>
      </c>
      <c r="H97" t="b">
        <v>1</v>
      </c>
      <c r="I97" s="3" t="inlineStr">
        <is>
          <t>Hal ini terjadi karena parameter yang Anda ubah adalah nilai lokal dalam fungsi, bukan referensi ke variabel asli di luar fungsi.
Dalam Bahasa Pemrograman, ketika Anda mendefinisikan sebuah fungsi, Anda membuat sebuah scope (ruang lingkungan) baru untuk variabel-variabel yang didefinisikan dalam fungsi. Variabel-variabel tersebut hanya dapat diakses dan diubah dalam scope tersebut.
Jadi, ketika Anda mengubah nilai parameter dalam fungsi, Anda sebenarnya hanya mengubah nilai lokal dalam scope fungsi, bukan referensi ke variabel asli di luar fungsi. Karena itu, perubahan nilai parameter tidak mempengaruhi variabel asli di luar fungsi.
Untuk membuat perubahan pada nilai parameter dapat mempengaruhi variabel asli di luar fungsi, Anda harus menggunakan pointer atau referensi ke variabel asli, sehingga perubahan pada pointer atau referensi tersebut akan mempengaruhi variabel asli. Contoh kode berikut menunjukkan bagaimana Anda dapat membuat perubahan nilai parameter mempengaruhi variabel asli di luar fungsi:
```java
public void ubahNilai(int[] array, int indeks) {
    array[indeks] = 10;
}
public static void main(String[] args) {
    int[] array = {1, 2, 3};
    ubahNilai(array, 0);
    System.out.println(array[0]); // Output: 10
}
```
Dalam contoh kode di atas, fungsi `ubahNilai` mengubah nilai pada array yang disediakan sebagai parameter. Perubahan nilai tersebut mempengaruhi variabel asli (`array`) di luar fungsi, karena fungsi mengakses dan mengubah nilai pada array dengan menggunakan referensi ke array.</t>
        </is>
      </c>
      <c r="J97" t="n">
        <v>0.7679</v>
      </c>
      <c r="K97" t="n">
        <v>0.1509</v>
      </c>
      <c r="L97" t="b">
        <v>1</v>
      </c>
      <c r="M97" t="n">
        <v>-0.1027</v>
      </c>
    </row>
    <row r="98">
      <c r="A98" t="n">
        <v>97</v>
      </c>
      <c r="B98" t="inlineStr">
        <is>
          <t>out_of_scope</t>
        </is>
      </c>
      <c r="C98" t="inlineStr">
        <is>
          <t>4PAR</t>
        </is>
      </c>
      <c r="D98" s="3" t="inlineStr">
        <is>
          <t>Di program saya, kalau user masukkan huruf padahal yang diharapkan angka, program crash. Dosen bilang perlu 'error handling'. Apakah error handling atau exception handling diajarkan di CT? Bagaimana cara menanganinya di pseudocode?</t>
        </is>
      </c>
      <c r="E98" s="3" t="inlineStr">
        <is>
          <t>Saya akan menjawab pertanyaan mahasiswa tentang error handling atau exception handling di CT.
Error handling adalah teknik untuk menangani kesalahan (error) yang terjadi pada saat program berjalan. Dalam Computational Thinking, error handling atau exception handling sangat penting dilakukan untuk memastikan program dapat bekerja dengan baik dan tidak crash ketika user masukkan input yang tidak sesuai dengan yang diharapkan.
Pada dasarnya, error handling adalah proses pengujian dan penanganan kesalahan yang terjadi pada saat program berjalan. Dalam pseudocode, error handling dapat dilakukan menggunakan instruksi khusus seperti "if-else" statement atau "try-catch" block. Contohnya, jika kita memiliki input huruf ketika diharapkan angka, kita dapat menangani kesalahan dengan cara menguji apakah input adalah huruf atau tidak.
Kita dapat menggunakan konvensi penulisan pseudocode untuk mendefinisikan variabel dan instruksi error handling. Contohnya, kita dapat menulis:
```
read(input)
if (input != number) then
  print("Error: Input must be a number!")
else
  // proses lanjutan berdasarkan input yang valid
```
Dalam contoh di atas, kita menggunakan "if-else" statement untuk menguji apakah input adalah huruf atau tidak. Jika input adalah huruf, maka program akan mencetak pesan error dan tidak melanjutkan ke proses lanjutan.
Dengan demikian, error handling atau exception handling sangat penting dilakukan dalam Computational Thinking untuk memastikan program dapat bekerja dengan baik dan tidak crash ketika user masukkan input yang tidak sesuai.</t>
        </is>
      </c>
      <c r="F98" t="n">
        <v>0.7734</v>
      </c>
      <c r="G98" t="n">
        <v>0.1473</v>
      </c>
      <c r="H98" t="b">
        <v>1</v>
      </c>
      <c r="I98" s="3" t="inlineStr">
        <is>
          <t>Iya, error handling atau exception handling adalah konsep yang diajarkan di CT (Computer Science) untuk menghadapi situasi ketika program tidak dapat menyelesaikan tugas seperti biasanya karena terjadi kesalahan atau masalah.
Error handling adalah proses mendeteksi dan menghandle (mengatasi) kesalahan yang terjadi dalam program. Tujuan error handling adalah membuat program menjadi lebih robust dan dapat berfungsi dengan baik meskipun terjadi kesalahan.
Berikut ini adalah contoh cara menanganinya di pseudocode:
```
INPUT: user_input
IF user_input IS NOT A NUMBER
  THEN
    PRINT "Invalid input! Please enter a number."
    ASK FOR INPUT AGAIN
  ELSE
    PROCESS THE NUMBER
END IF
```
Dalam contoh di atas, kita menggunakan kondisi IF untuk memeriksa apakah input dari user adalah angka atau tidak. Jika bukan angka, maka program akan menampilkan pesan error dan minta input lagi. Jika angka, maka program akan melanjutkan dengan proses yang diinginkan.
Namun, perlu diingat bahwa error handling harus dilakukan dengan bijak dan tepat, karena kesalahan yang tidak dihandle dapat menyebabkan program menjadi lebih rumit atau bahkan crash.</t>
        </is>
      </c>
      <c r="J98" t="n">
        <v>0.7734</v>
      </c>
      <c r="K98" t="n">
        <v>0.1473</v>
      </c>
      <c r="M98" t="n">
        <v>0</v>
      </c>
    </row>
    <row r="99">
      <c r="A99" t="n">
        <v>98</v>
      </c>
      <c r="B99" t="inlineStr">
        <is>
          <t>cross_topic</t>
        </is>
      </c>
      <c r="C99" t="inlineStr">
        <is>
          <t>2PGR</t>
        </is>
      </c>
      <c r="D99" s="3" t="inlineStr">
        <is>
          <t>Soal: hari ini Senin. Hari apa 1000 hari dari sekarang? Dosen bilang ini tentang pattern recognition dan modulo. Saya paham modulo tapi tidak tahu bagaimana menghubungkannya dengan hari dalam seminggu.</t>
        </is>
      </c>
      <c r="E99" s="3" t="inlineStr">
        <is>
          <t>Berdasarkan tipe kognitif mahasiswa yang Level 2 Dasar/Pragmatis/Global/Reflektif, saya akan menjelaskan konsep pattern recognition dan modulo dengan menggunakan istilah teknis dan contoh konkret.
Pattern recognition adalah proses menemukan pola atau struktur dalam data atau informasi. Dalam kasus soal ini, kita berhadapan dengan pola yang berubah-ubah antara bebek dan ayam setiap hari. Pola ini dapat ditemukan melalui analisis modulo 2, yaitu jika N mod 2 = 0 maka digit terakhir adalah 6, jika N mod 2 = 1 maka digit terakhir adalah 2. Dengan demikian, kita dapat menemukan pola yang berulang antara bebek dan ayam.
Untuk menjawab soal "Soal: hari ini Senin. Hari apa 1000 hari dari sekarang?", kita perlu menghitung modulo 7 (satu minggu) untuk menemukan pola. Kita dapat melihat bahwa jika N mod 7 = 1 maka digit terakhir adalah bebek, jika N mod 7 = 2 maka digit terakhir adalah ayam, dan seterusnya. Dengan demikian, kita dapat menghitung jumlah total bebek dan ayam hingga mencapai 1000.
Jadi, jawabannya adalah: 171 (hitungan modulo 7).
Dalam penjelasan ini, saya menggunakan istilah teknis seperti pattern recognition, modulo, dan analisis data. Saya juga menggunaka contoh konkret untuk memudahkan pemahaman. Konsep utama yang dibahas adalah pattern recognition dan modulo, serta cara menghubungkannya dengan hari dalam seminggu.</t>
        </is>
      </c>
      <c r="F99" t="n">
        <v>0.7691</v>
      </c>
      <c r="G99" t="n">
        <v>0.1501</v>
      </c>
      <c r="H99" t="b">
        <v>1</v>
      </c>
      <c r="I99" s="3" t="inlineStr">
        <is>
          <t>Karena 7 hari dalam satu minggu, maka kita dapat menggunakan modulo 7 untuk mencari hari ke-1000.
Pertama-tama, kita harus menentukan hari ke-n yang kita inginkan (yaitu, hari ke-1000). Kemudian, kita akan membagi n dengan 7 dan lihat sisa hasil bagi. Sisa tersebut akan menjadi hari ke-n tersebut dalam seminggu.
Contohnya, untuk mencari hari ke-1000, kita dapat menghitung sebagai berikut:
1000 modulo 7 = 5
Jadi, 1000 hari dari sekarang adalah Senin (karena 1 + 2 + 3 + 4 + 5 = 15, dan 15 modulo 7 = 5).
Dalam contoh lainnya, jika kita ingin mencari hari ke-2000, maka:
2000 modulo 7 = 2
Jadi, 2000 hari dari sekarang adalah Rabu (karena 1 + 2 = 3, dan 3 modulo 7 = 2).
Dengan demikian, jawaban untuk soal tersebut adalah: Hari ke-1000 adalah Senin.</t>
        </is>
      </c>
      <c r="J99" t="n">
        <v>0.5149</v>
      </c>
      <c r="K99" t="n">
        <v>0.3153</v>
      </c>
      <c r="L99" t="b">
        <v>0</v>
      </c>
      <c r="M99" t="n">
        <v>0.2542</v>
      </c>
    </row>
    <row r="100">
      <c r="A100" t="n">
        <v>99</v>
      </c>
      <c r="B100" t="inlineStr">
        <is>
          <t>application</t>
        </is>
      </c>
      <c r="C100" t="inlineStr">
        <is>
          <t>3TAR</t>
        </is>
      </c>
      <c r="D100" s="3" t="inlineStr">
        <is>
          <t>Saya diminta buat pseudocode sistem login dengan maksimal 3 percobaan. Lebih dari 3 kali salah, akun terkunci. Saya tidak tahu bagaimana menghitung percobaan dan kapan berhenti.</t>
        </is>
      </c>
      <c r="E100" s="3" t="inlineStr">
        <is>
          <t>Saya senang dapat membantu Anda membuat pseudocode sistem login dengan maksimal 3 percobaan. Pertama-tama, kita perlu memahami konsep dasar dari percabangan (conditionals) dan loop (perulangan). Dalam kasus ini, kita akan menggunakan loop untuk menghitung jumlah percobaan yang dilakukan.
Pseudocode sistem login dengan maksimal 3 percobaan adalah sebagai berikut:
```
Input : username, password
Output : "Login Sukses" atau "Akun Terkunci"
read(username, password)
attempt = 0
while (attempt &lt;= 3) do
  if (verify_username_and_password(username, password)) then
    print("Login Sukses")
    break
  else
    attempt = attempt + 1
    if (attempt == 3) then
      print("Akun Terkunci")
      break
    else
      print("Username atau Password Salah. Coba Lagi!")
end while
```
Dalam pseudocode di atas, kita menggunakan loop `while` untuk menghitung jumlah percobaan yang dilakukan. Kondisi `attempt &lt;= 3` menentukan apakah akun akan terkunci jika lebih dari 3 kali salah. Fungsi `verify_username_and_password` digunakan untuk memverifikasi username dan password yang diinputkan.
Dalam sintaks pseudocode, kita menggunakan istilah teknis seperti "read", "print", "break", dan "while" untuk mendefinisikan algoritme. Kita juga menggunakan konvensi penulisan pseudocode untuk membuat kode mudah dipahami dan dikodekan.
Saya harap pseudocode di atas membantu Anda memahami konsep dasar dari percabangan dan loop dalam sistem login dengan maksimal 3 percobaan.</t>
        </is>
      </c>
      <c r="F100" t="n">
        <v>0.7806</v>
      </c>
      <c r="G100" t="n">
        <v>0.1426</v>
      </c>
      <c r="H100" t="b">
        <v>1</v>
      </c>
      <c r="I100" s="3" t="inlineStr">
        <is>
          <t>Saya akan membantu Anda membuat pseudocode sistem login dengan batas 3 percobaan gagal sebelum akun terkunci. Berikut adalah jawabannya:
**Pseudocode Sistem Login**
1. Mulai dari awal, percobaan = 0
2. Minta pengguna untuk memasukkan username dan password
3. Verifikasi kredensial pengguna:
	* Jika kredensial benar, maka:
		+ Cetak "Login Berhasil" dan berhenti
	* Jika gagal (salah username atau password), maka:
		+ Percobaan = percobaan + 1 (increment)
		+ Cetak "Kredensial Salah, Silakan Coba Lagi"
4. Jika percobaan &gt; 2, maka:
	* Cetak "Akun Terkunci, Silakan Kontak Admin" dan berhenti
5. Kembali ke langkah 2 untuk proses login
**Penjelasan**
* Percobaan adalah variabel yang merekam jumlah kali pengguna mencoba login dengan kredensial yang salah.
* Pada langkah 3, jika pengguna memasukkan kredensial yang salah, maka percobaan akan diincrement menjadi nilai berikutnya (0, 1, atau 2).
* Jika percobaan mencapai nilai 3, maka akun terkunci dan tidak dapat digunakan lagi.
* Dalam pseudocode di atas, tidak ada penjelasan tentang cara menghitung waktu antar percobaan. Anda dapat menambahkan fitur waktu jika diperlukan.</t>
        </is>
      </c>
      <c r="J100" t="n">
        <v>0.7503</v>
      </c>
      <c r="K100" t="n">
        <v>0.1623</v>
      </c>
      <c r="L100" t="b">
        <v>1</v>
      </c>
      <c r="M100" t="n">
        <v>0.0303</v>
      </c>
    </row>
    <row r="101">
      <c r="A101" t="n">
        <v>100</v>
      </c>
      <c r="B101" t="inlineStr">
        <is>
          <t>scenario</t>
        </is>
      </c>
      <c r="C101" t="inlineStr">
        <is>
          <t>5PAR</t>
        </is>
      </c>
      <c r="D101" s="3" t="inlineStr">
        <is>
          <t>Saya mau representasikan peta kota dengan ratusan persimpangan dan ribuan jalan. Setiap jalan punya jarak. Rata-rata setiap persimpangan hanya terhubung ke 4 jalan lain. Mana yang lebih efisien: adjacency matrix atau adjacency list? Dan kenapa?</t>
        </is>
      </c>
      <c r="E101" s="3" t="inlineStr">
        <is>
          <t>Mahasiswa!
Saya akan menjawab pertanyaan Anda dengan menggunakan konsep-konsep dasar Computational Thinking.
Untuk representasikan peta kota dengan ratusan persimpangan dan ribuan jalan, kita memiliki dua opsi: adjacency matrix atau adjacency list. Kedua-duanya memiliki kelebihan dan kekurangannya sendiri.
Adjacency Matrix
----------------
Adjacency matrix adalah representasi graph dalam bentuk matriks boolean, di mana setiap selnya menunjukkan apakah ada hubungan antar node (1) atau tidak (0). Dalam kasus Anda, dengan ratusan persimpangan dan ribuan jalan, adjacency matrix akan memiliki ukuran yang besar dan sulit untuk ditelaah. Namun, adjacency matrix sangat efisien jika kita ingin mencari path terpendek antara dua node.
Adjacency List
----------------
Adjacency list adalah representasi graph dalam bentuk daftar-dari-list, di mana setiap node memiliki daftar kunci yang menunjukkan node-node lain yang terhubung dengan node tersebut. Dalam kasus Anda, adjacency list akan lebih efisien karena kita hanya perlu mencari node-node yang terkait dengan suatu node tanpa harus membandingkan semua node lainnya.
Pilihan Terbaik
-----------------
Dengan mempertimbangkan ukuran data dan operasi yang dibutuhkan, saya sarankan menggunakan adjacency list sebagai representasi peta kota. Karena rata-rata setiap persimpangan hanya terhubung ke 4 jalan lain, adjacency list akan lebih efisien dalam mencari node-node terkait.
Saya harap jawaban ini membantu Anda memahami konsep-konsep dasar Computational Thinking dan membuat pilihan yang tepat untuk representasikan peta kota.</t>
        </is>
      </c>
      <c r="F101" t="n">
        <v>0.7773</v>
      </c>
      <c r="G101" t="n">
        <v>0.1448</v>
      </c>
      <c r="H101" t="b">
        <v>1</v>
      </c>
      <c r="I101" s="3" t="inlineStr">
        <is>
          <t>Pertanyaan Anda sangat menarik! Representasikan peta kota dengan ratusan persimpangan dan ribuan jalan memang memerlukan strategi yang tepat untuk menghandle data tersebut.
Dalam kasus ini, saya merekomendasikan menggunakan adjacency list sebagai representasi peta kota. Berikut alasannya:
1. **Memory Efficiency**: Adjacency list dapat membantu Anda dalam menghemat ruang memory. Karena setiap persimpangan hanya terhubung ke 4 jalan lain (rata-rata), Anda tidak perlu menyimpan semua informasi tentang jalan yang tidak terkait dengan persimpangan tersebut.
2. **Query Efficiency**: Dalam adjacency list, Anda dapat melakukan query lebih cepat dan efisien. Misalnya, jika Anda ingin mengetahui jalan-jalan yang terhubung ke suatu persimpangan, Anda hanya perlu mengakses 4 elemen dalam list yang terkait dengan persimpangan tersebut.
3. **Insertion and Deletion Efficiency**: Dalam adjacency matrix, ketika Anda ingin menambah atau menghapus suatu persimpangan atau jalan, Anda harus mereplace seluruh matrix dengan informasi baru. Dalam adjacency list, Anda hanya perlu memperbarui beberapa elemen dalam list yang terkait dengan persimpangan atau jalan tersebut.
Sebaliknya, adjacency matrix memiliki kelebihan jika:
1. **Matrix Operations**: Jika Anda ingin melakukan operasi matematika pada peta kota, seperti mencari path terpendek antara dua persimpangan, maka adjacency matrix dapat membantu Anda dalam melakukan operasi tersebut lebih cepat dan efisien.
2. **Symmetry**: Adjacency matrix mempunyai sifat simetri, yang berarti bahwa informasi tentang jalan-jalan yang terhubung ke suatu persimpangan juga terkait dengan persimpangan lainnya.
Namun, dalam kasus Anda yang memiliki ratusan persimpangan dan ribuan jalan, saya merekomendasikan menggunakan adjacency list sebagai representasi peta kota. Karena adjacency list lebih efisien dalam menghandle data tersebut, terutama untuk query, insertion, and deletion operations.</t>
        </is>
      </c>
      <c r="J101" t="n">
        <v>0.6554</v>
      </c>
      <c r="K101" t="n">
        <v>0.224</v>
      </c>
      <c r="L101" t="b">
        <v>0</v>
      </c>
      <c r="M101" t="n">
        <v>0.1219</v>
      </c>
    </row>
    <row r="102">
      <c r="A102" t="n">
        <v>101</v>
      </c>
      <c r="B102" t="inlineStr">
        <is>
          <t>application</t>
        </is>
      </c>
      <c r="C102" t="inlineStr">
        <is>
          <t>4PGR</t>
        </is>
      </c>
      <c r="D102" s="3" t="inlineStr">
        <is>
          <t>Soal: tentukan digit terakhir dari 3^100. Saya coba hitung 3^1=3, 3^2=9, 3^3=27, 3^4=81, 3^5=243... Saya lihat ada pola tapi tidak tahu cara formalkan dan aplikasikan ke 3^100.</t>
        </is>
      </c>
      <c r="E102" s="3" t="inlineStr">
        <is>
          <t>Selamat datang, mahasiswa! Kali ini, kita akan membahas tentang Pattern Recognition dengan menggunakan modulo dan siklus.
KONSEP INTI:
Modulo (%) = sisa pembagian. Notasi: a mod b = sisa saat a dibagi b.
Siklus muncul karena modulo menciptakan nilai yang berulang secara periodik.
SIFAT-SIFAT MODULO:
- a mod b menghasilkan nilai di rentang [0, b-1]
- (a + b) mod n = ((a mod n) + (b mod n)) mod n
- (a × b) mod n = ((a mod n) × (b mod n)) mod n
- Jika a mod n = r, maka a = k×n + r un
Pada soal 3, kita diminta untuk menemukan pola dari barisan berikut: 2, 5, 10, 17, 26, ... Dan kita juga diminta untuk menentukan suku ke-10.
Kita dapat melihat bahwa setiap suku meningkat dengan selisih yang bertambah 2. Maka, pola yang kita temukan adalah n² + 1.
Suku ke-10: 10² + 1 = 101
Pada soal 4, kita diminta untuk menemukan jam 00:00 (tengah malam) dengan menggunakan modulo dan siklus. Kita dapat melihat bahwa ada pola deret geometri dengan rasio 2.
Jam 00:00 (tengah malam)
Pada soal 5, kita diminta untuk menemukan bebek pertama yang tidak dapat coklat dari C buah coklat. Kita dapat menggunakan pola deret segitiga n(n+1)/2.
Metode 1 (iterasi):
read(C)
s = 0
b = 1
while s + b &lt;= C do
s = s + b
b = b + 1
print(b)
Metode 2 (rumus — lebih efisien):
read(C)
n = floor((-1 + sqrt(1 + 8*C)) / 2) // inverse dari n(n+1)/2 ≤ C
if n*(n+1)/2 +</t>
        </is>
      </c>
      <c r="F102" t="n">
        <v>0.7225</v>
      </c>
      <c r="G102" t="n">
        <v>0.1804</v>
      </c>
      <c r="H102" t="b">
        <v>1</v>
      </c>
      <c r="I102" s="3" t="inlineStr">
        <is>
          <t>Tentang soal ini, saya akan memberikan penjelasan yang sesuai.
Dalam matematika, kita dapat melihat bahwa digit terakhir dari hasil perkalian 3 dengan suatu eksponen berulang-ulang adalah 7, yaitu:
* 3^1 = 3 (digit terakhir: 3)
* 3^2 = 9 (digit terakhir: 9)
* 3^3 = 27 (digit terakhir: 7)
* 3^4 = 81 (digit terakhir: 1)
* 3^5 = 243 (digit terakhir: 3)
Namun, kita dapat melihat bahwa pola ini tidak terus menerus. Setelah beberapa kali, digit terakhir akan berulang-ulang menjadi 7, 9, 3, 1.
Untuk menentukan digit terakhir dari 3^100, kita dapat menggunakan konsep sisa (modulo) dan sifat eksponen. Karena 10 adalah faktor dari 100, maka kita dapat melihat bahwa:
* 3^2 = 9 (digit terakhir: 9)
* 3^4 = 81 (digit terakhir: 1)
* 3^8 = 6561 (digit terakhir: 1)
* 3^10 = 59049 (digit terakhir: 1)
Dengan demikian, kita dapat melihat bahwa sisa dari perkalian 3 dengan eksponen ganjil adalah 7, sedangkan sisa dari perkalian 3 dengan eksponen genap adalah 1.
Maka, untuk menentukan digit terakhir dari 3^100, kita dapat menghitung:
* 3^2 = 9 (digit terakhir: 9)
* 3^98 = ... (sisa: 1)
* 3^100 = 3^2 × 3^98 × 3^2 (sisa: 7)
Jadi, digit terakhir dari 3^100 adalah 7.</t>
        </is>
      </c>
      <c r="J102" t="n">
        <v>0.6497000000000001</v>
      </c>
      <c r="K102" t="n">
        <v>0.2277</v>
      </c>
      <c r="L102" t="b">
        <v>1</v>
      </c>
      <c r="M102" t="n">
        <v>0.0728</v>
      </c>
    </row>
    <row r="103">
      <c r="A103" t="n">
        <v>102</v>
      </c>
      <c r="B103" t="inlineStr">
        <is>
          <t>confusion</t>
        </is>
      </c>
      <c r="C103" t="inlineStr">
        <is>
          <t>5TAR</t>
        </is>
      </c>
      <c r="D103" s="3" t="inlineStr">
        <is>
          <t>Dosen bilang algoritme binary search O(log n) sangat efisien. Tapi untuk array berisi 8 elemen, binary search butuh log₂(8)=3 langkah, sementara linear search rata-rata butuh 4 langkah. Bedanya tidak jauh. Apakah binary search benar-benar sepadan untuk ukuran data kecil?</t>
        </is>
      </c>
      <c r="E103" s="3" t="inlineStr">
        <is>
          <t>Mahasiswa, algoritme binary search memang memiliki kompleksitas O(log n) yang dianggap sangat efisien untuk input besar. Namun, jika kita lihat pada ukuran data kecil seperti 8 elemen, maka perbedaan antara binary search dan linear search tidak terlalu signifikan.
Dalam materi referensi, dosen menjelaskan bahwa algoritme ideal memiliki pertambahan operasi yang tidak serta merta bertambah signifikan ketika ukuran input bertambah. Dengan demikian, binary search dengan kompleksitas O(log n) masih lebih efisien untuk input besar, tetapi pada ukuran data kecil seperti 8 elemen, linear search rata-rata butuh 4 langkah yang tidak jauh beda dengan 3 langkah yang dibutuhkan oleh binary search.
Jadi, jawaban bagi pertanyaan apakah binary search benar-benar sepadan untuk ukuran data kecil adalah tidak. Binary search masih lebih efisien jika input besar, tetapi pada ukuran data kecil, linear search dapat menjadi pilihan yang lebih efektif.</t>
        </is>
      </c>
      <c r="F103" t="n">
        <v>0.7721</v>
      </c>
      <c r="G103" t="n">
        <v>0.1481</v>
      </c>
      <c r="H103" t="b">
        <v>1</v>
      </c>
      <c r="I103" s="3" t="inlineStr">
        <is>
          <t>Ternyata, pada awalnya, jawaban yang dijawabkan oleh dosen masih relatif benar, karena algoritme binary search memang memiliki kompleksitas waktu O(log n) yang relatif efisien untuk mencari elemen dalam array yang besar. Namun, ketika diterapkan pada ukuran data kecil seperti array berisi 8 elemen, maka perbedaan kompleksitas waktu antara binary search dan linear search menjadi kurang signifikan.
Pada kenyataannya, jika array memiliki ukuran kecil, maka biaya overhead untuk melakukan proses pencarian menggunakan algoritme binary search justru lebih besar dibandingkan dengan biaya overhead untuk melakukan linear search. Oleh karena itu, pada kasus seperti ini, algoritme binary search tidak sepenuhnya sepadan.
Namun, perlu diingat bahwa algoritme binary search memiliki kelebihan lain, seperti dapat menemukan elemen yang dicari dalam waktu konstan untuk array yang disimpan secara terorganisir, seperti array yang telah diurutkan. Oleh karena itu, pada kenyataannya, ketika membuat keputusan tentang menggunakan algoritme binary search atau linear search, maka harus mempertimbangkan juga ukuran data dan aplikasinya dalam konteks tertentu.</t>
        </is>
      </c>
      <c r="J103" t="n">
        <v>0.7741</v>
      </c>
      <c r="K103" t="n">
        <v>0.1468</v>
      </c>
      <c r="L103" t="b">
        <v>1</v>
      </c>
      <c r="M103" t="n">
        <v>-0.002</v>
      </c>
    </row>
    <row r="104">
      <c r="A104" t="n">
        <v>103</v>
      </c>
      <c r="B104" t="inlineStr">
        <is>
          <t>gap</t>
        </is>
      </c>
      <c r="C104" t="inlineStr">
        <is>
          <t>5TGR</t>
        </is>
      </c>
      <c r="D104" s="3" t="inlineStr">
        <is>
          <t>Rekursi itu fungsi yang memanggil dirinya sendiri. Tapi dosen menyebut ada 'rekursi tidak langsung' — fungsi A memanggil B, B memanggil A. Apakah CT mengajarkan rekursi tidak langsung? Dan apakah base case-nya sama dengan rekursi langsung?</t>
        </is>
      </c>
      <c r="E104" s="3" t="inlineStr">
        <is>
          <t>Saya akan menjawab pertanyaan mahasiswa tentang rekursi tidak langsung.
Menurut materi referensi [GT_SUBTOPIK_11_Rekursi.txt], konsep rekursi memanggil dirinya sendiri, memiliki base case dan recursive case. Dalam hal ini, fungsi A memanggil B, dan seterusnya, namun hal ini tidak termasuk dalam definisi rekursi yang diberikan.
Namun, jika kita berbicara tentang rekursi tidak langsung, maka kita dapat melihat bahwa rekursi tidak langsung adalah suatu situasi di mana fungsi A memanggil fungsi B, dan fungsi B memanggil fungsi A kembali. Contoh yang paling mudah untuk memahami rekursi tidak langsung adalah ketika Anda memiliki sebuah program yang memiliki dua fungsi yang saling memanggil dirinya sendiri.
Jadi, jawaban saya adalah bahwa CT tidak secara eksplisit mengajarkan rekursi tidak langsung. Namun, kita dapat melihat bahwa konsep rekursi dapat diterapkan dalam situasi di mana fungsi A dan B memanggil dirinya sendiri, sehingga terciptalah suatu situasi rekursi tidak langsung.
Dalam hal ini, saya ingin menegaskan bahwa untuk mengimplementasikan rekursi tidak langsung, kita harus memiliki kemampuan untuk mengembangkan algoritme yang dapat berhenti pada suatu titik dan tidak terus-menerus memanggil dirinya sendiri. Kita juga harus memiliki kemampuan untuk mengerti bagaimana fungsi A dan B dapat bekerja sama untuk mencapai tujuan akhir.
Dalam penjelasan saya, saya menggunakan istilah teknis yang ada dalam materi referensi di atas, seperti rekursi, base case, dan recursive case. Saya juga menggunakan contoh konkret untuk memahami konsep tersebut.</t>
        </is>
      </c>
      <c r="F104" t="n">
        <v>0.1952</v>
      </c>
      <c r="G104" t="n">
        <v>0.5231</v>
      </c>
      <c r="H104" t="b">
        <v>0</v>
      </c>
      <c r="I104" s="3" t="inlineStr">
        <is>
          <t>Rekursi adalah konsep matematika dan programing yang memungkinkan fungsi memanggil dirinya sendiri secara terus menerus hingga mencapai base case-nya. Dalam rekursi langsung, fungsi hanya memanggil dirinya sendiri tanpa melibatkan fungsi lain.
Namun, dalam kasus rekursi tidak langsung, seperti yang dijelaskan dosen, fungsi A memanggil B dan B memanggil A kembali. Dalam hal ini, kita dapat melihat bahwa rekursi tidak langsung adalah sebuah proses yang terdiri dari panggilan antara dua atau lebih fungsi.
Sebenarnya, CT (Common Tail recursion) mengajarkan konsep rekursi tidak langsung. Rekursi tidak langsung ini seringkali digunakan dalam pembuatan algoritma dan programing untuk mencapai tujuan tertentu.
Dalam hal base case-nya, rekursi tidak langsung memiliki base case yang berbeda dengan rekursi langsung. Dalam rekursi langsung, base case-nya adalah kondisi di mana fungsi tidak memanggil dirinya sendiri lagi dan mencapai akhir. Sementara dalam rekursi tidak langsung, base case-nya dapat berupa kondisi di mana fungsi A atau B tidak memanggil dirinya sendiri lagi dan mencapai akhir.
Dalam sintesis, CT mengajarkan konsep rekursi tidak langsung yang digunakan dalam pembuatan algoritma dan programing. Rekursi tidak langsung memiliki base case-nya yang berbeda dengan rekursi langsung.</t>
        </is>
      </c>
      <c r="J104" t="n">
        <v>0.3021</v>
      </c>
      <c r="K104" t="n">
        <v>0.4536</v>
      </c>
      <c r="L104" t="b">
        <v>1</v>
      </c>
      <c r="M104" t="n">
        <v>-0.1069</v>
      </c>
    </row>
    <row r="105">
      <c r="A105" t="n">
        <v>104</v>
      </c>
      <c r="B105" t="inlineStr">
        <is>
          <t>application</t>
        </is>
      </c>
      <c r="C105" t="inlineStr">
        <is>
          <t>4TGR</t>
        </is>
      </c>
      <c r="D105" s="3" t="inlineStr">
        <is>
          <t>Diberikan barisan: 1, 3, 7, 13, 21, 31. Saya hitung selisihnya: 2, 4, 6, 8, 10 — itu selisih bertingkat pertama. Lalu selisih dari selisih: 2, 2, 2, 2 — konstan. Apa artinya dan bagaimana saya temukan rumus suku ke-n dari barisan aslinya?</t>
        </is>
      </c>
      <c r="E105" s="3" t="inlineStr">
        <is>
          <t>Sebagai tutor Computational Thinking, saya akan menjawab pertanyaan mahasiswa dengan menggunakan konsep utama dari materi referensi.
Pertama-tama, kita perlu memahami pola bilangan deret yang diberikan: 1, 3, 7, 13, 21, 31. Dengan cara menghitung selisihnya, kita mendapatkan selisih bertingkat pertama: 2, 4, 6, 8, 10. Lalu, kita juga perlu menghitung selisih dari selisih untuk menemukan konstan: 2, 2, 2, 2. Artinya, bahwa pola bilangan deret ini memiliki suku ke-n yang berfungsi sebagai penjumlahan bilangan ganjil.
Rumus suku ke-n dapat ditemukan dengan cara menggunakan pola bilangan ganjil: n² + 1. Jadi, untuk menemukan rumus suku ke-n dari barisan aslinya, kita perlu menghitung suku ke-10. Berdasarkan rumus yang ditemukan, suku ke-10 adalah 101.
Dalam penjelasan ini, saya menggunakan istilah teknis seperti "pola bilangan deret", "selisih bertingkat pertama", dan "konstan" untuk menjelaskan konsep utama. Saya juga menggunakan contoh konkret untuk memudahkan pemahaman.</t>
        </is>
      </c>
      <c r="F105" t="n">
        <v>0.6415999999999999</v>
      </c>
      <c r="G105" t="n">
        <v>0.233</v>
      </c>
      <c r="H105" t="b">
        <v>1</v>
      </c>
      <c r="I105" s="3" t="inlineStr">
        <is>
          <t>Pertanyaan ini terkait dengan teori barisan bilangan. Dari analisis yang dilakukan, kita dapat menemukan bahwa barisan asli memiliki perbedaan antar dua suku yang konstan, yaitu 2.
Artinya, setiap suku ke-n dalam barisan asli berbeda dengan suku sebelumnya sebanyak 2. Dalam notasi matematika, ini dapat diwakili sebagai:
an = an-1 + 2
Rumus suku ke-n dari barisan asli adalah an = (n^2 + n)/2.
Mengapa demikian? Kita dapat menemukan rumus tersebut dengan cara menghitung perbedaan antar dua suku secara berulang. Misalnya, untuk menemukan perbedaan antara suku ke-1 dan suku ke-3, kita dapat menghitung:
Suku ke-1 = 1
Suku ke-3 = 7
Perbedaan antara suku ke-1 dan suku ke-3 adalah: 7 - 1 = 6
Kemudian, untuk menemukan perbedaan antara suku ke-3 dan suku ke-5, kita dapat menghitung:
Suku ke-3 = 7
Suku ke-5 = 21
Perbedaan antara suku ke-3 dan suku ke-5 adalah: 21 - 7 = 14
Lalu, kita dapat melihat bahwa perbedaan antar dua suku menjadi konstan, yaitu 2. Dengan demikian, kita dapat menemukan rumus suku ke-n dengan cara memanipulasi perbedaan antar dua suku tersebut.
Jadi, untuk menemukan suku ke-n dari barisan asli, kita hanya perlu menghitung (n^2 + n)/2.</t>
        </is>
      </c>
      <c r="J105" t="n">
        <v>0.7518</v>
      </c>
      <c r="K105" t="n">
        <v>0.1613</v>
      </c>
      <c r="L105" t="b">
        <v>1</v>
      </c>
      <c r="M105" t="n">
        <v>-0.1102</v>
      </c>
    </row>
    <row r="106">
      <c r="A106" t="n">
        <v>105</v>
      </c>
      <c r="B106" t="inlineStr">
        <is>
          <t>confusion</t>
        </is>
      </c>
      <c r="C106" t="inlineStr">
        <is>
          <t>3PAR</t>
        </is>
      </c>
      <c r="D106" s="3" t="inlineStr">
        <is>
          <t>Saya lihat di kode server web ada while(true) yang jalan terus tanpa henti. Kata saya itu infinite loop dan harus diperbaiki. Tapi kata teman itu sengaja. Apakah while(true) selalu berarti bug?</t>
        </is>
      </c>
      <c r="E106" s="3" t="inlineStr">
        <is>
          <t>Saya akan menjawab pertanyaan mahasiswa dengan menggunakan istilah teknis yang ada dalam materi referensi.
Pertama, perlu diperjelas bahwa while(true) tidak selalu berarti bug. Kondisi dievaluasi SEBELUM body dijalankan, jadi jika kondisi False sejak awal, maka body tidak akan pernah dijalankan. Namun, jika kondisi tidak pernah False, maka infinite loop terjadi (hindari!).
Kedua, while(true) dapat digunakan secara sengaja untuk mencapai tujuan tertentu. Contohnya, dalam pengembangan aplikasi mobile, kita mungkin ingin membuat aplikasi yang berjalan terus-menerus untuk mengumpulkan data atau melakukan proses lainnya.
Jadi, tidak seluruh while(true) berarti bug. Kita perlu memeriksa kondisi dan tujuan aplikasinya sebelum menyimpulkan bahwa while(true) adalah infinite loop yang harus diperbaiki.
Dengan demikian, saya menyarankan agar mahasiswa jangan terburu-buru dalam menggolongkan while(true) sebagai bug tanpa memeriksa kondisinya lebih lanjut. Sebagai gantinya, kita dapat menggunakan istilah "loop berbasis nilai" untuk deskripsikan jenis loop yang tidak memiliki batas pengulangan yang jelas.</t>
        </is>
      </c>
      <c r="F106" t="n">
        <v>0.7867</v>
      </c>
      <c r="G106" t="n">
        <v>0.1686</v>
      </c>
      <c r="I106" s="3" t="inlineStr">
        <is>
          <t>Tidak, tidak semua while(true) berarti bug! Dalam beberapa kasus, penggunaan while(true) dapat dimaksudkan sebagai sintaks sengaja untuk membuat program berjalan secara terus-menerus atau melakukan suatu tugas yang harus dilakukan tanpa henti.
Contohnya, dalam aplikasi real-time seperti sistem monitoring, while(true) dapat digunakan untuk memantau dan mengupdate data secara terus-menerus. Dalam kasus lain, while(true) dapat digunakan sebagai loop utama untuk membuat program berjalan secara konstan dan tidak berhenti.
Namun, dalam beberapa kasus, penggunaan while(true) tanpa henti dapat berarti bug atau error, seperti ketika program tidak memiliki cara untuk berhenti atau keluar dari loop. Oleh karena itu, perlu diperhatikan konteks dan tujuan penggunaan while(true) dalam kode program.
Jadi, sebelum mengatakan bahwa while(true) adalah bug, kita harus memahami konteks dan tujuan penggunaan sintaks tersebut dalam kode program.</t>
        </is>
      </c>
      <c r="J106" t="n">
        <v>0.7532</v>
      </c>
      <c r="K106" t="n">
        <v>0.1604</v>
      </c>
      <c r="L106" t="b">
        <v>1</v>
      </c>
      <c r="M106" t="n">
        <v>0.0335</v>
      </c>
    </row>
    <row r="107">
      <c r="A107" t="n">
        <v>106</v>
      </c>
      <c r="B107" t="inlineStr">
        <is>
          <t>cross_topic</t>
        </is>
      </c>
      <c r="C107" t="inlineStr">
        <is>
          <t>3PGR</t>
        </is>
      </c>
      <c r="D107" s="3" t="inlineStr">
        <is>
          <t>Di soal abstraksi, dosen minta saya identifikasi PROBLEM, GOAL, BATASAN, dan DATA. Saya bingung bedanya PROBLEM dengan GOAL — keduanya terasa seperti 'apa yang mau dicapai'. Bisa jelaskan perbedaannya dengan contoh?</t>
        </is>
      </c>
      <c r="E107" s="3" t="inlineStr">
        <is>
          <t>Saya senang membantu Anda dalam menjawab pertanyaan tersebut.
Pertama-tama, perlu kita pahami bahwa PROBLEM dan GOAL memiliki perbedaan yang signifikan. PROBLEM adalah situasi atau kondisi yang tidak sesuai dengan ekspektasi, sedangkan GOAL adalah tujuan yang ingin dicapai untuk menyelesaikan PROBLEM.
Contoh yang dapat membantu memahami perbedaan ini adalah sebagai berikut: jika Anda memiliki mobil yang rusak dan tidak bisa dijalankan, maka PROBLEM adalah kondisi mobil rusak, sedangkan GOAL adalah mendapatkan mobil yang siap digunakan kembali. Dalam kasus ini, PROBLEM adalah masalah yang harus dipecahkan, sementara GOAL adalah tujuan yang ingin dicapai untuk menyelesaikan PROBLEM.
Dengan kata lain, PROBLEM adalah kondisi yang tidak sesuai dengan ekspektasi, sedangkan GOAL adalah apa yang Anda inginkan untuk mencapai. Dalam situasi abstraksi, kita harus dapat mengidentifikasi PROBLEM dan GOAL dengan jelas sehingga kita dapat membuat keputusan yang tepat untuk menyelesaikan PROBLEM.
Dengan demikian, saya harapkan Anda dapat memahami perbedaan antara PROBLEM dan GOAL.</t>
        </is>
      </c>
      <c r="F107" t="n">
        <v>0.6393</v>
      </c>
      <c r="G107" t="n">
        <v>0.2345</v>
      </c>
      <c r="H107" t="b">
        <v>1</v>
      </c>
      <c r="I107" s="3" t="inlineStr">
        <is>
          <t>Saya senang membantu!
Pertama-tama, mari kita identifikasi kata-kata tersebut dalam konteks abstraksi:
1. **PROBLEM**: Dalam konteks abstraksi, problem referensi ke kondisi atau situasi yang tidak sesuai dengan ekspektasi, kebutuhan, atau tujuan. Problem dapat berupa masalah sosial, lingkungan, teknis, atau lainnya.
2. **GOAL** (atau Tujuan): Goal menunjukkan apa yang ingin dicapai atau diraih sebagai hasil dari abstraksi. Goal biasanya lebih spesifik dan jelas daripada problem.
Contoh:
Problem: "Keterlambatan pelajar di SMP X meningkat drastis dalam beberapa bulan terakhir" (kondisi tidak sesuai)
Goal: "Meningkatkan kehadiran pelajar di SMP X menjadi 90% dalam enam bulan ke depan dengan menggunakan strategi motivasi dan pengawasan" (apa yang ingin dicapai)
Perbedaan utama antara problem dan goal adalah:
* Problem lebih fokus pada kondisi sekarang, sedangkan goal lebih fokus pada hasil yang diinginkan di masa depan.
* Problem biasanya lebih umum dan tidak jelas, sementara goal lebih spesifik dan jelas.
* Problem dapat berupa masalah sosial, lingkungan, atau teknis, sedangkan goal lebih terkait dengan tujuan dan sasaran.
Dalam konteks abstraksi, Anda harus mengidentifikasi problem sebelum menentukan goal. Goal haruslah logis dan sesuai dengan problem yang dihadapi.
Untuk bagian **BATASAN**, Batasan referensi ke keterbatasan atau situasi yang mempengaruhi kemampuan Anda untuk mencapai goal. Contoh: "Keterbatasan anggaran" atau "Keterbatasan sumber daya manusia".
Terakhir, **DATA** referensi ke informasi yang diperlukan untuk mendukung argumentasi dan tujuan abstraksi. Contoh: "Data keterlambatan pelajar", "Data prestasi siswa", atau "Data kemampuan guru".
Saya harap jawaban ini membantu Anda memahami perbedaan antara problem, goal, batasan, dan data dalam konteks abstraksi!</t>
        </is>
      </c>
      <c r="J107" t="n">
        <v>0.4194</v>
      </c>
      <c r="K107" t="n">
        <v>0.3774</v>
      </c>
      <c r="L107" t="b">
        <v>0</v>
      </c>
      <c r="M107" t="n">
        <v>0.2199</v>
      </c>
    </row>
    <row r="108">
      <c r="A108" t="n">
        <v>107</v>
      </c>
      <c r="B108" t="inlineStr">
        <is>
          <t>application</t>
        </is>
      </c>
      <c r="C108" t="inlineStr">
        <is>
          <t>3PAI</t>
        </is>
      </c>
      <c r="D108" s="3" t="inlineStr">
        <is>
          <t>Tugas: buat pseudocode untuk menampilkan semua faktor bilangan n. Contoh: faktor dari 12 adalah 1, 2, 3, 4, 6, 12. Saya tidak tahu harus loop sampai n atau ada cara lebih efisien.</t>
        </is>
      </c>
      <c r="E108" s="3" t="inlineStr">
        <is>
          <t>Mahasiswa, selamat bertugas! Kita akan membuat pseudocode untuk menampilkan semua faktor bilangan n.
Pertama-tama, kita perlu memahami konsep percabangan dalam algoritme. Percabangan adalah struktur kontrol yang memungkinkan algoritme untuk mengambil keputusan dan menjalankan blok instruksi yang berbeda bergantung pada kondisi tertentu.
Dalam kasus ini, kita akan membuat pseudocode untuk menampilkan semua faktor bilangan n. Kita dapat menggunakan loop untuk melakukan iterasi dari 1 hingga n, dan dalam setiap iterasi, kita akan cek apakah bilangan tersebut adalah faktor n atau tidak. Jika i adalah faktor n, maka kita akan mencatatnya dan teruskan loop.
Berikut pseudocode-nya:
Input: bilangan bulat positif n
Output: daftar semua faktor n
  read(n)
  for i dari 1 hingga n do
    if (n mod i == 0) then
      print(i)  // mencatat faktor n
  end
Contoh: faktor dari 12 adalah 1, 2, 3, 4, 6, 12.
Dalam pseudocode di atas, kita menggunakan loop untuk melakukan iterasi dari 1 hingga n. Dalam setiap iterasi, kita cek apakah bilangan tersebut adalah faktor n atau tidak dengan menggunakan operator modulus (mod). Jika i adalah faktor n, maka kita akan mencatatnya dan teruskan loop.
Saya harap pseudocode di atas dapat membantu Anda dalam membuat program untuk menampilkan semua faktor bilangan n. Selamat coding!</t>
        </is>
      </c>
      <c r="F108" t="n">
        <v>0.6735</v>
      </c>
      <c r="G108" t="n">
        <v>0.2122</v>
      </c>
      <c r="I108" s="3" t="inlineStr">
        <is>
          <t>Berikut adalah pseudocode untuk menampilkan semua faktor bilangan n:
```
Prosedur TampilFaktor(n)
  Mula
    i = 1
  Selama i &lt;= n
    Jika n mod i = 0 (i.e., n dibagi i tanpa sisa)
      Cetak i sebagai faktor n
    Tingkatkan i dengan 1
  Akhir
Contoh:
TampilFaktor(12)
  Mula
    i = 1
  Selama i &lt;= 12
    Jika 12 mod i = 0 (i.e., 12 dibagi i tanpa sisa)
      Cetak i sebagai faktor 12
    Tingkatkan i dengan 1
  Akhir
Output:
1, 2, 3, 4, 6, 12
```
Cara kerja pseudocode ini adalah dengan menggunakan loop yang berulang (iterate) dari i = 1 sampai i &lt;= n. Dalam setiap iterasi, program akan cek apakah n dapat dibagi tanpa sisa oleh nilai i. Jika dapat, maka nilai i ditampilkan sebagai faktor n.
Cara ini lebih efisien daripada looping sampai n karena hanya perlu mencoba nilai i yang dapat membagi n tanpa sisa.</t>
        </is>
      </c>
      <c r="J108" t="n">
        <v>0.7655999999999999</v>
      </c>
      <c r="K108" t="n">
        <v>0.1524</v>
      </c>
      <c r="L108" t="b">
        <v>1</v>
      </c>
      <c r="M108" t="n">
        <v>-0.0921</v>
      </c>
    </row>
    <row r="109">
      <c r="A109" t="n">
        <v>108</v>
      </c>
      <c r="B109" t="inlineStr">
        <is>
          <t>scenario</t>
        </is>
      </c>
      <c r="C109" t="inlineStr">
        <is>
          <t>5PAR</t>
        </is>
      </c>
      <c r="D109" s="3" t="inlineStr">
        <is>
          <t>Saya diminta desain penyimpanan data nilai 500 mahasiswa untuk 10 mata kuliah. Dosen minta saya pakai abstraksi dulu sebelum tentukan struktur data. Dari perspektif CT, bagaimana proses abstraksi dan apa struktur data yang tepat?</t>
        </is>
      </c>
      <c r="E109" s="3" t="inlineStr">
        <is>
          <t>Saya akan menjawab pertanyaan mahasiswa dengan menggunakan konsep Computational Thinking (CT) dan referensi materi yang diberikan.
Pertama-tama, saya harus melakukan abstraksi terhadap data nilai 500 mahasiswa untuk 10 mata kuliah. Abstraksi adalah proses mengidentifikasi pola atau karakteristik yang relevan dalam data dan menemukan konsep dasar yang dapat membantu memahami data tersebut.
Dalam kasus ini, saya akan melakukan abstraksi terhadap data nilai dengan mencari pola-pola dan karakteristik berikut:
1. Data nilai adalah koleksi nilai-nilai yang terkait dengan 500 mahasiswa.
2. Setiap nilai memiliki keterkaitan dengan 10 mata kuliah.
3. Data nilai ini memerlukan manipulasi massal untuk menganalisis dan menggabungkan data.
Dari perspektif CT, struktur data yang tepat untuk menyimpan data nilai adalah LIST (ARRAY / SEQUENCE OF VALUES). Struktur data LIST dapat menampung sekumpulan nilai secara berurutan di bawah satu nama variabel. Dalam kasus ini, saya dapat menggunakan nama variabel "nilai" dan memberikan indeks posisi kepada setiap nilai.
Dengan menggunakan struktur data LIST, saya dapat melakukan manipulasi data massal dengan mudah, seperti menghitung rata-rata nilai, mencari nilai tertinggi atau terendah, dan lain-lain. Selain itu, LIST juga memungkinkan saya untuk memanipulasi data secara berurutan, seperti menghitung jumlah nilai mahasiswa untuk setiap mata kuliah.
Dalam kesimpulan, proses abstraksi dan desain penyimpanan data nilai 500 mahasiswa untuk 10 mata kuliah dapat dilakukan dengan menggunakan konsep Computational Thinking (CT) dan struktur data LIST.</t>
        </is>
      </c>
      <c r="F109" t="n">
        <v>0.7833</v>
      </c>
      <c r="G109" t="n">
        <v>0.1409</v>
      </c>
      <c r="H109" t="b">
        <v>1</v>
      </c>
      <c r="I109" s="3" t="inlineStr">
        <is>
          <t>Dalam konteks Computer Science (CT), proses abstraksi berupa langkah-langkah sebagai berikut:
1. Analisis Requirements: Identifikasi kebutuhan dosen, yaitu menyimpan nilai 500 mahasiswa untuk 10 mata kuliah.
2. Identifikasi Conceptual Classes: Jelaskan konsep-konsep yang relevan dalam masalah ini, seperti:
	* Mahasiswa
	* Mata Kuliah
	* Nilai
3. Abstraksi Data dan Proses: Identifikasi atribut-atribut yang diperlukan untuk masing-masing konsep dan proses-proses yang terjadi, seperti:
	* Mahasiswa: Nama, Nim, dan ID
	* Mata Kuliah: Kode,Nama, dan Semester
	* Nilai: Nama Mata Kuliah, Nilai, dan Tahun Ajaran
Struktur data yang tepat untuk menyimpan data nilai 500 mahasiswa untuk 10 mata kuliah adalah menggunakan bentuk data yang disebut "Relational Database" atau "Database Relasional".
Struktur data dapat didefinisikan sebagai berikut:
* Table Mahasiswa (table): memiliki atribut-atribut seperti Nama, Nim, dan ID.
* Table Mata Kuliah (table): memiliki atribut-atribut seperti Kode, Nama, dan Semester.
* Table Nilai (table): memiliki atribut-atribut seperti Nama Mata Kuliah, Nilai, dan Tahun Ajaran.
Dalam bentuk data Relational Database, masing-masing record dalam table-nilai dapat dihubungkan menggunakan kunci asing (foreign key), sehingga memudahkan proses pengambilan data dan analisis.</t>
        </is>
      </c>
      <c r="J109" t="n">
        <v>0.4104</v>
      </c>
      <c r="K109" t="n">
        <v>0.3832</v>
      </c>
      <c r="L109" t="b">
        <v>1</v>
      </c>
      <c r="M109" t="n">
        <v>0.3729</v>
      </c>
    </row>
    <row r="110">
      <c r="A110" t="n">
        <v>109</v>
      </c>
      <c r="B110" t="inlineStr">
        <is>
          <t>out_of_scope</t>
        </is>
      </c>
      <c r="C110" t="inlineStr">
        <is>
          <t>6PAI</t>
        </is>
      </c>
      <c r="D110" s="3" t="inlineStr">
        <is>
          <t>Saya butuh cari nama mahasiswa dari NIM-nya dengan cepat O(1). Di Python saya pakai dictionary. Apakah dictionary diajarkan di CT? Kalau tidak, struktur data apa dari CT yang bisa mencapai pencarian O(1)?</t>
        </is>
      </c>
      <c r="E110" s="3" t="inlineStr">
        <is>
          <t>Saya dapat membantu menjawab pertanyaan mahasiswa. Berdasarkan materi referensi, saya menemukan bahwa struktur data Tree sangat cocok untuk mencari nama mahasiswa berdasarkan NIM-nya dengan waktu O(1). 
Tree adalah struktur data yang sesuai untuk mencapai pencarian O(1) karena setiap kemungkinan langkah bercabang secara hierarkis dari kondisi papan saat ini. Dengan menggunakan Tree, kita dapat membuat sebuah node untuk setiap nama mahasiswa dan NIM-nya, sehingga pencarian O(1) menjadi lebih cepat dan efisien.
Namun, perlu diingat bahwa dictionary juga dapat digunakan untuk mencari nama mahasiswa berdasarkan NIM-nya dengan waktu O(1). Namun, dalam materi referensi tidak ada contoh penggunaan dictionary, jadi saya hanya menjelaskan tentang Tree sebagai solusi.</t>
        </is>
      </c>
      <c r="F110" t="n">
        <v>0.528</v>
      </c>
      <c r="G110" t="n">
        <v>0.3368</v>
      </c>
      <c r="H110" t="b">
        <v>1</v>
      </c>
      <c r="I110" s="3" t="inlineStr">
        <is>
          <t>Jawaban pertanyaan Anda adalah sebagai berikut:
Pertama, pada dasarnya, penggunaan dictionary untuk mencari nama mahasiswa dengan cepat (O(1)) di Python memang benar dan efektif.
Namun, jika kita ingin mengetahui apakah struktur data tersebut diajarkan di CT (Computational Thinking), maka jawabannya adalah tidak. Komputasi yang diajar dalam CT lebih fokus pada algoritma, pemrograman, dan logika, namun tidak secara khusus membahas tentang dictionary atau struktur data lainnya.
Sebagai ganti, di CT, kita dapat menggunakan struktur data lain yang memungkinkan pencarian O(1), seperti:
* Hash Table: Struktur data yang mirip dengan dictionary, namun dengan cara kerja yang lebih rumit dan lebih efisien dalam mencari nilai berdasarkan kunci.
* Trie (Pohon Coba): Struktur data yang digunakan untuk mencari string atau substring dengan cepat. Pada dasarnya, trie memungkinkan pencarian O(1) karena setiap node pada pohon memiliki hanya satu anak.
* Bitap: Struktur data yang digunakan untuk mencari nilai berdasarkan kunci dengan menggunakan bit manipulation. Bitap dapat mencapai pencarian O(1) karena proses pencarian berbasis bit.
Dalam CT, Anda juga dapat belajar tentang cara membuat struktur data sendiri yang sesuai dengan kebutuhan Anda, seperti struktur data yang memungkinkan pencarian O(1) dan lain-lain.</t>
        </is>
      </c>
      <c r="J110" t="n">
        <v>0.4152</v>
      </c>
      <c r="K110" t="n">
        <v>0.3801</v>
      </c>
      <c r="L110" t="b">
        <v>1</v>
      </c>
      <c r="M110" t="n">
        <v>0.1128</v>
      </c>
    </row>
    <row r="111">
      <c r="A111" t="n">
        <v>110</v>
      </c>
      <c r="B111" t="inlineStr">
        <is>
          <t>cross_topic</t>
        </is>
      </c>
      <c r="C111" t="inlineStr">
        <is>
          <t>6TGR</t>
        </is>
      </c>
      <c r="D111" s="3" t="inlineStr">
        <is>
          <t>Saya diminta rancang algoritme sederhana untuk mengurutkan dan mencari nama mahasiswa dari file yang berisi 1000 data. Dosen minta saya tunjukkan: (1) abstraksi masalah, (2) dekomposisi langkah, (3) pola yang dikenali, (4) algoritme yang dipilih beserta alasannya.</t>
        </is>
      </c>
      <c r="E111" s="3" t="inlineStr">
        <is>
          <t>Berikut adalah rancangan algoritme sederhana untuk mengurutkan dan mencari nama mahasiswa dari file yang berisi 1000 data:
Abstraksi Masalah:
Pengumpulan dan pengurutan data mahasiswa dari file yang berisi 1000 data.
Dekomposisi Langkah:
1. Baca file dan simpan data ke dalam variabel.
2. Dekomposisi data menjadi struktur data yang sesuai, yaitu List atau Array.
3. Mengekstrak nama mahasiswa dari setiap data dan menyimpannya ke dalam list lain.
Pola yang Dikenali:
Data terorganisir sebagai list/array dengan 1000 elemen, masing-masing elemen berisi informasi mahasiswa termasuk nama.
Algoritme yang Dipilih: Sorting Algorithm (Algoritme Pengurutan)
Pemilihan Algoritme: Menggunakan algoritme pengurutan karena tujuan adalah mengurutkan data secara efisien dan sesuai dengan struktur data yang digunakan. Algoritme pengurutan juga membantu mencari nama mahasiswa secara cepat dan efektif.
Rangkuman: Dalam algoritme sederhana ini, kita menggunakan dekomposisi untuk membagi masalah menjadi sub-masalah yang lebih kecil, kemudian menggunakan algoritme pengurutan untuk mengurutkan data mahasiswa dan mencari nama.</t>
        </is>
      </c>
      <c r="F111" t="n">
        <v>0.6521</v>
      </c>
      <c r="G111" t="n">
        <v>0.2261</v>
      </c>
      <c r="H111" t="b">
        <v>1</v>
      </c>
      <c r="I111" s="3" t="inlineStr">
        <is>
          <t>Saya akan menjawab pertanyaan tersebut sebaik mungkin.
**Abstraksi Masalah**
Masalahnya adalah: Rancang algoritme untuk mengurutkan dan mencari nama mahasiswa dari file yang berisi 1000 data. File tersebut memuat informasi nama, nim, dan lain-lain tentang mahasiswa. Dosen meminta saya menunjukkan cara mengurutkan data dan mencari nama mahasiswa dengan efektif dan efisien.
**Dekomposisi Langkah**
Untuk menyelesaikan masalah ini, saya akan melakukan beberapa langkah sebagai berikut:
1. Baca file yang berisi 1000 data.
2. Mengurutkan data dalam file secara ascending atau descending berdasarkan nama mahasiswa.
3. Mencari nama mahasiswa tertentu dari dalam file.
**Pola yang Dikenali**
Dalam file, saya akan menemukan pola sebagai berikut:
* Setiap baris dalam file memuat informasi nama, nim, dan lain-lain tentang mahasiswa.
* Nama mahasiswa terdiri atas karakter huruf ( alphabet ) dan spasi.
**Algoritme yang Dipilih beserta Alasannya**
Saya akan menggunakan algoritme berikut untuk menyelesaikan masalah ini:
1. **Sorting Algorithm**: Saya akan menggunakan algoritme pengurutan ascending atau descending berdasarkan nama mahasiswa. Algoritme yang saya pilih adalah QuickSort karena memiliki waktu eksekusi yang relatif cepat dan efisien.
2. **Search Algorithm**: Saya akan menggunakan algoritme pencarian linear (Linear Search) untuk mencari nama mahasiswa tertentu dari dalam file. Algoritme ini dipilih karena data tidak terlalu besar dan hanya perlu melakukan pencarian sekali.
**Kode Pemrograman**
Berikut adalah contoh kode pemrograman dalam Bahasa Indonesia yang menggunakan algoritme QuickSort untuk mengurutkan data dan Linear Search untuk mencari nama mahasiswa:
```c
#include &lt;stdio.h&gt;
#include &lt;stdlib.h&gt;
// Struct untuk merepresentasikan data mahasiswa
typedef struct {
    char nama[30];
    int nim;
} DataMahasiswa;
// Fungsi pengurutan QuickSort
void quicksort(DataMahasiswa *data, int left, int right) {
    if (left &gt;= right) return;
    int pivot = partition(data, left, right);
    quicksort(data, left, pivot-1);
    quicksort(data, pivot+1, right);
}
// Fungsi partisi untuk QuickSort
int partition(DataMahasiswa *data, int left, int right) {
    DataMahasiswa pivot = data[right];
    int i = left - 1;
    for (int j = left; j &lt; right; j++) {
        if (strcmp(data[j].nama, pivot.nama) &lt;= 0) {
            i++;
            swap(&amp;data[i], &amp;data[j]);
        }
    }
    swap(&amp;data[i+1], &amp;data[right]);
    return i+1;
}
// Fungsi swap untuk swaping dua elemen
void swap(DataMahasiswa *a, DataMahasiswa *b) {
    DataMahasiswa temp = *a;
    *a = *b;
    *b = temp;
}
int main() {
    // Baca file yang berisi 1000 data
    FILE *file = fopen("data.txt", "r");
    if (file == NULL) return -1;
    // Membuat array untuk menyimpan data mahasiswa
    DataMahasiswa *data = malloc(1000 * sizeof(DataMahasiswa));
    // Baca data mahasiswa dari file dan simpan ke dalam array
    for (int i = 0; i &lt; 1000; i++) {
        fscanf(file, "%s %d", data[i].nama, &amp;data[i].nim);
    }
    // Mengurutkan data mahasiswa menggunakan QuickSort
    quicksort(data, 0, 999);
    // Mencari nama mahasiswa tertentu dari dalam file
    char targetNama[30];
    printf("Masukkan nama mahasiswa yang ingin dicari: ");
    fgets(targetNama, sizeof(targetNama), stdin);
    int found = linearSearch(data, 1000, targetNama);
    if (found != -1) {
        printf("Nama mahasiswa '%s' ditemukan pada index %d\n", targetNama, found);
    } else {
        printf("Nama mahasiswa '%s' tidak ditemukan\n", targetNama);
    }
    // Tidak lupa mengembalikan memory yang dialokasikan
    free(data);
    return 0;
}
```
Dalam kode di atas, saya menggunakan fungsi `quicksort` untuk mengurutkan data mahasiswa dan fungsi `linearSearch` untuk mencari nama mahasiswa tertentu. Kedua fungsi tersebut digunakan dalam program utama untuk memproses file yang berisi 1000 data.</t>
        </is>
      </c>
      <c r="J111" t="n">
        <v>0.7879</v>
      </c>
      <c r="K111" t="n">
        <v>0.1679</v>
      </c>
      <c r="L111" t="b">
        <v>1</v>
      </c>
      <c r="M111" t="n">
        <v>-0.1358</v>
      </c>
    </row>
    <row r="112">
      <c r="A112" t="n">
        <v>111</v>
      </c>
      <c r="B112" t="inlineStr">
        <is>
          <t>confusion</t>
        </is>
      </c>
      <c r="C112" t="inlineStr">
        <is>
          <t>3PAR</t>
        </is>
      </c>
      <c r="D112" s="3" t="inlineStr">
        <is>
          <t>Di ujian akhir semester saya, ada soal yang meminta saya mengklasifikasikan suatu aktivitas ke dalam salah satu pilar AADP. Aktivitasnya: 'mengelompokkan soal-soal serupa sebelum mengerjakan'. Saya tidak yakin ini Abstraksi atau Pattern Recognition karena keduanya terasa tentang 'mengelompokkan'. Bagaimana cara membedakannya?</t>
        </is>
      </c>
      <c r="E112" s="3" t="inlineStr">
        <is>
          <t>Halo mahasiswa!
Pertanyaan Anda sangat valid dan menarik perhatian. Saya senang dapat membantu Anda memahami konsep tersebut.
Aktivitas 'mengelompokkan soal-soal serupa sebelum mengerjakan' dapat dikategorikan ke dalam pilar Pattern Recognition (PR) dalam AADP (Abstraksi, Analisis, Desain, dan Pemrograman). PR adalah proses mencari pola, keterkaitan, atau kesamaan antara data atau informasi. Dalam konteks ini, Anda mengelompokkan soal-soal serupa untuk memudahkan analisis dan pemahaman.
Perbedaan antara Abstraksi (A) dan Pattern Recognition (PR) terletak pada tingkat keterlibatan dan kompleksitas. Abstraksi lebih berfokus pada pengurangan informasi menjadi bentuk yang sederhana, seperti mengidentifikasi konsep dasar atau tema. Sebaliknya, PR lebih berfokus pada mencari pola dan struktur dalam data.
Dalam kasus Anda, aktivitas 'mengelompokkan soal-soal serupa sebelum mengerjakan' dapat dikategorikan sebagai Pattern Recognition karena Anda mencoba mencari keterkaitan antara soal-soal dan mengelompokkan mereka berdasarkan kesamaan atau pola.</t>
        </is>
      </c>
      <c r="F112" t="n">
        <v>0.7667</v>
      </c>
      <c r="G112" t="n">
        <v>0.1516</v>
      </c>
      <c r="H112" t="b">
        <v>1</v>
      </c>
      <c r="I112" s="3" t="inlineStr">
        <is>
          <t>Saya dapat membantu Anda menjawab pertanyaan tersebut!
Pada dasarnya, AADP (Abstraksi, Analisis, Desain, dan Pengembangan) adalah framework untuk mengklasifikasikan aktivitas atau proses berpikir. Berikut adalah penjelasan singkat tentang masing-masing pilar:
1. Abstraksi: Mengekstrak unsur-unsur penting dari informasi yang diberikan dan menggabungkan menjadi konsep atau ide yang lebih umum.
2. Pattern Recognition (Pengenalan Pola): Membuat hubungan antara unsur-unsur yang terkait dan menemukan pola atau pattern dalam data.
Berhubung dengan soal "mengelompokkan soal-soal serupa sebelum mengerjakan", saya rasa ini lebih mirip dengan Abstraksi daripada Pattern Recognition. Mengelompokkan soal-soal serupa berarti Anda melakukan abstraksi, yaitu menggabungkan unsur-unsur yang terkait (soal-soal serupa) menjadi kategori atau kelompok yang lebih umum.
Jadi, saya menyarankan Anda untuk memilih "Abstraksi" sebagai pilihan jawaban.</t>
        </is>
      </c>
      <c r="J112" t="n">
        <v>0.5417999999999999</v>
      </c>
      <c r="K112" t="n">
        <v>0.2978</v>
      </c>
      <c r="L112" t="b">
        <v>1</v>
      </c>
      <c r="M112" t="n">
        <v>0.2249</v>
      </c>
    </row>
    <row r="113">
      <c r="A113" t="n">
        <v>112</v>
      </c>
      <c r="B113" t="inlineStr">
        <is>
          <t>gap</t>
        </is>
      </c>
      <c r="C113" t="inlineStr">
        <is>
          <t>2TGI</t>
        </is>
      </c>
      <c r="D113" s="3" t="inlineStr">
        <is>
          <t>Dosen saya bilang CT bisa diterapkan bahkan tanpa komputer. Saya coba pikirkan contohnya tapi selalu berujung ke hal yang melibatkan teknologi. Apa contoh konkret penerapan CT dalam kehidupan sehari-hari yang sama sekali tidak melibatkan komputer?</t>
        </is>
      </c>
      <c r="E113" s="3" t="inlineStr">
        <is>
          <t>Saya senang dapat membantu mahasiswa universitas di Indonesia memahami konsep Computational Thinking (CT) yang lebih luas dan tidak hanya terbatas pada teknologi.
Secara teoritis, CT dapat diterapkan dalam berbagai bidang, termasuk kehidupan sehari-hari. Misalnya, dalam membuat daftar belanja, kita membagi tugas menjadi beberapa fungsi yang lebih kecil, seperti menghitung total pengeluaran, menentukan prioritas, dan menemukan cara untuk menghemat biaya. Dalam hal ini, kita menggunakan algoritme sederhana untuk mencapai tujuan.
Contoh lainnya adalah dalam berencana perjalanan wisata. Kita dapat membagi tugas menjadi beberapa fungsi yang lebih kecil, seperti mencari tempat-tempat wisata, menentukan rute, dan membuat itinerary. Dalam hal ini, kita menggunakan dekomposisi untuk mengurai tugas kompleks menjadi beberapa bagian yang lebih mudah dikelola.
Dengan demikian, CT dapat diterapkan dalam berbagai bidang, tidak hanya terbatas pada teknologi. Kita hanya perlu memiliki kemampuan untuk membagi tugas menjadi beberapa fungsi yang lebih kecil dan menggunakan algoritme sederhana untuk mencapai tujuan.</t>
        </is>
      </c>
      <c r="F113" t="n">
        <v>0.7621</v>
      </c>
      <c r="G113" t="n">
        <v>0.1546</v>
      </c>
      <c r="H113" t="b">
        <v>1</v>
      </c>
      <c r="I113" s="3" t="inlineStr">
        <is>
          <t>Saya senang membantu!
Contoh penerapan CT (Conceptual Thinking) yang sama sekali tidak melibatkan komputer adalah dengan cara berpikir analitis dan kreatif dalam menghadapi masalah sehari-hari. Contohnya:
1. Menyelesaikan masalah logistik: Anda perlu menentukan cara terbaik untuk mengirimkan bahan-bahan ke beberapa wilayah. Anda harus berpikir konsepual, mempertimbangkan faktor-faktor seperti jarak, waktu, biaya, dan keterbatasan sumber daya.
2. Merencanakan perjalanan: Anda ingin melakukan perjalanan ke tempat yang belum pernah dikunjungi sebelumnya. Anda harus berpikir konsepual, mempertimbangkan faktor-faktor seperti jarak, waktu, cuaca, dan keterbatasan transportasi.
3. Menyelesaikan masalah etika: Anda menghadapi situasi di mana Anda harus membuat keputusan yang sulit dalam menentukan apa yang benar dan salah. Anda harus berpikir konsepual, mempertimbangkan nilai-nilai, norma-norma, dan hukum.
Dalam contoh-contoh di atas, CT digunakan untuk menghadapi masalah sehari-hari tanpa melibatkan teknologi seperti komputer. Berpikir analitis dan kreatif membantu Anda membuat keputusan yang tepat dan efektif dalam situasi-situasi tersebut.</t>
        </is>
      </c>
      <c r="J113" t="n">
        <v>0.7621</v>
      </c>
      <c r="K113" t="n">
        <v>0.1546</v>
      </c>
      <c r="M113" t="n">
        <v>0</v>
      </c>
    </row>
    <row r="114">
      <c r="A114" t="n">
        <v>113</v>
      </c>
      <c r="B114" t="inlineStr">
        <is>
          <t>out_of_scope</t>
        </is>
      </c>
      <c r="C114" t="inlineStr">
        <is>
          <t>1TGR</t>
        </is>
      </c>
      <c r="D114" s="3" t="inlineStr">
        <is>
          <t>Saya baru tahu ada istilah 'unplugged activities' dalam pengajaran CT. Katanya CT bisa diajarkan tanpa komputer sama sekali. Saya penasaran — apakah IPB menggunakan pendekatan ini di mata kuliah CT? Dan apa contoh konkret unplugged activity untuk mengajarkan algoritme?</t>
        </is>
      </c>
      <c r="E114" s="3" t="inlineStr">
        <is>
          <t>Sebagai tutor Computational Thinking (CT) untuk mahasiswa universitas di Indonesia, saya senang menjawab pertanyaan Anda tentang "unplugged activities" dalam pengajaran CT.
Pertama-tama, kita harus memahami konsep algoritme yang sebenarnya tidak terkait dengan penggunaan komputer. Algoritme adalah serangkaian langkah sistematis untuk mencapai tujuan tertentu. Dalam contoh konkret, algoritme dapat berupa resep masakan yang memiliki tahapan-tahapan spesifik untuk menghasilkan hidangan yang diinginkan.
Pengajaran CT tanpa komputer (unplugged activities) memungkinkan mahasiswa mendapatkan pengalaman langsung dalam mengembangkan kemampuan analisis dan pemecahan masalah. Contohnya, Anda dapat membahas contoh "Abstraksi vs Symptom" yang diberikan sebelumnya, yaitu mencari root cause dari gejala-gejala yang terjadi. Dalam hal ini, Anda dapat menggunakan strategi Pattern Recognition untuk mengenali pola-pola dan kemudian menyusun langkah sistematis (algorithm) untuk menyelesaikan masalah.
Dalam pengajaran CT, unplugged activities seperti mencari solution untuk masalah-masalah sederhana, seperti menghitung total jam belajar dengan menggunakan algoritme, dapat membantu mahasiswa memahami konsep CT secara lebih dalam. Selain itu, Anda juga dapat menggunakan contoh "Image Generator" yang diberikan sebelumnya untuk memahami bagaimana algoritme dapat digunakan untuk menciptakan hasil yang diinginkan.
Dalam hal ini, saya yakin bahwa pengajaran CT tanpa komputer dapat menjadi salah satu cara efektif dalam membantu mahasiswa mengembangkan kemampuan analisis dan pemecahan masalah.</t>
        </is>
      </c>
      <c r="F114" t="n">
        <v>0.7798</v>
      </c>
      <c r="G114" t="n">
        <v>0.1431</v>
      </c>
      <c r="I114" s="3" t="inlineStr">
        <is>
          <t>Halo!
Iya, istilah "unplugged activities" memang digunakan dalam pengajaran Computer Science (CT) untuk menerapkan konsep-konsep teknologi informasi tanpa menggunakan perangkat lunak atau komputer sama sekali. IPB sendiri juga menggunakan pendekatan ini dalam beberapa mata kuliah CT, terutama untuk memperkenalkan konsep dasar teknologi informasi pada mahasiswa.
Contoh unplugged activity yang dapat digunakan untuk mengajarkan algoritme adalah sebagai berikut:
1. "Sorting Game": Mahasiswa dibagi menjadi beberapa kelompok dan diberikan kartu-kartu dengan simbol-simbol berbeda (misalnya, huruf, angka, atau bentuk-bentuk). Mereka harus mencari cara untuk mengurutkan kartu-kartu tersebut berdasarkan suatu kriteria (misalnya, warna, jenis simbol, atau nilai numerik). Dalam hal ini, mereka akan memahami konsep sorting dan algoritme yang digunakan.
2. "Tangram": Mahasiswa diberikan beberapa bagian kayu atau karton yang dapat disusun menjadi berbagai bentuk. Mereka harus mencari cara untuk memecahkan persoalan-persoalan yang diberikan (misalnya, membuat sebuah lingkaran dari bagian-bagian tersebut). Dalam hal ini, mereka akan memahami konsep problem-solving dan algoritme yang digunakan.
3. "Pattern Blocks": Mahasiswa diberikan beberapa buku blocks yang dapat disusun menjadi berbagai pola. Mereka harus mencari cara untuk membuat sebuah pola tertentu (misalnya, pattern of X's and O's). Dalam hal ini, mereka akan memahami konsep pattern recognition dan algoritme yang digunakan.
Dengan menggunakan unplugged activities seperti itu, IPB dapat membantu mahasiswa mengerti dan memahami konsep-konsep teknologi informasi lebih baik, tanpa harus menggunakan perangkat lunak atau komputer.</t>
        </is>
      </c>
      <c r="J114" t="n">
        <v>0.6558</v>
      </c>
      <c r="K114" t="n">
        <v>0.2237</v>
      </c>
      <c r="L114" t="b">
        <v>1</v>
      </c>
      <c r="M114" t="n">
        <v>0.124</v>
      </c>
    </row>
    <row r="115">
      <c r="A115" t="n">
        <v>114</v>
      </c>
      <c r="B115" t="inlineStr">
        <is>
          <t>application</t>
        </is>
      </c>
      <c r="C115" t="inlineStr">
        <is>
          <t>4PAR</t>
        </is>
      </c>
      <c r="D115" s="3" t="inlineStr">
        <is>
          <t>Saya sedang mengerjakan soal latihan: 'rancang solusi untuk masalah penjadwalan kuliah di sebuah universitas kecil dengan 10 ruang, 50 mata kuliah, dan 200 mahasiswa.' Saya tidak tahu harus mulai dari mana. Bagaimana cara menerapkan keempat pilar CT secara berurutan untuk masalah ini?</t>
        </is>
      </c>
      <c r="E115" s="3" t="inlineStr">
        <is>
          <t>Saya senang membantu mahasiswa untuk menerapkan keempat pilar Computational Thinking (CT) secara berurutan untuk menyelesaikan masalah penjadwalan kuliah di sebuah universitas kecil.
**Analisis**: Pertama-tama, kita perlu mengidentifikasi unsur-unsur yang terkait dengan masalah ini. Ada beberapa variabel yang perlu dipertimbangkan, seperti jumlah ruang, mata kuliah, dan mahasiswa. Kita juga perlu mempertimbangkan konsep-konsep dasar penjadwalan, seperti scheduling algorithm dan constraints.
**Abstraksi**: Berikutnya, kita perlu mengidentifikasi komponen-komponen yang paling penting dalam masalah ini. Dalam hal ini, kita dapat menemukan beberapa unsur yang terkait dengan penjadwalan kuliah, seperti ruang kuliah, jam kuliah, dan kelas.
**Desain**: Selanjutnya, kita perlu merancang solusi untuk mengatasi masalah ini. Kita dapat menggunakan algoritma scheduling untuk menentukan jadwal kuliah yang optimal, berdasarkan kapasitas ruang, jumlah mata kuliah, dan jam kuliah.
**Refleksi**: Terakhir, kita perlu melakukan refleksi terhadap solusi yang kita rancang. Kita perlu mempertimbangkan apakah solusi tersebut dapat diimplementasikan dalam praktek dan bagaimana kita dapat meningkatkan kualitas solusi tersebut.
Dengan cara ini, kita dapat menerapkan keempat pilar CT secara berurutan untuk menyelesaikan masalah penjadwalan kuliah.</t>
        </is>
      </c>
      <c r="F115" t="n">
        <v>0.7675</v>
      </c>
      <c r="G115" t="n">
        <v>0.1511</v>
      </c>
      <c r="H115" t="b">
        <v>1</v>
      </c>
      <c r="I115" s="3" t="inlineStr">
        <is>
          <t>Saya senang dapat membantu Anda!
Untuk menyelesaikan masalah penjadwalan kuliah di sebuah universitas kecil, Anda dapat menerapkan keempat pilar CT (Contextual Thinking) secara berurutan sebagai berikut:
**Pilar Pertama: Contextualize**
1. Identifikasi konteks masalah:
Mengapa Anda perlu menyelesaikan masalah penjadwalan kuliah ini? Apa yang ingin dicapai dengan solusi ini? Misalnya, apakah Anda ingin menjamin bahwa setiap mahasiswa dapat mengikuti kuliah favoritnya tanpa konflik waktu?
2. Definisikan tujuan:
Apakah Anda ingin mencari solusi yang paling efisien dan efektif untuk penjadwalan kuliah? Apa saja kriteria penting yang harus dipertimbangkan (misalnya, jumlah jam pelajaran, jumlah mahasiswa per kuliah, dll.)?
**Pilar Kedua: Confront**
2. Identifikasi masalah:
Apa sebenarnya masalah yang dihadapi? Apakah Anda memiliki data awal tentang 10 ruang, 50 mata kuliah, dan 200 mahasiswa? Apa saja kendala atau constraints yang perlu dipertimbangkan (misalnya, jam pelajaran harus berakhir sebelum malam)?
**Pilar Ketiga: Conceptualize**
3. Buat konsep solusi:
Apa jenis solusi yang dapat Anda desain untuk menyelesaikan masalah penjadwalan kuliah ini? Apakah Anda akan menggunakan algoritma, simulasi, atau pendekatan lainnya?
**Pilar Keempat: Communicate**
4. Presentasikan solusi:
Bagaimana Anda akan menjelaskan dan membantu orang lain memahami solusi yang Anda desain? Bagaimana Anda akan mengevaluasi efektivitas solusi tersebut?
Dengan menerapkan keempat pilar CT secara berurutan, Anda dapat mengembangkan strategi yang lebih efektif untuk menyelesaikan masalah penjadwalan kuliah di universitas kecil.</t>
        </is>
      </c>
      <c r="J115" t="n">
        <v>0.7736</v>
      </c>
      <c r="K115" t="n">
        <v>0.1472</v>
      </c>
      <c r="L115" t="b">
        <v>1</v>
      </c>
      <c r="M115" t="n">
        <v>-0.0061</v>
      </c>
    </row>
    <row r="116">
      <c r="A116" t="n">
        <v>115</v>
      </c>
      <c r="B116" t="inlineStr">
        <is>
          <t>out_of_scope</t>
        </is>
      </c>
      <c r="C116" t="inlineStr">
        <is>
          <t>1PAI</t>
        </is>
      </c>
      <c r="D116" s="3" t="inlineStr">
        <is>
          <t>Di slide CT ada konsep 'computational artifact' — sesuatu yang dibuat dengan bantuan komputer. Tapi saya tidak ngerti apa hubungannya dengan belajar CT. Apakah kita juga akan membuat computational artifact dalam mata kuliah ini? Dan apa contoh konkretnya?</t>
        </is>
      </c>
      <c r="E116" s="3" t="inlineStr">
        <is>
          <t>Saya senang menjabarkan jawaban untuk pertanyaan mahasiswa Anda.
Di slide CT, konsep "computational artifact" dijelaskan sebagai sesuatu yang dibuat dengan bantuan komputer. Dalam konteks belajar Computational Thinking (CT), kita tidak akan membuat computational artifact secara langsung. Namun, dalam proses belajar CT, kita akan memahami bagaimana membuat algoritma dan mengembangkan solusi menggunakan AI.
Kita akan membahas berbagai kategori alat (tools) berbasis AI yang dapat dimanfaatkan, seperti Image Generator, yang mampu menghasilkan gambar berdasarkan deskripsi teks (prompt). Dalam proses belajar CT, kita akan memahami bagaimana menggunakan AI untuk memecahkan persoalan dan meningkatkan kemampuan digital and technological fluency.
Contoh konkret dari computational artifact dalam konteks belajar CT adalah algoritma yang digunakan oleh robot DeepMind milik Google yang dilatih untuk bermain tenis meja. Dalam proses belajar, kita akan memahami bagaimana mengembangkan algoritma dan menggunakan AI untuk membuat solusi yang lebih efektif.
Saya harap jawaban ini membantu Anda memahami konsep "computational artifact" dalam konteks belajar CT.</t>
        </is>
      </c>
      <c r="F116" t="n">
        <v>0.7761</v>
      </c>
      <c r="G116" t="n">
        <v>0.1455</v>
      </c>
      <c r="H116" t="b">
        <v>1</v>
      </c>
      <c r="I116" s="3" t="inlineStr">
        <is>
          <t>Pertanyaan Anda sangat logis dan wajar, ya! Computational artifact memang terkait dengan teknologi komputer, tapi bagaimana hubungannya dengan belajar CT (Computed Tomography)? Mari kita jelaskan!
Dalam mata kuliah CT, kita akan belajar tentang prinsip dasar teknologi CT, mulai dari konsep fisika hingga aplikasinya dalam medis. Computational artifact memiliki hubungan dengan analisis data pada CT scan. Dalam proses tersebut, komputer digunakan untuk mengolah dan menganalisis gambar 2D atau 3D yang dihasilkan oleh scanner CT.
Dalam praktiknya, computational artifact dapat berupa:
1. Rekonstruksi gambar: Menggunakan algoritma komputasi untuk membangun kembali citra CT dari data raw.
2. Filtering dan pengolah citra: Membantu menghilangkan noise atau gangguan pada citra, sehingga hasil analisis lebih akurat.
3. Analisis citra: Melakukan analisis statistik atau algoritme lain untuk mengekstrak informasi penting dari citra CT.
Contoh konkret computational artifact dalam mata kuliah CT adalah:
1. Menggunakan software komputasi untuk membangun kembali gambar CT yang rusak.
2. Membuat filter untuk menghilangkan gangguan pada citra CT dan meningkatkan akurasi analisis.
3. Melakukan analisis statistik pada citra CT untuk mengekstrak informasi tentang struktur organ tubuh.
Dalam mata kuliah ini, Anda tidak akan membuat computational artifact sebagai hasilnya, tetapi Anda akan mempelajari prinsip-prinsip dasar teknologi CT dan bagaimana komputer digunakan dalam proses analisis data.</t>
        </is>
      </c>
      <c r="J116" t="n">
        <v>0.6354</v>
      </c>
      <c r="K116" t="n">
        <v>0.237</v>
      </c>
      <c r="L116" t="b">
        <v>1</v>
      </c>
      <c r="M116" t="n">
        <v>0.1407</v>
      </c>
    </row>
    <row r="117">
      <c r="A117" t="n">
        <v>116</v>
      </c>
      <c r="B117" t="inlineStr">
        <is>
          <t>confusion</t>
        </is>
      </c>
      <c r="C117" t="inlineStr">
        <is>
          <t>3TAI</t>
        </is>
      </c>
      <c r="D117" s="3" t="inlineStr">
        <is>
          <t>Saya punya tugas mendekomposisi masalah 'buat aplikasi kalkulator sederhana'. Saya sudah pecah jadi: input → hitung → output. Tapi teman saya pecah jadi 15 sub-masalah yang sangat kecil-kecil. Mana yang lebih benar? Apakah ada standar seberapa detail dekomposisi yang baik?</t>
        </is>
      </c>
      <c r="E117" s="3" t="inlineStr">
        <is>
          <t>Saya dapat membantu menjawab pertanyaan Anda tentang dekomposisi masalah.
Pertama-tama, kita harus memahami apa itu dekomposisi. Dekomposisi adalah proses memecahkan masalah besar menjadi sub-masalah yang lebih kecil dan mudah ditangani. Dalam kasus aplikasi kalkulator sederhana, Anda telah mencoba dekomposisi menjadi tiga bagian: input → hitung → output. Hal ini benar-benar sesuai dengan konsep dekomposisi, karena Anda memecahkan masalah besar menjadi sub-masalah yang lebih kecil dan mudah ditangani.
Namun, teman Anda yang mencoba dekomposisi menjadi 15 sub-masalah yang sangat kecil-kecil pun benar. Karena, dekomposisi dapat dilakukan dengan berbagai tingkat detail, tergantung pada kompleksitas masalah dan tujuan akhir. Jika Anda ingin membuat aplikasi kalkulator sederhana, mungkin 15 sub-masalah yang sangat kecil-kecil lebih sesuai untuk memecahkan masalah tersebut.
Standar seberapa detail dekomposisi yang baik tidak ada, karena setiap masalah memiliki tingkat kompleksitas dan tujuan akhir yang berbeda. Namun, prinsip utama dalam dekomposisi adalah memecahkan masalah besar menjadi sub-masalah yang lebih kecil dan mudah ditangani, sehingga dapat diselesaikan secara sistematis dan efektif.
Dalam konteks ini, Anda dapat menggunakan contoh seperti yang diberikan dalam materi referensi, seperti menghitung luas bangun datar tidak beraturan atau membuat sarapan. Dengan demikian, Anda dapat memahami bagaimana dekomposisi dapat digunakan untuk memecahkan masalah kompleks menjadi sub-masalah yang lebih kecil dan mudah ditangani.</t>
        </is>
      </c>
      <c r="F117" t="n">
        <v>0.7854</v>
      </c>
      <c r="G117" t="n">
        <v>0.1695</v>
      </c>
      <c r="H117" t="b">
        <v>1</v>
      </c>
      <c r="I117" s="3" t="inlineStr">
        <is>
          <t>Keduanya memiliki kelebihan dan kekurangannya masing-masing. Dekomposisi menjadi 3 bagian (input → hitung → output) seperti yang Anda lakukan memang lebih umum dan lebih mudah untuk diikuti, terutama bagi orang yang tidak familiar dengan tahapan pengembangan aplikasi. Hal ini juga membantu dalam mengorganisir tugas menjadi lebih rapih dan mudah dikelola.
Sementara itu, dekomposisi menjadi 15 sub-masalah yang sangat kecil-kecil seperti yang teman Anda lakukan memang memiliki beberapa kelebihan. Dekomposisi menjadi sub-tugas yang sangat kecil dapat membantu dalam:
* Mengidentifikasi dan mengisolasi masalah yang lebih kompleks
* Meningkatkan kemampuan analisis dan desain aplikasi
* Membagi tugas menjadi lebih kecil dan mudah dikelola
Namun, dekomposisi menjadi sub-masalah yang sangat kecil juga memiliki beberapa kekurangan. Contohnya:
* Dapat membuat tugas terlihat rumit dan sulit diikuti
* Dapat mempengaruhi kesadaran tentang tujuan akhir aplikasi
* Dapat menghabiskan waktu dan sumber daya secara tidak efektif
Dalam dekomposisi, penting untuk menemukan keseimbangan antara detail dan kompleksitas. Sebuah standar yang baik adalah dekomposisi menjadi sub-tugas yang memiliki ukuran sekitar 1-5% dari tugas utama. Dengan demikian, Anda dapat membagi tugas menjadi bagian-bagian yang lebih kecil namun masih signifikan untuk aplikasi.
Dalam kasus Anda, mungkin lebih baik jika Anda mencoba untuk menemukan keseimbangan antara detail dan kompleksitas. Dekomposisi menjadi 3-5 sub-masalah yang lebih besar dan lebih spesifik dapat membantu dalam mengorganisir tugas dan meningkatkan kemampuan analisis dan desain aplikasi.</t>
        </is>
      </c>
      <c r="J117" t="n">
        <v>0.7741</v>
      </c>
      <c r="K117" t="n">
        <v>0.1768</v>
      </c>
      <c r="L117" t="b">
        <v>1</v>
      </c>
      <c r="M117" t="n">
        <v>0.0113</v>
      </c>
    </row>
    <row r="118">
      <c r="A118" t="n">
        <v>117</v>
      </c>
      <c r="B118" t="inlineStr">
        <is>
          <t>application</t>
        </is>
      </c>
      <c r="C118" t="inlineStr">
        <is>
          <t>2PGR</t>
        </is>
      </c>
      <c r="D118" s="3" t="inlineStr">
        <is>
          <t>Di soal dekomposisi saya diminta analisis masalah berikut: 'Sebuah toko online menerima 1000 pesanan per hari. Setiap pesanan perlu diverifikasi pembayaran, dikemas, dan dikirim.' Dosen minta saya gambar hierarki dekomposisi. Saya bingung cara membuat hierarki yang benar — apa aturannya?</t>
        </is>
      </c>
      <c r="E118" s="3" t="inlineStr">
        <is>
          <t>Mahasiswa, saya senang dapat membantu Anda memahami konsep dekomposisi dalam Computational Thinking. Dekomposisi adalah proses mengidentifikasi masalah besar dan memecahkannya menjadi sub-masalah yang lebih kecil dan mudah ditangani.
Untuk membuat hierarki dekomposisi, Anda perlu mengikuti pola hierarkis. Pertama-tama, identifikasi goal atau tujuan utama dari masalah tersebut. Kemudian, pecahkan proses penyelesaiannya menjadi langkah-langkah lebih kecil yang dapat diselesaikan satu per satu. Contohnya, dalam masalah pesanan toko online, Anda dapat membuat hierarki sebagai berikut:
* Goal: Verifikasi pembayaran, pengemasan, dan pengiriman 1000 pesanan per hari
* Masalah besar (Masalah A): Verifikasi pembayaran
	+ Sub-masalah (A1): Mengverifikasi pembayaran untuk setiap pesanan
	+ Solusi parsial (Solusi A1): Menjadi lebih mudah untuk memverifikasi pembayaran dengan cara-cara yang telah didefinisikan sebelumnya
* Masalah besar (Masalah B): Pengemasan dan pengiriman
	+ Sub-masalah (B1): Mengemas setiap pesanan
	+ Solusi parsial (Solusi B1): Menjadi lebih mudah untuk mengemas setiap pesanan dengan cara-cara yang telah didefinisikan sebelumnya
Dengan demikian, Anda dapat membuat hierarki dekomposisi yang tepat dan memecahkan masalah besar menjadi sub-masalah yang lebih kecil.</t>
        </is>
      </c>
      <c r="F118" t="n">
        <v>0.7705</v>
      </c>
      <c r="G118" t="n">
        <v>0.1492</v>
      </c>
      <c r="H118" t="b">
        <v>1</v>
      </c>
      <c r="I118" s="3" t="inlineStr">
        <is>
          <t>Kamu bingung membuat hierarki dekomposisi karena tidak tahu aturannya? Tidak perlu khawatir, saya sini untuk membantu!
Aturan pembuatan hierarki dekomposisi adalah sebagai berikut:
1. Mulai dari tujuan: Identifikasi tujuan utama yang ingin dicapai (dalam kasus ini, toko online menerima 1000 pesanan per hari).
2. Bagikan menjadi bagian-bagian: Bagikan tujuan utama menjadi bagian-bagian yang lebih kecil dan dapat diukur (misalnya, diverifikasi pembayaran, dikemas, dan dikirim).
3. Buat bagian-bagian menjadi sub-bagian: Bagikan bagian-bagian tadi menjadi sub-bagian yang masih lebih kecil dan dapat diukur (contohnya, verifikasi pembayaran melalui kartu kredit, PayPal, atau transfer bank).
4. Teruskan dengan cara yang sama: Ulangi langkah 2 dan 3 hingga semua bagian dan sub-bagian telah terurai menjadi unsur-unsur yang dapat diukur dan diantisipasi.
Dengan demikian, hierarki dekomposisi untuk toko online yang menerima 1000 pesanan per hari dapat dibuat sebagai berikut:
1. Tujuan: Menerima 1000 pesanan per hari
	* Diverifikasi pembayaran (P)
		+ Verifikasi pembayaran melalui kartu kredit (PKK)
		+ Verifikasi pembayaran via PayPal (PP)
		+ Verifikasi pembayaran transfer bank (PB)
	* Dikemas (D)
		+ Mengemas produk (MG)
		+ Menambahkan label dan packing slip (LP)
	* Dikirim (DK)
		+ Pengiriman melalui kurir (PK)
		+ Pengiriman via jasa pengiriman online (PO)
Sekarang, kamu telah membuat hierarki dekomposisi yang benar untuk toko online!</t>
        </is>
      </c>
      <c r="J118" t="n">
        <v>0.6418</v>
      </c>
      <c r="K118" t="n">
        <v>0.2328</v>
      </c>
      <c r="L118" t="b">
        <v>1</v>
      </c>
      <c r="M118" t="n">
        <v>0.1287</v>
      </c>
    </row>
    <row r="119">
      <c r="A119" t="n">
        <v>118</v>
      </c>
      <c r="B119" t="inlineStr">
        <is>
          <t>cross_topic</t>
        </is>
      </c>
      <c r="C119" t="inlineStr">
        <is>
          <t>5TAR</t>
        </is>
      </c>
      <c r="D119" s="3" t="inlineStr">
        <is>
          <t>Dosen bilang dekomposisi yang baik menghasilkan sub-masalah yang 'loosely coupled' dan 'highly cohesive'. Saya dengar istilah ini di mata kuliah software engineering. Apakah prinsip ini sama persis dengan dekomposisi di CT, atau ada perbedaannya?</t>
        </is>
      </c>
      <c r="E119" s="3" t="inlineStr">
        <is>
          <t>Dalam dekomposisi Computational Thinking (CT), prinsip "loosely coupled" dan "highly cohesive" memang berlaku, tetapi dengan konteks yang sedikit berbeda dari software engineering.
Pada dasarnya, dekomposisi di CT bertujuan untuk memecahkan masalah besar menjadi sub-masalah yang lebih kecil dan lebih mudah ditangani. Dalam hal ini, "loosely coupled" merujuk pada kemampuan sub-masalah untuk dikerjakan secara independen, tanpa harus berhubungan erat dengan sub-masalah lainnya. Sementara "highly cohesive" berarti bahwa setiap sub-masalah memiliki tujuan yang jelas dan terkait dengan tujuan utama.
Contoh konkret dari dekomposisi di CT adalah ketika kita harus menyelesaikan masalah menentukan pasangan bilangan bulat. Pada tahap pertama, kita mengidentifikasi goal (menghitung berapa banyak pasangan yang memenuhi syarat) dan kemudian memecah proses penyelesaiannya menjadi langkah-langkah lebih kecil yang dapat diselesaikan satu per satu. Dalam hal ini, sub-masalah tersebut "loosely coupled" karena dapat dikerjakan secara independen, tetapi juga "highly cohesive" karena memiliki tujuan yang jelas dan terkait dengan tujuan utama.
Dengan demikian, prinsip "loosely coupled" dan "highly cohesive" dalam dekomposisi CT mirip dengan prinsipnya di software engineering, tapi dengan fokus pada kemampuan memecahkan masalah besar menjadi sub-masalah yang lebih kecil dan lebih mudah ditangani.</t>
        </is>
      </c>
      <c r="F119" t="n">
        <v>0.7852</v>
      </c>
      <c r="G119" t="n">
        <v>0.1396</v>
      </c>
      <c r="H119" t="b">
        <v>1</v>
      </c>
      <c r="I119" s="3" t="inlineStr">
        <is>
          <t>Dalam bidang Software Engineering, "loosely coupled" dan "highly cohesive" merujuk pada konsep dekomposisi yang efektif dalam mendesain sistem. Istilah ini menggambarkan hubungan antara sub-sistem atau modul yang dibuat melalui proses dekomposisi.
* "Loosely Coupled" berarti bahwa sub-sistem atau modul tersebut memiliki interaksi minimum dengan bagian lain dari sistem. Artinya, masing-masing sub-sistem dapat diubah atau diperbarui tanpa mempengaruhi bagian lain dari sistem. Hal ini membuat sistem lebih fleksibel dan mudah dipelihara.
* "Highly Cohesive" berarti bahwa setiap sub-sistem atau modul memiliki tujuan yang jelas dan fungsi yang terkait dengan bagian lainnya. Artinya, setiap modul memiliki peran yang spesifik dalam sistem dan tidak ada bagian yang menjadi "lumping" (tidak memiliki tujuan yang jelas).
Dalam kategori ini, dekomposisi di Software Engineering berbeda dengan dekomposisi di Computational Thinking (CT). Pada dasarnya, CT lebih fokus pada cara membantu siswa memahami konsep dasar programming dan logika pemrograman, seperti algoritma, struktur data, dan keterkaitan antara bagian-bagian program.
Dalam Software Engineering, dekomposisi bertujuan untuk membuat sistem yang lebih mudah dipelihara, fleksibel, dan dapat diubah tanpa mempengaruhi bagian lain. Istilah "loosely coupled" dan "highly cohesive" digunakan untuk menggambarkan sifat interaksi antara sub-sistem atau modul dalam mendesain sistem yang efektif.
Namun, perbedaan utama antara dekomposisi di Software Engineering dan CT adalah fokus. Dekomposisi di Software Engineering lebih fokus pada desain sistem yang efektif, sedangkan dekomposisi di CT lebih fokus pada memahami konsep dasar programming dan logika pemrograman.</t>
        </is>
      </c>
      <c r="J119" t="n">
        <v>0.763</v>
      </c>
      <c r="K119" t="n">
        <v>0.154</v>
      </c>
      <c r="L119" t="b">
        <v>1</v>
      </c>
      <c r="M119" t="n">
        <v>0.0222</v>
      </c>
    </row>
    <row r="120">
      <c r="A120" t="n">
        <v>119</v>
      </c>
      <c r="B120" t="inlineStr">
        <is>
          <t>confusion</t>
        </is>
      </c>
      <c r="C120" t="inlineStr">
        <is>
          <t>2PAR</t>
        </is>
      </c>
      <c r="D120" s="3" t="inlineStr">
        <is>
          <t>Saya punya soal: 'Buat abstraksi dari sistem peminjaman buku perpustakaan.' Langkah pertama kata dosen adalah identifikasi GOAL. Saya tulis goalnya: 'agar buku bisa dipinjam'. Tapi dosen bilang itu bukan goal yang baik untuk abstraksi CT. Apa yang salah dengan goal saya dan bagaimana goal yang benar?</t>
        </is>
      </c>
      <c r="E120" s="3" t="inlineStr">
        <is>
          <t>Saya coba menjelaskan konsep abstraksi dalam Computational Thinking (CT) sehubungan dengan soal mahasiswa.
Pertama-tama, goal yang didefinisikan sebagai "agar buku bisa dipinjam" tidak tepat untuk abstraksi CT. Goal yang baik dalam abstraksi CT harus lebih spesifik dan mengarah pada solusi masalah yang ingin dipecahkan. Dalam kasus ini, goal yang lebih sesuai mungkin adalah "menentukan sistem peminjaman buku perpustakaan yang efektif" atau "mengoptimalkan penggunaan buku perpustakaan".
Abstraksi CT memerlukan identifikasi empat komponen utama: problem, goal, batasan, dan data. Dalam kasus sistem peminjaman buku perpustakaan, problema mungkin adalah kekurangan ruang penyimpanan atau biaya pengelolaan buku. Goal mungkin adalah menentukan sistem yang efektif untuk mengatur peminjaman buku tanpa merugi. Batasan mungkin adalah waktu pinjam, jumlah buku yang dapat dipinjam, atau keterbatasan kemampuan perpustakaan. Data mungkin adalah informasi tentang buku, seperti jumlah buku, jenis buku, dan popularitas buku.
Dengan melakukan abstraksi CT, kita dapat memfokuskan perhatian pada hal-hal esensial dan mencari solusi yang tepat untuk masalah tersebut.</t>
        </is>
      </c>
      <c r="F120" t="n">
        <v>0.7786</v>
      </c>
      <c r="G120" t="n">
        <v>0.1739</v>
      </c>
      <c r="I120" s="3" t="inlineStr">
        <is>
          <t>Saya dapat membantu menjawab pertanyaan Anda!
Goal yang Anda tulis, "agar buku bisa dipinjam", sebenarnya lebih seperti sebuah keharapan atau tujuan umum daripada goal yang sesuai dengan abstraksi CT (Contextual Theory). Goal dalam abstraksi CT harus memiliki beberapa karakteristik, yaitu:
1. Jelas: Goal harus jelas dan tidak ambigu.
2. Spesifik: Goal harus spesifik dan tidak terlalu luas.
3. Measurable: Goal harus dapat diukur atau dinilai.
4. Achievable: Goal harus realistis dan dapat dicapai.
Goal yang Anda tulis, "agar buku bisa dipinjam", tidak memenuhi kriteria tersebut. Misalnya, apakah "dapat dipinjam" berarti hanya untuk siswa saja? Atau untuk semua orang?
Sebagai contoh, goal yang lebih baik dalam abstraksi CT mungkin adalah: "Menjamin 80% pengguna perpustakaan dapat meminjam buku secara efektif dan efisien dalam jangka waktu tertentu". Goal ini jelas, spesifik, measurable, dan achievable.
Dengan demikian, Anda harus lebih spesifik dan memberikan goal yang lebih jelas dan realistis untuk abstraksi CT.</t>
        </is>
      </c>
      <c r="J120" t="n">
        <v>0.4081</v>
      </c>
      <c r="K120" t="n">
        <v>0.4147</v>
      </c>
      <c r="L120" t="b">
        <v>1</v>
      </c>
      <c r="M120" t="n">
        <v>0.3705</v>
      </c>
    </row>
    <row r="121">
      <c r="A121" t="n">
        <v>120</v>
      </c>
      <c r="B121" t="inlineStr">
        <is>
          <t>application</t>
        </is>
      </c>
      <c r="C121" t="inlineStr">
        <is>
          <t>3PGI</t>
        </is>
      </c>
      <c r="D121" s="3" t="inlineStr">
        <is>
          <t>Soal abstraksi dari GT: ada masalah 2 lift berkapasitas 30 kg dengan 9 berang-berang. Saya sudah bisa identifikasi goalnya. Tapi saya bingung apa yang dimaksud 'batasan' dalam kerangka PGBD. Apa perbedaan antara DATA dan BATASAN dalam konteks soal lift ini?</t>
        </is>
      </c>
      <c r="E121" s="3" t="inlineStr">
        <is>
          <t>Dalam konteks soal lift, 'batasan' merujuk pada keterbatasan atau restruktur yang mempengaruhi solusi. Dalam soal ini, batasan adalah kapasitas masing-masing lift dan total berat berang-berang yang tidak dapat terangkut dalam satu kali perjalanan.
Perbedaan antara DATA dan BATASAN adalah bahwa data menyangkut informasi yang tersedia dan relevan seputar masalah, sedangkan batasan menyangkut keterbatasan atau restruktur yang mempengaruhi solusi. Dalam soal lift, data mencakup berat masing-masing berang-berang, sementara batasan mencakup kapasitas masing-masing lift dan total berat berang-berang yang tidak dapat terangkut dalam satu kali perjalanan.
Dengan menggunakan kerangka PGBD (Problem Gambaran Berbasis Data), kita dapat mengidentifikasi goal, batasan, dan data. Dalam soal ini, goal adalah memuat sebanyak mungkin berang-berang dalam satu kali perjalanan, sementara batasan adalah kapasitas masing-masing lift dan total berat berang-berang yang tidak dapat terangkut dalam satu kali perjalanan. Data mencakup berat masing-masing berang-berang.
Dengan memahami konsep utama abstraksi, kita dapat mengidentifikasi problema, goal, batasan, dan data, serta menggunakan strategi untuk menyelesaikan masalah.</t>
        </is>
      </c>
      <c r="F121" t="n">
        <v>0.7904</v>
      </c>
      <c r="G121" t="n">
        <v>0.1662</v>
      </c>
      <c r="H121" t="b">
        <v>1</v>
      </c>
      <c r="I121" s="3" t="inlineStr">
        <is>
          <t>Saya akan menjawab pertanyaan Anda sebaik mungkin.
Dalam kerangka Problem-Based Game Development (PGBD), "batasan" (constraint) memiliki arti sebagai batas-batas atau keterbatasan yang ditemui oleh pemain dalam mencapai goal. Batasan ini dapat berupa kondisi, aturan, atau situasi yang mempengaruhi cara pemain menyelesaikan masalah.
Dalam konteks soal lift Anda, "data" (information) dapat diartikan sebagai informasi tentang keberadaan 9 berang-berang dan kapasitas masing-masing lift sebesar 30 kg. Sementara itu, "batasan" (constraint) dapat diartikan sebagai keterbatasan atau kondisi yang mempengaruhi cara Anda menyelesaikan masalah, seperti:
* Lift tidak dapat mengangkat lebih dari 30 kg
* Berang-berang harus dilepas secara bersamaan dalam satu lift
* Lift hanya dapat digunakan sebanyak-banyaknya untuk mengangkat berang-berang
Perbedaan antara data dan batasan adalah:
* Data adalah informasi yang diperoleh tentang situasi, sementara batasan adalah keterbatasan atau kondisi yang mempengaruhi cara pemain menyelesaikan masalah.
* Data digunakan untuk membuat keputusan, sementara batasan memberikan batas-batas pada keputusan tersebut.
Dalam soal Anda, data adalah informasi tentang berang-berang dan kapasitas lift, sedangkan batasan adalah keterbatasan atau kondisi yang mempengaruhi cara Anda menyelesaikan masalah, seperti tidak dapat mengangkat lebih dari 30 kg.</t>
        </is>
      </c>
      <c r="J121" t="n">
        <v>0.7831</v>
      </c>
      <c r="K121" t="n">
        <v>0.171</v>
      </c>
      <c r="L121" t="b">
        <v>1</v>
      </c>
      <c r="M121" t="n">
        <v>0.0073</v>
      </c>
    </row>
    <row r="122">
      <c r="A122" t="n">
        <v>121</v>
      </c>
      <c r="B122" t="inlineStr">
        <is>
          <t>gap</t>
        </is>
      </c>
      <c r="C122" t="inlineStr">
        <is>
          <t>4TGR</t>
        </is>
      </c>
      <c r="D122" s="3" t="inlineStr">
        <is>
          <t>Saya sedang belajar abstraksi dan bingung dengan konsep 'level abstraksi'. Katanya abstraksi bisa dilakukan di berbagai level. Misalnya level rendah (detail hardware) vs level tinggi (konsep bisnis). Dalam konteks CT yang kita pelajari, level abstraksi mana yang relevan dan bagaimana cara memilihnya?</t>
        </is>
      </c>
      <c r="E122" s="3" t="inlineStr">
        <is>
          <t>Saya senang membantu mahasiswa memahami konsep abstraksi pada Computational Thinking (CT). Dalam konteks CT, level abstraksi sangat penting dalam menentukan kualitas hasil analisis dan solusi.
Pada dasarnya, level abstraksi mencakup rentangan dari detil hingga konsep. Level rendah, seperti detail hardware, lebih berfokus pada aspek fisik dan teknis, sedangkan level tinggi, seperti konsep bisnis, lebih berfokus pada aspek strategis dan konseptual. Dalam konteks CT, level abstraksi yang relevan adalah level menengah, yakni level yang memfokuskan pada aspek logika dan sistematis.
Cara memilih level abstraksi yang tepat dapat dilakukan dengan mengidentifikasi empat komponen utama, yaitu: (1) apa problemnya (root cause), (2) apa goal-nya, (3) apa batasannya (constraint), dan (4) apa datanya (informasi yang tersedia). Dengan memahami level abstraksi, kita dapat mengurangi distraction dan fokus pada hal-hal esensial sebelum merancang solusi.
Contoh konkret, dalam masalah "Website saya lambat setiap hari Senin pagi", level abstraksi yang relevan adalah level menengah, yakni level yang memfokuskan pada aspek sistematis dan logika. Kita dapat mengabaikan detail teknis dan fokus pada analisis root cause dari problemnya, yaitu scheduled job/batch process yang berjalan setiap Senin pagi dan mengonsumsi banyak resource server. Dengan demikian, kita dapat merancang solusi yang lebih efektif dan efisiennya.</t>
        </is>
      </c>
      <c r="F122" t="n">
        <v>0.7909</v>
      </c>
      <c r="G122" t="n">
        <v>0.1359</v>
      </c>
      <c r="H122" t="b">
        <v>1</v>
      </c>
      <c r="I122" s="3" t="inlineStr">
        <is>
          <t>Saya senang dapat membantu Anda memahami konsep "level abstraksi"!
Pertama-tama, abstraksi adalah proses meningkatkan level kesadaran atau pemahaman seseorang terhadap suatu konsep atau objek. Dalam konteks Computer Science (CT), abstraksi digunakan untuk mengurangi kompleksitas dan meningkatkan keefektifan dalam menyelesaikan masalah.
Sekarang, jika Anda bertanya tentang level abstraksi mana yang relevan dalam CT, saya harus menjawab bahwa level abstraksi bergantung pada tujuan dan konteks Anda. Berikut adalah beberapa contoh level abstraksi yang relevan dalam CT:
1. **Level rendah (detail hardware)**: Pada level ini, Anda memfokuskan pada detail-detail hardware, seperti struktur CPU, arsitektur memory, atau konfigurasi network. Contohnya, jika Anda sedang merancang sistem operasi, Anda mungkin perlu memahami bagaimana CPU bekerja dan bagaimana data diolah.
2. **Level menengah (software)**: Pada level ini, Anda memfokuskan pada software dan algoritme yang digunakan untuk mengatur perilaku sistem. Contohnya, jika Anda sedang membuat aplikasi, Anda mungkin perlu memahami konsep programming, seperti loop, variabel, dan conditional statements.
3. **Level tinggi (konsep bisnis)**: Pada level ini, Anda memfokuskan pada konsep-konsep bisnis atau pendekatan yang digunakan dalam industri. Contohnya, jika Anda sedang membuat aplikasi untuk perusahaan, Anda mungkin perlu memahami bagaimana bisnis bekerja, seperti analisis data, strategi marketing, dan manajemen kantor.
Bagaimana cara memilih level abstraksi? Berikut beberapa tips:
1. **Analisis tujuan**: Identifikasi tujuan Anda dalam menyelesaikan masalah atau project. Jika Anda ingin membuat aplikasi yang dapat berinteraksi dengan pengguna, maka level abstraksi tinggi mungkin lebih relevan.
2. **Konteks problem**: Analisis konteks masalah yang Anda hadapi. Jika Anda sedang menghadapi masalah hardware, maka level rendah mungkin lebih relevan.
3. **Prioritas**: Prioritaskan level abstraksi yang paling penting untuk Anda. Jika Anda memiliki waktu terbatas, maka Anda mungkin perlu memfokuskan pada level yang lebih tinggi.
Dalam CT, level abstraksi yang paling penting adalah level menengah (software). Pada level ini, Anda memfokuskan pada algoritme dan struktur data yang digunakan dalam sistem. Namun, level rendah (detail hardware) juga penting jika Anda sedang merancang sistem yang sangat spesifik.
Saya harap jawaban ini membantu Anda memahami konsep "level abstraksi" dan bagaimana cara memilihnya!</t>
        </is>
      </c>
      <c r="J122" t="n">
        <v>0.7791</v>
      </c>
      <c r="K122" t="n">
        <v>0.1736</v>
      </c>
      <c r="L122" t="b">
        <v>1</v>
      </c>
      <c r="M122" t="n">
        <v>0.0118</v>
      </c>
    </row>
    <row r="123">
      <c r="A123" t="n">
        <v>122</v>
      </c>
      <c r="B123" t="inlineStr">
        <is>
          <t>application</t>
        </is>
      </c>
      <c r="C123" t="inlineStr">
        <is>
          <t>2PAI</t>
        </is>
      </c>
      <c r="D123" s="3" t="inlineStr">
        <is>
          <t>Soal CT: diberikan barisan 1, 1, 2, 3, 5, 8, 13, 21. Dosen minta identifikasi pola dan buat rumus rekursif serta tentukan suku ke-10 tanpa menghitung satu per satu. Saya tahu ini Fibonacci tapi tidak tahu cara formalkan rumus rekursifnya.</t>
        </is>
      </c>
      <c r="E123" s="3" t="inlineStr">
        <is>
          <t>Halo mahasiswa!
Pada kenyataannya, saya ingin membantu Anda memahami pola dan rumus rekursif pada barisan Fibonacci. Berikut jawaban saya:
Barisan 1, 1, 2, 3, 5, 8, 13, 21 adalah barisan Fibonacci, yang dikenal dengan prinsip bahwa setiap suku berisi jumlah dua suku sebelumnya. Untuk identifikasi pola dan membuat rumus rekursif, kita dapat menggunakan contoh konkrit seperti berikut:
Fibonacci ke-n = Fibonacci ke-(n-1) + Fibonacci ke-(n-2)
Dengan demikian, untuk mendapatkan suku ke-10, kita dapat menghitung sebagai berikut:
Fibonacci ke-10 = Fibonacci ke-9 + Fibonacci ke-8
= (Fibonacci ke-8 + Fibonacci ke-7) + Fibonacci ke-8
= ((Fibonacci ke-7 + Fibonacci ke-6) + Fibonacci ke-7) + Fibonacci ke-8
= ...
= 55
Jadi, suku ke-10 adalah 55.
Dalam materi referensi, kita juga dapat menggunakan istilah teknis seperti "rekursif" dan "pola". Dengan demikian, rumus rekursif untuk barisan Fibonacci dapat dituliskan sebagai berikut:
Fibonacci(n) = Fibonacci(n-1) + Fibonacci(n-2)
Rumus ini dapat membantu Anda untuk menghitung suku ke-n pada barisan Fibonacci tanpa perlu menghitung satu per satu.</t>
        </is>
      </c>
      <c r="F123" t="n">
        <v>0.7602</v>
      </c>
      <c r="G123" t="n">
        <v>0.1559</v>
      </c>
      <c r="I123" s="3" t="inlineStr">
        <is>
          <t>Pola barisan yang diberikan adalah pola Fibonacci, yaitu suatu pola dimana setiap suku berikutnya adalah penjumlahan dari dua suku sebelumnya.
Rumus rekursif untuk pola Fibonacci adalah sebagai berikut:
F(n) = F(n-1) + F(n-2)
Di mana F(n) adalah suku ke-n, dan F(n-1) serta F(n-2) adalah suku-suku sebelumnya.
Untuk mendapatkan suku ke-10, kita dapat menggunakan rumus rekursif tersebut. Kita mulai dari suku awal yaitu F(0) = 1, kemudian:
F(1) = F(0) + F(-1) = 1 + 1 = 2
F(2) = F(1) + F(0) = 2 + 1 = 3
F(3) = F(2) + F(1) = 3 + 2 = 5
F(4) = F(3) + F(2) = 5 + 3 = 8
F(5) = F(4) + F(3) = 8 + 5 = 13
F(6) = F(5) + F(4) = 13 + 8 = 21
F(7) = F(6) + F(5) = 21 + 13 = 34
F(8) = F(7) + F(6) = 34 + 21 = 55
F(9) = F(8) + F(7) = 55 + 34 = 89
F(10) = F(9) + F(8) = 89 + 55 = 144
Jadi, suku ke-10 dari pola Fibonacci adalah 144.</t>
        </is>
      </c>
      <c r="J123" t="n">
        <v>0.632</v>
      </c>
      <c r="K123" t="n">
        <v>0.2392</v>
      </c>
      <c r="L123" t="b">
        <v>1</v>
      </c>
      <c r="M123" t="n">
        <v>0.1282</v>
      </c>
    </row>
    <row r="124">
      <c r="A124" t="n">
        <v>123</v>
      </c>
      <c r="B124" t="inlineStr">
        <is>
          <t>application</t>
        </is>
      </c>
      <c r="C124" t="inlineStr">
        <is>
          <t>3PGR</t>
        </is>
      </c>
      <c r="D124" s="3" t="inlineStr">
        <is>
          <t>Di soal pattern recognition saya diminta cari pola dari data: hari Senin 120 pengunjung, Selasa 85, Rabu 90, Kamis 88, Jumat 150, Sabtu 200, Minggu 180. Saya lihat ada lonjakan di akhir pekan tapi bingung bagaimana cara menyatakannya sebagai 'pola' secara formal dalam CT.</t>
        </is>
      </c>
      <c r="E124" s="3" t="inlineStr">
        <is>
          <t>Hai!
Saya akan menjawab pertanyaan mahasiswa dengan menggunakan istilah teknis dan konsep CT yang telah dipelajari.
Pola Recognition pada data pengunjung adalah tentang mengenali pola yang terjadi dalam data. Dalam kasus ini, kita memiliki data pengunjung untuk setiap hari dalam seminggu. Kita lihat bahwa ada lonjakan pengunjung di akhir pekan (Sabtu dan Minggu).
Konsep utama yang digunakan adalah "Trend" atau "Linear Trend". Kita dapat mengenali pola ini dengan menggunakan analisis statistik sederhana, seperti membuat grafik garis untuk setiap hari dan melihat apakah ada perbedaan signifikan antara hari-hari.
Dalam hal ini, kita lihat bahwa Sabtu dan Minggu memiliki jumlah pengunjung yang lebih tinggi dibandingkan dengan hari-hari lainnya. Kita dapat mengatakan bahwa pola yang terjadi adalah "Akhir Pekan Trend" atau "Weekend Effect". Kita juga dapat menggunakan istilah "Seasonal Pattern" untuk deskripsikan pola ini.
Dengan demikian, kita dapat menyatakannya sebagai "pola" secara formal dalam CT dengan menggunakan konsep trend dan seasonal pattern.</t>
        </is>
      </c>
      <c r="F124" t="n">
        <v>0.52</v>
      </c>
      <c r="G124" t="n">
        <v>0.312</v>
      </c>
      <c r="H124" t="b">
        <v>1</v>
      </c>
      <c r="I124" s="3" t="inlineStr">
        <is>
          <t>Dalam pattern recognition, Anda dapat mengidentifikasi pola dengan melihat dan menganalisis data yang diberikan. Berdasarkan data tersebut, pola yang terlihat adalah lonjakan pengunjung di akhir pekan (Jumat-Sabtu-Minggu).
Pola ini dapat digambarkan sebagai pola "peaks at the end of the week" atau "increasing trend at the weekend". Dalam sintaks formal CT (Continuous-Time), Anda dapat menuliskannya sebagai berikut:
* Pattern: T(x) = a + bx^2, where x is the day of the week and T(x) is the number of visitors.
* Peak detection: The peak occurs at x=4 (Minggu) with a value of 180.
Dalam contoh ini, Anda dapat menganggap "a" sebagai konstanta yang mewakili rata-rata pengunjung selama pekan dan "b" sebagai koefisien yang meningkatkan pengunjung di akhir pekan.</t>
        </is>
      </c>
      <c r="J124" t="n">
        <v>0.3862</v>
      </c>
      <c r="K124" t="n">
        <v>0.399</v>
      </c>
      <c r="L124" t="b">
        <v>1</v>
      </c>
      <c r="M124" t="n">
        <v>0.1338</v>
      </c>
    </row>
    <row r="125">
      <c r="A125" t="n">
        <v>124</v>
      </c>
      <c r="B125" t="inlineStr">
        <is>
          <t>application</t>
        </is>
      </c>
      <c r="C125" t="inlineStr">
        <is>
          <t>3TAR</t>
        </is>
      </c>
      <c r="D125" s="3" t="inlineStr">
        <is>
          <t>Di soal modulo saya diminta: sebuah lampu lalu lintas punya siklus merah 30 detik, kuning 5 detik, hijau 25 detik. Jika saat ini detik ke-0 adalah awal merah, pada detik ke-247 lampu berwarna apa? Saya tahu harus pakai modulo tapi tidak tahu cara hitungnya.</t>
        </is>
      </c>
      <c r="E125" s="3" t="inlineStr">
        <is>
          <t>I'd be happy to help you with your Computational Thinking assignment!
Firstly, let's clarify the concept of Mathematical Thinking vs. Computational Thinking. While both involve problem-solving, the key difference lies in how we approach the problems. Mathematical Thinking focuses on step-by-step calculations, whereas Computational Thinking emphasizes recognizing patterns and building solutions based on those patterns.
Now, let's tackle the Coklat Bebek (Deret Segitiga) problem. We're given that Pak Dengklek has a series of ducks with numbers starting from 1, and each duck gets coklat equal to its number until the total amount of coklat is exhausted. Our task is to find out which duck doesn't get any coklat.
To solve this problem, we can recognize the pattern in the sequence: the cumulative sum of the first n ducks is given by the formula n(n+1)/2. By trial and error, we find that the 32nd duck gets the most coklat, but it would require more than the total amount available (500 coklat). Therefore, the 31st duck is the last one to get coklat, leaving a remainder of 4 coklat.
So, our answer is: the 32nd duck doesn't get any coklat.
For the Pola Bilangan (Number Sequence) problem, we're given three sequences:
1. 2, 5, 10, 17, ...
2. 1, 1, 2, 3, 5, 8, ...
3. 3, 6, 12, 24, 48, ...
We need to identify the pattern and find the 10th term for each sequence.
For sequence 1, we can see that the differences between consecutive terms increase by 2 (3, 5, 7, ...). This suggests a quadratic pattern: n² + 1. The 10th term would be 10² + 1 = 101.
For sequence 2, we recognize it as the Fibonacci sequence, where each term is the sum of the two preceding terms. The 10th term is simply the sum of the previous two terms, which gives us 55.
For sequence 3, we notice that each term is twice the previous one (3, 6, 12, 24, ...). This suggests a geometric progression with a ratio of 2. The 10th term would be 3 × 2^9 = 1536.
Lastly, for the Pola dalam Algoritme problem, we're given an algorithm that takes a sequence of n numbers and finds the number of pairs with a difference d. We can recognize the pattern in this algorithm by analyzing the steps: (a) sorting the numbers, (b) initializing p to 0, and (c) iterating through the pairs and checking if the difference is equal to d.
These are the answers I'd provide for each problem.</t>
        </is>
      </c>
      <c r="F125" t="n">
        <v>0.5263</v>
      </c>
      <c r="G125" t="n">
        <v>0.3079</v>
      </c>
      <c r="H125" t="b">
        <v>1</v>
      </c>
      <c r="I125" s="3" t="inlineStr">
        <is>
          <t>Tidak perlu khawatir, saya akan membantu Anda!
Ketika Anda menggunakan modulo, Anda harus membagi total detik (247) dengan periode siklus lampu lalu lintas, kemudian mencari sisa dari hasil pembagian tersebut.
Periode siklus lampu lalu lintas adalah: 30 (merah) + 5 (kuning) + 25 (hijau) = 60 detik.
Maka, Anda perlu mengetahui bagaimana lampu berwarna pada detik ke-247 jika awal merah pada detik ke-0. Berikut langkah-langkah yang harus Anda lakukan:
1. Bagi total detik (247) dengan periode siklus lampu lalu lintas (60): 247 ÷ 60 = 4 (hasilnya), sisanya adalah: 247 - (4 × 60) = 7
2. Karena sisanya lebih kecil dari 30 (periode merah), maka Anda tidak perlu melakukan proses modulo lagi.
3. Jadi, pada detik ke-247, lampu lalu lintas berwarna merah.
Jadi, jawaban yang tepat adalah: Merah.</t>
        </is>
      </c>
      <c r="J125" t="n">
        <v>0.3045</v>
      </c>
      <c r="K125" t="n">
        <v>0.4521</v>
      </c>
      <c r="L125" t="b">
        <v>1</v>
      </c>
      <c r="M125" t="n">
        <v>0.2218</v>
      </c>
    </row>
    <row r="126">
      <c r="A126" t="n">
        <v>125</v>
      </c>
      <c r="B126" t="inlineStr">
        <is>
          <t>application</t>
        </is>
      </c>
      <c r="C126" t="inlineStr">
        <is>
          <t>4PGR</t>
        </is>
      </c>
      <c r="D126" s="3" t="inlineStr">
        <is>
          <t>Saya dapat soal: digit terakhir dari 7 pangkat 2025. Dosen bilang gunakan pattern recognition pada siklus digit. Saya coba: 7^1=7, 7^2=49, 7^3=343, 7^4=2401. Saya lihat digit terakhirnya: 7, 9, 3, 1. Lalu apa? Bagaimana saya tahu digit terakhir 7^2025?</t>
        </is>
      </c>
      <c r="E126" s="3" t="inlineStr">
        <is>
          <t>Tugas: Jelaskan bagaimana dekomposisi diterapkan pada pencarian bilangan terbesar dari 49 bilangan! Berikan pseudocode-nya!
Dalam materi referensi, kita telah membahas tentang dekomposisi (divide and conquer) sebagai salah satu konsep penting dalam computational thinking. Dekomposisi adalah strategi untuk mengurai masalah menjadi beberapa bagian yang lebih kecil dan mudah dikerjakan. Dalam konteks ini, kita akan menerapkan dekomposisi pada pencarian bilangan terbesar dari 49 bilangan.
Pertama-tama, kita dapat membagi 49 bilangan menjadi 7 kelompok @ 7 bilangan. Kemudian, kita cari terbesar di setiap kelompok (7 operasi paralel) dan bandingkan 7 hasil untuk menemukan terbesar global. Dengan demikian, dekomposisi membantu kita dalam mengurai masalah menjadi beberapa bagian yang lebih kecil dan mudah dikerjakan.
Pseudocode-nya adalah sebagai berikut:
```
read(n) // banyak bilangan
read(x)
max = -∞
for i from 1 to 7 do
  kelompok[i] = sort(arr(i, x))
  max = max(maks[0])
print(max)
```
Dalam pseudocode di atas, kita membagi 49 bilangan menjadi 7 kelompok dan kemudian mencari terbesar di setiap kelompok. Lalu, kita bandingkan 7 hasil untuk menemukan terbesar global.
Dengan demikian, dekomposisi membantu kita dalam mengurai masalah menjadi beberapa bagian yang lebih kecil dan mudah dikerjakan, sehingga kita dapat mencari solusi yang tepat.</t>
        </is>
      </c>
      <c r="F126" t="n">
        <v>0.7963</v>
      </c>
      <c r="G126" t="n">
        <v>0.1324</v>
      </c>
      <c r="H126" t="b">
        <v>1</v>
      </c>
      <c r="I126" s="3" t="inlineStr">
        <is>
          <t>Kesempatan untuk mengapplikasikan konsep pattern recognition!
Setelah Anda mencatat digit terakhir dari pangkat 7 pada beberapa nilai, Anda dapat melihat bahwa ada pola yang terjadi. Pola tersebut adalah siklus 4, yaitu: 7, 9, 3, 1. Jadi, Anda tidak perlu menghitung pangkat 7 sampai 2025, tetapi hanya perlu memprediksi digit terakhir berdasarkan pola yang terjadi.
Karena 2025 dapat dibagi dengan 4 (4 × 502,5), maka Anda dapat menggunakan nilai ke-1 dari siklus: 7. Jadi, jawaban adalah 7!</t>
        </is>
      </c>
      <c r="J126" t="n">
        <v>0.752</v>
      </c>
      <c r="K126" t="n">
        <v>0.1612</v>
      </c>
      <c r="L126" t="b">
        <v>1</v>
      </c>
      <c r="M126" t="n">
        <v>0.0443</v>
      </c>
    </row>
    <row r="127">
      <c r="A127" t="n">
        <v>126</v>
      </c>
      <c r="B127" t="inlineStr">
        <is>
          <t>application</t>
        </is>
      </c>
      <c r="C127" t="inlineStr">
        <is>
          <t>3PAR</t>
        </is>
      </c>
      <c r="D127" s="3" t="inlineStr">
        <is>
          <t>Di soal pseudocode saya diminta tulis algoritme untuk mengecek apakah sebuah bilangan adalah bilangan sempurna. Bilangan sempurna = jumlah pembaginya (selain dirinya) = dirinya. Contoh: 6 = 1+2+3. Saya tidak tahu cara mulai — apa langkah pertama yang benar?</t>
        </is>
      </c>
      <c r="E127" s="3" t="inlineStr">
        <is>
          <t>Saya senang menolong Anda! Berdasarkan konsep bilangan sempurna (perfect number), saya akan menjelaskan langkah-langkah untuk membuat pseudocode.
Sebuah bilangan sempurna adalah bilangan yang jumlah pembaginya (selain dirinya) sama dengan bilangan itu sendiri. Contoh: 6 = 1+2+3.
Untuk membuat pseudocode, mari kita mulai dari langkah pertama:
1. Input : Bilangan bulat n
Output: "sempurna" atau "bukan sempurna"
Langkah berikutnya, kita perlu menghitung jumlah pembaginya (selain dirinya) dan membandingkan dengan bilangan n.
2. Hitung jumlah pembaginya:
Saya akan menggunakan variabel `sum` untuk menghitung jumlah pembaginya.
```
sum = 0
for i from 1 to sqrt(n) do
  if (n mod i == 0) then
    sum = sum + i
  end if
end for
```
3. Bandingkan dengan bilangan n:
Jika `sum` sama dengan `n`, maka bilangan tersebut adalah sempurna.
```
if (sum == n) then
  print("sempurna")
else
  print("bukan sempurna")
end if
```
Dengan demikian, pseudocode untuk mengecek apakah sebuah bilangan adalah bilangan sempurna adalah sebagai berikut:
```
Input : Bilangan bulat n
Output: "sempurna" atau "bukan sempurna"
sum = 0
for i from 1 to sqrt(n) do
  if (n mod i == 0) then
    sum = sum + i
  end if
end for
if (sum == n) then
  print("sempurna")
else
  print("bukan sempurna")
end if
```
Kesimpulan: Dalam pseudocode di atas, kita menggunakan perulangan untuk menghitung jumlah pembaginya dan kemudian membandingkan dengan bilangan n. Jika `sum` sama dengan `n`, maka bilangan tersebut adalah sempurna.</t>
        </is>
      </c>
      <c r="F127" t="n">
        <v>0.7806</v>
      </c>
      <c r="G127" t="n">
        <v>0.1426</v>
      </c>
      <c r="I127" s="3" t="inlineStr">
        <is>
          <t>Untuk mengecek apakah sebuah bilangan adalah bilangan sempurna, kita dapat menggunakan algoritme berikut:
1. Deklarasikan variabel `n` sebagai input bilangan yang akan diperiksa.
2. Deklarasikan variabel `sum` sebagai variable untuk menghitung jumlah pembagian bilangan tersebut.
3. Mulai dari pembagian 1 dan iterasi hingga pembagian `n-1`. Untuk setiap pembagian, jika pembagian tersebut bukan nol dan tidak sama dengan `n`, tambahkan ke variable `sum`.
4. Cek apakah `sum` sama dengan `n`. Jika iya, maka bilangan tersebut adalah bilangan sempurna.
Contoh pseudocode:
```
ALGORITME CheckIsPerfectNumber(n)
  SUM = 0
  FOR i FROM 1 TO n-1 DO
    IF i IS NOT EQUAL TO n AND i IS NOT DIVISIBLE BY n THEN
      SUM = SUM + i
    END IF
  END FOR
  RETURN SUM IS EQUAL TO n
```
Dalam pseudocode di atas, kita menggunakan loop `FOR` untuk iterasi dari pembagian 1 hingga `n-1`. Kita cek apakah setiap pembagian bukan `n` dan tidak sama dengan `n`, lalu tambahkan ke variable `SUM` jika iya. Akhirnya, kita cek apakah `SUM` sama dengan `n`, maka bilangan tersebut adalah bilangan sempurna.</t>
        </is>
      </c>
      <c r="J127" t="n">
        <v>0.646</v>
      </c>
      <c r="K127" t="n">
        <v>0.2301</v>
      </c>
      <c r="M127" t="n">
        <v>0.1346</v>
      </c>
    </row>
    <row r="128">
      <c r="A128" t="n">
        <v>127</v>
      </c>
      <c r="B128" t="inlineStr">
        <is>
          <t>application</t>
        </is>
      </c>
      <c r="C128" t="inlineStr">
        <is>
          <t>2TGI</t>
        </is>
      </c>
      <c r="D128" s="3" t="inlineStr">
        <is>
          <t>Saya latihan pseudocode untuk konversi suhu Celsius ke Fahrenheit dan Kelvin sekaligus. Rumusnya: F = C × 9/5 + 32, K = C + 273.15. Dosen minta menggunakan fungsi terpisah untuk setiap konversi dan program utama yang memanggil keduanya. Bagaimana pseudocode yang benar?</t>
        </is>
      </c>
      <c r="E128" s="3" t="inlineStr">
        <is>
          <t>Selamat datang di pertemuan ini! Kita akan membahas topik percabangan (conditionals) dan membuat pseudocode untuk konversi suhu Celsius ke Fahrenheit dan Kelvin.
Dalam materinya, kita telah belajar bahwa percabangan adalah struktur kontrol yang memungkinkan algoritme untuk mengambil keputusan dan menjalankan blok instruksi yang berbeda bergantung pada kondisi tertentu. Kondisi pada percabangan membuat program menjadi lebih efektif dan mudah dijalankan.
Untuk membuat pseudocode, kita akan menggunakan sintaks yang mirip dengan bahasa pemrograman. Namun, perlu diingat bahwa pseudocode tidak memerlukan aturan grammar (sintaks) yang ketat seperti dalam bahasa pemrograman.
Berikut adalah pseudocode untuk konversi suhu Celsius ke Fahrenheit dan Kelvin:
```
read(Celsius)
Fahrenheit = Celsius * 9/5 + 32
print("Suhu Fahrenheit:", Fahrenheit)
Kelvin = Celsius + 273.15
print("Suhu Kelvin:", Kelvin)
```
Dalam pseudocode di atas, kita menggunakan fungsi terpisah untuk setiap konversi (Celsius ke Fahrenheit dan Celsius ke Kelvin). Program utama memanggil keduanya dan menampilkan hasilnya.
Jangan lupa bahwa dalam membuat pseudocode, kita perlu menggunakan istilah teknis yang ada dalam materi referensi. Dengan demikian, kita dapat memudahkan pemahaman dan mengurangi ambiguitas.
Saya berharap jawaban ini membantu Anda memahami konsep percabangan dan membuat pseudocode yang benar!</t>
        </is>
      </c>
      <c r="F128" t="n">
        <v>0.6891</v>
      </c>
      <c r="G128" t="n">
        <v>0.2021</v>
      </c>
      <c r="H128" t="b">
        <v>1</v>
      </c>
      <c r="I128" s="3" t="inlineStr">
        <is>
          <t>Berikut adalah pseudocode yang benar untuk konversi suhu Celsius ke Fahrenheit dan Kelvin:
```
PROGRAM KonversiSuhu
FUNGSI ConvertToFahrenheit(Celsius)
  RETURN Celsius × 9/5 + 32
FUNGSI ConvertToKelvin(Celsius)
  RETURN Celsius + 273.15
PROGRAM UTAMA
  Baca input suhu Celsius dari pengguna
  Fahrenheit := ConvertToFahrenheit(inputCelsius)
  Kelving := ConvertToKelvin(inputCelsius)
  Tulis output suhu Fahrenheit: Fahrenheit
  Tulis output suhu Kelvin: Kelving
```
Dalam pseudocode di atas, kami menggunakan fungsi terpisah untuk setiap konversi, yaitu `ConvertToFahrenheit` dan `ConvertToKelvin`. Program utama memanggil kedua fungsi tersebut dengan input suhu Celsius, lalu menulis output hasil konversi ke Fahrenheit dan Kelvin.</t>
        </is>
      </c>
      <c r="J128" t="n">
        <v>0.3991</v>
      </c>
      <c r="K128" t="n">
        <v>0.3906</v>
      </c>
      <c r="L128" t="b">
        <v>1</v>
      </c>
      <c r="M128" t="n">
        <v>0.29</v>
      </c>
    </row>
    <row r="129">
      <c r="A129" t="n">
        <v>128</v>
      </c>
      <c r="B129" t="inlineStr">
        <is>
          <t>application</t>
        </is>
      </c>
      <c r="C129" t="inlineStr">
        <is>
          <t>3TGR</t>
        </is>
      </c>
      <c r="D129" s="3" t="inlineStr">
        <is>
          <t>Saya diminta tulis pseudocode untuk menghitung nilai rata-rata, nilai terbesar, dan nilai terkecil dari array yang diinput pengguna secara dinamis (pengguna bisa input berapa saja elemennya, berhenti kalau input -1). Saya bingung kapan berhenti dan bagaimana struktur loop-nya.</t>
        </is>
      </c>
      <c r="E129" s="3" t="inlineStr">
        <is>
          <t>Tolong jawaban yang sesuai dengan tipe kognitif Level 3 Menengah / Teoritis / Global / Reflektif, sebagai berikut:
Pada dasarnya, Anda diminta untuk menuliskan pseudocode untuk menghitung nilai rata-rata, nilai terbesar, dan nilai terkecil dari array yang diinput pengguna secara dinamis. Dalam materi referensi, Anda telah mempelajari tentang perulangan (loop) dan percabangan (conditionals). Untuk menjawab pertanyaan ini, Anda dapat menggunakan konsep-konsep tersebut.
Pseudocode untuk menghitung nilai rata-rata, nilai terbesar, dan nilai terkecil dari array yang diinput pengguna secara dinamis adalah sebagai berikut:
```
Input : array A[1..n]
Output: rata-rata, max, min
rata-rata = 0
max = -∞
min = ∞
for i from 1 to n do
  if A[i] &gt; max then max = A[i]
  if A[i] &lt; min then min = A[i]
  rata-rata += A[i]
rata-rata /= n
print(rata-rata, max, min)
```
Pseudocode di atas menggunakan perulangan (loop) untuk menghitung nilai rata-rata, nilai terbesar, dan nilai terkecil dari array. Perulangan dilakukan sebanyak n kali, di mana n adalah jumlah elemen dalam array. Dalam setiap iterasi perulangan, program akan membandingkan nilai elemen dengan nilai max dan min, serta menghitung nilai rata-rata.
Untuk menentukan kapan berhenti, program akan terus melakukan perulangan hingga semua elemen dalam array telah dihitung. Dalam pseudocode di atas, perulangan dilakukan sebanyak n kali, sehingga Anda dapat yakin bahwa program akan berhenti setelah semua elemen dalam array telah dihitung.
Demikianlah jawaban saya untuk pertanyaan Anda. Saya harap ini membantu Anda memahami konsep-konsep dasar tentang perulangan dan percabangan.</t>
        </is>
      </c>
      <c r="F129" t="n">
        <v>0.319</v>
      </c>
      <c r="G129" t="n">
        <v>0.4427</v>
      </c>
      <c r="H129" t="b">
        <v>1</v>
      </c>
      <c r="I129" s="3" t="inlineStr">
        <is>
          <t>Saya dapat membantu Anda dengan menulis pseudocode untuk menghitung nilai rata-rata, nilai terbesar, dan nilai terkecil dari array yang diinput pengguna secara dinamis. Berikut adalah jawabannya:
```
DEKLARASI:
  average = 0
  max_value = -INFINITI
  min_value = INFINITY
PROSES:
  WHILE (pengguna belum selesai input) DO
    BACA input dari pengguna
    IF (input = -1) THEN
      KEMBALI ke atas dan SELESAikan proses
    ELSE
      average = average + input
      IF (input &gt; max_value) THEN
        max_value = input
      ENDIF
      IF (input &lt; min_value) THEN
        min_value = input
      ENDIF
  ENDWHILE
PROSES:
  rata-rata = average / jumlah input
  PRINT "Nilai rata-rata: ", rata-rata
  PRINT "Nilai terbesar: ", max_value
  PRINT "Nilai terkecil: ", min_value
```
Struktur loop yang digunakan adalah WHILE loop, yang akan terus berulang sampai pengguna selesai input -1. Dalam setiap iterasi, program akan membaca input dari pengguna, menambahkan nilainya ke variabel `average`, dan membandingkan nilai tersebut dengan `max_value` dan `min_value`. Jika input -1, maka proses akan dihentikan dan program akan menampilkan hasil.
Saya harap pseudocode ini dapat membantu Anda dalam menciptakan program yang sesuai dengan kebutuhan Anda!</t>
        </is>
      </c>
      <c r="J129" t="n">
        <v>0.5002</v>
      </c>
      <c r="K129" t="n">
        <v>0.3249</v>
      </c>
      <c r="L129" t="b">
        <v>1</v>
      </c>
      <c r="M129" t="n">
        <v>-0.1812</v>
      </c>
    </row>
    <row r="130">
      <c r="A130" t="n">
        <v>129</v>
      </c>
      <c r="B130" t="inlineStr">
        <is>
          <t>application</t>
        </is>
      </c>
      <c r="C130" t="inlineStr">
        <is>
          <t>4PAI</t>
        </is>
      </c>
      <c r="D130" s="3" t="inlineStr">
        <is>
          <t>Saya dapat soal: buat pseudocode untuk menampilkan semua bilangan prima antara 1 sampai N. Bukan hanya cek satu bilangan, tapi semua prima dalam range. Saya sudah bisa cek satu prima, tapi bagaimana mengintegrasikannya ke dalam loop yang iterasi 1 sampai N?</t>
        </is>
      </c>
      <c r="E130" s="3" t="inlineStr">
        <is>
          <t>Mahasiswa! Saya senang membantu Anda dengan pseudocode untuk menampilkan semua bilangan prima antara 1 sampai N.
Pertama-tama, kita perlu memahami bagaimana cara cek apakah suatu bilangan adalah prima. Sebelumnya, kita telah belajar bahwa algoritme cek prima memiliki kompleksitas O(√n). Kita dapat menggunakan algoritme ini sebagai dasar untuk membuat loop yang akan mencari semua bilangan prima antara 1 sampai N.
Berikut pseudocode yang Anda butuhkan:
Input : N (batas bilangan)
Output : Daftar semua bilangan prima antara 1 dan N
Proses :
  for i = 2 to N do
    // Cek apakah i adalah prima
    read(i)
    if (i &lt;= 1) then
      print("bukan prima")
    else if (i == 2) then
      print("prima")
    else if (i mod 2 == 0) then
      print("bukan prima")
    else
      prima = true
      j = 3
      while (j*j &lt;= i) do
        if (i mod j == 0) then
          prima = false
          break
        j = j + 2
      if (prima) then
        print(i)
      else
        print("bukan prima")
Dengan demikian, pseudocode di atas akan mencari semua bilangan prima antara 1 sampai N dan menampilkan hasilnya. Kita dapat menggunakan komponen-komponen yang telah kita pelajari sebelumnya, seperti cek prima dengan algoritme O(√n) dan loop for untuk mengulangi proses tersebut.
Saya harap pseudocode di atas membantu Anda dalam mencari semua bilangan prima antara 1 sampai N!</t>
        </is>
      </c>
      <c r="F130" t="n">
        <v>0.4344</v>
      </c>
      <c r="G130" t="n">
        <v>0.3676</v>
      </c>
      <c r="H130" t="b">
        <v>1</v>
      </c>
      <c r="I130" s="3" t="inlineStr">
        <is>
          <t>Saya dapat menjawab pertanyaan Anda sebagai berikut:
Pseudocode untuk menampilkan semua bilangan prima antara 1 sampai N adalah sebagai berikut:
```
PROSEDUR TAMPIL_PRIMA(N)
    DEKlarasi i, d
    I = 2 (karena bilangan prima harus lebih besar dari 1)
    SAMPAI I &lt;= N
        JIKA IS_PRIMA(I) THEN
            Tampilkan I sebagai bilangan prima
        FI
        INCREMENTS I
    AKHIR
PROSEDUR IS_PRIMA(x)
    DEKlarasi d, i
    D = x - 1
    SAMPAI i &lt;= SQUAREROOT(D)
        JIKA D MOD i != 0 THEN
            D = D
        ELSE
            D = 0
        FI
    AKHIR
    RETURN D == 0
```
Keterangan:
* `TAMPIL_PRIMA(N)` adalah prosedur yang bertujuan menampilkan semua bilangan prima antara 1 sampai N.
* `IS_PRIME(x)` adalah fungsi yang memeriksa apakah x adalah bilangan prima atau tidak.
* Dalam proses, kita menggunakan loop `SAMPAI I &lt;= N` untuk mengulangi proses mencari bilangan prima dari 2 sampai N.
* Dalam setiap iterasi, kita memanggil fungsi `IS_PRIME(I)` untuk memeriksa apakah I adalah bilangan prima atau tidak. Jika iya, maka kita tampilkan I sebagai bilangan prima.
* Fungsi `IS_PRIME(x)` bekerja dengan cara mengulangi proses mencari faktor-faktor dari x hingga akar-akarnya (saya gunakan `SQUAREROOT(D)` untuk mendapatkan akar-akar dari D). Jika tidak ditemukan faktor-faktor, maka x adalah bilangan prima.
Dengan demikian, pseudocode di atas akan menampilkan semua bilangan prima antara 1 sampai N.</t>
        </is>
      </c>
      <c r="J130" t="n">
        <v>0.0694</v>
      </c>
      <c r="K130" t="n">
        <v>0.6049</v>
      </c>
      <c r="L130" t="b">
        <v>1</v>
      </c>
      <c r="M130" t="n">
        <v>0.365</v>
      </c>
    </row>
    <row r="131">
      <c r="A131" t="n">
        <v>130</v>
      </c>
      <c r="B131" t="inlineStr">
        <is>
          <t>out_of_scope</t>
        </is>
      </c>
      <c r="C131" t="inlineStr">
        <is>
          <t>5TGI</t>
        </is>
      </c>
      <c r="D131" s="3" t="inlineStr">
        <is>
          <t>Dosen minta tulis pseudocode yang membaca string dan menghitung frekuensi setiap huruf yang muncul. Contoh: 'hello' → h=1, e=1, l=2, o=1. Saya bingung struktur data apa yang dipakai karena kita belum belajar dictionary di CT.</t>
        </is>
      </c>
      <c r="E131" s="3" t="inlineStr">
        <is>
          <t>Saya senang membantu Anda menyelesaikan soal-soal dan tugas Computational Thinking (CT) di universitas Indonesia.
Berikut jawaban saya untuk pertanyaan mahasiswa:
Pertama-tama, kita perlu menggunakan struktur data yang sesuai untuk menghitung frekuensi setiap huruf yang muncul dalam string. Salah satu contoh struktur data yang dapat digunakan adalah dictionary (kamus). Dalam CT, dictionary dapat digunakan sebagai struktur data yang efektif untuk menghitung frekuensi setiap element dalam sebuah kumpulan data.
Berikut pseudocode untuk menyelesaikan soal:
Input : string s
Output : dictionary huruf_frek
  read(s)
  huruf_frek = {}
  for setiap huruf h dalam s do
    if h dalam huruf_frek then
      huruf_frek[h] = huruf_frek[h] + 1
    else
      huruf_frek[h] = 1
  return huruf_frek
Dalam pseudocode di atas, kita menggunakan loop untuk mengulangi proses menghitung frekuensi setiap huruf dalam string. Kita juga menggunakan dictionary sebagai struktur data untuk menyimpan hasil penghitungan frekuensi. Setiap huruf yang ditemukan dalam string akan menjadi key dalam dictionary, dan nilai-nilainya adalah frekuensinya.
Dengan demikian, pseudocode di atas dapat membantu Anda menyelesaikan soal menghitung frekuensi setiap huruf yang muncul dalam string.</t>
        </is>
      </c>
      <c r="F131" t="n">
        <v>0.6589</v>
      </c>
      <c r="G131" t="n">
        <v>0.2217</v>
      </c>
      <c r="H131" t="b">
        <v>1</v>
      </c>
      <c r="I131" s="3" t="inlineStr">
        <is>
          <t>Tidak perlu khawatir, pseudocode ini dapat dibuat tanpa menggunakan dictionary! Berikut adalah contoh pseudocode yang membaca string dan menghitung frekuensi setiap huruf yang muncul:
```
PROSEDUR hitungFrekuensi(huruf)
    VARIABEL frequency[26] = {0, 0, 0, ..., 0} // array untuk menyimpan frekuensi huruf
    KADAR i = 1
    SEMENTARA huruf != "" THEN
        JIKA frequency[ASCII(huruf) - ASCII('a')] &gt; 0 THEN
            INCREMENT frequency[ASCII(huruf) - ASCII('a')]
        ELSE
            SET frequency[ASCII(huruf) - ASCII('a')] = 1
        AKHIR
        INCREMENT i
    AKHIR SEMENTARA
    Cetak "Frekuensi huruf: "
    KADAR j = 0
    SEMENTARA j &lt; 26 THEN
        CETAK (huruf[ASCII('a') + j - 1] + ": " + frequency[j] + ", ")
        INCREMENT j
    AKHIR SEMENTARA
END PROSEDUR
KONTROL
    SET huruf = "hello"
    HITUNGFREKUENSI(huruf)
```
Pseudocode di atas menggunakan array untuk menyimpan frekuensi setiap huruf. Array `frequency` memiliki ukuran 26 (jumlah huruf alphabet), dan nilai awalnya adalah 0. Proses penghitungan frekuensi dilakukan dengan menggeserkan string dari awal ke akhir, dan jika huruf sudah pernah muncul sebelumnya, maka nilai frekuensinya akan diincrement.
Namun, perlu diingat bahwa pseudocode ini hanya sebagai contoh dan masih membutuhkan perbaikan agar dapat digunakan secara efektif dalam program.</t>
        </is>
      </c>
      <c r="J131" t="n">
        <v>0.661</v>
      </c>
      <c r="K131" t="n">
        <v>0.2203</v>
      </c>
      <c r="M131" t="n">
        <v>-0.0021</v>
      </c>
    </row>
    <row r="132">
      <c r="A132" t="n">
        <v>131</v>
      </c>
      <c r="B132" t="inlineStr">
        <is>
          <t>confusion</t>
        </is>
      </c>
      <c r="C132" t="inlineStr">
        <is>
          <t>4TGR</t>
        </is>
      </c>
      <c r="D132" s="3" t="inlineStr">
        <is>
          <t>Di soal evaluasi ekspresi saya dapat: 2 ** 3 ** 2. Teman saya hitung (2**3)**2 = 8**2 = 64. Saya hitung 2**(3**2) = 2**9 = 512. Kata dosen salah satu benar karena perpangkatan bersifat right-associative. Mana yang benar dan apa artinya right-associative?</t>
        </is>
      </c>
      <c r="E132" s="3" t="inlineStr">
        <is>
          <t>Kamu sebagai tutor Computational Thinking untuk mahasiswa universitas di Indonesia, saya akan menjawab pertanyaan-pertanyaan tersebut dengan menggunakan istilah teknis dan konsep utama yang ada dalam materi referensi.
Pertama, perbedaan antara Mathematical Thinking dan Computational Thinking. Mathematical Thinking adalah proses berpikir yang bertahap, yaitu menghitung satu per satu. Contohnya, jika kita ingin mencari total 1 + 2 + 3 + ... + 10, maka kita harus melakukan kalkulasi bertahap seperti 1+2=3, 3+3=6, dan seterusnya. Sementara Computational Thinking adalah proses berpikir yang mencari pola untuk membangun solusi efisien. Contohnya, jika kita ingin mencari total 1 + 2 + 3 + ... + 10, maka kita dapat mencari pasangan bilangan dari ujung kiri dan kanan, seperti 1+10=11, 2+9=11, dan seterusnya.
Kedua, SOAL COKLAT BEBEK — PENGENALAN POLA DERET SEGITIGA. Dalam soal ini, kita dituntut untuk menemukan pola dari deret segitiga yang terbentuk oleh jumlah coklat yang diberikan kepada bebek. Pola yang ditemukan adalah bahwa jumlah komulatif s/d bebek ke-n = n(n+1)/2. Dengan demikian, kita dapat mencari n terbesar sehingga n(n+1)/2 ≤ 500 dan menemukan bebek nomor berapa yang pertama tidak mendapat coklat.
Ketiga, SOAL 8 — Pola Bilangan Ganjil. Dalam soal ini, kita dituntut untuk menemukan pola dari jumlah n bilangan ganjil pertama. Pola yang ditemukan adalah bahwa jumlah n bilangan ganjil pertama = n². Dengan demikian, kita dapat mencari suku ke-n dan menemukan total jumlah n bilangan ganjil pertama.
Keempat, SOAL 2 — Deret Aritmatika. Dalam soal ini, kita dituntut untuk menemukan suku ke-15 dan jumlah 15 suku pertama dari deret. Pola yang ditemukan adalah bahwa suku ke-n = a1 + (n-1)d, dengan a1 sebagai suku pertama dan d sebagai beda antar suku. Dengan demikian, kita dapat mencari suku ke-15 dan menemukan jumlah 15 suku pertama.
Kelima, SOAL 3 — Pola Bilangan. Dalam soal ini, kita dituntut untuk menemukan pola dari barisan berikut: a) 2, 5, 10, 17, 26, ... b) 1, 1, 2, 3, 5, 8, 13, ... c) 3, 6, 12, 24, 48, ... Pola yang ditemukan adalah bahwa a) n² + 1, b) deret Fibonacci, dan c) deret geometri. Dengan demikian, kita dapat mencari suku ke-10 dan menemukan jumlah 15 suku pertama.
Terakhir, SOAL 4 — Pola dalam Algoritme. Dalam soal ini, kita dituntut untuk menjawab perpangkatan yang bersifat right-associative. Jawaban yang benar adalah bahwa (2**3)**2 = 8**2 = 64, karena perpangkatan bersifat right-associative. Artinya, dalam perpangkatan, operator ** memiliki prioritas yang lebih tinggi daripada operator lainnya.
Dalam keseluruhan, Computational Thinking memungkinkan kita untuk menemukan pola dan membangun solusi efisien dengan menggunakan abstraksi terhadap elemen-elemen visual yang relevan, serta mengenali pola transformasi atau urutan yang terjadi antar gambar.</t>
        </is>
      </c>
      <c r="F132" t="n">
        <v>0.8568</v>
      </c>
      <c r="G132" t="n">
        <v>0.09950000000000001</v>
      </c>
      <c r="H132" t="b">
        <v>1</v>
      </c>
      <c r="I132" s="3" t="inlineStr">
        <is>
          <t>Dalam kasus ini, dosen memiliki argumen yang tepat bahwa perpangkatan dalam bahasa pemrograman Python (dan beberapa bahasa lainnya) bersifat right-associative.
Artinya, ketika kita memiliki ekspresi seperti 2 ** 3 ** 2, Python akan pertama-tama memproses operasi ** dari kiri ke kanan. Jadi, dalam kasus ini, yang terjadi adalah:
1. 2 ** 3 = 8 (perpangkatan ke-1)
2. Kemudian, kita memiliki ekspresi 8 ** 2, maka hasilnya adalah 64.
Jadi, jawaban yang benar adalah 64. Teman Anda tidak benar karena mereka menghitung dengan cara yang salah, yaitu dengan menghitung (2**3)**2 = 8**2 = 64, tetapi tidak mempertimbangkan prioritas perpangkatan.
Right-associative artinya bahwa dalam ekspresi kompleks seperti 2 ** 3 ** 2, Python akan memproses operasi ** dari kiri ke kanan, sehingga menghasilkan hasil yang berbeda jika dibandingkan dengan left-associative (dengan prioritas perpangkatan dari kanan ke kiri).</t>
        </is>
      </c>
      <c r="J132" t="n">
        <v>0.5336</v>
      </c>
      <c r="K132" t="n">
        <v>0.3432</v>
      </c>
      <c r="L132" t="b">
        <v>1</v>
      </c>
      <c r="M132" t="n">
        <v>0.3232</v>
      </c>
    </row>
    <row r="133">
      <c r="A133" t="n">
        <v>132</v>
      </c>
      <c r="B133" t="inlineStr">
        <is>
          <t>application</t>
        </is>
      </c>
      <c r="C133" t="inlineStr">
        <is>
          <t>4PAR</t>
        </is>
      </c>
      <c r="D133" s="3" t="inlineStr">
        <is>
          <t>Saya diminta sederhanakan ekspresi boolean: (A AND B) OR (A AND NOT B). Teman saya langsung bilang jawabannya A tapi tidak bisa jelaskan kenapa. Saya mau buktikan dengan tabel kebenaran dan aljabar boolean. Langkah apa yang harus saya lakukan?</t>
        </is>
      </c>
      <c r="E133" s="3" t="inlineStr">
        <is>
          <t>Saya akan menjawab pertanyaan Anda dengan menggunakan konsep utama dari materi referensi dan gaya penjelasan yang sesuai dengan tipe kognitif mahasiswa: Level 4 Mahir / Pragmatis / Analitis / Reflektif.
Untuk menyelesaikan ekspresi boolean (A AND B) OR (A AND NOT B), kita perlu memahami konsep logika Boolean. Operator logika yang digunakan adalah AND, OR, dan NOT.
Pertama-tama, mari kita lihat bagaimana operator logika bekerja:
* AND (dan): Menghasilkan nilai boolean True hanya jika kedua operand bernilai True.
* OR (atau): Menghasilkan nilai boolean True jika setidaknya satu operand bernilai True.
* NOT (bukan): Membalik nilai boolean dari operand.
Sekarang, mari kita analisis ekspresi boolean yang diberikan: (A AND B) OR (A AND NOT B). Ekspresi ini dapat dijabarkan menjadi dua bagian:
1. (A AND B): Menghasilkan nilai boolean True jika A dan B bernilai True.
2. (A AND NOT B): Menghasilkan nilai boolean True jika A bernilai True dan B bernilai False.
Kini, mari kita lihat bagaimana operator OR bekerja. Ekspresi boolean akan menghasilkan nilai boolean True jika setidaknya satu operand bernilai True. Dalam kasus ini, ekspresi boolean akan menghasilkan nilai boolean True jika:
* (A AND B) bernilai True
* atau (A AND NOT B) bernilai True
Untuk memahami konsep tersebut lebih baik, mari kita buat tabel kebenaran sebagai berikut:
| A | B | (A AND B) | (A AND NOT B) | (A AND B) OR (A AND NOT B) |
| --- | --- | --- | --- | --- |
| True | True | True | False | True |
| True | False | False | True | True |
| False | True | False | False | False |
| False | False | False | False | False |
Dalam tabel kebenaran di atas, kita dapat melihat bahwa ekspresi boolean (A AND B) OR (A AND NOT B) menghasilkan nilai boolean True jika A bernilai True dan setidaknya salah satu dari B atau NOT B bernilai True.
Jadi, jawaban yang tepat adalah A.</t>
        </is>
      </c>
      <c r="F133" t="n">
        <v>0.7698</v>
      </c>
      <c r="G133" t="n">
        <v>0.1496</v>
      </c>
      <c r="I133" s="3" t="inlineStr">
        <is>
          <t>Saya senang membantu Anda memahami ekspresi boolean tersebut!
Langkah pertama, Anda perlu membuat sebuah tabel kebenaran (truth table) untuk ekspresi boolean (A AND B) OR (A AND NOT B). Tabel kebenaran ini akan membantu Anda menentukan nilai dari setiap kombinasi nilai A dan B.
Tabel kebenaran yang Anda butuhkan adalah seperti berikut:
| A | B | A AND B | A AND NOT B | (A AND B) OR (A AND NOT B) |
| --- | --- | --- | --- | --- |
| T | T | T | F | T |
| T | F | T | T | T |
| F | T | F | F | F |
| F | F | F | T | T |
Keterangan:
* A AND B: hasil dari operasi AND antara A dan B
* A AND NOT B: hasil dari operasi AND antara A dan NOT B (NOT B berarti nilai B dikalikan 0)
* (A AND B) OR (A AND NOT B): hasil dari operasi OR antara (A AND B) dan (A AND NOT B)
Sekarang, Anda perlu menggunakan aljabar boolean untuk mengurai ekspresi tersebut. Ekspresi boolean dapat diuraikan menjadi bentuk kurang rumit dengan menggunakan aturan berikut:
1. Distributivitas: NOT (A OR B) = NOT A AND NOT B
2. Kommutativitas: A AND B = B AND A
3. Associativitas: A AND (B AND C) = (A AND B) AND C
Dengan menggunakan aturan-aturan di atas, Anda dapat mengurai ekspresi boolean menjadi bentuk kurang rumit.
Contohnya, Anda dapat mulai dengan bagian dalam OR, yaitu (A AND B) dan (A AND NOT B). Kemudian, Anda dapat menggunakan distributivitas untuk menguraikan OR menjadi AND NOT:
(A AND B) OR (A AND NOT B) = A AND (B OR NOT B)
Sekarang, Anda dapat menggunakan kommutativitas untuk mengurangi bagian dalam OR:
A AND (NOT B OR B) = A AND NOT B
Jadi, Anda telah mengurai ekspresi boolean menjadi bentuk kurang rumit: A AND NOT B.
Kini, Anda dapat membandingkan hasil tersebut dengan tabel kebenaran yang Anda buat sebelumnya. Anda akan melihat bahwa nilai ekspresi boolean (A AND NOT B) sama dengan nilai yang ada di baris ketiga dan kelima tabel kebenaran.
Dengan demikian, jawaban yang tepat adalah A, seperti yang ditunjukkan oleh teman Anda!</t>
        </is>
      </c>
      <c r="J133" t="n">
        <v>0.7598</v>
      </c>
      <c r="K133" t="n">
        <v>0.1561</v>
      </c>
      <c r="L133" t="b">
        <v>1</v>
      </c>
      <c r="M133" t="n">
        <v>0.01</v>
      </c>
    </row>
    <row r="134">
      <c r="A134" t="n">
        <v>133</v>
      </c>
      <c r="B134" t="inlineStr">
        <is>
          <t>gap</t>
        </is>
      </c>
      <c r="C134" t="inlineStr">
        <is>
          <t>2TAI</t>
        </is>
      </c>
      <c r="D134" s="3" t="inlineStr">
        <is>
          <t>Saya bingung dengan ekspresi: x = 5 &gt; 3 AND 10 &lt; 20. Saya tidak tahu nilai x berakhir integer, boolean, atau error. Di Python ini menghasilkan True. Tapi bagaimana di pseudocode CT — apakah operator perbandingan menghasilkan boolean?</t>
        </is>
      </c>
      <c r="E134" s="3" t="inlineStr">
        <is>
          <t>As a computational thinking tutor for university students in Indonesia, I'll be happy to help you understand the concept of operators and conditional statements in pseudocode.
In pseudocode, operator perbandingan (comparison operator) is used to compare two values or expressions. For example, `x = 5 &gt; 3 AND 10 &lt; 20`. In this expression, the greater-than symbol (`&gt;`) and less-than symbol (`&lt;`) are used to compare numbers. The `AND` keyword is used to combine two conditions.
In pseudocode, the operator perbandingan returns a boolean value (true or false) indicating whether the condition is true or not. For example, in the expression above, if `x = 5` is greater than `3`, and `10` is less than `20`, the expression would evaluate to `True`. If either of the conditions is false, the overall result would be `False`.
In Python, this expression would indeed return `True`. However, in pseudocode, the operator perbandingan returns a boolean value that can be used as part of an if-else statement or other control structures.
For example, you could use the expression above as part of an if-statement like this:
```
if x = 5 &gt; 3 AND 10 &lt; 20 then
  print("x is greater than 3 and less than 20")
else
  print("x is not greater than 3 or less than 20")
```
I hope this helps clarify the concept of operators and conditional statements in pseudocode!</t>
        </is>
      </c>
      <c r="F134" t="n">
        <v>0.7358</v>
      </c>
      <c r="G134" t="n">
        <v>0.1717</v>
      </c>
      <c r="I134" s="3" t="inlineStr">
        <is>
          <t>Pertanyaan yang menarik!
Pada umumnya, operator perbandingan (comparative operators) seperti `&gt;` dan `&lt;` dalam pseudocode CT (Computer Transition) atau bahasa pemrograman lainnya akan menghasilkan nilai boolean (true/false). Dalam contoh Anda, ekspresi:
x = 5 &gt; 3 AND 10 &lt; 20
akan dihitung sebagai berikut:
1. 5 &gt; 3: true
2. 10 &lt; 20: true
Karena keduanya bernilai true, maka operasi logical "AND" akan menghasilkan nilai boolean yang juga true.
Jadi, dalam pseudocode CT, ekspresi tersebut akan dihitung sebagai:
x = true</t>
        </is>
      </c>
      <c r="J134" t="n">
        <v>0.7396</v>
      </c>
      <c r="K134" t="n">
        <v>0.1693</v>
      </c>
      <c r="M134" t="n">
        <v>-0.0038</v>
      </c>
    </row>
    <row r="135">
      <c r="A135" t="n">
        <v>134</v>
      </c>
      <c r="B135" t="inlineStr">
        <is>
          <t>application</t>
        </is>
      </c>
      <c r="C135" t="inlineStr">
        <is>
          <t>3TGI</t>
        </is>
      </c>
      <c r="D135" s="3" t="inlineStr">
        <is>
          <t>Soal trace: diberikan pseudocode berikut:
  read(tahun)
  if (tahun mod 4 == 0 AND tahun mod 100 != 0) OR (tahun mod 400 == 0)
    then print('kabisat')
  else print('bukan')
Input: tahun=1900. Saya dapat 'kabisat' tapi teman dapat 'bukan'. Tolong trace dan tentukan mana yang benar.</t>
        </is>
      </c>
      <c r="E135" s="3" t="inlineStr">
        <is>
          <t>Based on the given pseudocode and materials, I will provide a trace for the year 1900.
The given pseudocode is:
```
read(tahun)
if (tahun mod 4 == 0 AND tahun mod 100 != 0) OR (tahun mod 400 == 0)
    then print('kabisat')
else print('bukan')
```
For the input `tahun=1900`, let's trace the pseudocode:
1. `tahun mod 4` is evaluated to be 0, because `1900 mod 4 = 0`.
2. Since `tahun mod 100 != 0` (i.e., `1900 mod 100 = 0`) and `tahun mod 400 == 0`, the condition `tahun mod 4 == 0 AND tahun mod 100 != 0` is true.
3. Therefore, the program prints `'kabisat'`.
According to this pseudocode, the year 1900 is indeed a leap year (kabisat), which is consistent with the result obtained by your friend.
In general, the pseudocode checks if the year is divisible by 4 and not by 100, or if it is divisible by 400. If either condition is met, the program prints `'kabisat'`; otherwise, it prints `'bukan'`.
This trace demonstrates how the pseudocode works for a specific input (tahun=1900) and provides an understanding of the conditions that determine whether a year is a leap year or not.</t>
        </is>
      </c>
      <c r="F135" t="n">
        <v>0.761</v>
      </c>
      <c r="G135" t="n">
        <v>0.1553</v>
      </c>
      <c r="H135" t="b">
        <v>1</v>
      </c>
      <c r="I135" s="3" t="inlineStr">
        <is>
          <t>Let's analyze the pseudocode and input together!
Pseudocode:
```
read(tahun)
if (tahun mod 4 == 0 AND tahun mod 100 != 0) OR (tahun mod 400 == 0)
    then print('kabisat')
else print('bukan')
```
Input: tahun = 1900
Let's evaluate the condition:
1. `tahun mod 4 == 0`: Since 1900 is divisible by 4, this part of the condition is TRUE.
2. `tahun mod 100 != 0`: However, since 1900 is not divisible by 100 (1900 % 100 = 0), this part of the condition is FALSE.
3. OR (`tahun mod 400 == 0`): Since 1900 is divisible by 400 (1900 % 400 = 0), this part of the condition is TRUE.
So, the overall condition evaluates to `TRUE`.
According to the pseudocode, since the condition is TRUE, it should print 'kabisat'. And that's what you got!</t>
        </is>
      </c>
      <c r="J135" t="n">
        <v>0.761</v>
      </c>
      <c r="K135" t="n">
        <v>0.1553</v>
      </c>
      <c r="L135" t="b">
        <v>1</v>
      </c>
      <c r="M135" t="n">
        <v>0</v>
      </c>
    </row>
    <row r="136">
      <c r="A136" t="n">
        <v>135</v>
      </c>
      <c r="B136" t="inlineStr">
        <is>
          <t>application</t>
        </is>
      </c>
      <c r="C136" t="inlineStr">
        <is>
          <t>3PAI</t>
        </is>
      </c>
      <c r="D136" s="3" t="inlineStr">
        <is>
          <t>Saya diminta tulis pseudocode untuk kalkulator sederhana: baca dua bilangan dan satu operator (+, -, *, /), lalu hitung hasilnya. Saya sudah bisa tulis tapi bingung cara handle pembagian dengan nol. Apakah saya perlu tambah percabangan khusus untuk itu?</t>
        </is>
      </c>
      <c r="E136" s="3" t="inlineStr">
        <is>
          <t>I understand your concern about writing a pseudocode for a simple calculator that handles division by zero. You're right to wonder if you need to add a special conditional statement for this case.
To address your question, let's first review the concept of conditional statements in programming. A conditional statement, also known as an "if-else" statement, is used to execute different blocks of code based on certain conditions or rules. In the context of your simple calculator, you might use a conditional statement to handle division by zero.
Here's an example pseudocode that demonstrates how to handle division by zero:
```
Input: two numbers (a and b) and an operator (+, -, *, /)
if (operator == "/") then
  if (b == 0) then
    print("Error: cannot divide by zero!")
  else
    result = a / b
    print(result)
end if
// other operators' logic goes here...
```
In this example, the pseudocode checks if the operator is division (/). If it is, it then checks if the divisor (b) is zero. If so, it prints an error message indicating that division by zero is not allowed. If b is not zero, it calculates and prints the result of the division.
This conditional statement helps you handle the special case of division by zero in a way that's both correct and user-friendly.</t>
        </is>
      </c>
      <c r="F136" t="n">
        <v>0.6107</v>
      </c>
      <c r="G136" t="n">
        <v>0.253</v>
      </c>
      <c r="H136" t="b">
        <v>1</v>
      </c>
      <c r="I136" s="3" t="inlineStr">
        <is>
          <t>Tidak perlu khawatir! Handle pembagian dengan nol tidak memerlukan tambahan percabangan khusus. Karena, jika operator adalah '/' dan hasilnya menjadi 0 (nol), maka program akan mengalami error division by zero.
Dalam pseudocode, Anda dapat menulis seperti berikut:
```
input num1, num2, operator
if operator is '+':
    result = num1 + num2
elif operator is '-':
    result = num1 - num2
elif operator is '*':
    result = num1 * num2
elif operator is '/':
    if num2 is 0:
        print "Error: division by zero"
    else:
        result = num1 / num2
print result
```
Dalam pseudocode di atas, Anda tidak perlu tambahkan percabangan khusus untuk handle pembagian dengan nol. Jika operator adalah '/' dan num2 adalah 0, maka program akan mencetak pesan error "Error: division by zero" dan tidak melakukan operasi pembagian.</t>
        </is>
      </c>
      <c r="J136" t="n">
        <v>0.7559</v>
      </c>
      <c r="K136" t="n">
        <v>0.1587</v>
      </c>
      <c r="L136" t="b">
        <v>1</v>
      </c>
      <c r="M136" t="n">
        <v>-0.1452</v>
      </c>
    </row>
    <row r="137">
      <c r="A137" t="n">
        <v>136</v>
      </c>
      <c r="B137" t="inlineStr">
        <is>
          <t>application</t>
        </is>
      </c>
      <c r="C137" t="inlineStr">
        <is>
          <t>2PGI</t>
        </is>
      </c>
      <c r="D137" s="3" t="inlineStr">
        <is>
          <t>Saya dapat soal trace percabangan yang kompleks:
  read(a, b, c)
  if (a &gt; b) then
    if (a &gt; c) then print(a)
    else print(c)
  else
    if (b &gt; c) then print(b)
    else print(c)
Input: a=7, b=12, c=9. Apa output-nya? Saya dapat 12 tapi tidak yakin.</t>
        </is>
      </c>
      <c r="E137" s="3" t="inlineStr">
        <is>
          <t>Berikut jawaban saya:
Percabangan yang diberikan adalah bentuk 2 — Bersarang Sekuensial (else-if). Kondisi-kondisi tersebut harus dipertimbangkan secara berurutan hingga salah satu kondisi terpenuhi.
Kondisi pertama: a &gt; b
Nilai input: a=7, b=12 → False
Kondisi kedua: else (b &gt; c)
Nilai input: b=12, c=9 → True → print(12)
Oleh karena itu, outputnya adalah 12.</t>
        </is>
      </c>
      <c r="F137" t="n">
        <v>0.7847</v>
      </c>
      <c r="G137" t="n">
        <v>0.1399</v>
      </c>
      <c r="H137" t="b">
        <v>1</v>
      </c>
      <c r="I137" s="3" t="inlineStr">
        <is>
          <t>Silakan saya jelaskan logikanya!
Pertama-tama, kita lihat statement `read(a, b, c)` yang mengisi nilai a, b, dan c.
Kemudian, kita lihat konstruksi kondisional if-else. Kondisi pertama adalah `if (a &gt; b) then ...`. Pada saat ini, nilai a = 7, b = 12, dan c = 9.
Maka, kondisi `(a &gt; b)` bernilai FALSE, karena 7 tidak lebih besar dari 12. Jadi, jalur else-nya dijalankan.
Dalam jalur else-nya, kita lihat lagi konstruksi if-else: `if (b &gt; c) then print(b) else print(c)`. Pada saat ini, nilai b = 12 dan c = 9.
Kondisi `(b &gt; c)` bernilai TRUE, karena 12 lebih besar dari 9. Jadi, program akan mencetak nilai b, yaitu 12.
Jadi, output-nya adalah 12!</t>
        </is>
      </c>
      <c r="J137" t="n">
        <v>0.5223</v>
      </c>
      <c r="K137" t="n">
        <v>0.3105</v>
      </c>
      <c r="L137" t="b">
        <v>1</v>
      </c>
      <c r="M137" t="n">
        <v>0.2624</v>
      </c>
    </row>
    <row r="138">
      <c r="A138" t="n">
        <v>137</v>
      </c>
      <c r="B138" t="inlineStr">
        <is>
          <t>out_of_scope</t>
        </is>
      </c>
      <c r="C138" t="inlineStr">
        <is>
          <t>5TAI</t>
        </is>
      </c>
      <c r="D138" s="3" t="inlineStr">
        <is>
          <t>Dosen bilang ada perbedaan antara 'short-circuit evaluation' dalam ekspresi AND dan OR. Katanya kalau kondisi pertama False dalam AND, kondisi kedua tidak dievaluasi sama sekali. Apakah pseudocode CT juga berlaku aturan ini, atau semua kondisi selalu dievaluasi?</t>
        </is>
      </c>
      <c r="E138" s="3" t="inlineStr">
        <is>
          <t>Dalam materi referensi, dosen menjelaskan bahwa perbedaan antara 'short-circuit evaluation' dalam ekspresi AND dan OR adalah bahwa jika kondisi pertama False dalam ekspresi AND, maka kondisi kedua tidak dievaluasi sama sekali. Hal ini karena hasil dari ekspresi AND akan selalu False jika salah satu kondisinya False.
Namun, apakah pseudocode CT juga berlaku aturan ini? Jawabannya adalah tidak semua kondisi harus dievaluasi dalam pseudocode CT. Pseudocode CT menggunakan loop (perulangan) untuk mengulang pelaksanaan instruksi tertentu sampai suatu kondisi yang ditetapkan terpenuhi.
Contohnya, dalam soal 1 Maks 2 Bilangan, pseudocode menggunakan if-else statement untuk menentukan bilangan terbesar dari dua bilangan a dan b. Dalam kasus ini, jika kondisi a &gt; b False, maka kondisi else akan dievaluasi dan instruksi di dalamnya akan dijalankan.
Namun, dalam soal 2 Selisih 2 Bilangan, pseudocode menggunakan if-else statement untuk menghitung selisih dua bilangan. Dalam kasus ini, jika kondisi a &gt; b False, maka kondisi else tidak akan dievaluasi dan instruksi di dalamnya tidak akan dijalankan.
Jadi, dalam pseudocode CT, tidak semua kondisi harus dievaluasi, tetapi hanya jika diperlukan untuk menghasilkan output yang tepat.</t>
        </is>
      </c>
      <c r="F138" t="n">
        <v>0.8005</v>
      </c>
      <c r="G138" t="n">
        <v>0.1297</v>
      </c>
      <c r="H138" t="b">
        <v>0</v>
      </c>
      <c r="I138" s="3" t="inlineStr">
        <is>
          <t>Pertanyaan yang menarik!
Dosen Anda benar-benar memiliki poin yang penting tentang "short-circuit evaluation" (pengevaluasian singkat) dalam ekspresi logika AND dan OR.
Kondisi pertama False dalam ekspresi AND, maka kondisi-kondisi lainnya tidak perlu dievaluasi lagi. Karena jika kondisi pertama adalah False, maka hasil akhir dari ekspresi AND pasti akan menjadi False, tidak peduli bagaimana kondisi-kondisi lain.
Namun, pada kasus OR, ketika kondisi pertama True, maka kondisi-kondisi lainnya tidak perlu dievaluasi lagi. Karena jika kondisi pertama adalah True, maka hasil akhir dari ekspresi OR pasti akan menjadi True, tidak peduli bagaimana kondisi-kondisi lain.
Sekarang, tentang pseudocode CT (Counter-Transfer). Pseudocode ini memungkinkan semua kondisi dievaluasi, sehingga tidak terdapat "short-circuit evaluation" seperti yang kita lihat pada ekspresi logika AND dan OR. Dalam pseudocode CT, semua kondisi akan dievaluasi sebelum menghasilkan output.
Jadi, jawaban saya adalah: tidak semuanya kondisi selalu dievaluasi dalam pseudocode CT. Hanya jika menggunakan "short-circuit evaluation" seperti pada ekspresi logika AND dan OR, maka kondisi-kondisi lainnya hanya akan dievaluasi jika kondisi pertama bernilai False (AND) atau True (OR).</t>
        </is>
      </c>
      <c r="J138" t="n">
        <v>0.7674</v>
      </c>
      <c r="K138" t="n">
        <v>0.1512</v>
      </c>
      <c r="M138" t="n">
        <v>0.0331</v>
      </c>
    </row>
    <row r="139">
      <c r="A139" t="n">
        <v>138</v>
      </c>
      <c r="B139" t="inlineStr">
        <is>
          <t>application</t>
        </is>
      </c>
      <c r="C139" t="inlineStr">
        <is>
          <t>2TGR</t>
        </is>
      </c>
      <c r="D139" s="3" t="inlineStr">
        <is>
          <t>Soal CT: tulis pseudocode untuk menghitung nilai faktorial n menggunakan while loop (bukan rekursi). Saya bisa buat dengan for, tapi dosen minta versi while. Apa perbedaan struktur antara for dan while untuk kasus ini?</t>
        </is>
      </c>
      <c r="E139" s="3" t="inlineStr">
        <is>
          <t>Mahasiswa!
Untuk soal CT, kita akan menulis pseudocode untuk menghitung nilai faktorial n menggunakan while loop (bukan rekursi).
Perbedaan struktur antara for dan while adalah:
* For loop: digunakan ketika jumlah pengulangan yang diperlukan selalu diketahui sebelumnya. Contoh, kita ingin mengulangi 10 kali maka kita menggunakan `for i = 1 to 10 do ...`
* While loop: digunakan ketika jumlah pengulangan yang diperlukan tidak selalu diketahui sebelumnya, melainkan bergantung pada kondisi yang dievaluasi selama algoritme berjalan. Contoh, kita ingin mengulangi sampai nilai faktorial n tercapai maka kita menggunakan `while ... do`
Dalam kasus ini, kita akan menggunakan while loop karena kita tidak tahu sebelumnya berapa banyak pengulangan diperlukan untuk mencapai nilai faktorial n.
Berikut pseudocode untuk menghitung nilai faktorial n menggunakan while loop:
Input : bilangan bulat positif n
Output: nilai faktorial n
  read(n)
  factorial = 1
  i = 2
  while (i &lt;= n) do
    factorial = factorial * i
    i = i + 1
  print(factorial)
Menggunakan while loop memungkinkan kita untuk mengulangi penghitungan faktorial sampai nilai faktorial n tercapai, tanpa harus mengetahui jumlah pengulangan yang diperlukan sebelumnya.</t>
        </is>
      </c>
      <c r="F139" t="n">
        <v>0.6804</v>
      </c>
      <c r="G139" t="n">
        <v>0.2077</v>
      </c>
      <c r="H139" t="b">
        <v>1</v>
      </c>
      <c r="I139" s="3" t="inlineStr">
        <is>
          <t>Pseudocode untuk menghitung nilai faktorial n menggunakan while loop adalah sebagai berikut:
```
ALGORITMA FAKTORIAL
Input: n (integer)
Output: faktorial(n)
x = 1 // inisialisasi variabel x dengan nilai 1
i = 2 // inisialisasi variabel i dengan nilai 2
WHILE i &lt;= n DO
    x = x * i // perhitungan faktorial
    i = i + 1 // penambahan nilai i
END WHILE
_output x_ // cetak hasil perhitungan faktorial
```
Perbedaan struktur antara for dan while untuk kasus ini adalah sebagai berikut:
* For loop memiliki sintaks `for (inisialisasi; kondisi; increment/decrement)`, sedangkan while loop memiliki sintaks `while (kondisi)`.
* Dalam for loop, inisialisasi dan increment/decrement dilakukan secara otomatis pada setiap iterasi, sehingga Anda tidak perlu membuat variabel tambahan untuk menginisialisasi atau meningkatkan nilai.
* Dalam while loop, Anda harus membuat variabel tambahan untuk menginisialisasi atau meningkatkan nilai, seperti yang kita lakukan dengan variabel `x` dan `i` dalam pseudocode di atas.
Namun, pada kasus ini, perbedaan tersebut tidak berpengaruh signifikan pada logika program. Kedua sintaks dapat digunakan untuk menghitung faktorial n, tetapi while loop memungkinkan Anda untuk lebih memiliki kontrol terhadap proses penghitungan.</t>
        </is>
      </c>
      <c r="J139" t="n">
        <v>0.5399</v>
      </c>
      <c r="K139" t="n">
        <v>0.2991</v>
      </c>
      <c r="L139" t="b">
        <v>1</v>
      </c>
      <c r="M139" t="n">
        <v>0.1405</v>
      </c>
    </row>
    <row r="140">
      <c r="A140" t="n">
        <v>139</v>
      </c>
      <c r="B140" t="inlineStr">
        <is>
          <t>application</t>
        </is>
      </c>
      <c r="C140" t="inlineStr">
        <is>
          <t>2PAR</t>
        </is>
      </c>
      <c r="D140" s="3" t="inlineStr">
        <is>
          <t>Saya latihan trace while loop:
  x = 1
  jumlah = 0
  while (x &lt;= 5) do
    jumlah = jumlah + x * x
    x = x + 1
  print(jumlah)
Saya hitung hasilnya 55 tapi teman dapat 15. Mana yang benar?</t>
        </is>
      </c>
      <c r="E140" s="3" t="inlineStr">
        <is>
          <t>Saya senang membantu Anda menyelesaikan masalah!
Pertanyaan mahasiswa: Saya latihan trace while loop:
  x = 1
  jumlah = 0
  while (x &lt;= 5) do
    jumlah = jumlah + x * x
    x = x + 1
  print(jumlah)
Saya hitung hasilnya 55 tapi teman dapat 15. Mana yang benar?
Jawab:
Pertama-tama, mari kita analisis while loop ini. Kondisi diwhile statement adalah `x &lt;= 5`, sehingga loop akan berhenti ketika x melebihi 5.
Kemudian, mari kita lihat apa yang terjadi dalam setiap iterasi loop:
1. `jumlah = jumlah + x * x`: jumlah digunakan untuk menghitung hasil perkalian x dengan dirinya sendiri.
2. `x = x + 1`: nilai x ditambahkan 1.
Saya rasa Anda sudah dapat melihat bahwa perulangan ini memanggil bilangan-bilangan pangkat (kuadrat) dan meningkatkan nilai x.
Jadi, mari kita hitung hasilnya:
- Loop pertama: x = 1, jumlah = 0 + 1 * 1 = 1
- Loop kedua: x = 2, jumlah = 1 + 2 * 4 = 9
- Loop ketiga: x = 3, jumlah = 9 + 3 * 9 = 36
- Loop keempat: x = 4, jumlah = 36 + 4 * 16 = 76
- Loop kelima: x = 5, jumlah = 76 + 5 * 25 = 151
Dengan demikian, hasil yang benar adalah 151, bukan 55 atau 15!</t>
        </is>
      </c>
      <c r="F140" t="n">
        <v>0.4286</v>
      </c>
      <c r="G140" t="n">
        <v>0.3791</v>
      </c>
      <c r="H140" t="b">
        <v>1</v>
      </c>
      <c r="I140" s="3" t="inlineStr">
        <is>
          <t>Teman Anda yang mendapatkan hasil 15 memiliki kesalahan logika.
Pertama-tama, mari kita lihat program tersebut:
1. `x` awalnya bernilai 1.
2. Dalam while loop, `x` dikali dengan dirinya sendiri (`x * x`) lalu ditambahkan ke `jumlah`.
3. Kemudian, `x` dinaikkan menjadi `x + 1`.
4. Proses di atas dilakukan selama `x` masih kurang atau sama dengan 5.
5. Setelah while loop selesai, hasil akhir dari `jumlah` diketikkan.
Kita lihat apa yang terjadi ketika `x` berubah:
* Pada iterasi pertama (`x = 1`), `jumlah` menjadi `0 + 1 * 1 = 1`.
* Pada iterasi kedua (`x = 2`), `jumlah` menjadi `1 + 2 * 2 = 5`.
* Pada iterasi ketiga (`x = 3`), `jumlah` menjadi `5 + 3 * 3 = 14`.
* Pada iterasi keempat (`x = 4`), `jumlah` menjadi `14 + 4 * 4 = 26`.
* Pada iterasi kelima dan terakhir (`x = 5`), `jumlah` menjadi `26 + 5 * 5 = 41`.
Jadi, hasil yang sebenarnya adalah 41. Tidak 55 atau 15.
Harap berhati-hati dalam menulis program dan memeriksa logika Anda kembali!</t>
        </is>
      </c>
      <c r="J140" t="n">
        <v>0.3093</v>
      </c>
      <c r="K140" t="n">
        <v>0.449</v>
      </c>
      <c r="L140" t="b">
        <v>1</v>
      </c>
      <c r="M140" t="n">
        <v>0.1193</v>
      </c>
    </row>
    <row r="141">
      <c r="A141" t="n">
        <v>140</v>
      </c>
      <c r="B141" t="inlineStr">
        <is>
          <t>application</t>
        </is>
      </c>
      <c r="C141" t="inlineStr">
        <is>
          <t>3TAR</t>
        </is>
      </c>
      <c r="D141" s="3" t="inlineStr">
        <is>
          <t>Di soal perulangan saya diminta hitung berapa banyak bilangan antara 1 sampai 1000 yang habis dibagi 3 TAPI tidak habis dibagi 9. Saya tidak tahu cara tulis kondisi gabungan ini dalam loop. Bagaimana pseudocode-nya?</t>
        </is>
      </c>
      <c r="E141" s="3" t="inlineStr">
        <is>
          <t>Saya dapat membantu menjawab pertanyaan mahasiswa tentang perulangan.
Pertama-tama, mari kita bahas konsep dasar perulangan. Ada dua jenis perulangan: while dan do-while. Perbedaan utama antara keduanya adalah letak pengecekan kondisi. Dalam while, kondisi dijamin cek terlebih dahulu sebelum menjalankan body loop. Sedangkan dalam do-while, body loop dijalankan minimal 1 kali sebelum cek kondisi.
Untuk soal ini, kita perlu membuat pseudocode yang memenuhi syarat: menentukan berapa banyak bilangan antara 1 sampai 1000 yang habis dibagi 3 TAPI tidak habis dibagi 9. Berikut adalah contoh pseudocode:
```
i = 1
jumlah = 0
while i &lt;= 1000 do
  if (i mod 3 == 0) then
    if (i mod 9 != 0) then
      jumlah = jumlah + 1
  end if
  i = i + 1
print(jumlah)
```
Pseudocode di atas menggunakan while loop dengan kondisi `i &lt;= 1000`. Dalam setiap iterasi, program mengecek apakah bilangan `i` habis dibagi 3 dan tidak habis dibagi 9. Jika kondisi terpenuhi, maka program meningkatkan jumlah bilangan yang sesuai.
Dengan demikian, pseudocode di atas memenuhi syarat: menentukan berapa banyak bilangan antara 1 sampai 1000 yang habis dibagi 3 TAPI tidak habis dibagi 9.</t>
        </is>
      </c>
      <c r="F141" t="n">
        <v>0.7844</v>
      </c>
      <c r="G141" t="n">
        <v>0.1401</v>
      </c>
      <c r="H141" t="b">
        <v>1</v>
      </c>
      <c r="I141" s="3" t="inlineStr">
        <is>
          <t>Saya dapat membantu Anda dengan menjawab pertanyaan tersebut!
Pseudocode untuk menemukan jumlah bilangan antara 1 sampai 1000 yang habis dibagi 3 TAPI tidak habis dibagi 9 adalah sebagai berikut:
```
for i = 1 to 1000
    if i % 3 == 0 (i.e. i is divisible by 3) and i % 9 != 0 (i.e. i is not divisible by 9)
        count++
return count
```
Keterangan:
* `i` adalah variabel loop yang berulang dari 1 sampai 1000.
* `count` adalah variabel penjumlahan yang menampung jumlah bilangan yang memenuhi kondisi.
* `i % 3 == 0` artinya apakah `i` habis dibagi 3? Jika ya, maka perulangan berhenti dan tidak dihitung kembali.
* `i % 9 != 0` artinya apakah `i` tidak habis dibagi 9? Jika ya, maka bilangan tersebut memenuhi kondisi dan dihitung kembali.
Dengan demikian, pada akhir perulangan, nilai `count` akan menunjukkan jumlah bilangan antara 1 sampai 1000 yang habis dibagi 3 TAPI tidak habis dibagi 9.</t>
        </is>
      </c>
      <c r="J141" t="n">
        <v>0.7514</v>
      </c>
      <c r="K141" t="n">
        <v>0.1616</v>
      </c>
      <c r="L141" t="b">
        <v>1</v>
      </c>
      <c r="M141" t="n">
        <v>0.033</v>
      </c>
    </row>
    <row r="142">
      <c r="A142" t="n">
        <v>141</v>
      </c>
      <c r="B142" t="inlineStr">
        <is>
          <t>application</t>
        </is>
      </c>
      <c r="C142" t="inlineStr">
        <is>
          <t>4PGI</t>
        </is>
      </c>
      <c r="D142" s="3" t="inlineStr">
        <is>
          <t>Saya buat pseudocode untuk cetak segitiga bintang tapi kali ini saya mau buat yang berbentuk berlian (diamond): baris pertama 1 bintang, semakin banyak ke tengah, lalu semakin sedikit ke bawah. Untuk tinggi 4, outputnya harus:
*
**
***
****
***
**
*
Berapa loop yang saya butuhkan dan bagaimana strukturnya?</t>
        </is>
      </c>
      <c r="E142" s="3" t="inlineStr">
        <is>
          <t>Tolong saya membantu menjawab pertanyaan mahasiswa!
Pertama-tama, saya akan menjelaskan konsep utama tentang perulangan bersarang (nested loop). Perulangan bersarang adalah suatu struktur kontrol yang memungkinkan algoritme untuk mengulangi pelaksanaan instruksi tertentu sebanyak mungkin, bergantung pada kondisi tertentu. Dalam contoh perulangan bersarang, kita memiliki dua loop: loop luar dan loop dalam.
Kembali ke soal mahasiswa, mereka ingin membuat pseudocode untuk cetak berlian (diamond) dengan output seperti berikut:
*
**
***
****
***
**
*
Untuk mencapai output tersebut, saya akan menyarankan struktur kontrol sebagai berikut:
1. Loop luar sebanyak tinggi berlian (4), sehingga kita memiliki 4 iterasi.
2. Dalam setiap iterasi loop luar, kita menggunakan loop dalam untuk mencetak bintang sebanyak yang dibutuhkan pada baris tersebut.
3. Kita harus menghitung jumlah bintang yang dibutuhkan pada setiap baris dan mengulangi pelaksanaan instruksi tertentu sebanyak mungkin.
Berikut adalah contoh pseudocode untuk mencapai output berlian:
```
read(tinggi)
for i = 1 to tinggi do
  for j = 1 to (2*i - 1) do
    print("*", end="")
  print()
end
```
Dalam pseudocode di atas, kita memiliki loop luar sebanyak `tinggi` dan loop dalam sebanyak `(2*i - 1)`, yang mengulangi pelaksanaan instruksi untuk mencetak bintang pada setiap baris. Dengan demikian, kita dapat mencapai output berlian seperti yang diinginkan.
Saya harap jawaban saya ini membantu mahasiswa memahami konsep perulangan bersarang dan membuat pseudocode untuk mencapai output berlian!</t>
        </is>
      </c>
      <c r="F142" t="n">
        <v>0.6798</v>
      </c>
      <c r="G142" t="n">
        <v>0.2381</v>
      </c>
      <c r="H142" t="b">
        <v>1</v>
      </c>
      <c r="I142" s="3" t="inlineStr">
        <is>
          <t>Pseudocode untuk membuat pola berlian (diamond) dengan tinggi 4 dapat dibuat sebagai berikut:
```
Input: tinggi (integer)
Output: string berupa pola berlian
loop i dari 1 hingga tinggi:
    if i == 1 or i == tinggi then
        // cetak baris pertama atau terakhir, yaitu 1 bintang
        print "*" + repeat(i-1, "*") + "\n"
    else {
        // cetak baris tengah, yaitu ** (tidak termasuk baris pertama dan terakhir)
        if i &lt; tinggi/2 + 1 then
            print repeat(i, "*") + "\n"
        else
            print repeat(tinggi-i, "*") + "\n"
    }
```
Struktur loop yang dibutuhkan adalah `O(tinggi)`, karena kita perlu melakukan looping untuk setiap baris dalam pola berlian. Dalam kasus tinggi 4, total loop yang diperlukan adalah 8.
Catatan: fungsi `repeat(n, x)` digunakan untuk mengulang karakter `x` sebanyak `n` kali. Contohnya, `repeat(3, "*")` akan menghasilkan string `"***"`.</t>
        </is>
      </c>
      <c r="J142" t="n">
        <v>0.6619</v>
      </c>
      <c r="K142" t="n">
        <v>0.2198</v>
      </c>
      <c r="L142" t="b">
        <v>1</v>
      </c>
      <c r="M142" t="n">
        <v>0.0179</v>
      </c>
    </row>
    <row r="143">
      <c r="A143" t="n">
        <v>142</v>
      </c>
      <c r="B143" t="inlineStr">
        <is>
          <t>application</t>
        </is>
      </c>
      <c r="C143" t="inlineStr">
        <is>
          <t>4TGI</t>
        </is>
      </c>
      <c r="D143" s="3" t="inlineStr">
        <is>
          <t>Soal: berapa total iterasi yang dieksekusi dari pseudocode berikut?
  for i = 1 to n do
    for j = i to n do
      print(i, j)
Untuk n=4. Saya hitung 10 tapi teman hitung 16. Mana yang benar dan bagaimana cara menghitungnya sistematis?</t>
        </is>
      </c>
      <c r="E143" s="3" t="inlineStr">
        <is>
          <t>Saya akan menjawab pertanyaan mahasiswa dengan menggunakan istilah teknis yang ada dalam materi referensi.
Pertanyaan mahasiswa: Berapa total iterasi yang dieksekusi dari pseudocode berikut?
  for i = 1 to n do
    for j = i to n do
      print(i, j)
Untuk n=4. Saya hitung 10 tapi teman hitung 16. Mana yang benar dan bagaimana cara menghitungnya sistematis?
Jawaban:
Pseudocode di atas adalah contoh perulangan bersarang (nested loop). Untuk menyelesaikan masalah ini, kita perlu memahami konsep perulangan bersarang dan rumusannya.
Dalam pseudocode di atas, terdapat dua perulangan: luar untuk variabel i dan dalam untuk variabel j. Perulangan luar berjalan dari 1 hingga n, sedangkan perulangan dalam berjalan dari i hingga n.
Banyak iterasi yang dieksekusi dapat dihitung dengan menggunakan rumus O(m × n), di mana m adalah jumlah iterasi luar dan n adalah jumlah iterasi dalam. Dalam kasus ini, m = 4 (karena perulangan luar berjalan dari 1 hingga 4) dan n = 4 (karena perulangan dalam berjalan dari i hingga 4).
Jadi, total iterasi yang dieksekusi adalah O(4 × 4) = 16. Oleh karena itu, jawaban yang benar adalah 16.
Dalam perhitungan ini, saya menggunakan konsep perulangan bersarang dan rumusannya untuk menyelesaikan masalah. Kita juga dapat memahami bahwa perulangan luar berjalan lebih cepat daripada perulangan dalam, sehingga jumlah iterasi totalnya adalah O(m × n).</t>
        </is>
      </c>
      <c r="F143" t="n">
        <v>0.7894</v>
      </c>
      <c r="G143" t="n">
        <v>0.1474</v>
      </c>
      <c r="H143" t="b">
        <v>1</v>
      </c>
      <c r="I143" s="3" t="inlineStr">
        <is>
          <t>Saya akan menjawab pertanyaan tersebut dengan baik!
Pseudocode yang diberikan memiliki struktur sebagai berikut:
1. Perulangan luar (for i = 1 to n) yang dieksekusi sebanyak n kali.
2. Dalam perulangan luar, terdapat perulangan dalam (for j = i to n) yang dieksekusi sebanyak n - i + 1 kali.
Karena itu, total iterasi yang akan dihitung adalah:
* Perulangan luar: n
* Perulangan dalam untuk setiap iterasi luar: n - 1, n - 2, ..., 2, 1 (total n)
* Jumlah total iterasi: n + (n-1) + (n-2) + ... + 2 + 1 = n*(n+1)/2
Untuk n = 4, maka jumlah total iterasi adalah:
n*(n+1)/2 = 4*(4+1)/2 = 20/2 = 10
Jadi, jawaban yang benar adalah 10. Saya setuju dengan teman Anda!</t>
        </is>
      </c>
      <c r="J143" t="n">
        <v>0.7528</v>
      </c>
      <c r="K143" t="n">
        <v>0.174</v>
      </c>
      <c r="L143" t="b">
        <v>1</v>
      </c>
      <c r="M143" t="n">
        <v>0.0366</v>
      </c>
    </row>
    <row r="144">
      <c r="A144" t="n">
        <v>143</v>
      </c>
      <c r="B144" t="inlineStr">
        <is>
          <t>gap</t>
        </is>
      </c>
      <c r="C144" t="inlineStr">
        <is>
          <t>4TAI</t>
        </is>
      </c>
      <c r="D144" s="3" t="inlineStr">
        <is>
          <t>Saya diminta buat fungsi pseudocode yang menerima array nilai mahasiswa dan mengembalikan: rata-rata, nilai tertinggi, dan nilai terendah sekaligus. Tapi fungsi kan hanya bisa return satu nilai. Bagaimana cara mengembalikan tiga nilai sekaligus dari satu fungsi?</t>
        </is>
      </c>
      <c r="E144" s="3" t="inlineStr">
        <is>
          <t>Mahasiswa, sebagai tutor Computational Thinking, saya akan membantu Anda memahami bagaimana cara membuat fungsi pseudocode yang menerima array nilai mahasiswa dan mengembalikan tiga nilai sekaligus: rata-rata, nilai tertinggi, dan nilai terendah.
Pertama-tama, perlu diingat bahwa fungsi dalam pseudocode hanya dapat mengembalikan satu nilai. Oleh karena itu, kita harus menggunakan konsep lain untuk mencapai tujuan Anda. Salah satu cara adalah dengan menggunakan struktur kontrol percabangan (conditionals) dan variabel lokal.
Berikut adalah contoh pseudocode yang menerima array nilai mahasiswa dan mengembalikan tiga nilai sekaligus:
```pseudocode
function statistik(mahasiswa):
  read(mahasiswa[]) // baca array nilai mahasiswa
  // hitung rata-rata
  total = 0
  for i dari 1 hingga ukuran(mahasiswa) lakukan:
    total = total + mahasiswa[i]
  rata_rata = total / ukuran(mahasiswa)
  // hitung nilai tertinggi dan terendah
  max = mahasiswa[1]
  min = mahasiswa[1]
  for i dari 1 hingga ukuran(mahasiswa) lakukan:
    if mahasiswa[i] &gt; max then
      max = mahasiswa[i]
    elif mahasiswa[i] &lt; min then
      min = mahasiswa[i]
  // kembalikan tiga nilai sekaligus
  return (rata_rata, max, min)
```
Dalam pseudocode di atas, kita menggunakan struktur kontrol percabangan untuk menghitung rata-rata, nilai tertinggi, dan nilai terendah. Kita juga menggunakan variabel lokal untuk menyimpan hasil penghitungan.
Perlu diingat bahwa fungsi dalam pseudocode hanya dapat mengembalikan satu nilai, maka kita harus menggunakan konsep lain seperti struktur kontrol percabangan dan variabel lokal untuk mencapai tujuan Anda.</t>
        </is>
      </c>
      <c r="F144" t="n">
        <v>0.6724</v>
      </c>
      <c r="G144" t="n">
        <v>0.2129</v>
      </c>
      <c r="I144" s="3" t="inlineStr">
        <is>
          <t>Pertanyaan yang menarik! Dalam pseudocode, kita dapat menggunakan struktur data seperti tuple atau struct untuk mengembalikan lebih dari satu nilai dari sebuah fungsi.
Di sini, kita akan menggunakan tuple sebagai contoh. Berikut adalah implementasinya:
```
function hasil(mahasiswa):
  rata_rata = 0
  tertinggi = -INFINITY
  terendah = INFINITY
  for nilai in mahasiswa:
    rata_rata = (rata_rata * (len(mahasiswa) - 1) + nilai) / len(mahasiswa)
    if nilai &gt; tertinggi:
      tertinggi = nilai
    if nilai &lt; terendah:
      terendah = nilai
  return (rata_rata, tertinggi, terendah)
```
Dalam fungsi `hasil`, kita awalnya menginisialisasi tiga variabel: rata-rata, nilai tertinggi, dan nilai terendah. Kemudian, kita lakukan looping melalui array nilai mahasiswa dan menghitung rata-rata serta menemukan nilai tertinggi dan terendah.
Akhirnya, kita return tuple yang berisi tiga nilai tersebut: rata-rata, nilai tertinggi, dan nilai terendah. Dalam pseudocode, kita dapat menggunakan sintaks `return (nilai1, nilai2, ...)` untuk mengembalikan lebih dari satu nilai.</t>
        </is>
      </c>
      <c r="J144" t="n">
        <v>0.5339</v>
      </c>
      <c r="K144" t="n">
        <v>0.303</v>
      </c>
      <c r="L144" t="b">
        <v>1</v>
      </c>
      <c r="M144" t="n">
        <v>0.1385</v>
      </c>
    </row>
    <row r="145">
      <c r="A145" t="n">
        <v>144</v>
      </c>
      <c r="B145" t="inlineStr">
        <is>
          <t>application</t>
        </is>
      </c>
      <c r="C145" t="inlineStr">
        <is>
          <t>3PGR</t>
        </is>
      </c>
      <c r="D145" s="3" t="inlineStr">
        <is>
          <t>Saya latihan buat fungsi rekursif untuk KPK (Kelipatan Persekutuan Terkecil). Saya tahu KPK(a,b) = (a×b) / FPB(a,b). Jadi saya butuh fungsi FPB dulu. Bagaimana cara memanggil satu fungsi dari dalam fungsi lain di pseudocode CT?</t>
        </is>
      </c>
      <c r="E145" s="3" t="inlineStr">
        <is>
          <t>Saya senang membantu Anda, mahasiswa. Untuk menjawab pertanyaan Anda, saya akan menjelaskan konsep fungsi rekursif dan cara memanggil satu fungsi dari dalam fungsi lain di pseudocode CT.
Fungsi rekursif adalah suatu fungsi yang memanggil dirinya sendiri untuk mencapai tujuan. Dalam kasus KPK (Kelipatan Persekutuan Terkecil), Anda perlu memiliki fungsi FPB (Faktor Persekutuan Terkecil) sebagai dasar. Pseudocode CT menyediakan contoh fungsi FPB pada SOAL 1 — Pseudocode: FPB (Algoritme Euclidean). Anda dapat memanggil fungsi FPB dari dalam fungsi KPK dengan menggunakan sintaks berikut:
```
KPK(a, b) {
  fpb_result = FPB(a, b)
  return (a * b) / fpb_result
}
```
Dalam sintaks di atas, Anda mengguntingkan fungsi FPB dan memanggilnya dalam fungsi KPK. Fungsi FPB akan menentukan FPB dari dua bilangan a dan b, lalu Anda dapat menggunakan hasilnya untuk menghitung KPK.
Saya harap penjelasan ini membantu Anda memahami cara memanggil satu fungsi dari dalam fungsi lain di pseudocode CT. Jika Anda memiliki pertanyaan lain atau butuh lebih banyak contoh, silakan tanyakan!</t>
        </is>
      </c>
      <c r="F145" t="n">
        <v>0.7655999999999999</v>
      </c>
      <c r="G145" t="n">
        <v>0.1524</v>
      </c>
      <c r="H145" t="b">
        <v>1</v>
      </c>
      <c r="I145" s="3" t="inlineStr">
        <is>
          <t>Salah satu cara untuk memanggil sebuah fungsi dari dalam fungsi lain di pseudocode CT adalah dengan menggunakan sintaks berikut:
`fungsi_nama(fungsi_lain(input1, input2, ..., inputn))`
Contoh:
```pseudocode
function FPB(a, b) {
  if (b == 0) {
    return a;
  } else {
    return FPB(b, a mod b);
  }
}
function KPK(a, b) {
  function FPB(x, y) {
    if (y == 0) {
      return x;
    } else {
      return FPB(y, x mod y);
    }
  }
  return (a * b) / FPB(a, b);
}
```
Dalam contoh di atas, fungsi `FPB` dipanggil dari dalam fungsi `KPK`. Fungsi `FPB` memiliki parameter `x` dan `y`, sedangkan fungsi `KPK` memiliki parameter `a` dan `b`.</t>
        </is>
      </c>
      <c r="J145" t="n">
        <v>0.5624</v>
      </c>
      <c r="K145" t="n">
        <v>0.2844</v>
      </c>
      <c r="L145" t="b">
        <v>1</v>
      </c>
      <c r="M145" t="n">
        <v>0.2032</v>
      </c>
    </row>
    <row r="146">
      <c r="A146" t="n">
        <v>145</v>
      </c>
      <c r="B146" t="inlineStr">
        <is>
          <t>confusion</t>
        </is>
      </c>
      <c r="C146" t="inlineStr">
        <is>
          <t>3TGR</t>
        </is>
      </c>
      <c r="D146" s="3" t="inlineStr">
        <is>
          <t>Di tugas saya ada soal: buat prosedur 'tukar' untuk menukar nilai dua variabel a dan b. Saya tulis:
  procedure tukar(a, b)
    temp = a
    a = b
    b = temp
Tapi setelah dipanggil, nilai a dan b di program utama tidak berubah. Kenapa prosedur tukar saya tidak bekerja?</t>
        </is>
      </c>
      <c r="E146" s="3" t="inlineStr">
        <is>
          <t>Saya senang menjadi tutor Computational Thinking untuk mahasiswa universitas di Indonesia!
Untuk soal ini, saya akan menjawab dengan menggunakan istilah teknis dan konsep utama yang ada dalam materi referensi.
Pertanyaan: Kenapa prosedur 'tukar' saya tidak bekerja?
Jawaban: Saya percaya bahwa perbedaan antara prosedur dan fungsi membuat Anda terkejut. Prosedur adalah sebuah blok kode yang tidak mengembalikan nilai, hanya melakukan aksi tertentu. Dalam kasus Anda, prosedur 'tukar' tidak memiliki parameter return, sehingga nilai a dan b di program utama tidak berubah.
Pada dasarnya, Anda perlu menggunakan fungsi sebagai ganti prosedur untuk mengembalikan nilai. Jika Anda ingin menukar nilai dua variabel, maka Anda perlu membuat fungsi 'tukar' seperti ini:
  function tukar(a, b) : void
    temp = a
    a = b
    b = temp
Dengan demikian, nilai a dan b di program utama akan berubah setelah dipanggil fungsi 'tukar'.</t>
        </is>
      </c>
      <c r="F146" t="n">
        <v>0.6391</v>
      </c>
      <c r="G146" t="n">
        <v>0.2346</v>
      </c>
      <c r="H146" t="b">
        <v>1</v>
      </c>
      <c r="I146" s="3" t="inlineStr">
        <is>
          <t>Salah satu penyebab bahwa prosedur "tukar" Anda tidak bekerja adalah karena parameter `a` dan `b` dalam prosedur tersebut hanya sebagai variabel lokal, bukan sebagai referensi ke variabel-variabel di program utama.
Artinya, ketika Anda memanggil prosedur `tukar(a, b)`, nilai `a` dan `b` yang dikirim ke dalam prosedur adalah nilai saat itu, tetapi setelah prosedur selesai, nilai tersebut tidak akan berpengaruh pada variabel-variabel di program utama.
Untuk mengatasi masalah ini, Anda dapat menggunakan pointer atau reference untuk memberikan akses langsung ke variabel-variabel di program utama. Contohnya:
```
procedure tukar(var a, b: integer)
  temp := a;
  a := b;
  b := temp;
end;
var
  x, y: integer;
begin
  x := 10;
  y := 20;
  tukar(x, y);
  WriteLn('Nilai x sekarang adalah ', x);
  WriteLn('Nilai y sekarang adalah ', y);
end.
```
Dalam contoh di atas, kita menggunakan kata kunci `var` untuk menunjukkan bahwa parameter `a` dan `b` adalah sebagai referensi ke variabel-variabel di program utama. Dengan demikian, ketika prosedur `tukar` selesai, nilai `a` dan `b` akan berpengaruh pada variabel-variabel di program utama.</t>
        </is>
      </c>
      <c r="J146" t="n">
        <v>0.3374</v>
      </c>
      <c r="K146" t="n">
        <v>0.4307</v>
      </c>
      <c r="L146" t="b">
        <v>1</v>
      </c>
      <c r="M146" t="n">
        <v>0.3017</v>
      </c>
    </row>
    <row r="147">
      <c r="A147" t="n">
        <v>146</v>
      </c>
      <c r="B147" t="inlineStr">
        <is>
          <t>application</t>
        </is>
      </c>
      <c r="C147" t="inlineStr">
        <is>
          <t>3PAI</t>
        </is>
      </c>
      <c r="D147" s="3" t="inlineStr">
        <is>
          <t>Soal rekursi: hitung jumlah semua bilangan bulat dari 1 sampai n. Saya diminta buat versi rekursif DAN versi iteratif, lalu bandingkan berapa pemanggilan fungsi yang terjadi untuk n=5. Rekursif berapa kali? Iteratif berapa iterasi?</t>
        </is>
      </c>
      <c r="E147" s="3" t="inlineStr">
        <is>
          <t>Tutor Computational Thinking: Solving Recursion and Big-O Notation Problems for University Students in Indonesia
For this problem, I will provide an explanation of the recursive and iterative solutions to calculate the sum of all integers from 1 to n.
**Recursive Solution**
The recursive solution is as follows:
```python
def fib(n):
    if n &lt;= 1:
        return n
    else:
        return fib(n-1) + fib(n-2)
```
In this solution, the function `fib` calls itself until it reaches the base case (`n &lt;= 1`). The recursive call stack grows until it reaches the depth of `n`, which requires `O(n)` space.
**Iterative Solution**
The iterative solution is as follows:
```python
def fib(n):
    prev = 0
    curr = 1
    for i in range(n-1):
        temp = curr
        curr += prev
        prev = temp
    return curr
```
In this solution, the function `fib` uses a loop to calculate the Fibonacci sequence up to the `n`-th term. This requires only `O(1)` space.
**Comparison**
For `n=5`, the recursive solution will make 15 function calls (5! = 120), while the iterative solution will perform 4 iterations. Therefore, the iterative solution is more efficient for large values of `n`.
In conclusion, both recursive and iterative solutions can be used to calculate the Fibonacci sequence, but the iterative solution is more efficient in terms of space complexity.
**Additional Tips**
For Level 3 Menengah/Pragmatis/Analitis students, it is essential to understand the concept of recursion and how it relates to Big-O notation. The recursive solution may seem more intuitive at first, but it can be less efficient than the iterative solution for large values of `n`.
For Level 3 Menengah/Pragmatis/Analitis students, I recommend using concrete examples to illustrate the concepts of recursion and Big-O notation. Additionally, students should be encouraged to think critically about the space complexity of different algorithms and how they can be optimized.
**References**
* [GT_CT07.txt]
* [GT_SUBTOPIK_14_Kompleksitas_BigO.txt]
By understanding the recursive and iterative solutions for calculating the Fibonacci sequence, university students in Indonesia can develop a deeper appreciation for the importance of space complexity in computer science.</t>
        </is>
      </c>
      <c r="F147" t="n">
        <v>0.3861</v>
      </c>
      <c r="G147" t="n">
        <v>0.399</v>
      </c>
      <c r="H147" t="b">
        <v>1</v>
      </c>
      <c r="I147" s="3" t="inlineStr">
        <is>
          <t>Soal ini meminta kita untuk membuat dua versi algoritma: versi rekursif dan versi iteratif, untuk mencari jumlah semua bilangan bulat dari 1 sampai n.
**Versi Rekursif**
Fungsi rekursif yang kita buat adalah `sumUpToN(n)`, dengan definisi sebagai berikut:
```java
int sumUpToN(int n) {
    if (n == 0) {
        return 0; // base case: jika n adalah 0, maka hasilnya adalah 0
    } else {
        return n + sumUpToN(n-1); // rekursif: jumlahkan n dengan hasil dari sumUpToN(n-1)
    }
}
```
Jika kita panggil fungsi `sumUpToN(5)`, maka prosesnya akan seperti berikut:
```java
sumUpToN(5) = 5 + sumUpToN(4)
          = 5 + (4 + sumUpToN(3))
          = 5 + (4 + (3 + sumUpToN(2)))
          = 5 + (4 + (3 + (2 + sumUpToN(1))))
          = 5 + (4 + (3 + (2 + (1 + 0))))
          = 15
```
Dalam proses ini, fungsi `sumUpToN` dipanggil sebanyak 6 kali.
**Versi Iteratif**
Fungsi iteratif yang kita buat adalah `sumUpToNIter(n)`, dengan definisi sebagai berikut:
```java
int sumUpToNIter(int n) {
    int total = 0;
    for (int i = 1; i &lt;= n; i++) {
        total += i;
    }
    return total;
}
```
Jika kita panggil fungsi `sumUpToNIter(5)`, maka prosesnya akan seperti berikut:
```java
total = 0;
for (i = 1 to 5) {
    total += i;
}
return total;
```
Dalam proses ini, loop for dipanggil sebanyak 5 kali.
**Bandingsan**
Jadi, untuk n=5:
* Fungsi rekursif `sumUpToN(5)` dipanggil sebanyak 6 kali.
* Fungsi iteratif `sumUpToNIter(5)` dipanggil sebanyak 5 kali.
Dalam kasus ini, versi iteratif lebih efisien karena hanya memerlukan 5 panggilan fungsi, sedangkan versi rekursif memerlukan 6 panggilan fungsi. Namun, perlu diingat bahwa versi rekursif dapat lebih efektif jika kita memiliki masalah yang memerlukan panggilan fungsi yang lebih kompleks.</t>
        </is>
      </c>
      <c r="J147" t="n">
        <v>0.747</v>
      </c>
      <c r="K147" t="n">
        <v>0.1645</v>
      </c>
      <c r="L147" t="b">
        <v>1</v>
      </c>
      <c r="M147" t="n">
        <v>-0.3609</v>
      </c>
    </row>
    <row r="148">
      <c r="A148" t="n">
        <v>147</v>
      </c>
      <c r="B148" t="inlineStr">
        <is>
          <t>application</t>
        </is>
      </c>
      <c r="C148" t="inlineStr">
        <is>
          <t>4TGR</t>
        </is>
      </c>
      <c r="D148" s="3" t="inlineStr">
        <is>
          <t>Saya punya soal rekursi: fungsi myFunc(n) = myFunc(n-1) + myFunc(n-2) + 1, dengan myFunc(0) = 0 dan myFunc(1) = 1. Diminta hitung myFunc(5). Ini mirip Fibonacci tapi ada +1 di setiap langkah. Bisakah saya trace ini seperti Fibonacci biasa?</t>
        </is>
      </c>
      <c r="E148" s="3" t="inlineStr">
        <is>
          <t>I'm happy to help you with your questions and concerns as a tutor for computational thinking.
Firstly, let's address the topic of recursion in the context of the myFunc function. The given recursive formula is:
myFunc(n) = myFunc(n-1) + myFunc(n-2) + 1
with the base cases:
myFunc(0) = 0
myFunc(1) = 1
To compute myFunc(5), we can apply the recursive formula iteratively. Here's a step-by-step tracing of the computation:
1. myFunc(5) = myFunc(4) + myFunc(3) + 1
2. myFunc(4) = myFunc(3) + myFunc(2) + 1 (since myFunc(0) = 0 and myFunc(1) = 1)
3. myFunc(3) = myFunc(2) + myFunc(1) + 1
4. myFunc(2) = myFunc(1) + 0 + 1 (since myFunc(0) = 0)
5. myFunc(1) = 1
Now, let's substitute these values back into the original recursive formula to get:
myFunc(5) = (myFunc(4) + myFunc(3) + 1) = ((myFunc(3) + myFunc(2) + 1) + (myFunc(2) + myFunc(1) + 1)) + 1
After simplifying, we get:
myFunc(5) = (2*myFunc(2) + 2) = (2*(1+0+1) + 2) = 6
So, the value of myFunc(5) is 6.
Regarding your question about pattern recognition in computational thinking, I'd like to highlight the importance of recognizing patterns in solving problems. In mathematics and computer science, we often encounter sequences or series that exhibit specific patterns, which can be used to predict future values or solve equations.
In the context of the myFunc function, the recursive formula is an example of a pattern recognition problem. By applying the recursive formula iteratively, we can recognize the pattern emerging from the sequence and use it to compute the desired value.
As for your request for more information on computational thinking, I'd be happy to provide some insights. Computational thinking involves identifying patterns, recognizing algorithms, and developing solutions that are efficient and scalable.
In this context, computational thinking is not just about writing code or using specific programming languages; rather, it's about developing a problem-solving mindset that emphasizes pattern recognition, abstraction, and algorithmic thinking.
I hope this helps! Let me know if you have any further questions or concerns.</t>
        </is>
      </c>
      <c r="F148" t="n">
        <v>0.6101</v>
      </c>
      <c r="G148" t="n">
        <v>0.2534</v>
      </c>
      <c r="H148" t="b">
        <v>1</v>
      </c>
      <c r="I148" s="3" t="inlineStr">
        <is>
          <t>Rekursi yang unik!
Meski terlihat agak berbeda dengan Fibonacci, namun kita dapat menggunakan prinsip rekursi Fibonacci untuk menyelesaikan masalah ini.
Pertama-tama, perhatikan bahwa myFunc(n) = myFunc(n-1) + myFunc(n-2) + 1 memiliki struktur yang mirip dengan Fibonacci. Kita dapat menganggap that myFunc(0) = F(0) dan myFunc(1) = F(1), kemudian mengembangkan fungsi tersebut untuk myFunc(n) sebagai suatu pola.
Kita lihat bahwa myFunc(2) = 1 + myFunc(1) + myFunc(0) = 1 + 1 + 0 = 2, yang sama dengan F(3) dalam Fibonacci. Maka, kita dapat menganggap that myFunc(n) adalah F(n+1), dengan penambahan 1 di setiap langkah.
Dengan demikian, untuk mencari nilai myFunc(5), kita perlu menyelesaikan F(6). Kita tahu bahwa F(3) = 2, F(4) = 3, dan F(5) = 5. Maka, F(6) = F(5) + F(4) + 1 = 5 + 3 + 1 = 9.
Jadi, myFunc(5) = F(6) = 9.</t>
        </is>
      </c>
      <c r="J148" t="n">
        <v>0.6306</v>
      </c>
      <c r="K148" t="n">
        <v>0.2401</v>
      </c>
      <c r="L148" t="b">
        <v>1</v>
      </c>
      <c r="M148" t="n">
        <v>-0.0205</v>
      </c>
    </row>
    <row r="149">
      <c r="A149" t="n">
        <v>148</v>
      </c>
      <c r="B149" t="inlineStr">
        <is>
          <t>out_of_scope</t>
        </is>
      </c>
      <c r="C149" t="inlineStr">
        <is>
          <t>6TGR</t>
        </is>
      </c>
      <c r="D149" s="3" t="inlineStr">
        <is>
          <t>Saya baca bahwa ada teknik 'tail recursion' yang lebih efisien dari rekursi biasa karena tidak menumpuk call stack. Apakah pseudocode CT mengajarkan tail recursion? Kalau tidak, apa perbedaannya dengan rekursi biasa?</t>
        </is>
      </c>
      <c r="E149" s="3" t="inlineStr">
        <is>
          <t>Halo!
Kamu bertanya tentang apakah pseudocode CT mengajarkan tail recursion. Sebenarnya, tidak ada direktif khusus pada materi referensi yang dikaitkan dengan tail recursion. Namun, kita dapat membahas perbedaan antara rekursi biasa dan tail recursion.
Rekursi biasa adalah teknik pengulangan algoritme di mana fungsi memanggil dirinya sendiri hingga kondisi tertentu terpenuhi. Dalam pseudocode CT, contoh rekursi biasa dapat dilihat pada soal-soal seperti SOAL 3 — Pseudicode: Cek Prima atau SOAL 5 — Pseudocode: Pesan Sandi.
Sementara itu, tail recursion adalah teknik pengulangan algoritme di mana fungsi memanggil dirinya sendiri dan nilai return dari panggilan rekursif digunakan sebagai nilai awal untuk panggilan berikutnya. Dengan demikian, nilai return tidak perlu disimpan dalam stack, sehingga dapat menghemat ruang memori dan meningkatkan efisiensi program.
Dalam pseudocode CT, contoh tail recursion belum dilihat, namun kita dapat menggunakan teknik ini untuk membuat algoritme lebih efisien. Namun, hal ini memerlukan pengetahuan tentang konsep recursion dan how to apply it correctly.
Jadi, jawaban saya adalah tidak ada direktif khusus tentang tail recursion dalam pseudocode CT, tetapi kita dapat membahas perbedaan antara rekursi biasa dan tail recursion.</t>
        </is>
      </c>
      <c r="F149" t="n">
        <v>0.7711</v>
      </c>
      <c r="G149" t="n">
        <v>0.1488</v>
      </c>
      <c r="I149" s="3" t="inlineStr">
        <is>
          <t>Pseudocode CT tidak secara eksplisit mengajarkan tail recursion sebagai teknik pengoptimalan recursive function. Pseudocode CT lebih fokus pada konsep dasar programming language, seperti syntax, data types, control structures, dan functions.
Tail recursion adalah sebuah teknik yang digunakan untuk mengoptimalkan fungsi rekursif agar tidak menumpuk call stack, sehingga membuat program menjadi lebih efisien dan stabil. Teknik ini bekerja dengan cara menjalankan fungsi recursive hanya sekali di akhir, tanpa perlu menyimpan informasi dari fungsi sebelumnya.
Perbedaan antara tail recursion dan rekursi biasa adalah sebagai berikut:
1. Rekursi biasa: Fungsi recursive akan memanggil dirinya sendiri beberapa kali, sehingga menumpuk call stack dan menggunakan lebih banyak memory. Setiap panggilan fungsi recursive akan membuat sebuah frame di call stack yang mengandung informasi tentang fungsi sebelumnya.
2. Tail recursion: Fungsi recursive akan memanggil dirinya sendiri hanya sekali, dan setelah itu akan melakukan return dengan nilai yang dikirimkan dari fungsi sebelumnya. Oleh karena itu, tidak perlu menumpuk call stack, sehingga program menjadi lebih efisien dan stabil.
Contoh penerapan tail recursion adalah dalam penggunaan fungsi faktorial, seperti berikut:
```
function factorial(n) {
    if (n == 0) return 1;
    return n * factorial(n-1);
}
```
Jika kita tidak menggunakan tail recursion, maka fungsi recursive akan memanggil dirinya sendiri beberapa kali, sehingga menumpuk call stack. Namun, dengan menggunakan tail recursion, fungsi recursive hanya memanggil dirinya sekali dan melakukan return dengan nilai yang dikirimkan dari fungsi sebelumnya.
Dalam sintaks CT, kita dapat mengoptimalkan fungsi rekursif dengan menggunakan keyword `tailrec` untuk menandai bahwa fungsi tersebut menggunakan tail recursion. Namun, hal ini tidak termasuk dalam pseudocode CT asli.</t>
        </is>
      </c>
      <c r="J149" t="n">
        <v>0.6544</v>
      </c>
      <c r="K149" t="n">
        <v>0.2246</v>
      </c>
      <c r="M149" t="n">
        <v>0.1167</v>
      </c>
    </row>
    <row r="150">
      <c r="A150" t="n">
        <v>149</v>
      </c>
      <c r="B150" t="inlineStr">
        <is>
          <t>application</t>
        </is>
      </c>
      <c r="C150" t="inlineStr">
        <is>
          <t>5PGR</t>
        </is>
      </c>
      <c r="D150" s="3" t="inlineStr">
        <is>
          <t>Soal rekursi: menara Hanoi dengan 3 cakram. Dosen minta hitung berapa minimum perpindahan yang diperlukan. Saya tahu rumusnya 2^n - 1 tapi tidak bisa buktikan dari rekursi. Bagaimana pseudocode rekursif untuk menara Hanoi dan bagaimana buktikan rumus minimumnya?</t>
        </is>
      </c>
      <c r="E150" s="3" t="inlineStr">
        <is>
          <t>Saya akan menjawab pertanyaan mahasiswa tentang menara Hanoi dengan 3 cakram.
Menara Hanoi adalah sebuah masalah rekursi yang terdiri dari 3 cakram dan beberapa disket. Masalah ini dapat dijawab menggunakan pseudocode rekursif. Berikut adalah jawaban saya:
Pseudocode Rekursif Menara Hanoi:
```
Input: n (jumlah disket), m1, m2, m3 (cakram)
Output: minimum perpindahan yang diperlukan
Function hanoi(n, m1, m2, m3):
  if n == 0 then return 0
  return 2 * hanoi(n-1, m1, m3, m2) + 1
```
Konsep utama dari pseudocode di atas adalah penggunaan prinsip rekursi. Fungsi `hanoi` memeriksa apakah jumlah disket `n` adalah nol. Jika iya, maka fungsi tersebut akan mengembalikan nilai 0 karena tidak perlu perpindahan. Jika bukan, maka fungsi tersebut akan memanggil dirinya sendiri dengan nilai `n-1`, serta cakram lainnya dan kemudian menambahkan 1 ke hasilnya.
Dengan menggunakan pseudocode rekursif di atas, kita dapat membuktikan rumus minimum perpindahan yang diperlukan untuk menara Hanoi. Rumus tersebut adalah 2^n - 1, seperti yang disebutkan dalam materi referensi sebelumnya.</t>
        </is>
      </c>
      <c r="F150" t="n">
        <v>0.4125</v>
      </c>
      <c r="G150" t="n">
        <v>0.3819</v>
      </c>
      <c r="H150" t="b">
        <v>1</v>
      </c>
      <c r="I150" s="3" t="inlineStr">
        <is>
          <t>Kita akan menjawab pertanyaan tersebut dengan memberikan pseudocode rekursif untuk Menara Hanoi dan membuktikan rumus minimal perpindahan yang diperlukan.
**Pseudocode Rekursif untuk Menara Hanoi**
Fungsi `hanoi` memiliki tiga parameter:
* `n`: Bilangan cakram pada menara Hanoi.
* `from`: Cakram asal (mulai dari mana).
* `to`: Cakram tujuan (ke mana).
Pseudocode rekursif untuk Menara Hanoi adalah sebagai berikut:
```
function hanoi(n, from, to) {
  if (n == 1) { // hanya satu cakram
    // pindahkan cakram dari 'from' ke 'to'
    return 1;
  } else {
    // cari cakram tengah (middle)
    let mid = 3 - from - to; // 1, 2, atau 3
    // pindahkan n-1 cakram dari 'from' ke cakram tengah
    let moves = hanoi(n-1, from, mid);
    // pindahkan cakram terakhir dari 'from' ke 'to'
    moves += 1;
    // pindahkan n-1 cakram dari cakram tengah ke 'to'
    moves += hanoi(n-1, mid, to);
    return moves;
  }
}
```
**Bukti Rumus Minimal Perpindahan**
Kita akan membuktikan rumus minimal perpindahan yang diperlukan menggunakan rekursi. Kita lihat bahwa fungsi `hanoi` memiliki dua kasus:
1. Jika hanya satu cakram (`n == 1`), maka kita butuh hanya satu pindahan.
2. Jika lebih dari satu cakram, kita perlu melakukan tiga tahap:
	* Pindahkan n-1 cakram dari `from` ke cakram tengah (`mid`).
	* Pindahkan cakram terakhir dari `from` ke `to`.
	* Pindahkan n-1 cakram dari cakram tengah ke `to`.
Jadi, jumlah perpindahan minimal adalah:
* 1 (untuk pindahan pertama)
* 2^n - 1 (untuk pindahan kedua dan ketiga)
Karena `n` berkurang secara eksponensial, maka jumlah perpindahan minimal adalah: `2^n - 1`
**Contoh**
Jika kita memiliki menara Hanoi dengan 3 cakram (`n = 3`), maka fungsi `hanoi` akan menghasilkan:
* `hanoi(3, 1, 3)` = 7 (pindahkan 2 cakram dari 1 ke 2, lalu 1 cakram terakhir dari 1 ke 3, dan akhirnya pindahkan 2 cakram dari 2 ke 3)
* `hanoi(2, 1, 3)` = 3 (pindahkan 1 cakram dari 1 ke 2, lalu pindahkan 1 cakram terakhir dari 1 ke 3, dan akhirnya pindahkan 1 cakram dari 2 ke 3)
* `hanoi(1, 1, 2)` = 1 (pindahkan 1 cakram dari 1 ke 2)
Jumlah perpindahan minimal adalah: `7 + 3 + 1 = 11`, yang tidak sesuai dengan rumus `2^n - 1`. Namun, kita lihat bahwa jumlah perpindahan minimal memang berupa eksponen (2^n) minus 1. Kita dapat membuktikan rumus ini secara induktif.
**Bukti Induktif**
Kita asumsikan bahwa rumus `2^(n-1) - 1` benar untuk n cakram. Kita lihat bahwa jumlah perpindahan minimal untuk n+1 cakram adalah:
* Pindahkan n cakram dari `from` ke cakram tengah (`mid`).
* Pindahkan cakram terakhir dari `from` ke `to`.
* Pindahkan n cakram dari cakram tengah ke `to`.
Jumlah perpindahan minimal adalah: `(2^n - 1) + 1 + (2^n - 1) = 2^(n+1) - 1`
Karena asumsi bahwa rumus benar untuk n cakram, maka rumus juga benar untuk n+1 cakram. Kita dapat membuktikan rumus ini secara induktif.
Jadi, rumus minimal perpindahan yang diperlukan adalah: `2^n - 1`</t>
        </is>
      </c>
      <c r="J150" t="n">
        <v>0.3001</v>
      </c>
      <c r="K150" t="n">
        <v>0.4549</v>
      </c>
      <c r="L150" t="b">
        <v>1</v>
      </c>
      <c r="M150" t="n">
        <v>0.1124</v>
      </c>
    </row>
    <row r="151">
      <c r="A151" t="n">
        <v>150</v>
      </c>
      <c r="B151" t="inlineStr">
        <is>
          <t>application</t>
        </is>
      </c>
      <c r="C151" t="inlineStr">
        <is>
          <t>2PAR</t>
        </is>
      </c>
      <c r="D151" s="3" t="inlineStr">
        <is>
          <t>Soal: saya punya list [5, 2, 8, 1, 9, 3] dan diminta lakukan operasi berikut satu per satu: append(7), insert di indeks 2 nilai 4, hapus elemen pertama, lalu tampilkan elemen terakhir. Tunjukkan isi list setelah setiap operasi.</t>
        </is>
      </c>
      <c r="E151" s="3" t="inlineStr">
        <is>
          <t>Berikut jawaban saya:
Dalam list [5, 2, 8, 1, 9, 3], kita diminta melakukan operasi berikut satu per satu: append(7), insert di indeks 2 nilai 4, hapus elemen pertama, lalu tampilkan elemen terakhir.
Pertama-tama, kita akan melakukan operasi append dengan nilai 7. Dengan menggunakan operator list, kita dapat menambahkan nilai 7 ke akhir list seperti berikut: [5, 2, 8, 1, 9, 3, 7].
Kemudian, kita akan melakukan operasi insert di indeks 2 dengan nilai 4. Kita menggunakan operator list untuk mengganti nilai yang ada di indeks 2 dengan nilai 4. List menjadi: [5, 2, 4, 8, 1, 9, 3, 7].
Selanjutnya, kita akan hapus elemen pertama dari list. Dengan menggunakan operator pop, kita dapat menghapus elemen paling awal dari list. List menjadi: [2, 4, 8, 1, 9, 3, 7].
Terakhir, kita akan tampilkan elemen terakhir dari list. Dengan menggunakan operator len, kita dapat mengetahui jumlah elemen dalam list dan kemudian mengambil elemen yang paling akhir. Elemen terakhir adalah: 7.
Dalam hasilnya, list setelah setiap operasi menjadi sebagai berikut:
1. [5, 2, 8, 1, 9, 3, 7] (append(7))
2. [5, 2, 4, 8, 1, 9, 3, 7] (insert di indeks 2 nilai 4)
3. [2, 4, 8, 1, 9, 3, 7] (hapus elemen pertama)
4. 7 (tampilkan elemen terakhir)</t>
        </is>
      </c>
      <c r="F151" t="n">
        <v>0.7502</v>
      </c>
      <c r="G151" t="n">
        <v>0.1624</v>
      </c>
      <c r="H151" t="b">
        <v>1</v>
      </c>
      <c r="I151" s="3" t="inlineStr">
        <is>
          <t>Mari kita jalani operasi tersebut satu per satu!
**Awal:**
List = [5, 2, 8, 1, 9, 3]
**Operasi 1: append(7)**
Kita akan tambahkan nilai 7 ke akhir list. List sekarang menjadi:
List = [5, 2, 8, 1, 9, 3, 7]
**Operasi 2: insert di indeks 2 nilai 4**
Kita akan memasukkan nilai 4 di indeks ke-2 (indexing dimulai dari 0). List sekarang menjadi:
List = [5, 2, 4, 8, 1, 9, 3, 7]
**Operasi 3: hapus elemen pertama**
Kita akan menghapus elemen pertama, yaitu nilai 5. List sekarang menjadi:
List = [2, 4, 8, 1, 9, 3, 7]
**Operasi 4: Tampilkan elemen terakhir**
Elemen terakhir list adalah... 7!
Jadi, jawaban akhirnya adalah: **7**
Note: Setelah operasi selesai, list menjadi [2, 4, 8, 1, 9, 3, 7].</t>
        </is>
      </c>
      <c r="J151" t="n">
        <v>0.6185</v>
      </c>
      <c r="K151" t="n">
        <v>0.248</v>
      </c>
      <c r="L151" t="b">
        <v>1</v>
      </c>
      <c r="M151" t="n">
        <v>0.1317</v>
      </c>
    </row>
    <row r="152">
      <c r="A152" t="n">
        <v>151</v>
      </c>
      <c r="B152" t="inlineStr">
        <is>
          <t>confusion</t>
        </is>
      </c>
      <c r="C152" t="inlineStr">
        <is>
          <t>4TAR</t>
        </is>
      </c>
      <c r="D152" s="3" t="inlineStr">
        <is>
          <t>Dosen menjelaskan bahwa list di CT bisa dipakai sebagai implementasi stack dengan append dan pop, atau sebagai queue dengan append dan pop(0). Saya bingung — kalau list bisa jadi stack dan queue, mengapa kita perlu belajar stack dan queue sebagai konsep terpisah?</t>
        </is>
      </c>
      <c r="E152" s="3" t="inlineStr">
        <is>
          <t>Dosen,
Pertanyaan mahasiswa yang diajukan tampaknya terkait dengan konsep stack dan queue sebagai struktur data. Saya akan menjelaskan jawaban dari sudut pandang Level 4 Mahir/Teoritis/Analitis/Reflektif.
Stack dan queue adalah dua struktur data yang berbeda, walaupun keduanya dapat diimplementasikan menggunakan list. Stack menggunakan prinsip LIFO (Last In First Out), artinya data terakhir masuk sebagai data pertama keluar. Sebaliknya, queue menggunakan prinsip FIFO (First In First Out), yaitu data pertama masuk sebagai data pertama keluar.
Sebagai contoh, fitur "Ctrl+Z" pada aplikasi desain grafis dapat diimplementasikan dengan menggunakan stack, karena setiap operasi undo memerlukan menghapus data terakhir yang diketik. Sementara itu, sistem antrian pelanggan di bank lebih cocok menggunakan queue, karena pelanggan yang datang dulu harus dilayani dulu.
Dalam beberapa kasus, list dapat digunakan sebagai implementasi stack atau queue, tetapi dalam banyak kasus lainnya, menggunakan struktur data khusus seperti stack dan queue sangat membantu dalam menyelesaikan masalah. Oleh karena itu, penting untuk memahami konsep dasar dari stack dan queue, serta bagaimana mereka dapat diimplementasikan dengan benar.
Dengan demikian, jawaban saya adalah: Stack dan queue adalah dua struktur data yang berbeda, dengan prinsip LIFO dan FIFO masing-masing. Mereka memiliki aplikasi yang berbeda dalam berbagai kasus, dan penting untuk memahami konsep dasar mereka serta bagaimana mereka dapat diimplementasikan dengan benar.
Saya harap jawaban saya ini dapat membantu mahasiswa memahami konsep stack dan queue lebih baik.</t>
        </is>
      </c>
      <c r="F152" t="n">
        <v>0.801</v>
      </c>
      <c r="G152" t="n">
        <v>0.1593</v>
      </c>
      <c r="H152" t="b">
        <v>1</v>
      </c>
      <c r="I152" s="3" t="inlineStr">
        <is>
          <t>Saya senang membantu menjawab pertanyaan Anda!
Dosen memiliki hak untuk menjelaskan bahwa list di CT dapat digunakan sebagai implementasi stack atau queue, tetapi itu tidak berarti kita tidak perlu mempelajari konsep stack dan queue sebagai konsep terpisah. Berikut alasannya:
1. List adalah data struktur yang umum digunakan dalam programing, tapi stack dan queue adalah konsep yang lebih spesifik dan memiliki sifat-sifat khusus sendiri.
2. Stack dan queue memiliki aplikasi dan kegunaan yang berbeda-beda, tidak hanya sekadar sebagai list dengan operasi append dan pop. Misalnya, dalam sistem operasi, stack digunakan untuk menghandle pengiriman paket-paket data, sedangkan queue digunakan untuk mengatur urutan eksekusi tugas-tugas.
3. Memahami konsep stack dan queue secara terpisah membantu Anda memahami sifat-sifat dasar dari struktur data tersebut, seperti First-In-First-Out (FIFO) untuk queue dan Last-In-First-Out (LIFO) untuk stack. Ini sangat penting dalam menyelesaikan masalah-masalah yang terkait dengan struktur data ini.
4. Selain itu, mempelajari stack dan queue sebagai konsep terpisah membantu Anda memahami bagaimana cara mengoptimalkan performa aplikasi dengan menggunakan algoritma-algoritma yang sesuai untuk masing-masing struktur data.
Dalam kata lain, meskipun list dapat digunakan sebagai implementasi stack atau queue, mempelajari konsep stack dan queue secara terpisah membantu Anda memahami sifat-sifat dasar dari struktur data ini dan bagaimana cara mengoptimalkan performa aplikasi dengan menggunakan algoritma-algoritma yang sesuai.</t>
        </is>
      </c>
      <c r="J152" t="n">
        <v>0.777</v>
      </c>
      <c r="K152" t="n">
        <v>0.1449</v>
      </c>
      <c r="L152" t="b">
        <v>1</v>
      </c>
      <c r="M152" t="n">
        <v>0.024</v>
      </c>
    </row>
    <row r="153">
      <c r="A153" t="n">
        <v>152</v>
      </c>
      <c r="B153" t="inlineStr">
        <is>
          <t>application</t>
        </is>
      </c>
      <c r="C153" t="inlineStr">
        <is>
          <t>4PGI</t>
        </is>
      </c>
      <c r="D153" s="3" t="inlineStr">
        <is>
          <t>Saya diminta implementasikan operasi 'rotate' pada list: geser semua elemen k posisi ke kiri. Contoh: [1,2,3,4,5] rotasi 2 ke kiri → [3,4,5,1,2]. Bagaimana pseudocode untuk operasi ini tanpa menggunakan fungsi built-in slice atau rotate?</t>
        </is>
      </c>
      <c r="E153" s="3" t="inlineStr">
        <is>
          <t>Saya senang membantu Anda menyelesaikan soal ini.
Operasi "rotate" pada list dapat didefinisikan sebagai geser semua elemen k posisi ke kiri. Contoh, [1,2,3,4,5] rotasi 2 ke kiri → [3,4,5,1,2]. Pseudocode untuk operasi ini tanpa menggunakan fungsi built-in slice atau rotate dapat didefinisikan sebagai berikut:
```
Input: list, k (integer)
Output: list (rotated)
Proses:
  if k == 0 then
    return list // tidak perlu rotasi apapun
  else
    new_list = []
    for i from k to end_of_list do
      new_list.append(list[i])
    for i from 0 to k-1 do
      new_list.append(list[i])
    return new_list
```
Konsep utama pada pseudocode di atas adalah menggunakan perulangan untuk menggeser elemen list ke kiri. Pada awalnya, kita membuat copy list yang baru dan kemudian menggeser semua elemen dari posisi k ke kanan menjadi depan. Kemudian, kita menggeser sisa elemen (dari 0 hingga k-1) menjadi bagian depan list.
Dengan demikian, pseudocode di atas dapat digunakan untuk merepresentasikan operasi "rotate" pada list tanpa menggunakan fungsi built-in slice atau rotate.</t>
        </is>
      </c>
      <c r="F153" t="n">
        <v>0.6598000000000001</v>
      </c>
      <c r="G153" t="n">
        <v>0.2211</v>
      </c>
      <c r="H153" t="b">
        <v>1</v>
      </c>
      <c r="I153" s="3" t="inlineStr">
        <is>
          <t>Berikut adalah pseudocode untuk operasi "rotate" pada list tanpa menggunakan fungsi built-in slice atau rotate:
```
Prosedur Rotate(List A, int k)
    // Jika k lebih besar dari panjang list, maka geser elemen ke kiri sebanyak k mod panjang list
    k = k mod Panjang(A)
    // Simpan elemen terakhir sebagai tempat tumpukan
    TempatTumpukan = A[PANJANG(A)-1]
    // Geser semua elemen ke kiri sebanyak k posisi
    for i dari PANJANG(A)-2 sampai 0
        A[i+1] = A[i]
    // Tumpukkan elemen terakhir menjadi elemen pertama
    A[0] = TempatTumpukan
End Prosedur
```
Contoh implementasinya dalam Bahasa Indonesia adalah sebagai berikut:
```java
public class Rotate {
    public static void rotate(int[] arr, int k) {
        k = k % arr.length;
        // Simpan elemen terakhir sebagai tempat tumpukan
        int temp = arr[arr.length - 1];
        // Geser semua elemen ke kiri sebanyak k posisi
        for (int i = arr.length - 2; i &gt;= 0; i--) {
            arr[i + 1] = arr[i];
        }
        // Tumpukkan elemen terakhir menjadi elemen pertama
        arr[0] = temp;
    }
}
```
Dalam contoh di atas, fungsi `rotate` menggeser semua elemen dalam array `arr` ke kiri sebanyak `k` posisi. Jika `k` lebih besar dari panjang array, maka hanya geser sebanyak `k mod panjang array`.</t>
        </is>
      </c>
      <c r="J153" t="n">
        <v>0.5247000000000001</v>
      </c>
      <c r="K153" t="n">
        <v>0.3089</v>
      </c>
      <c r="L153" t="b">
        <v>1</v>
      </c>
      <c r="M153" t="n">
        <v>0.1351</v>
      </c>
    </row>
    <row r="154">
      <c r="A154" t="n">
        <v>153</v>
      </c>
      <c r="B154" t="inlineStr">
        <is>
          <t>application</t>
        </is>
      </c>
      <c r="C154" t="inlineStr">
        <is>
          <t>5TAI</t>
        </is>
      </c>
      <c r="D154" s="3" t="inlineStr">
        <is>
          <t>Saya punya soal: gunakan DUA stack untuk mensimulasikan queue. Operasi: enqueue(1), enqueue(2), enqueue(3), dequeue, enqueue(4), dequeue. Dosen bilang ini bisa dilakukan dengan dua stack. Saya tidak paham idenya — bagaimana dua stack bisa jadi queue?</t>
        </is>
      </c>
      <c r="E154" s="3" t="inlineStr">
        <is>
          <t>Mahasiswa! Saya senang membantu Anda memahami konsep queue menggunakan dua stack. Queue memiliki prinsip FIFO (First In First Out), yaitu data yang pertama masuk adalah juga data pertama yang dapat diakses.
Untuk mensimulasikan queue dengan dua stack, kita dapat menggunakan stack sebagai antrian dan lainnya sebagai tumpukan sementara. Prosesnya sebagai berikut:
1. Enqueue: ketika Anda ingin menambahkan data baru ke dalam antrian, Anda pertama-tama memasukkan data tersebut ke dalam stack yang menjadi antrian (Stack 1). Lalu, Anda memindahkan data dari Stack 1 ke Stack 2.
2. Dequeue: ketika Anda ingin mengeluarkan data dari queue, Anda mengambil data terdepan dari Stack 2 dan menempatkannya sebagai output. Kemudian, Anda memindahkan sisanya dari Stack 2 ke Stack 1.
Dengan demikian, kita dapat menggunakan dua stack untuk mensimulasikan queue dengan prinsip FIFO. Contohnya, jika kita memiliki enqueue(1), enqueue(2), enqueue(3), dequeue, enqueue(4), dequeue, maka prosesnya sebagai berikut:
- Enqueue(1): Stack 1 = [1], Stack 2 = []
- Enqueue(2): Stack 1 = [1, 2], Stack 2 = []
- Enqueue(3): Stack 1 = [1, 2, 3], Stack 2 = []
- Dequeue: Stack 1 = [1, 2, 3], Stack 2 = [1] (mengeluarkan 1)
- Enqueue(4): Stack 1 = [1, 2, 3], Stack 2 = [1, 4]
- Dequeue: Stack 1 = [1, 2, 3], Stack 2 = [2] (mengeluarkan 2)
Dengan menggunakan dua stack, kita dapat mensimulasikan queue dengan prinsip FIFO. Saya harap ini membantu Anda memahami konsepnya!</t>
        </is>
      </c>
      <c r="F154" t="n">
        <v>0.66</v>
      </c>
      <c r="G154" t="n">
        <v>0.221</v>
      </c>
      <c r="H154" t="b">
        <v>1</v>
      </c>
      <c r="I154" s="3" t="inlineStr">
        <is>
          <t>Kamu dapat menggunakan dua stack untuk mensimulasikan queue dengan cara berikut:
1. Stack 1 (S1) digunakan sebagai "input" atau "masuk", sedangkan Stack 2 (S2) digunakan sebagai "output" atau "keluar".
2. Ketika melakukan enqueue, elemen baru dimasukkan ke dalam S1.
3. Ketika dequeue dilakukan, elemen diambil dari S2.
4. Untuk memastikan bahwa queue berjalan dengan benar, kita perlu melakukan beberapa operasi tambahan:
	* Setiap kali enqueue dilakukan, elemen tersebut dipindahkan dari S1 ke S2 (dengan kata lain, S2 menjadi "pemanas" atau " warmer" untuk S1).
	* Setiap kali dequeue dilakukan, elemen diambil dari S2 dan dipindahkan ke S1 (sehingga S1 menjadi "pemanas" untuk S2).
Dengan demikian, S2 menjadi "queue" yang sesungguhnya, sedangkan S1 berfungsi sebagai "input" atau "masuk" untuk S2.
Mari kita lihat contoh operasi dengan dua stack:
Saya punya dua stack kosong. Kemudian, saya melakukan enqueue(1), enqueue(2), dan enqueue(3). Stack 1 (S1) menjadi: [1], [2], [3] sedangkan Stack 2 (S2) masih kosong.
Kemudian, saya melakukan dequeue. Untuk memastikan bahwa queue berjalan dengan benar, saya memindahkan elemen dari S1 ke S2. S2 menjadi: [1].
Selanjutnya, saya melakukan enqueue(4). Saya memindahkan elemen ini dari S1 ke S2. S2 menjadi: [1], [4].
Kemudian, saya melakukan dequeue lagi. Saya ambil elemen teratas di S2, yaitu [1]. Lalu, saya memindahkan elemen ini dari S2 ke S1. S1 menjadi: [1] sedangkan S2 menjadi: [4].
Itulah contoh bagaimana dua stack dapat digunakan untuk mensimulasikan queue.</t>
        </is>
      </c>
      <c r="J154" t="n">
        <v>0.7766999999999999</v>
      </c>
      <c r="K154" t="n">
        <v>0.1451</v>
      </c>
      <c r="L154" t="b">
        <v>1</v>
      </c>
      <c r="M154" t="n">
        <v>-0.1167</v>
      </c>
    </row>
    <row r="155">
      <c r="A155" t="n">
        <v>154</v>
      </c>
      <c r="B155" t="inlineStr">
        <is>
          <t>application</t>
        </is>
      </c>
      <c r="C155" t="inlineStr">
        <is>
          <t>5TGR</t>
        </is>
      </c>
      <c r="D155" s="3" t="inlineStr">
        <is>
          <t>Soal simulasi stack: saya punya ekspresi postfix '3 4 + 2 * 7 -'. Dosen minta evaluasi menggunakan stack. Saya paham stack tapi tidak paham cara evaluasi postfix. Apa itu postfix dan bagaimana stack membantu mengevaluasinya?</t>
        </is>
      </c>
      <c r="E155" s="3" t="inlineStr">
        <is>
          <t>Saya sambung pada pertanyaan mahasiswa Anda. Saya paham bahwa Anda memiliki ekspresi postfix '3 4 + 2 * 7 -' yang harus di-evaluasi menggunakan stack.
Postfix, juga dikenal sebagai Reverse Polish Notation (RPN), adalah sebuah notasi penulisan expression dimana operand dulu, lalu operator. Contoh, "3 4 + 5 *" berarti (3+4)*5 = 35.
Untuk meng-evaluasi postfix menggunakan stack, kita perlu menggunakan algoritme evaluasi sebagai berikut:
1. Untuk setiap token t:
   - Jika t adalah angka, push(t) ke dalam stack.
   - Jika t adalah operator, pop() untuk mendapatkan nilai b, lalu pop() lagi untuk mendapatkan nilai a, lalu push(a operator b) ke dalam stack.
Setelah proses evaluasi selesai, hasil yang diperoleh adalah nilai akhir dari expression.
Untuk ekspresi '3 4 + 2 * 7 -', langkah evaluasinya sebagai berikut:
1. Push(3), stack=[3]
2. Push(4), stack=[3,4]
3. Operator (+), pop() untuk mendapatkan nilai b=4, lalu pop() lagi untuk mendapatkan nilai a=3, lalu push(a operator b) ke dalam stack, stack=[17]
4. Push(2), stack=[17,2]
5. Operator (*), pop() untuk mendapatkan nilai b=2, lalu pop() lagi untuk mendapatkan nilai a=17, lalu push(a operator b) ke dalam stack, stack=[35]
6. Push(7), stack=[35,7]
7. Operator (-), pop() untuk mendapatkan nilai b=7, lala pop() lagi untuk mendapatkan nilai a=35, lalu push(a operator b) ke dalam stack, stack=[28]
Akhirnya, hasil evaluasi adalah 28.
Saya harap penjelasan ini membantu Anda memahami konsep evaluasi postfix menggunakan stack. Jika Anda masih memiliki pertanyaan, silakan tanyakan!</t>
        </is>
      </c>
      <c r="F155" t="n">
        <v>0.6702</v>
      </c>
      <c r="G155" t="n">
        <v>0.2144</v>
      </c>
      <c r="H155" t="b">
        <v>1</v>
      </c>
      <c r="I155" s="3" t="inlineStr">
        <is>
          <t>Postfix! It's a notation system where operators follow their operands, unlike infix notation where operators are in between the operands. In infix, we're used to writing expressions like 3 + 4, but in postfix, it would be written as 3 4 +.
Now, let's get to the stack part! A stack is a data structure that follows the Last-In-First-Out (LIFO) principle. You can think of it like a plate stack in a cafeteria: the last plate you put on top will be the first one you take off when you're done eating.
To evaluate a postfix expression using a stack, follow these steps:
1. Initialize an empty stack.
2. Read each token (operand or operator) from left to right in the postfix expression:
	* If it's an operand, push it onto the stack.
	* If it's an operator, pop the required number of operands from the stack, perform the operation, and then push the result back onto the stack.
3. Repeat step 2 until you've processed all tokens.
4. The final value on the stack is the result of evaluating the postfix expression.
Let's work through your example: '3 4 + 2 * 7 -'
1. Initialize an empty stack: []
2. Read tokens from left to right:
	* '3' (operand): push onto stack -&gt; [3]
	* '4' (operand): push onto stack -&gt; [3, 4]
	* '+' (operator): pop two operands from the stack (3 and 4), perform addition (7), and push result back onto the stack -&gt; [7]
	* '2' (operand): push onto stack -&gt; [7, 2]
	* '*' (operator): pop two operands from the stack (7 and 2), perform multiplication (14), and push result back onto the stack -&gt; [14]
	* '7' (operand): push onto stack -&gt; [14, 7]
	* '-' (operator): pop two operands from the stack (14 and 7), perform subtraction (-3), and push result back onto the stack -&gt; [-3]
3. Repeat step 2 until all tokens are processed.
4. The final value on the stack is the result: -3
That's it! You've successfully evaluated your postfix expression using a stack.</t>
        </is>
      </c>
      <c r="J155" t="n">
        <v>0.7498</v>
      </c>
      <c r="K155" t="n">
        <v>0.1626</v>
      </c>
      <c r="L155" t="b">
        <v>1</v>
      </c>
      <c r="M155" t="n">
        <v>-0.0796</v>
      </c>
    </row>
    <row r="156">
      <c r="A156" t="n">
        <v>155</v>
      </c>
      <c r="B156" t="inlineStr">
        <is>
          <t>scenario</t>
        </is>
      </c>
      <c r="C156" t="inlineStr">
        <is>
          <t>4PAR</t>
        </is>
      </c>
      <c r="D156" s="3" t="inlineStr">
        <is>
          <t>Saya diminta buat simulasi antrian pelanggan bank dengan queue. Ada 3 loket aktif. Setiap loket melayani satu pelanggan. Ketika loket kosong, pelanggan berikutnya dari queue dipanggil. Apakah ini cukup dengan satu queue atau butuh struktur lebih kompleks?</t>
        </is>
      </c>
      <c r="E156" s="3" t="inlineStr">
        <is>
          <t>Dalam simulasi antrian pelanggan bank dengan queue, Anda diminta membuat 3 loket aktif yang dapat melayani satu pelanggan setiap kali. Ketika loket kosong, pelanggan berikutnya dari queue dipanggil. Dalam kasus ini, menggunakan hanya satu queue adalah cukup.
Konsep utama yang digunakan dalam simulasi ini adalah queue, sebuah struktur data FIFO (First In First Out) yang digunakan untuk menampung objek dan mengelola urutan pemrosesan. Dengan menggunakan queue, pelanggan akan dipanggil secara berurutan sesuai dengan urutan kedatangan mereka.
Contoh konkret dari aplikasi queue dalam simulasi antrian pelanggan bank adalah sebagai berikut: saat pelanggan 1 datang, dia dijawab oleh loket 1. Ketika loket 1 kosong, pelanggan 2 dipanggil dan dijawab oleh loket 1. Demikian seterusnya. Dengan menggunakan queue, Anda dapat memastikan bahwa pelanggan dipanggil secara berurutan sesuai dengan urutan kedatangan mereka.
Dalam kasus ini, tidak dibutuhkan struktur data yang lebih kompleks selain queue, karena queue dapat mengelola urutan pemrosesan pelanggan dengan baik.</t>
        </is>
      </c>
      <c r="F156" t="n">
        <v>0.7675999999999999</v>
      </c>
      <c r="G156" t="n">
        <v>0.1511</v>
      </c>
      <c r="H156" t="b">
        <v>1</v>
      </c>
      <c r="I156" s="3" t="inlineStr">
        <is>
          <t>Pertanyaan Anda sangat menarik! Dalam simulasi antrian pelanggan bank dengan 3 loket aktif, saya rasa bahwa hanya satu queue saja tidak cukup untuk memenuhi kebutuhan tersebut.
Alasan utama adalah karena setiap loket melayani satu pelanggan, maka pelanggan yang masuk akan menunggu giliran loket yang tersedia. Jika kita hanya memiliki satu queue, maka pelanggan-pelanggan yang datang akan menunggu di queue tersebut hingga mendapatkan giliran sementara loket lainnya tidak ada penggunaan.
Dalam kasus seperti ini, lebih baik menggunakan struktur queue lebih kompleks, yaitu menggunakan multiple queues, masing-masing untuk setiap loket. Dengan demikian, pelanggan-pelanggan yang datang akan ditugaskan ke queue yang sesuai dengan loket yang tersedia.
Contohnya, kita dapat membuat 3 queue yang berbeda, masing-masing untuk loket 1, loket 2, dan loket 3. Ketika pelanggan masuk, ia akan ditugaskan ke queue yang sesuai dengan loket yang tersedia. Jika loket 1 kosong, maka pelanggan berikutnya dari queue 1 dipanggil, sedangkan jika loket 2 atau 3 masih ada penggunaan, maka pelanggan-pelanggan lain dapat menunggu di queue yang lain.
Dengan menggunakan struktur queue seperti ini, kita dapat memenuhi kebutuhan simulasi antrian pelanggan bank dengan lebih akurat dan realistis.</t>
        </is>
      </c>
      <c r="J156" t="n">
        <v>0.7631</v>
      </c>
      <c r="K156" t="n">
        <v>0.154</v>
      </c>
      <c r="L156" t="b">
        <v>1</v>
      </c>
      <c r="M156" t="n">
        <v>0.0045</v>
      </c>
    </row>
    <row r="157">
      <c r="A157" t="n">
        <v>156</v>
      </c>
      <c r="B157" t="inlineStr">
        <is>
          <t>application</t>
        </is>
      </c>
      <c r="C157" t="inlineStr">
        <is>
          <t>3TGI</t>
        </is>
      </c>
      <c r="D157" s="3" t="inlineStr">
        <is>
          <t>Diberikan tree berikut:
       A
      / \
     B   C
    / \   \
   D   E   F
Dosen minta lakukan in-order traversal dan level-order traversal. Saya tahu pre-order tapi bingung bedanya in-order, post-order, dan level-order.</t>
        </is>
      </c>
      <c r="E157" s="3" t="inlineStr">
        <is>
          <t>Hai, mahasiswa!
Kita akan menganalisis tree yang diberikan dan melakukan traversal beberapa jenis.
Pertama-tama, kita harus memahami struktur tree yang diberikan:
```
       A (root)
      / \
     B   C
    / \   \
   D   E   F
    /
   G
```
In-order traversal adalah perjalanan melalui node tree dengan urutan sebagai berikut: left, root, right. Untuk tree di atas, in-order traversal adalah:
D, B, A, C, E, F, G
Sedangkan level-order traversal adalah perjalanan melalui node tree secara level-by-level, mulai dari root hingga leaf node. Untuk tree di atas, level-order traversal adalah:
A, B, C, D, E, F, G
Jadi, kita memiliki dua jenis traversal: in-order dan level-order.
Saya harap pemahaman Anda tentang konsep traversal dalam graph theory. Jika Anda masih bingung, silakan tanyakan!</t>
        </is>
      </c>
      <c r="F157" t="n">
        <v>0.7796999999999999</v>
      </c>
      <c r="G157" t="n">
        <v>0.1432</v>
      </c>
      <c r="H157" t="b">
        <v>1</v>
      </c>
      <c r="I157" s="3" t="inlineStr">
        <is>
          <t>Kebetulan saya juga pernah belajar tentang traversal pada tree!
In-order traversal, level-order traversal, dan post-order traversal adalah tiga jenis traversal yang dapat dilakukan pada suatu tree. Berikut penjelasan masing-masing:
1. **In-order traversal** (Traversal in-orden): Dalam in-order traversal, kita akan kunjungi node-node tree dengan urutan berikut:
	* Kunjungi node kiri
	* Kunjungi node induk (root)
	* Kunjungi node kanan
Contohnya untuk tree di atas: A -&gt; B -&gt; D -&gt; E -&gt; C -&gt; F
2. **Level-order traversal** (Traversal level-orden): Dalam level-order traversal, kita akan kunjungi node-node tree secara sequential, mulai dari root dan kemudian semua anak-anaknya sebelum melangkah ke level berikutnya.
Contohnya untuk tree di atas: A -&gt; B -&gt; C -&gt; D -&gt; E -&gt; F
3. **Post-order traversal** (Traversal post-orden): Dalam post-order traversal, kita akan kunjungi node-node tree dengan urutan berikut:
	* Kunjungi node kiri
	* Kunjungi node kanan
	* Kunjungi node induk (root)
Contohnya untuk tree di atas: D -&gt; E -&gt; F -&gt; C -&gt; B -&gt; A
Saya harap penjelasan di atas dapat membantu Anda memahami perbedaan antara in-order, post-order, dan level-order traversal!</t>
        </is>
      </c>
      <c r="J157" t="n">
        <v>0.7591</v>
      </c>
      <c r="K157" t="n">
        <v>0.1566</v>
      </c>
      <c r="L157" t="b">
        <v>1</v>
      </c>
      <c r="M157" t="n">
        <v>0.0206</v>
      </c>
    </row>
    <row r="158">
      <c r="A158" t="n">
        <v>157</v>
      </c>
      <c r="B158" t="inlineStr">
        <is>
          <t>application</t>
        </is>
      </c>
      <c r="C158" t="inlineStr">
        <is>
          <t>4TGR</t>
        </is>
      </c>
      <c r="D158" s="3" t="inlineStr">
        <is>
          <t>Di soal graph saya diminta tentukan apakah graph berikut memiliki cycle: A→B, B→C, C→D, D→B. Saya tidak tahu cara sistematis untuk deteksi cycle. Apakah DFS bisa digunakan untuk deteksi cycle dan bagaimana caranya?</t>
        </is>
      </c>
      <c r="E158" s="3" t="inlineStr">
        <is>
          <t>Mahasiswa, sebagai tutor Computational Thinking, saya akan membantu Anda menyelesaikan soal graph yang diberikan.
Untuk deteksi cycle pada graph, kita dapat menggunakan algoritme Depth-First Search (DFS). Berikut adalah cara sistematis untuk deteksi cycle dengan DFS:
1. Pilih sebuah node sebagai awal (root).
2. Lakukan traversal depth-first dari node tersebut. Jika Anda mencapai node yang telah dikunjungi sebelumnya, maka terdeteksi adanya cycle.
3. Jika tidak ada cycle, maka Anda dapat melanjutkan traversal hingga semua node di graph telah dikunjungi.
Contoh: Graph yang diberikan adalah A→B, B→C, C→D, D→B. Untuk deteksi cycle, kita akan menggunakan DFS:
1. Pilih node A sebagai awal.
2. Lakukan traversal depth-first dari A: A → B → C → D → B (kembali ke node B).
3. Karena kita kembali ke node B yang telah dikunjungi sebelumnya, maka terdeteksi adanya cycle.
Dengan menggunakan algoritme DFS, Anda dapat dengan mudah menyelesaikan soal deteksi cycle pada graph.</t>
        </is>
      </c>
      <c r="F158" t="n">
        <v>0.6353</v>
      </c>
      <c r="G158" t="n">
        <v>0.2371</v>
      </c>
      <c r="H158" t="b">
        <v>1</v>
      </c>
      <c r="I158" s="3" t="inlineStr">
        <is>
          <t>Graph yang Anda berikan adalah sebuah graph dengan 4 node (A, B, C, D) dan 4 edge (A→B, B→C, C→D, D→B). Untuk menentukan apakah graph tersebut memiliki cycle atau tidak, Anda dapat menggunakan algoritma Depth-First Search (DFS).
Algoritma DFS bekerja dengan cara melakukan traversal pada graph secara depth-first. Prosesnya sebagai berikut:
1. Pilih sebuah node awal dalam graph.
2. Lakukan traversal ke node yang diijinkan oleh edge dari node awal. Jika node tersebut belum dikunjungi sebelumnya, maka kunjungi node tersebut dan tambahkan node tersebut ke dalam stack.
3. Jika node tersebut sudah dikunjungi sebelumnya, maka cek apakah node tersebut sama dengan node awal. Jika ya, maka graph memiliki cycle.
4. Lakukan traversal lagi ke node yang diijinkan oleh edge dari node yang terakhir dikunjungi. Ulangi langkah 2-3 hingga tidak ada node lain yang dapat diunjungi.
Dalam kasus Anda, node awalnya adalah A. Proses DFS akan seperti berikut:
1. Pilih node A sebagai node awal.
2. Kunjungi node B (A→B). Tambahkan node B ke dalam stack.
3. Kunjungi node C (B→C). Tambahkan node C ke dalam stack.
4. Kunjungi node D (C→D). Tambahkan node D ke dalam stack.
5. Kunjungi node B lagi (D→B), namun node B sudah dikunjungi sebelumnya dan sama dengan node awal A.
Maka, graph Anda memiliki cycle.
Namun, perlu diingat bahwa DFS bukanlah algoritma yang secara eksplisit mencari cycle dalam graph. Algoritma tersebut hanya berfungsi sebagai bagian dari proses traversal pada graph. Untuk mendeteksi cycle dengan cara sistematis, Anda dapat menggunakan algoritma lain seperti Floyd's Cycle Detection Algorithm atau Tarjan's Strongly Connected Components Algorithm.</t>
        </is>
      </c>
      <c r="J158" t="n">
        <v>0.7605</v>
      </c>
      <c r="K158" t="n">
        <v>0.1557</v>
      </c>
      <c r="L158" t="b">
        <v>1</v>
      </c>
      <c r="M158" t="n">
        <v>-0.1252</v>
      </c>
    </row>
    <row r="159">
      <c r="A159" t="n">
        <v>158</v>
      </c>
      <c r="B159" t="inlineStr">
        <is>
          <t>application</t>
        </is>
      </c>
      <c r="C159" t="inlineStr">
        <is>
          <t>3PAR</t>
        </is>
      </c>
      <c r="D159" s="3" t="inlineStr">
        <is>
          <t>Saya diminta tentukan apakah dua graph berikut merupakan 'connected graph' (semua node terhubung) atau tidak:
Graph 1: A-B, B-C, C-D, D-A
Graph 2: A-B, C-D, E-F
Bagaimana cara sistematis mengecek konektivitas graph?</t>
        </is>
      </c>
      <c r="E159" s="3" t="inlineStr">
        <is>
          <t>Saya senang dapat membantu menjawab pertanyaan mahasiswa.
Pertama-tama, saya perlu menjelaskan bahwa graph adalah struktur data yang terdiri dari node/vertex dan edge/garis penghubung. Ada dua jenis graph: directed (berarah) dan undirected (tidak berarah). Graph directed digunakan ketika hubungan antar node tidak bersifat simetris, seperti jalur satu arah atau hubungan sebab-akibat.
Kembali ke soal, saya akan menjawab pertanyaan tentang apakah dua graph berikut merupakan 'connected graph' (semua node terhubung) atau tidak. Graph 1 memiliki edge A-B, B-C, C-D, dan D-A, yang menunjukkan bahwa semua node terhubung. Oleh karena itu, Graph 1 dapat dikatakan sebagai connected graph.
Sedangkan untuk Graph 2, saya perlu memeriksa apakah semua node terhubung dengan cara sistematis. Cara termudah adalah dengan menggunakan algoritme DFS (Depth-First Search) atau BFS (Breadth-First Search). Dalam kasus ini, saya dapat melihat bahwa Graph 2 tidak memiliki edge yang menghubungkan node A dan C, serta node B dan E. Oleh karena itu, Graph 2 tidak dapat dikatakan sebagai connected graph.
Dalam sintesis, untuk mengecek konektivitas graph, kita dapat menggunakan algoritme seperti DFS atau BFS. Kita perlu memeriksa apakah semua node terhubung dengan cara sistematis dan melihat apakah ada edge yang menghubungkan node yang tidak terhubung.</t>
        </is>
      </c>
      <c r="F159" t="n">
        <v>0.7866</v>
      </c>
      <c r="G159" t="n">
        <v>0.1387</v>
      </c>
      <c r="H159" t="b">
        <v>1</v>
      </c>
      <c r="I159" s="3" t="inlineStr">
        <is>
          <t>Untuk menentukan apakah dua graph tersebut terhubung atau tidak, kita dapat menggunakan beberapa strategi berikut:
1. **Cek apakah ada node yang tidak terhubung**: Jika ada node yang tidak terhubung (tidak memiliki neighbor), maka graph tersebut tidak terhubung.
2. **Jalankan BFS (Breadth-First Search)**: BFS adalah algoritma yang digunakan untuk menemukan path terpendek antara dua node dalam graph. Jika kita jalankan BFS dari salah satu node ke semua node lainnya, dan hasilnya tidak ada node yang tidak terhubung, maka graph tersebut terhubung.
3. **Cek apakah ada cycle**: Jika graph memiliki cycle (loop), maka graph tersebut tidak terhubung.
Berikut adalah contoh aplikasi strategi di atas untuk kedua graph:
**Graph 1: A-B, B-C, C-D, D-A**
* Cek apakah ada node yang tidak terhubung: Tidak, semua node terhubung.
* Jalankan BFS dari salah satu node (misalnya A): A -&gt; B -&gt; C -&gt; D -&gt; A, tidak ada node yang tidak terhubung.
* Cek apakah ada cycle: Ya, graph memiliki cycle (A-B-C-D-A), maka graph tersebut tidak terhubung.
**Jawaban:** Graph 1 bukanlah connected graph.
**Graph 2: A-B, C-D, E-F**
* Cek apakah ada node yang tidak terhubung: Tidak, semua node terhubung.
* Jalankan BFS dari salah satu node (misalnya A): A -&gt; B, tidak ada node lain yang dapat dijangkau.
* Cek apakah ada cycle: Tidak, graph tidak memiliki cycle.
**Jawaban:** Graph 2 adalah connected graph.</t>
        </is>
      </c>
      <c r="J159" t="n">
        <v>0.7607</v>
      </c>
      <c r="K159" t="n">
        <v>0.1555</v>
      </c>
      <c r="L159" t="b">
        <v>1</v>
      </c>
      <c r="M159" t="n">
        <v>0.0259</v>
      </c>
    </row>
    <row r="160">
      <c r="A160" t="n">
        <v>159</v>
      </c>
      <c r="B160" t="inlineStr">
        <is>
          <t>confusion</t>
        </is>
      </c>
      <c r="C160" t="inlineStr">
        <is>
          <t>5PAI</t>
        </is>
      </c>
      <c r="D160" s="3" t="inlineStr">
        <is>
          <t>Saya belajar tentang weighted graph dan ingin tahu: kalau saya pakai BFS pada weighted graph untuk cari jalur terpendek, apakah hasilnya selalu benar? Atau BFS tidak bisa dipakai untuk weighted graph?</t>
        </is>
      </c>
      <c r="E160" s="3" t="inlineStr">
        <is>
          <t>Saya akan menjawab pertanyaan mahasiswa tentang apakah BFS dapat dipakai untuk weighted graph dan mencari jalur terpendek.
Dalam materi referensi, disebutkan bahwa Algoritme Dijkstra adalah salah satu algoritme yang terkenal untuk menghitung jalur terpendek pada graph berbobot. Namun, perlu diingat bahwa BFS (Breadth-First Search) hanya dapat digunakan untuk mencari jalur terpendek pada graph tidak berbobot.
Kalau kita menggunakan BFS pada weighted graph untuk mencari jalur terpendek, maka hasilnya tidak selalu benar. Karena dalam weighted graph, setiap edge memiliki bobot yang berbeda, sehingga BFS tidak dapat mengetahui jalur terpendek dengan tepat. Algoritme Dijkstra yang mempertimbangkan bobot edge adalah lebih sesuai untuk mencari jalur terpendek pada graph berbobot.
Namun, jika kita ingin mencari jalur terpendek pada weighted graph, maka kita perlu menggunakan algoritme yang lain, seperti Algoritme Bellman-Ford atau Algoritme A*. Kedua algoritme ini dapat mengetahui jalur terpendek dengan tepat dalam graph berbobot.
Jadi, jawab saya adalah: BFS tidak dapat dipakai untuk mencari jalur terpendek pada weighted graph. Untuk itu, kita perlu menggunakan algoritme yang lain yang mempertimbangkan bobot edge.</t>
        </is>
      </c>
      <c r="F160" t="n">
        <v>0.7697000000000001</v>
      </c>
      <c r="G160" t="n">
        <v>0.1497</v>
      </c>
      <c r="H160" t="b">
        <v>1</v>
      </c>
      <c r="I160" s="3" t="inlineStr">
        <is>
          <t>Jawaban yang tepat adalah: BFS tidak dapat digunakan secara langsung untuk mencari jalur terpendek pada graf berat (weighted graph). Hal ini karena algoritma BFS hanya memperhatikan jumlah langkah yang ditempuh, bukan nilai berat (weight) setiap langkah.
Dalam kasus weighted graph, nilai berat dapat mempengaruhi hasilnya. Misalnya, jika Anda ingin mencari jalur terpendek antara dua node, BFS tidak akan dapat menemukan jalur yang paling tepat karena hanya memperhatikan jumlah langkah dan tidak memperhitungkan nilai berat setiap langkah.
Untuk mencari jalur terpendek pada weighted graph, Anda perlu menggunakan algoritma lain seperti Dijkstra's algorithm atau A* algorithm. Kedua algoritma ini dapat menemukan jalur terpendek antara dua node dengan memperhatikan nilai berat setiap langkah.</t>
        </is>
      </c>
      <c r="J160" t="n">
        <v>0.7665</v>
      </c>
      <c r="K160" t="n">
        <v>0.1518</v>
      </c>
      <c r="L160" t="b">
        <v>1</v>
      </c>
      <c r="M160" t="n">
        <v>0.0032</v>
      </c>
    </row>
    <row r="161">
      <c r="A161" t="n">
        <v>160</v>
      </c>
      <c r="B161" t="inlineStr">
        <is>
          <t>application</t>
        </is>
      </c>
      <c r="C161" t="inlineStr">
        <is>
          <t>2TGR</t>
        </is>
      </c>
      <c r="D161" s="3" t="inlineStr">
        <is>
          <t>Di soal graph saya diminta representasikan graph kota-kota Indonesia beserta jarak jalannya menggunakan adjacency matrix. Ada 6 kota: Jakarta, Bandung, Surabaya, Yogyakarta, Semarang, Malang. Bagaimana format adjacency matrix dan bagaimana cara membacanya?</t>
        </is>
      </c>
      <c r="E161" s="3" t="inlineStr">
        <is>
          <t>I'm happy to help you with your question!
Firstly, let me confirm that I understand your request correctly. You want me to represent the graph of Indonesian cities and their distances using an adjacency matrix. The 6 cities are: Jakarta, Bandung, Surabaya, Yogyakarta, Semarang, and Malang.
To create the adjacency matrix, we first need to define a 6x6 matrix with zeros as the initial values. Then, for each edge (city pair) that has a connection, we assign the distance between those cities in the corresponding matrix cell.
Here's an example of how the adjacency matrix might look like:
|  | Jakarta | Bandung | Surabaya | Yogyakarta | Semarang | Malang |
| --- | --- | --- | --- | --- | --- | --- |
| Jakarta | 0 | ? | ? | ? | ? | ? |
| Bandung | ? | 0 | ? | ? | ? | ? |
| Surabaya | ? | ? | 0 | ? | ? | ? |
| Yogyakarta | ? | ? | ? | 0 | ? | ? |
| Semarang | ? | ? | ? | ? | 0 | ? |
| Malang | ? | ? | ? | ? | ? | 0 |
In this example, the distance between Jakarta and Bandung would be represented in the top-left cell (e.g., "200 km"). The diagonal cells are all zeros because each city is connected to itself with a distance of zero.
To read the adjacency matrix, we simply look at the non-zero values in each row or column. For instance, if we want to know the distance between Jakarta and Surabaya, we would look at the cell where the first row (Jakarta) meets the third column (Surabaya).</t>
        </is>
      </c>
      <c r="F161" t="n">
        <v>0.141</v>
      </c>
      <c r="G161" t="n">
        <v>0.5584</v>
      </c>
      <c r="I161" s="3" t="inlineStr">
        <is>
          <t>Untuk membuat graph kota-kota Indonesia dengan adjacency matrix, kita perlu memahami konsep dasarnya. Adjacency matrix adalah sebuah representasi graph yang menggunakan matriks untuk menunjukkan hubungan antara node-node (dalam kasus ini, kota-kota) dan jarak jalannya.
Format adjacency matrix adalah sebagai berikut:
|  | Jakarta | Bandung | Surabaya | Yogyakarta | Semarang | Malang |
| --- | --- | --- | --- | --- | --- | --- |
| Jakarta | 0 | d1 | d2 | d3 | d4 | d5 |
| Bandung | d6 | 0 | d7 | d8 | d9 | d10 |
| Surabaya | d11 | d12 | 0 | d13 | d14 | d15 |
| Yogyakarta | d16 | d17 | d18 | 0 | d19 | d20 |
| Semarang | d21 | d22 | d23 | d24 | 0 | d25 |
| Malang | d26 | d27 | d28 | d29 | d30 | 0 |
Dalam format ini, baris dan kolom menunjukkan nama-nama kota. Nilai 0 pada sela-sela matriks menunjukkan bahwa kota-kota tersebut tidak terhubung (jarak jalannya adalah 0). Sementara nilai yang lain menunjukkan jarak jalannya antara dua kota.
Cara membaca adjacency matrix:
1. Pilih baris dan kolom, misalnya baris "Jakarta" dan kolom "Bandung".
2. Jika nilai pada sela-sela matriks adalah 0, maka Jakarta tidak terhubung dengan Bandung (jarak jalannya adalah 0).
3. Jika nilai pada sela-sela matriks bukan 0, maka Jakarta berjarak d1 dengan Bandung.
Dengan demikian, adjacency matrix ini menunjukkan hubungan antara kota-kota Indonesia dan jarak jalannya.</t>
        </is>
      </c>
      <c r="J161" t="n">
        <v>0.5314</v>
      </c>
      <c r="K161" t="n">
        <v>0.3046</v>
      </c>
      <c r="L161" t="b">
        <v>1</v>
      </c>
      <c r="M161" t="n">
        <v>-0.3904</v>
      </c>
    </row>
    <row r="162">
      <c r="A162" t="n">
        <v>161</v>
      </c>
      <c r="B162" t="inlineStr">
        <is>
          <t>scenario</t>
        </is>
      </c>
      <c r="C162" t="inlineStr">
        <is>
          <t>5PAR</t>
        </is>
      </c>
      <c r="D162" s="3" t="inlineStr">
        <is>
          <t>Saya punya dua algoritme untuk masalah yang sama:
Algoritme A: O(n log n) waktu, O(n) space
Algoritme B: O(n²) waktu, O(1) space
Untuk n=100 dan memori terbatas, mana yang lebih baik? Bagaimana cara mempertimbangkan trade-off time vs space complexity?</t>
        </is>
      </c>
      <c r="E162" s="3" t="inlineStr">
        <is>
          <t>Mahasiswa, dalam masalah kompleksitas algoritme, kita harus mempertimbangkan trade-off antara waktu dan space complexity. Dalam kasus Anda, Anda memiliki dua algoritme yang berbeda: Algoritme A dengan O(n log n) time complexity dan O(n) space complexity, serta Algoritme B dengan O(n²) time complexity dan O(1) space complexity.
Untuk mempertimbangkan mana yang lebih baik, kita harus membandingkan keduanya berdasarkan kebutuhan sistem. Dalam kasus Anda, n = 100 dan memori terbatas. Berdasarkan materi referensi, kita dapat melihat bahwa Algoritme A memiliki time complexity yang lebih cepat namun memerlukan space complexity yang lebih besar.
Dalam situasi ini, Algoritme B dengan O(n²) time complexity dan O(1) space complexity mungkin lebih baik karena memori terbatas. Namun, kita harus juga mempertimbangkan bahwa Algoritme A memiliki potensi untuk menjadi lebih efisien jika kita memiliki sumber daya yang cukup.
Dalam konsep lainnya, kita dapat melihat bahwa Algoritme A memiliki time complexity yang lebih cepat namun memerlukan space complexity yang lebih besar. Hal ini berarti bahwa kita harus mempertimbangkan mana yang lebih penting untuk sistem Anda, waktu atau memori.
Dengan demikian, jawaban saya adalah Algoritme B karena memiliki O(n²) time complexity dan O(1) space complexity yang lebih sesuai dengan kebutuhan sistem Anda.</t>
        </is>
      </c>
      <c r="F162" t="n">
        <v>0.1741</v>
      </c>
      <c r="G162" t="n">
        <v>0.5668</v>
      </c>
      <c r="H162" t="b">
        <v>1</v>
      </c>
      <c r="I162" s="3" t="inlineStr">
        <is>
          <t>Kedua algoritme Anda memiliki kompleksitas waktu dan ruang yang berbeda. Untuk menentukan mana yang lebih baik untuk n=100 dan memori terbatas, kita perlu mempertimbangkan faktor-faktor berikut:
1. Ukuran input (n): Jika n kecil, maka algoritme B dengan kompleksitas waktu O(n²) mungkin lebih cepat daripada algoritme A dengan kompleksitas waktu O(n log n). Namun, jika n besar, maka algoritme A akan menjadi lebih cepat.
2. Kapasitas memori: Karena Anda memiliki memori terbatas, maka algoritme B yang hanya memerlukan ruang O(1) mungkin lebih cocok daripada algoritme A yang memerlukan ruang O(n).
3. Prioritas waktu vs ruang: Jika Anda lebih memprioritaskan waktu, maka algoritme A mungkin lebih baik. Namun, jika Anda lebih memprioritaskan ruang dan memiliki batasan memori yang ketat, maka algoritme B mungkin lebih cocok.
Dalam kasus ini, karena n=100, maka algoritme B dengan kompleksitas waktu O(n²) mungkin menjadi pilihan yang lebih baik daripada algoritme A dengan kompleksitas waktu O(n log n). Namun, jika Anda memiliki memori yang cukup besar untuk menjalankan algoritme A, maka Anda dapat mempertimbangkan pilihan ini.
Secara umum, cara mempertimbangkan trade-off time vs space complexity adalah sebagai berikut:
1. Analisis kompleksitas waktu dan ruang dari kedua algoritme.
2. Pertimbangkan ukuran input (n) dan kapasitas memori yang tersedia.
3. Prioritaskan waktu atau ruang tergantung pada kebutuhan Anda.
4. Jika memiliki pilihan, lakukan analisis lebih lanjut untuk menentukan mana yang lebih baik.
Dengan demikian, dalam kasus ini, algoritme B mungkin menjadi pilihan yang lebih baik untuk n=100 dan memori terbatas.</t>
        </is>
      </c>
      <c r="J162" t="n">
        <v>0.2983</v>
      </c>
      <c r="K162" t="n">
        <v>0.4861</v>
      </c>
      <c r="L162" t="b">
        <v>1</v>
      </c>
      <c r="M162" t="n">
        <v>-0.1242</v>
      </c>
    </row>
    <row r="163">
      <c r="A163" t="n">
        <v>162</v>
      </c>
      <c r="B163" t="inlineStr">
        <is>
          <t>application</t>
        </is>
      </c>
      <c r="C163" t="inlineStr">
        <is>
          <t>6PAI</t>
        </is>
      </c>
      <c r="D163" s="3" t="inlineStr">
        <is>
          <t>Tentukan Big-O dari fungsi rekursif berikut:
  function f(n):
    if n &lt;= 1: return 1
    return f(n/2) + f(n/2) + n
Saya tidak bisa langsung lihat Big-O-nya seperti untuk loop biasa. Ada cara sistematis untuk analisis rekursi?</t>
        </is>
      </c>
      <c r="E163" s="3" t="inlineStr">
        <is>
          <t>Saya akan menjawab pertanyaan mahasiswa dengan menggunakan istilah teknis yang ada dalam materi referensi.
Tentukan Big-O dari fungsi rekursif berikut:
  function f(n):
    if n &lt;= 1: return 1
    return f(n/2) + f(n/2) + n
Untuk menghitung Big-O dari fungsi rekursif ini, kita perlu menggunakan analisis rekursi. Analisis rekursi melibatkan penggunaan metode berikut:
1. Menentukan ekspansi rekursif: dalam kasus ini, fungsi f(n) dipanggil dirinya sendiri untuk dua argumen n/2.
2. Menghitung besarnya fungsi di setiap langkah rekursif: dalam kasus ini, fungsi f(n) dipanggil dua kali dengan argument n/2, serta mengakses n sekali.
3. Menentukan Big-O berdasarkan analisis rekursi tersebut.
Dengan menggunakan metode analisis rekursi di atas, kita dapat menentukan bahwa Big-O dari fungsi f(n) adalah O(log n). Hal ini karena fungsi f(n) dipanggil dirinya sendiri untuk argument n/2, yang artinya memiliki tingkat rekursif yang berkurang secara eksponensial. Oleh karena itu, jumlah panggilan fungsi f(n) terhadap dirinya sendiri akan menjadi lebih kecil ketika n semakin besar, sehingga Big-O-nya adalah O(log n).
Jadi, jawaban saya adalah O(log n).</t>
        </is>
      </c>
      <c r="F163" t="n">
        <v>0.6505</v>
      </c>
      <c r="G163" t="n">
        <v>0.2272</v>
      </c>
      <c r="H163" t="b">
        <v>1</v>
      </c>
      <c r="I163" s="3" t="inlineStr">
        <is>
          <t>I'd be happy to help you determine the time complexity of the recursive function.
Untuk menentukan Big-O dari fungsi rekursif, kita perlu melakukan analisis sistematis yang disebut "tree recurrence analysis" atau "master theorem". Berikut langkah-langkahnya:
1. Identifikasi fungsi rekursif: Fungsi `f(n)` memiliki kemiripan dengan fungsi rekursif karena memiliki panggilan diri.
2. Tentukan relasi antara input dan output: Dalam kasus ini, fungsi `f(n)` menghitung nilai `f` untuk input `n/2` dua kali, lalu menambahkan nilai `n`. Relasinya dapat dituliskan sebagai: `T(n) = 2T(n/2) + O(n)`, di mana `T(n)` adalah waktu eksekusi fungsi `f(n)` untuk input `n`.
3. Temukan kondisi base case: Fungsi rekursif memiliki kondisi base case ketika `n` tidak lebih besar dari 1, maka fungsi tersebut mengembalikan nilai 1.
4. Tentukan konstanta hidden: Dalam kasus ini, konstanta hidden adalah `O(n)`, karena nilai `n` diperkaya dalam panggilan fungsi rekursif.
5. Gunakan master theorem atau tree recurrence analysis untuk menentukan Big-O: Berdasarkan relasi dan kondisi base case, kita dapat menggunakan master theorem (yang dikembangkan oleh Donald Knuth) untuk menentukan Big-O.
Dalam kasus ini, kita dapat menggunakan master theorem dengan parameter `a = 2`, `b = 1`, dan `c = O(n)`. Dengan demikian, Big-O dari fungsi rekursif `f(n)` adalah:
`O(n log n)`
Jadi, fungsi rekursif `f(n)` memiliki kompleksitas waktu yang naik proporsional dengan inputnya (`n`) dengan logaritma.
Perlu diingat bahwa analisis rekursi dapat menjadi rumit dan memerlukan pengetahuan tentang teori kompleksitas algoritma.</t>
        </is>
      </c>
      <c r="J163" t="n">
        <v>0.777</v>
      </c>
      <c r="K163" t="n">
        <v>0.1449</v>
      </c>
      <c r="L163" t="b">
        <v>1</v>
      </c>
      <c r="M163" t="n">
        <v>-0.1265</v>
      </c>
    </row>
    <row r="164">
      <c r="A164" t="n">
        <v>163</v>
      </c>
      <c r="B164" t="inlineStr">
        <is>
          <t>gap</t>
        </is>
      </c>
      <c r="C164" t="inlineStr">
        <is>
          <t>4TAI</t>
        </is>
      </c>
      <c r="D164" s="3" t="inlineStr">
        <is>
          <t>Dosen bilang best case, average case, dan worst case complexity bisa berbeda untuk algoritme yang sama. Untuk bubble sort: saya tahu worst case O(n²). Tapi berapa best case-nya dan kapan best case itu terjadi?</t>
        </is>
      </c>
      <c r="E164" s="3" t="inlineStr">
        <is>
          <t>Mahasiswa! Kali ini, kita akan membahas tentang kompleksitas rekursi dan optimasi algoritme.
Pertama-tama, mari kita lihat contoh algoritme rekursif yang diberikan: faktorial(n) rekursif, fib(n) rekursif naive, dan binarySearch(arr, n) rekursif. Kita akan menentukan kompleksitas time dan space untuk setiap algoritme.
Untuk algoritme faktorial(n), kita dapat melihat bahwa tiap iterasi membutuhkan waktu O(1) dan ruang O(1). Karena algoritme ini terdiri dari iterasi sebanyak n, maka kompleksitas time menjadi O(n) dan kompleksitas space menjadi O(n).
Sedangkan untuk algoritme fib(n) rekursif naive, kita dapat melihat bahwa tiap iterasi membutuhkan waktu O(1) dan ruang O(1). Karena algoritme ini terdiri dari iterasi sebanyak 2n, maka kompleksitas time menjadi O(2n) dan kompleksitas space menjadi O(n).
Untuk algoritme binarySearch(arr, n), kita dapat melihat bahwa tiap iterasi membutuhkan waktu O(log n) dan ruang O(1). Karena algoritme ini terdiri dari iterasi sebanyak log n, maka kompleksitas time menjadi O(log n) dan kompleksitas space menjadi O(1).
Dalam optimasi algoritme, kita harus mempertimbangkan kompleksitas time dan space. Kita dapat melihat bahwa algoritme binarySearch(arr, n) adalah yang paling efisien, dengan kompleksitas time O(log n) dan kompleksitas space O(1). Algoritme lainnya memiliki kompleksitas yang lebih tinggi.
Dalam akhir, saya ingin menegaskan bahwa pemilihan algoritme sangat penting untuk input besar. Kita harus mempertimbangkan kompleksitas time dan space ketika membuat keputusan tentang algoritme mana yang akan digunakan.</t>
        </is>
      </c>
      <c r="F164" t="n">
        <v>0.6596</v>
      </c>
      <c r="G164" t="n">
        <v>0.2213</v>
      </c>
      <c r="H164" t="b">
        <v>0</v>
      </c>
      <c r="I164" s="3" t="inlineStr">
        <is>
          <t>Dalam bubble sort, best case complexity terjadi ketika semua element di array sudah berurutan dari awal. Dalam hal ini, bubble sort hanya perlu melakukan iterasi sebanyak 1 untuk menyelesaikan sorting, karena tidak ada lagi penggantian yang perlu dilakukan.
Karena itu, best case complexity of bubble sort adalah O(n), bukan O(n²) seperti worst case. Hal ini terjadi ketika input array sudah berurutan dari awal, sehingga algoritme hanya perlu melakukan iterasi sekali untuk menyelesaikan sorting.
Perbedaan antara best case dan worst case complexity dalam bubble sort sangat signifikan, karena best case memberikan kemampuan sorting yang lebih cepat ketika input array sudah berurutan dari awal. Namun, worst case memberikan kompleksitas yang lebih tinggi ketika input array terdiri atas elemen yang tidak berurutan.</t>
        </is>
      </c>
      <c r="J164" t="n">
        <v>0.761</v>
      </c>
      <c r="K164" t="n">
        <v>0.1553</v>
      </c>
      <c r="L164" t="b">
        <v>1</v>
      </c>
      <c r="M164" t="n">
        <v>-0.1014</v>
      </c>
    </row>
    <row r="165">
      <c r="A165" t="n">
        <v>164</v>
      </c>
      <c r="B165" t="inlineStr">
        <is>
          <t>out_of_scope</t>
        </is>
      </c>
      <c r="C165" t="inlineStr">
        <is>
          <t>6TGI</t>
        </is>
      </c>
      <c r="D165" s="3" t="inlineStr">
        <is>
          <t>Saya bingung dengan notasi big-Omega (Ω) dan big-Theta (Θ). Di kuliah CT kita hanya belajar Big-O. Apa perbedaan O, Ω, dan Θ, dan apakah semuanya diperlukan untuk evaluasi algoritme di CT?</t>
        </is>
      </c>
      <c r="E165" s="3" t="inlineStr">
        <is>
          <t>Pada dasarnya, Big-O (O), Big-Omega (Ω), dan Big-Theta (Θ) adalah notasi yang digunakan untuk mengevaluasi kompleksitas waktu algoritme, yaitu bagaimana besar input berpengaruh terhadap waktu eksekusi algoritme. Notasi ini dipakai dalam Computational Thinking (CT) untuk memahami dan menganalisis keefektifan algoritme.
Big-O (O) mengevaluasi kelas O yang paling buruk, yaitu waktu eksekusi yang terjadi pada input tertentu. Contohnya, algoritme linear akan memiliki kompleksitas Big-O(n), di mana n adalah ukuran input. Artinya, jika inputnya bertambah besar, waktu eksekusi juga akan bertambah.
Big-Omega (Ω) mengevaluasi kelas Omega yang paling baik, yaitu waktu eksekusi yang terjadi pada input tertentu. Contohnya, algoritme linear akan memiliki kompleksitas Big-Omega(n), di mana n adalah ukuran input. Artinya, jika inputnya bertambah besar, waktu eksekusi juga akan bertambah.
Big-Theta (Θ) mengevaluasi kelas Theta yang paling sempurna, yaitu waktu eksekusi yang terjadi pada input tertentu. Contohnya, algoritme linear akan memiliki kompleksitas Big-Theta(n), di mana n adalah ukuran input. Artinya, jika inputnya bertambah besar, waktu eksekusi juga akan bertambah.
Dalam konteks CT, kita menggunakan Big-O (O) untuk mengevaluasi algoritme dan memahami bagaimana input berpengaruh terhadap waktu eksekusi. Namun, Big-Ω dan Big-Θ dapat digunakan untuk memahami keterbatasan dan kekuatan algoritme yang lebih spesifik.
Dalam beberapa kasus, menggunakan Big-O (O) saja sudah cukup untuk mengevaluasi algoritme, tetapi dalam kasus lainnya, menggunakan Big-Ω dan Big-Θ dapat membantu memahami detail algoritme yang lebih rinci. Sebagai tutor CT, saya merekomendasikan penggunaan Big-O (O) sebagai dasar, namun juga tidak menutup kemungkinan untuk menggunakan Big-Ω dan Big-Θ dalam analisis algoritme yang lebih lanjut.</t>
        </is>
      </c>
      <c r="F165" t="n">
        <v>0.7563</v>
      </c>
      <c r="G165" t="n">
        <v>0.1884</v>
      </c>
      <c r="H165" t="b">
        <v>0</v>
      </c>
      <c r="I165" s="3" t="inlineStr">
        <is>
          <t>Saya senang membantu!
Notasi big-O (O), big-Ω (Ω), dan big-Θ (Θ) adalah konsep yang terkait dengan analisis kompleksitas waktu atau ruang suatu algoritma. Perbedaan antara keduanya terletak pada cara mereka digunakan untuk menggambarkan tingkat kompleksitas suatu algoritma.
1. Big-O (O): Notasi big-O digunakan untuk menentukan upper bound (batas atas) dari kompleksitas waktu atau ruang suatu algoritma. Artinya, O(f(n)) berarti bahwa waktu yang diperlukan oleh algoritma untuk memproses input sebesar n adalah kurang lebih sama dengan fungsi f(n). Contohnya, jika algoritma memiliki kompleksitas O(n^2), maka artinya waktu yang diperlukan untuk memproses input sebesar n adalah kurang lebih sama dengan kuadrat dari n.
2. Big-Ω (Ω): Notasi big-Ω digunakan untuk menentukan lower bound (batas bawah) dari kompleksitas waktu atau ruang suatu algoritma. Artinya, Ω(f(n)) berarti bahwa waktu yang diperlukan oleh algoritma untuk memproses input sebesar n adalah kurang lebih sama dengan fungsi f(n). Contohnya, jika algoritma memiliki kompleksitas Ω(n), maka artinya waktu yang diperlukan untuk memproses input sebesar n adalah kurang lebih sama dengan n.
3. Big-Θ (Θ): Notasi big-Θ digunakan untuk menentukan bound (batas) yang tepat dari kompleksitas waktu atau ruang suatu algoritma. Artinya, Θ(f(n)) berarti bahwa waktu yang diperlukan oleh algoritma untuk memproses input sebesar n adalah sama dengan fungsi f(n). Contohnya, jika algoritma memiliki kompleksitas Θ(n), maka artinya waktu yang diperlukan untuk memproses input sebesar n adalah sama dengan n.
Dalam CT (Computer Science), notasi big-O (O) biasanya digunakan untuk evaluasi algoritme. Hal ini karena big-O memberikan upper bound dari kompleksitas algoritma, sehingga dapat membantu dalam menentukan apakah algoritma tersebut efisien atau tidak. Namun, notasi big-Ω (Ω) dan big-Θ (Θ) juga penting dalam analisis kompleksitas, terutama ketika ingin mengetahui batas bawah atau tepat dari kompleksitas suatu algoritma.
Dalam beberapa kasus, menggunakan big-O (O) saja tidak cukup untuk evaluasi algoritme. Misalnya, jika kita memiliki algoritma yang memiliki kompleksitas O(n^2), tetapi dalam prakteknya, waktu yang diperlukan oleh algoritma tersebut sebenarnya lebih dekat dengan Ω(n). Dalam kasus seperti ini, notasi big-Ω (Ω) dapat membantu dalam menentukan apakah algoritma tersebut efisien atau tidak.
Dalam CT, penting untuk memahami konsep-konsep dasar tentang kompleksitas waktu dan ruang, serta menggunakan notasi-notasi yang tepat untuk evaluasi algoritme. Oleh karena itu, meskipun big-O (O) cukup untuk evaluasi algoritme, tetapi big-Ω (Ω) dan big-Θ (Θ) juga penting dalam analisis kompleksitas.</t>
        </is>
      </c>
      <c r="J165" t="n">
        <v>0.766</v>
      </c>
      <c r="K165" t="n">
        <v>0.1521</v>
      </c>
      <c r="L165" t="b">
        <v>1</v>
      </c>
      <c r="M165" t="n">
        <v>-0.0097</v>
      </c>
    </row>
    <row r="166">
      <c r="A166" t="n">
        <v>165</v>
      </c>
      <c r="B166" t="inlineStr">
        <is>
          <t>application</t>
        </is>
      </c>
      <c r="C166" t="inlineStr">
        <is>
          <t>2TGI</t>
        </is>
      </c>
      <c r="D166" s="3" t="inlineStr">
        <is>
          <t>Soal: lakukan binary search pada array [2, 5, 8, 12, 16, 23, 38, 56, 72, 91] untuk mencari nilai 23. Tunjukkan nilai low, high, dan mid di setiap langkah dan berapa total langkah yang dibutuhkan.</t>
        </is>
      </c>
      <c r="E166" s="3" t="inlineStr">
        <is>
          <t>Saya akan menjawab pertanyaan mahasiswa dengan menggunakan istilah teknis dan contoh konkret untuk memudahkan pemahaman.
Soal: Lakukan binary search pada array [2, 5, 8, 12, 16, 23, 38, 56, 72, 91] untuk mencari nilai 23. Tunjukkan nilai low, high, dan mid di setiap langkah dan berapa total langkah yang dibutuhkan.
Jawaban:
1. Langkah pertama: Low = 0, High = 9 (panjang array)
Mid = (Low + High) / 2 = (0 + 9) / 2 = 4.5 (rund down ke 4)
Array [2, 5, 8, 12, 16, 23, 38, 56, 72, 91] tidak terurut, jadi perlu diurutkan terlebih dahulu.
2. Langkah kedua: Low = 0, High = 4
Mid = (Low + High) / 2 = (0 + 4) / 2 = 2
Array [2, 5, 8, 12, 16] tidak ada nilai 23, jadi perlu cari di bagian kanan.
3. Langkah ketiga: Low = 5, High = 9
Mid = (Low + High) / 2 = (5 + 9) / 2 = 7
Array [8, 12, 16, 23] ada nilai 23, jadi perlu cari di bagian ini.
4. Langkah keempat: Low = 5, High = 6
Mid = (Low + High) / 2 = (5 + 6) / 2 = 5
Array [8, 12, 16] tidak ada nilai 23, jadi perlu cari di bagian ini.
5. Langkah kelima: Low = 7, High = 9
Mid = (Low + High) / 2 = (7 + 9) / 2 = 8
Array [8, 12, 16, 23] ada nilai 23, jadi perlu cari di bagian ini.
6. Langkah keenam: Low = 7, High = 8
Mid = (Low + High) / 2 = (7 + 8) / 2 = 7.5 (rund down ke 7)
Array [23] adalah nilai yang dicari, jadi perlu stop di sini.
Total langkah yang dibutuhkan adalah 6 langkah.</t>
        </is>
      </c>
      <c r="F166" t="n">
        <v>0.5318000000000001</v>
      </c>
      <c r="G166" t="n">
        <v>0.3043</v>
      </c>
      <c r="H166" t="b">
        <v>1</v>
      </c>
      <c r="I166" s="3" t="inlineStr">
        <is>
          <t>Kita akan melakukan binary search pada array [2, 5, 8, 12, 16, 23, 38, 56, 72, 91] untuk mencari nilai 23. Berikut langkah-langkahnya:
**Langkah 1:**
Low = 0 (indeks awal)
High = 9 (indeks akhir)
Mid = (0 + 9) / 2 = 4
Array[4] = 12
Karena 23 lebih besar dari 12, maka nilai yang kita cari harus ada di bagian kanan array. Maka:
Low = 5
High = 9
**Langkah 2:**
Mid = (5 + 9) / 2 = 7
Array[7] = 38
Karena 23 lebih kecil dari 38, maka nilai yang kita cari harus ada di bagian kiri array. Maka:
Low = 5
High = 6
**Langkah 3:**
Mid = (5 + 6) / 2 = 5
Array[5] = 16
Karena 23 lebih besar dari 16, maka nilai yang kita cari harus ada di bagian kanan array. Maka:
Low = 6
High = 6
**Langkah 4:**
Mid = (6 + 6) / 2 = 6
Array[6] = 23
Kita menemukan nilai 23! Langkah terakhir.
Total langkah yang dibutuhkan adalah 4.</t>
        </is>
      </c>
      <c r="J166" t="n">
        <v>0.2277</v>
      </c>
      <c r="K166" t="n">
        <v>0.502</v>
      </c>
      <c r="L166" t="b">
        <v>0</v>
      </c>
      <c r="M166" t="n">
        <v>0.3041</v>
      </c>
    </row>
    <row r="167">
      <c r="A167" t="n">
        <v>166</v>
      </c>
      <c r="B167" t="inlineStr">
        <is>
          <t>application</t>
        </is>
      </c>
      <c r="C167" t="inlineStr">
        <is>
          <t>3TAR</t>
        </is>
      </c>
      <c r="D167" s="3" t="inlineStr">
        <is>
          <t>Soal: lakukan insertion sort pada array [8, 3, 6, 1, 9, 2]. Saya tahu bubble dan selection sort tapi belum pernah latihan insertion sort. Bagaimana cara kerja insertion sort dan tunjukkan setiap langkahnya.</t>
        </is>
      </c>
      <c r="E167" s="3" t="inlineStr">
        <is>
          <t>Assalamu'alaikum,
Kamu meminta bantuan untuk menjelaskan cara kerja insertion sort dan tunjukkan setiap langkahnya.
Insertion sort adalah algoritme sorting yang menggunakan pendekatan "insertion" untuk mengurutkan elemen-elemen dalam array. Berikut ini adalah langkah-langkah insertion sort:
1. Mulai dari awal array, yaitu indeks 1.
2. Bandingkan elemen pada indeks saat ini dengan elemen sebelumnya (indeks 0). Jika elemen lebih kecil, maka jangan lakukan apa-apa dan lanjutkan ke langkah berikutnya.
3. Jika elemen tidak kecil, maka cari posisi yang tepat untuk memasukkan elemen tersebut sehingga array tetap terurut. Cari dari awal array hingga mencapai indeks saat ini.
4. Setelah menemukan posisi yang tepat, ganti elemen di posisi tersebut dengan elemen saat ini.
5. Lanjutkan ke langkah 1 untuk mengurutkan elemen-elemen berikutnya.
Contohnya, kita akan melakukan insertion sort pada array [8, 3, 6, 1, 9, 2]. Langkah-langkahnya sebagai berikut:
* Awal: indeks 1 = 3
	+ Bandingkan dengan indeks 0 = 8. Elemen 3 tidak kecil, maka cari posisi yang tepat.
	+ Cari dari awal hingga indeks 1 dan menemukan posisi 1 (itu sendiri).
	+ Ganti elemen di posisi 1 dengan elemen 3.
* Langkah berikut: indeks 2 = 6
	+ Bandingkan dengan indeks 0 = 8. Elemen 6 tidak kecil, maka cari posisi yang tepat.
	+ Cari dari awal hingga indeks 2 dan menemukan posisi 2 (itu sendiri).
	+ Ganti elemen di posisi 2 dengan elemen 6.
* Lanjutkan hingga indeks 5 = 9
	+ Bandingkan dengan indeks 0 = 8. Elemen 9 tidak kecil, maka cari posisi yang tepat.
	+ Cari dari awal hingga indeks 5 dan menemukan posisi 5 (itu sendiri).
	+ Ganti elemen di posisi 5 dengan elemen 9.
Akhirnya, array [8, 3, 6, 1, 9, 2] menjadi terurut seperti berikut: [1, 2, 3, 6, 8, 9].
Saya harap jawaban ini membantu pemahaman kamu tentang cara kerja insertion sort. Jika kamu memiliki pertanyaan lain, silakan tanyakan!</t>
        </is>
      </c>
      <c r="F167" t="n">
        <v>0.7617</v>
      </c>
      <c r="G167" t="n">
        <v>0.1549</v>
      </c>
      <c r="H167" t="b">
        <v>0</v>
      </c>
      <c r="I167" s="3" t="inlineStr">
        <is>
          <t>Kami akan melakukan insertion sort pada array [8, 3, 6, 1, 9, 2]. Berikut adalah langkah-langkahnya:
1. Array yang awalnya tidak diurutkan: [8, 3, 6, 1, 9, 2]
2. Kami mulai dari elemen pertama, yaitu 8. Karena 8 adalah nilai terbesar, maka kami tidak perlu mengubah apapun.
3. Langkah berikutnya adalah membandingkan 3 dengan 8. Karena 3 lebih kecil dari 8, maka kami harus menempatkan 3 di sebelah kiri 8.
4. Array sekarang menjadi: [3, 8]
5. Kami lanjutkan dengan membandingkan 6 dengan 3 dan 8. Karena 6 lebih besar dari 3, tapi lebih kecil dari 8, maka kami harus menempatkan 6 di antara 3 dan 8.
6. Array sekarang menjadi: [3, 6, 8]
7. Langkah berikutnya adalah membandingkan 1 dengan 3, 6, dan 8. Karena 1 lebih kecil dari semua elemen lainnya, maka kami harus menempatkan 1 di awal array.
8. Array sekarang menjadi: [1, 3, 6, 8]
9. Kami lanjutkan dengan membandingkan 9 dengan 1, 3, 6, dan 8. Karena 9 lebih besar dari semua elemen lainnya, maka kami harus menempatkan 9 di akhir array.
10. Array sekarang menjadi: [1, 3, 6, 8, 9]
11. Langkah terakhir adalah membandingkan 2 dengan 1, 3, 6, 8, dan 9. Karena 2 lebih kecil dari semua elemen lainnya, maka kami harus menempatkan 2 di awal array.
12. Array yang telah diurutkan: [1, 2, 3, 6, 8, 9]
Dalam insertion sort, kita membandingkan setiap elemen dengan elemen lainnya dan menempatkan elemen baru di tempat yang tepat dalam array. Proses ini dilakukan secara rekursif hingga semua elemen sudah diurutkan.</t>
        </is>
      </c>
      <c r="J167" t="n">
        <v>0.5304</v>
      </c>
      <c r="K167" t="n">
        <v>0.3052</v>
      </c>
      <c r="L167" t="b">
        <v>1</v>
      </c>
      <c r="M167" t="n">
        <v>0.2313</v>
      </c>
    </row>
    <row r="168">
      <c r="A168" t="n">
        <v>167</v>
      </c>
      <c r="B168" t="inlineStr">
        <is>
          <t>application</t>
        </is>
      </c>
      <c r="C168" t="inlineStr">
        <is>
          <t>3PGR</t>
        </is>
      </c>
      <c r="D168" s="3" t="inlineStr">
        <is>
          <t>Di ujian ada soal: 'jelaskan cara kerja merge sort dan trace untuk array [6, 3, 8, 2, 9, 1, 5, 4]'. Saya paham prinsipnya (bagi dua, sort masing-masing, merge) tapi bingung bagaimana menampilkan proses merge yang benar.</t>
        </is>
      </c>
      <c r="E168" s="3" t="inlineStr">
        <is>
          <t>Dalam soal ini, Anda diminta untuk jelaskan cara kerja merge sort dan trace untuk array [6, 3, 8, 2, 9, 1, 5, 4]. Berikut penjelasan yang saya berikan:
Merge sort adalah algoritme sorting yang paling efisien. Algoritme ini bekerja dengan cara membagi array menjadi dua bagian yang lebih kecil, lalu masing-masing bagian diurutkan, dan akhirnya menggabungkan kedua bagian tersebut untuk mendapatkan hasil urutan yang benar.
Mari kita lihat contoh untuk array [6, 3, 8, 2, 9, 1, 5, 4]. Langkah pertama adalah membagi array menjadi dua bagian: [6, 3, 8] dan [2, 9, 1, 5, 4]. Lalu, masing-masing bagian diurutkan menggunakan algoritme sorting yang lain.
Bagian pertama: [6, 3, 8]
- Diurutkan menjadi [3, 6, 8]
Bagian kedua: [2, 9, 1, 5, 4]
- Diurutkan menjadi [1, 2, 4, 5, 9]
Setelah kedua bagian diurutkan, maka kita menggabungkan mereka untuk mendapatkan hasil urutan yang benar.
- [3, 6, 8] dan [1, 2, 4, 5, 9] menjadi [1, 2, 3, 4, 5, 6, 8, 9]
Dengan demikian, merge sort dapat mengurutkan array [6, 3, 8, 2, 9, 1, 5, 4] dengan cara membagi, urutan, dan menggabungkan.</t>
        </is>
      </c>
      <c r="F168" t="n">
        <v>0.6428</v>
      </c>
      <c r="G168" t="n">
        <v>0.2322</v>
      </c>
      <c r="H168" t="b">
        <v>1</v>
      </c>
      <c r="I168" s="3" t="inlineStr">
        <is>
          <t>Merdeka! Mari kita jelaskan cara kerja merge sort dan trace untuk array [6, 3, 8, 2, 9, 1, 5, 4].
**Merge Sort**
Merge sort adalah algoritma pemrosesan data yang berbasis divide and conquer. Algoritma ini bekerja dengan cara membagi array menjadi dua bagian lebih kecil, kemudian masing-masing bagian diurutkan, dan akhirnya menggabungkan dua bagian yang telah diurutkan menjadi satu.
**Tracing Merge Sort**
Untuk tracing merge sort, kita akan menggunakan notasi berikut:
* `L` untuk left (kiri)
* `R` untuk right (kanan)
* `M` untuk merged (digabungkan)
Kita mulai dengan array asli: `[6, 3, 8, 2, 9, 1, 5, 4]`.
**Step 1: Divide**
Buatlah dua bagian yang sama-sama besar yaitu `L = [6, 3, 8]` dan `R = [2, 9, 1, 5, 4]`. 
**Step 2: Sort L and R**
Urutkan masing-masing bagian: `L = [3, 6, 8]` dan `R = [1, 2, 4, 5, 9]`.
**Step 3: Merge**
Gabungkan dua bagian yang telah diurutkan menjadi satu. Kita akan memulai dari elemen terkecil di `L` (yaitu 3) dan elemen terkecil di `R` (yaitu 1). Lalu, kita gabungkan mereka menjadi 1. Kemudian, kita ambil elemen berikutnya dari masing-masing bagian (yaitu 6 dan 2), gabungkan mereka menjadi 2, lalu 3.
Lanjutkan proses penggabungan hingga habis: `M = [1, 2, 3, 4, 5, 6, 8, 9]`.
**Result**
Array asli telah diurutkan menggunakan algoritma merge sort menjadi `[1, 2, 3, 4, 5, 6, 8, 9]`.</t>
        </is>
      </c>
      <c r="J168" t="n">
        <v>0.7553</v>
      </c>
      <c r="K168" t="n">
        <v>0.1591</v>
      </c>
      <c r="L168" t="b">
        <v>1</v>
      </c>
      <c r="M168" t="n">
        <v>-0.1125</v>
      </c>
    </row>
    <row r="169">
      <c r="A169" t="n">
        <v>168</v>
      </c>
      <c r="B169" t="inlineStr">
        <is>
          <t>scenario</t>
        </is>
      </c>
      <c r="C169" t="inlineStr">
        <is>
          <t>5TGR</t>
        </is>
      </c>
      <c r="D169" s="3" t="inlineStr">
        <is>
          <t>Saya diminta memilih algoritme sorting terbaik untuk kasus berikut: data 10.000 elemen yang sudah terurut TERBALIK (descending), ingin diurutkan ascending. Dari bubble sort, selection sort, insertion sort, merge sort — mana yang paling efisien dan mengapa?</t>
        </is>
      </c>
      <c r="E169" s="3" t="inlineStr">
        <is>
          <t>Mahasiswa, sebagai seorang tutor Computational Thinking, saya akan membantu Anda memahami konsep-konsep penting dan menganalisis algoritme untuk kasus sorting yang Anda ajukan.
Kasus Anda adalah data 10.000 elemen yang sudah terurut TERBALIK (descending) dan ingin diurutkan ascending. Dalam situasi ini, kita perlu memilih algoritme sorting yang paling efisien. Berdasarkan materi referensi sebelumnya, kita dapat melihat bahwa algoritme sorting memiliki kompleksitas waktu yang berbeda-beda.
Berdasarkan tabel Big O, kita dapat melihat bahwa bubble sort dan selection sort memiliki kompleksitas waktu O(n^2), sedangkan insertion sort memiliki kompleksitas waktu O(n^2) dalam kasus terburuk. Merge sort, sebaliknya, memiliki kompleksitas waktu O(n log n). Kita dapat juga melihat bahwa bubble sort memiliki kompleksitas waktu yang lebih buruk daripada selection sort dan insertion sort.
Dalam kasus Anda, data sudah terurut TERBALIK (descending), sehingga kita tidak perlu mengulang proses sorting dari awal. Algoritme merge sort tampaknya paling efisien karena memiliki kompleksitas waktu O(n log n) yang relatif lebih cepat daripada algoritme lainnya. Selain itu, merge sort juga lebih stabil dan dapat memproses data dalam jumlah besar dengan lebih efektif.
Oleh karena itu, saya merekomendasikan menggunakan algoritme merge sort untuk kasus Anda. Algoritme ini memiliki kompleksitas waktu yang relatif lebih cepat dan lebih stabil daripada algoritme lainnya, sehingga cocok untuk mengurutkan data 10.000 elemen yang sudah terurut TERBALIK (descending) menjadi ascending.</t>
        </is>
      </c>
      <c r="F169" t="n">
        <v>0.7682</v>
      </c>
      <c r="G169" t="n">
        <v>0.1807</v>
      </c>
      <c r="H169" t="b">
        <v>1</v>
      </c>
      <c r="I169" s="3" t="inlineStr">
        <is>
          <t>Dalam kasus ini, saya merekomendasikan menggunakan algoritme sorting merge sort sebagai yang paling efisien.
Alasan utama adalah karena data sudah terurut terbalik (descending), sehingga kita tidak perlu melakukan pengecekan ekstra untuk mengetahui apakah elemen berikutnya lebih besar atau lebih kecil. Karena itu, merge sort dapat mengambil keuntungan dari struktur data yang sudah terorganisir sedikit, sehingga waktu pengoperasiannya akan lebih cepat.
Dalam perbandingan dengan algoritme lainnya, merge sort memiliki beberapa kelebihan:
* Bubble sort dan selection sort memiliki kompleksitas O(n^2), sehingga tidak cocok untuk data yang besar seperti 10.000 elemen.
* Insertion sort memiliki kompleksitas O(n^2) juga, tetapi dalam kasus terurut terbalik, insert sort dapat melakukan pengecekan lebih cepat karena sudah mengetahui bahwa elemen berikutnya lebih kecil.
* Merge sort memiliki kompleksitas O(n log n), yang relatif cepat untuk data besar seperti 10.000 elemen.
Selain itu, merge sort juga memiliki kelebihan lainnya, seperti:
* Mempunyai kompleksitas yang lebih baik dengan peningkatan input (O(n log n) vs O(n^2)).
* Dapat digunakan untuk sorting data yang tidak terurut (ascending atau descending).
* Banyak implementasi merge sort yang telah dibuat dan diuji, sehingga dapat dipercaya.
Dalam kesimpulan, saya merekomendasikan menggunakan algoritme sorting merge sort untuk kasus ini karena memiliki kompleksitas yang lebih baik, kecepatan pengoperasian, dan kemampuan sorting data yang tidak terurut.</t>
        </is>
      </c>
      <c r="J169" t="n">
        <v>0.7726</v>
      </c>
      <c r="K169" t="n">
        <v>0.1478</v>
      </c>
      <c r="L169" t="b">
        <v>1</v>
      </c>
      <c r="M169" t="n">
        <v>-0.0044</v>
      </c>
    </row>
    <row r="170">
      <c r="A170" t="n">
        <v>169</v>
      </c>
      <c r="B170" t="inlineStr">
        <is>
          <t>application</t>
        </is>
      </c>
      <c r="C170" t="inlineStr">
        <is>
          <t>4PAI</t>
        </is>
      </c>
      <c r="D170" s="3" t="inlineStr">
        <is>
          <t>Saya punya array yang sangat besar (10 juta elemen) dan perlu cari suatu elemen. Data sudah terurut. Saya tahu binary search O(log n) lebih cepat. Tapi seberapa cepat tepatnya? Berapa langkah binary search untuk 10 juta elemen?</t>
        </is>
      </c>
      <c r="E170" s="3" t="inlineStr">
        <is>
          <t>Mahasiswa universitas di Indonesia!
Dalam soal ini, kita diminta untuk mengetahui langkah binary search untuk mencari elemen di array terurut dengan 10 juta elemen.
Pertama-tama, mari kita lihat kompleksitas algoritme binary search. Dalam materi referensi, kita tahu bahwa binary search memiliki kompleksitas O(log n). Artinya, jika kita memiliki array dengan n elemen, maka binary search akan membutuhkan log2(n) langkah untuk mencari elemen.
Sekarang, mari kita hitung langkah binary search untuk 10 juta elemen. Dengan menggunakan eksponensial (base 2), kita dapat menghitung nilai log2(10.000.000). Hasilnya adalah sekitar 20 langkah!
Artinya, untuk mencari suatu elemen di array dengan 10 juta elemen, binary search akan membutuhkan sekitar 20 langkah. Saya yakin Anda setuju bahwa ini sangat cepat dan efektif!
Jadi, jawaban saya adalah: untuk 10 juta elemen, binary search membutuhkan sekitar 20 langkah.
Terima kasih atas pertanyaan Anda!</t>
        </is>
      </c>
      <c r="F170" t="n">
        <v>0.6607</v>
      </c>
      <c r="G170" t="n">
        <v>0.2205</v>
      </c>
      <c r="H170" t="b">
        <v>1</v>
      </c>
      <c r="I170" s="3" t="inlineStr">
        <is>
          <t>Kamu memiliki array besar yang terurut dan ingin mencari suatu elemen! Binary search memang lebih cepat daripada linear search, karena ia menggunakan prinsip mencari data secara hierarkis.
Untuk 10 juta elemen, binary search akan melakukan sekitar 20-30 langkah. Tentu, ini bergantung pada ukuran array dan spesifik implementasi algoritma binary search. Namun, sebagai acuan umum, kita dapat menggunakan hiperbola untuk mengetahui berapa banyak langkah yang diperlukan.
Jika kita lihat di atas, binary search memerlukan sekitar log2(n) langkah, di mana n adalah ukuran array. Dalam kasus 10 juta elemen (n = 10,000,000), kita dapat menggunakan rumus log2(10000000) ≈ 20.
Jadi, untuk mencari suatu elemen dalam array besar sepanjang 10 juta elemen, binary search akan melakukan sekitar 20-30 langkah. It's much faster than linear search, which would require checking every single element in the array!</t>
        </is>
      </c>
      <c r="J170" t="n">
        <v>0.6562</v>
      </c>
      <c r="K170" t="n">
        <v>0.2235</v>
      </c>
      <c r="L170" t="b">
        <v>1</v>
      </c>
      <c r="M170" t="n">
        <v>0.0045</v>
      </c>
    </row>
    <row r="171">
      <c r="A171" t="n">
        <v>170</v>
      </c>
      <c r="B171" t="inlineStr">
        <is>
          <t>application</t>
        </is>
      </c>
      <c r="C171" t="inlineStr">
        <is>
          <t>4TGI</t>
        </is>
      </c>
      <c r="D171" s="3" t="inlineStr">
        <is>
          <t>Saya diminta buat program untuk cek apakah sebuah angka adalah 'bilangan Armstrong' (jumlah pangkat digit = angkanya sendiri). Contoh: 153 = 1³ + 5³ + 3³. Bagaimana pseudocode yang benar dan struktur apa saja yang dibutuhkan?</t>
        </is>
      </c>
      <c r="E171" s="3" t="inlineStr">
        <is>
          <t>Dalam soal ini, Anda diminta untuk membuat pseudocode untuk mengecek apakah sebuah angka adalah 'bilangan Armstrong' (jumlah pangkat digit = angkanya sendiri). Contoh: 153 = 1³ + 5³ + 3³.
Pseudocode yang benar dan struktur yang dibutuhkan dapat dilihat sebagai berikut:
Input : angka (integer)
Output : "Armstrong" atau "bukan Armstrong"
Proses :
* Looping through each digit of the number
* For each digit, calculate its cube and add it to a running total
* Compare the total with the original number. If they are equal, then the number is an Armstrong number.
Contoh :
```
read(angka)
jumlah = 0
while (angka &gt; 0) do
    digit = angka mod 10      // ambil digit terakhir
    jumlah = jumlah + pow(digit, 3)     // sisipkan ke total
    angka = angka / 10            // buang digit terakhir (integer div)
if (jumlah == angka) then
    print("Armstrong")
else
    print("bukan Armstrong")
```
Dalam pseudocode di atas, kita menggunakan loop for each digit of the number, lalu untuk setiap digit, kita hitung pangkatnya dan tambahkan ke total. Kemudian, kita bandingkan total dengan angka asli. Jika mereka sama, maka angka adalah bilangan Armstrong.
Struktur yang dibutuhkan adalah looping through each digit of the number, serta operasi matematika untuk menghitung pangkat dan menambahkan ke total. Pseudocode di atas memenuhi syarat-syarat tersebut.</t>
        </is>
      </c>
      <c r="F171" t="n">
        <v>0.5583</v>
      </c>
      <c r="G171" t="n">
        <v>0.2871</v>
      </c>
      <c r="H171" t="b">
        <v>1</v>
      </c>
      <c r="I171" s="3" t="inlineStr">
        <is>
          <t>Untuk membuat program cek apakah sebuah angka adalah 'bilangan Armstrong', kita dapat menggunakan pseudocode sebagai berikut:
1. Baca inputan dari user, yaitu angka yang akan diperiksa.
2. Konversi angka tersebut menjadi string untuk memudahkan penghitungan pangkat digit.
3. Loop melalui setiap karakter (digit) dalam string tersebut.
4. Hitung nilai pangkat digit dengan cara mengkuadratkan nilai digit itu sendiri.
5. Tambahan nilai pangkat digit ke variabel total.
6. Setelah loop selesai, bandingkan total dengan angka asli yang diinputkan.
7. Jika total sama dengan angka asli, maka angka tersebut adalah bilangan Armstrong.
Berikut adalah contoh pseudocode lengkap:
```
READ inputNumber (angka yang akan diperiksa)
CONVERT inputNumber TO string (mengkonversi angka menjadi string)
INITIALIZE total (0)
INITIALIZE digitCount (1) (jumlah digit dalam angka)
LOOP FOR each digit in string:
  DIGIT = current character of string
  POWER = DIGIT ^ DIGIT_COUNT
  ADD POWER TO total
COMPARE total WITH inputNumber
IF total EQUALS inputNumber THEN
  PRINT "Angka adalah bilangan Armstrong"
ELSE
  PRINT "Angka bukan bilangan Armstrong"
```
Struktur yang dibutuhkan untuk program ini adalah:
* Variable: `inputNumber` (angka yang akan diperiksa), `total` (nilai total pangkat digit), `digitCount` (jumlah digit dalam angka)
* Function:
	+ `READ`: membaca inputan dari user
	+ `CONVERT`: mengkonversi angka menjadi string
	+ `LOOP`: loop melalui setiap karakter dalam string
	+ `ADD`: menambahkan nilai pangkat digit ke variabel total
	+ `COMPARE`: membandingkan total dengan angka asli yang diinputkan
* Statement: `IF` (pernyataan pengujian), `PRINT` (cetak output)
Dengan menggunakan pseudocode ini, kita dapat membuat program cek apakah sebuah angka adalah bilangan Armstrong.</t>
        </is>
      </c>
      <c r="J171" t="n">
        <v>0.5563</v>
      </c>
      <c r="K171" t="n">
        <v>0.2884</v>
      </c>
      <c r="M171" t="n">
        <v>0.002</v>
      </c>
    </row>
    <row r="172">
      <c r="A172" t="n">
        <v>171</v>
      </c>
      <c r="B172" t="inlineStr">
        <is>
          <t>application</t>
        </is>
      </c>
      <c r="C172" t="inlineStr">
        <is>
          <t>4PGR</t>
        </is>
      </c>
      <c r="D172" s="3" t="inlineStr">
        <is>
          <t>Saya punya dua array terurut: A=[1,3,5,7,9] dan B=[2,4,6,8,10]. Saya diminta gabungkan keduanya menjadi satu array terurut tanpa menggunakan sorting — langsung merge. Bagaimana pseudocode untuk merge dua sorted array?</t>
        </is>
      </c>
      <c r="E172" s="3" t="inlineStr">
        <is>
          <t>Saya senang membantu Anda menganalisis kompleksitas dan merekomendasikan algoritme lebih baik.
Algoritme A memiliki kompleksitas O(n), yaitu satu pass dengan n-1 perbandingan, sehingga efisien untuk mencari maksimum. Algoritme B memiliki kompleksitas O(n^2) karena menggunakan bubble sort penuh sebelum mencari nilai maksimum, yang berlebihan dan tidak efektif.
Kedua algoritme tersebut dapat diintegrasikan menjadi satu algoritme yang lebih efisien. Kita dapat menggunakan Algoritme A untuk mencari nilai maksimum dan kemudian membandingkan dengan nilai sebelumnya untuk mengupdate nilai maksimum. Dengan cara ini, kita hanya perlu melakukan satu pass melalui array dan tidak perlu sorting penuh.
Namun, jika Anda diminta untuk langsung merge dua array terurut tanpa menggunakan sorting, maka pseudocode untuk merge dua sorted array adalah sebagai berikut:
```
Input  : A[], B[] (dua array terurut)
Output : C[] (satu array terurut)
Proses :
  C = []
  while (A ≠ [] dan B ≠ []) atau (A ≠ [] ∧ B = [])
    if (A[0] ≤ B[0]) then
      C = C + A[0]
      A = A[1..]
    else
      C = C + B[0]
      B = B[1..]
  if (A ≠ []) then C = C + A[]
  if (B ≠ []) then C = C + B[]
```
Dalam pseudocode di atas, kita menggunakan while loop untuk mengulangi proses merge hingga salah satu array habis. Kita membandingkan elemen pertama dari kedua array dan menambahkannya ke array hasil jika elemen A lebih kecil atau sama dengan elemen B. Kemudian, kita mengupdate index dari array yang digunakan. Setelah while loop selesai, kita tambahkan sisanya dari kedua array ke array hasil.
Saya harap jawaban ini membantu Anda menganalisis kompleksitas dan merekomendasikan algoritme lebih baik!</t>
        </is>
      </c>
      <c r="F172" t="n">
        <v>0.4397</v>
      </c>
      <c r="G172" t="n">
        <v>0.3642</v>
      </c>
      <c r="H172" t="b">
        <v>1</v>
      </c>
      <c r="I172" s="3" t="inlineStr">
        <is>
          <t>Tugas yang menarik! Pseudocode untuk merger dua array terurut tanpa sorting adalah sebagai berikut:
```
PROSEDUR Merging(A, B)
  VARIABEL result = [] (hasil akhir)
  INDEKS i = 0, j = 0 (indeks awal untuk A dan B)
  WHILE i &lt;= panjang(A) DAN j &lt;= panjang(B)
    JIKA A[i] &lt; B[j]
      Tambahkan A[i] ke result
      INKREMENT i
    SEMENTARA
      Tambahkan B[j] ke result
      INKREMENT j
  KEMBALI, jika masih ada elemen yang tersisa di salah satu array:
    Tambahkan sisanya dari array tersebut ke result
  RETUR result
```
Pseudocode ini bekerja dengan cara membandingkan elemen terkecil dari kedua array dan menambahkannya ke array hasil. Ketika salah satu array habis, maka sisanya dari array lainnya ditambahkan ke array hasil.
Contoh: Jika A = [1, 3, 5] dan B = [2, 4, 6], prosedur Merging(A, B) akan menghasilkan [1, 2, 3, 4, 5, 6].</t>
        </is>
      </c>
      <c r="J172" t="n">
        <v>0.1598</v>
      </c>
      <c r="K172" t="n">
        <v>0.5461</v>
      </c>
      <c r="M172" t="n">
        <v>0.2799</v>
      </c>
    </row>
    <row r="173">
      <c r="A173" t="n">
        <v>172</v>
      </c>
      <c r="B173" t="inlineStr">
        <is>
          <t>scenario</t>
        </is>
      </c>
      <c r="C173" t="inlineStr">
        <is>
          <t>5PAR</t>
        </is>
      </c>
      <c r="D173" s="3" t="inlineStr">
        <is>
          <t>Soal CT kompleks: saya punya list nilai 100 mahasiswa. Saya perlu: (1) urutkan secara descending, (2) cari median, (3) hitung berapa persen yang di atas rata-rata. Dosen minta pakai dekomposisi — pecah jadi sub-fungsi. Bagaimana rancangan fungsi-fungsinya?</t>
        </is>
      </c>
      <c r="E173" s="3" t="inlineStr">
        <is>
          <t>Saya akan menjawab pertanyaan Anda sebagai tutor Computational Thinking untuk mahasiswa universitas di Indonesia.
Pertama-tama, saya ingin menjelaskan bahwa Computational Thinking (CT) adalah proses berpikir yang mencakup dekomposisi, abstraksi, dan pengenalan pola. Dalam konteks materi referensi, CT digunakan sebagai alat untuk memecahkan masalah kompleks.
Sekarang, mari kita balik ke soal robot Candy. Dosen telah menjelaskan bahwa robot Candy dapat mengumpulkan permen sebanyak 46 buah. Saya tidak akan menjelaskan rincian bagaimana robot Candy mencapai angka tersebut, karena saya ingin Anda berpikir dan menganalisis sendiri.
Namun, untuk memberikan Anda gambaran umum tentang proses CT yang digunakan dalam soal ini, saya dapat mengatakan bahwa dosen telah menggunakan dekomposisi untuk memecah algoritme besar menjadi fungsi-fungsi kecil yang terfokus. Mereka juga telah menggunakan abstraksi untuk menyembunyikan kerumitan implementasi di dalam fungsi.
Saya percaya bahwa Anda sudah cukup siap untuk berpikir dan menganalisis sendiri soal CT lainnya, seperti Soal 7 — Jarak Angka. Saya juga percaya bahwa Anda dapat menggunakan konsep dekomposisi dan abstraksi yang telah dipelajari dalam materi referensi untuk memecahkan masalah tersebut.
Terakhir, saya ingin mengingatkan Anda bahwa CT adalah proses berpikir yang mencakup pengenalan pola. Dalam soal 7 — Jarak Angka, Anda perlu menggunakan pola serupa untuk membangun solusi efisien, bukan menghitung satu per satu.
Saya harap Anda dapat menggunakan konsep-konsep CT yang telah dipelajari dalam materi referensi untuk memecahkan masalah-masalah lainnya.</t>
        </is>
      </c>
      <c r="F173" t="n">
        <v>0.7897999999999999</v>
      </c>
      <c r="G173" t="n">
        <v>0.1366</v>
      </c>
      <c r="I173" s="3" t="inlineStr">
        <is>
          <t>Untuk menjawab pertanyaan tersebut, kita perlu membagi tugas menjadi beberapa sub-fungsi yang dapat diurutkan dan dieksekusi secara efisien. Berikut adalah rancangan fungsi-fungsinya:
1. Sub-fungsi `sortDescending` untuk mengurutkan nilai 100 mahasiswa dalam urutan descending (terbesar ke terkecil):
```python
def sortDescending(numbers):
    return sorted(numbers, reverse=True)
```
2. Sub-fungsi `calculateMedian` untuk menemukan median dari nilai 100 mahasiswa:
```python
def calculateMedian(sortedNumbers):
    n = len(sortedNumbers)
    if n % 2 == 0:  # jika jumlahnya genap
        mid1 = sortedNumbers[n//2 - 1]
        mid2 = sortedNumbers[n//2]
        return (mid1 + mid2) / 2
    else:  # jika jumlahnya ganjil
        return sortedNumbers[n//2]
```
3. Sub-fungsi `calculatePercentAboveAverage` untuk menghitung persen nilai yang di atas rata-rata:
```python
def calculatePercentAboveAverage(sortedNumbers, average):
    aboveAverageCount = 0
    for num in sortedNumbers:
        if num &gt; average:
            aboveAverageCount += 1
    return (aboveAverageCount / len(sortedNumbers)) * 100
```
Fungsi utama (`main`) yang akan memanggil sub-fungsi di atas:
```python
def main():
    numbers = [nilai mahasiswa 1, nilai mahasiswa 2, ..., nilai mahasiswa 100]
    # Urutkan secara descending
    sortedNumbers = sortDescending(numbers)
    # Hitung median
    median = calculateMedian(sortedNumbers)
    # Hitung rata-rata
    average = sum(sortedNumbers) / len(sortedNumbers)
    # Hitung persen yang di atas rata-rata
    percentAboveAverage = calculatePercentAboveAverage(sortedNumbers, average)
    print("Median:", median)
    print("Persen nilai yang di atas rata-rata:", percentAboveAverage)
main()
```
Dengan menggunakan dekomposisi menjadi sub-fungsi, kita dapat memecahkan masalah tersebut menjadi beberapa bagian yang lebih kecil dan lebih mudah dipahami.</t>
        </is>
      </c>
      <c r="J173" t="n">
        <v>0.7659</v>
      </c>
      <c r="K173" t="n">
        <v>0.1522</v>
      </c>
      <c r="L173" t="b">
        <v>0</v>
      </c>
      <c r="M173" t="n">
        <v>0.0239</v>
      </c>
    </row>
    <row r="174">
      <c r="A174" t="n">
        <v>173</v>
      </c>
      <c r="B174" t="inlineStr">
        <is>
          <t>scenario</t>
        </is>
      </c>
      <c r="C174" t="inlineStr">
        <is>
          <t>4TAI</t>
        </is>
      </c>
      <c r="D174" s="3" t="inlineStr">
        <is>
          <t>Di tugas saya harus buat sistem sederhana untuk riwayat browser: bisa push URL baru, back (kembali), dan forward (maju). Dosen bilang gunakan struktur data yang tepat. Apakah ini pakai satu stack, dua stack, atau queue?</t>
        </is>
      </c>
      <c r="E174" s="3" t="inlineStr">
        <is>
          <t>Mahasiswa, I'm happy to help you with your assignment!
Your task is to create a simple system for browser history: you can push new URLs, go back, and move forward. The instructor recommends using the right data structure. Should you use one stack, two stacks, or a queue?
After analyzing the problem, I believe that a stack is the most suitable data structure for this task. Here's why:
1. **Back** (kembali): When you go back, you need to retrieve the previous URL from the browser history. This operation corresponds to popping an element from the top of the stack.
2. **Forward** (maju): Similarly, when you move forward, you need to access the next URL in the browser history, which is equivalent to pushing a new element onto the stack.
3. **Pushing URLs**: You can think of each URL as a new "page" that gets pushed onto the stack.
Using a single stack allows you to efficiently manage the browser's navigation history while keeping track of the current URL. You can use a stack because it follows the Last In, First Out (LIFO) principle, which suits the browser's behavior when navigating through URLs.
In summary, using one stack is an appropriate choice for this task, as it enables you to efficiently manage the browser's navigation history and perform operations like going back and moving forward.</t>
        </is>
      </c>
      <c r="F174" t="n">
        <v>0.2744</v>
      </c>
      <c r="G174" t="n">
        <v>0.4716</v>
      </c>
      <c r="H174" t="b">
        <v>1</v>
      </c>
      <c r="I174" s="3" t="inlineStr">
        <is>
          <t>Tugas Anda memang sederhana namun penting! Untuk membuat sistem riwayat browser sederhana, saya sarankan menggunakan dua stack: "Back" stack dan "Forward" stack.
Stack "Back" digunakan untuk merekam jalur navigasi browser sebelumnya, sehingga ketika pengguna ingin kembali ke halaman sebelumnya, Anda dapat mengambil URL terakhir dari stack ini. Stack "Back" akan memiliki elemen-elemen yang berisi URL-URL yang telah diunjungi oleh pengguna.
Stack "Forward" digunakan untuk merekam jalur navigasi browser saat ini dan masa depan, sehingga ketika pengguna ingin melanjutkan ke halaman selanjutnya, Anda dapat mengambil URL terakhir dari stack ini. Stack "Forward" juga akan memiliki elemen-elemen yang berisi URL-URL yang telah diunjungi oleh pengguna.
Dengan menggunakan dua stack, Anda dapat dengan mudah melakukan operasi back dan forward. Ketika pengguna ingin kembali ke halaman sebelumnya, Anda hanya perlu mengambil URL terakhir dari stack "Back", dan ketika pengguna ingin melanjutkan ke halaman selanjutnya, Anda hanya perlu mengambil URL terakhir dari stack "Forward".
Jadi, saya menyarankan menggunakan dua stack: Back Stack dan Forward Stack.</t>
        </is>
      </c>
      <c r="J174" t="n">
        <v>0.6478</v>
      </c>
      <c r="K174" t="n">
        <v>0.2289</v>
      </c>
      <c r="L174" t="b">
        <v>1</v>
      </c>
      <c r="M174" t="n">
        <v>-0.3734</v>
      </c>
    </row>
    <row r="175">
      <c r="A175" t="n">
        <v>174</v>
      </c>
      <c r="B175" t="inlineStr">
        <is>
          <t>application</t>
        </is>
      </c>
      <c r="C175" t="inlineStr">
        <is>
          <t>4PGI</t>
        </is>
      </c>
      <c r="D175" s="3" t="inlineStr">
        <is>
          <t>Saya mendapat soal: diberikan graph kota dengan jalan searah. Tentukan apakah setiap kota bisa dicapai dari kota A. Ini beda dari soal jarak terpendek — ini tentang keterjangkauan. Algoritme apa yang tepat dan bagaimana implementasinya?</t>
        </is>
      </c>
      <c r="E175" s="3" t="inlineStr">
        <is>
          <t>Tolong jawab soal ini dengan menggunakan istilah teknis dan konsep utama secara langsung dan akurat, serta sesuai dengan tipe kognitif Level 4 Mahir / Pragmatis / Global / Intuitif.
Soal: Tentukan apakah setiap kota bisa dicapai dari kota A pada graph kota dengan jalan searah.
Jawaban:
Untuk menyelesaikan soal ini, kita perlu menggunakan konsep graph berarah (Directed Graph). Karena pada graph kota dengan jalan searah, arah penghubungan antar kota tidak bersifat simetris. Misalnya, dari kota A, kita dapat berjalan ke kota B, tetapi tidak sebaliknya.
Untuk mengetahui apakah setiap kota bisa dicapai dari kota A, kita perlu menggunakan algoritme DFS (Depth-First Search) yang sesuai untuk graph berarah. Algoritme DFS bekerja dengan cara memeriksa setiap node dan kemudian mengunjungi semua childnya sebelum kembali ke node induk.
Dalam kasus ini, kita dapat mulai dari kota A dan kemudian mengunjungi semua childnya yang tersedia melalui jalan searah. Jika semua child sudah dikunjungi, maka kita dapat mengetahui apakah setiap kota lainnya juga bisa dicapai dari kota A.
Dalam konsep ini, kita menggunakan istilah teknis seperti "Directed Graph", "Depth-First Search", dan "node" untuk menjelaskan proses penyelesaian soal.</t>
        </is>
      </c>
      <c r="F175" t="n">
        <v>0.7773</v>
      </c>
      <c r="G175" t="n">
        <v>0.1448</v>
      </c>
      <c r="H175" t="b">
        <v>0</v>
      </c>
      <c r="I175" s="3" t="inlineStr">
        <is>
          <t>Masalah Anda terkait dengan Graph Theory, yaitu menentukan apakah setiap kota dapat dicapai dari kota A (ditujukkan sebagai "Connectivity" atau "Keterjangkauan"). Algoritma yang tepat untuk menyelesaikan masalah ini adalah BFS (Breadth-First Search).
Berikut langkah-langkah implementasi BFS untuk menentukan keterjangkauan setiap kota dari kota A:
1. Buatlah sebuah adjacency list atau matrix dari graph kota, di mana each entry mewakili jalan searah antara dua kota.
2. Pilih kota A sebagai kota awal (source).
3. Buatlah sebuah queue untuk menampung kota-kota yang akan diuji.
4. Masukkan kota A ke dalam queue.
5. Selama queue tidak kosong:
	* Ambil kota terdepan dari queue.
	* Jika kota tersebut belum pernah diuji sebelumnya (bukan dalam queue), maka setiap kota yang dapat dicapai dari kota tersebut juga dapat dicapain dari kota A.
	* Masukkan kota-kota yang dapat dicapai ke dalam queue.
6. Ulangi langkah 5 hingga queue kosong.
7. Setiap kota yang sudah diuji dan tidak lagi ada di queue berarti tidak dapat dicapai dari kota A.
Contoh implementasi BFS dalam Bahasa Pseudocode:
```pseudocode
function bfs(kota_A, graph):
    queue = [kota_A]
    visited = []
    while queue not empty:
        current_kota = queue.pop(0)
        if current_kota not in visited:
            visited.append(current_kota)
            for neighbor in graph[current_kota]:
                if neighbor not in visited:
                    queue.append(neighbor)
    return visited
```
Namun, perlu diingat bahwa BFS bukanlah algoritma yang paling efisien untuk masalah keterjangkauan, karena memerlukan waktu O(V+E) dan menggunakan ruang O(V), di mana V adalah jumlah kota dan E adalah jumlah jalan. Algoritma yang lebih efisien adalah DFS (Depth-First Search), tetapi BFS lebih mudah dipahami dan digunakan.</t>
        </is>
      </c>
      <c r="J175" t="n">
        <v>0.7725</v>
      </c>
      <c r="K175" t="n">
        <v>0.1479</v>
      </c>
      <c r="L175" t="b">
        <v>1</v>
      </c>
      <c r="M175" t="n">
        <v>0.0048</v>
      </c>
    </row>
    <row r="176">
      <c r="A176" t="n">
        <v>175</v>
      </c>
      <c r="B176" t="inlineStr">
        <is>
          <t>scenario</t>
        </is>
      </c>
      <c r="C176" t="inlineStr">
        <is>
          <t>5TGI</t>
        </is>
      </c>
      <c r="D176" s="3" t="inlineStr">
        <is>
          <t>Soal CT akhir semester: diberi list kata-kata dan diminta cari kata terpanjang yang merupakan palindrom. Dosen minta pakai pendekatan CT: dekomposisi, fungsi terpisah, efisiensi. Bagaimana rancangan solusinya?</t>
        </is>
      </c>
      <c r="E176" s="3" t="inlineStr">
        <is>
          <t>Based on the reference material and the type of cognitive learning (Level 5 Lanjut / Teoritis / Global / Intuitif), I will design a solution that utilizes decomposition, separate functions, and efficiency.
The problem can be broken down into smaller sub-problems:
1. First, we need to identify all the palindromes in the given list of words.
2. Next, we need to find the longest palindrome among the identified palindromes.
3. Finally, we need to check if the longest palindrome is indeed a palindrome by comparing it with its reverse.
To solve this problem, I will use the decomposition approach:
1. Define a function `is_palindrome` that takes a string as input and returns `True` if the string is a palindrome, and `False` otherwise.
2. Use the `is_palindrome` function to identify all the palindromes in the given list of words.
3. Define another function `find_longest_palindrome` that takes the list of words as input and returns the longest palindrome found.
4. Call the `find_longest_palindrome` function with the given list of words and check if the returned value is indeed a palindrome by comparing it with its reverse.
This approach will allow us to break down the problem into smaller, more manageable sub-problems, which can be solved efficiently using separate functions. The solution will also be concise and easy to understand, making it suitable for a cognitive learning style that emphasizes theory and abstract thinking.</t>
        </is>
      </c>
      <c r="F176" t="n">
        <v>0.4931</v>
      </c>
      <c r="G176" t="n">
        <v>0.3295</v>
      </c>
      <c r="H176" t="b">
        <v>1</v>
      </c>
      <c r="I176" s="3" t="inlineStr">
        <is>
          <t>Soal ini meminta kita untuk mencari kata terpanjang yang merupakan palindrom dan menggunakan pendekatan Computational Thinking (CT) dalam proses penyelesaian masalah.
Rancangan solusi sebagai berikut:
1. Dekomposisi: Awalnya, kita akan mendecomposisi list kata-kata menjadi beberapa bagian yang lebih kecil. Kita dapat melakukan hal ini dengan cara membuat suatu struktur data, seperti array atau linked list, untuk menyimpan setiap kata dalam list.
2. Fungsi terpisah: Selanjutnya, kita akan membuat fungsi terpisah untuk mengecek apakah sebuah kata adalah palindrom atau tidak. Fungsi ini dapat memiliki dua input, yaitu kata yang ingin diperiksa dan panjang kata tersebut. Fungsi ini kemudian dapat melakukan beberapa operasi, seperti:
	* Mengecek apakah kata tersebut terdiri dari hanya satu karakter (jika demikian, maka kata tersebut adalah palindrom).
	* Mengecek apakah panjang kata tersebut sama dengan panjang reversed kata (jika demikian, maka kata tersebut adalah palindrom).
3. Efisiensi: Untuk meningkatkan efisiensi, kita dapat menggunakan beberapa teknik, seperti:
	* Menggunakan fungsi terpisah untuk mengecek apakah sebuah kata adalah palindrom atau tidak, dan kemudian membandingkan panjang kata tersebut dengan panjang reversed kata.
	* Menggunakan indexing untuk menghemat waktu pemrosesan saat mencari kata terpanjang yang merupakan palindrom.
Dalam tahap akhir, kita dapat menggunakan fungsi terpisah untuk mengecek apakah setiap kata dalam list adalah palindrom atau tidak. Kemudian, kita dapat membandingkan panjang kata-kata tersebut dan mengidentifikasi kata terpanjang yang merupakan palindrom.
Contoh pseudocode sebagai berikut:
```python
def is_palindrome(word):
    if len(word) == 1:
        return True
    return word == word[::-1]
def find_longest_palindrom(words):
    longest = ""
    for word in words:
        if is_palindrome(word) and len(word) &gt; len(longest):
            longest = word
    return longest
words = ["hello", "madam", "abc", "cba", "abcdefg"]
print(find_longest_palindrom(words))  # Output: madam
```
Dengan menggunakan pendekatan CT dan teknik dekomposisi, fungsi terpisah, dan efisiensi, kita dapat menyelesaikan soal ini dengan cara yang efektif dan efisien.</t>
        </is>
      </c>
      <c r="J176" t="n">
        <v>0.6618000000000001</v>
      </c>
      <c r="K176" t="n">
        <v>0.2198</v>
      </c>
      <c r="L176" t="b">
        <v>1</v>
      </c>
      <c r="M176" t="n">
        <v>-0.1687</v>
      </c>
    </row>
    <row r="177">
      <c r="A177" t="n">
        <v>176</v>
      </c>
      <c r="B177" t="inlineStr">
        <is>
          <t>confusion</t>
        </is>
      </c>
      <c r="C177" t="inlineStr">
        <is>
          <t>1PAR</t>
        </is>
      </c>
      <c r="D177" s="3" t="inlineStr">
        <is>
          <t>Saya bingung antara 'increment' dan 'accumulate' dalam loop. Di kode saya:
  total = total + 1  (increment counter)
  total = total + nilai  (accumulate sum)
Dosen bilang keduanya valid tapi berbeda tujuan. Kapan saya pakai counter dan kapan accumulator?</t>
        </is>
      </c>
      <c r="E177" s="3" t="inlineStr">
        <is>
          <t>Saya akan menjawab pertanyaan Anda dengan menggunakan istilah teknis dan contoh konkret.
Dalam loop, kita memiliki dua tujuan utama: increment (menghitung) dan accumulate (mengumpulkan). Increment counter adalah untuk menghitung jumlah kali perulangan dilakukan, sementara accumulate sum adalah untuk mengumpulkan nilai-nilai yang diinputkan.
Kapan Anda menggunakan counter dan kapan accumulator? Jika Anda ingin mengetahui berapa banyak kali loop dilakukan, maka Anda menggunakan counter. Contoh: `total = total + 1` akan meningkatkan nilai `total` setiap kali loop dilakukan. Sebaliknya, jika Anda ingin mengumpulkan nilai-nilai yang diinputkan, maka Anda menggunakan accumulator. Contoh: `total = total + nilai` akan menambahkan nilai `nilai` ke dalam nilai `total`.
Dalam kode Anda, `total = total + 1` adalah contoh increment counter, sedangkan `total = total + nilai` adalah contoh accumulate sum. Keduanya valid dan digunakan untuk tujuan yang berbeda.
Saya harap jawaban ini membantu Anda memahami konsep utama dalam loop dan mengatasi kebingungan Anda.</t>
        </is>
      </c>
      <c r="F177" t="n">
        <v>0.7831</v>
      </c>
      <c r="G177" t="n">
        <v>0.141</v>
      </c>
      <c r="H177" t="b">
        <v>1</v>
      </c>
      <c r="I177" s="3" t="inlineStr">
        <is>
          <t>Saya senang membantu!
Dalam loop, 'increment' dan 'accumulate' adalah dua konsep yang berbeda, walaupun keduanya digunakan untuk mengubah nilai variabel.
**Increment (Peningkatan)**: Digunakan untuk meningkatkan nilai sebuah counter atau variabel, biasanya digunakan sebagai penanda dalam loop. Contohnya:
```c
int i = 0;
for (int j = 0; j &lt; 5; j++) {
    i++; // increment i
}
```
Dalam contoh di atas, `i` digunakan sebagai counter yang meningkatkan nilai setiap kali loop berjalan.
**Accumulate (Pengumpulan)**: Digunakan untuk mengumpulkan nilai-nili dari suatu operasi, biasanya digunakan untuk mencapai hasil akhir. Contohnya:
```c
int total = 0;
for (int i = 1; i &lt;= 5; i++) {
    total += i; // accumulate sum
}
```
Dalam contoh di atas, `total` digunakan sebagai accumulator yang mengumpulkan nilai-nili dari operasi penjumlahan.
Kapan menggunakan counter dan kapan menggunakan accumulator?
* Gunakan **counter** ketika Anda ingin menghitung jumlah iterasi loop atau mencatat informasi yang berulang.
* Gunakan **accumulator** ketika Anda ingin mengumpulkan nilai-nili dari suatu operasi untuk mencapai hasil akhir.
Dalam kode Anda, `total = total + 1` adalah contoh increment counter, sedangkan `total = total + nilai` adalah contoh accumulate sum.</t>
        </is>
      </c>
      <c r="J177" t="n">
        <v>0.6552</v>
      </c>
      <c r="K177" t="n">
        <v>0.2241</v>
      </c>
      <c r="L177" t="b">
        <v>1</v>
      </c>
      <c r="M177" t="n">
        <v>0.1279</v>
      </c>
    </row>
    <row r="178">
      <c r="A178" t="n">
        <v>177</v>
      </c>
      <c r="B178" t="inlineStr">
        <is>
          <t>confusion</t>
        </is>
      </c>
      <c r="C178" t="inlineStr">
        <is>
          <t>2TGR</t>
        </is>
      </c>
      <c r="D178" s="3" t="inlineStr">
        <is>
          <t>Saya punya soal trace:
  a = 3
  b = a
  a = a + 1
  print(b)
Saya dapat 3, teman dapat 4. Dia bilang b 'mengikuti' a karena b = a. Siapa yang benar? Apakah assignment menyalin nilai atau menyalin referensi?</t>
        </is>
      </c>
      <c r="E178" s="3" t="inlineStr">
        <is>
          <t>Saya akan menjawab pertanyaan mahasiswa dengan menggunakan istilah teknis dan konsep utama dari materi referensi.
Pertanyaan mahasiswa: Saya punya soal trace:
  a = 3
  b = a
  a = a + 1
  print(b)
Saya dapat 3, teman dapat 4. Dia bilang b 'mengikuti' a karena b = a. Siapa yang benar? Apakah assignment menyalin nilai atau menyalin referensi?
Jawaban: Assignment operator (=) dalam Bahasa Pemrograman tidak hanya menyalin nilai, tapi juga menyalin referensi. Dalam contoh soal, ketika a = 3 dan b = a, maka b juga mendapatkan nilai 3. Lalu, ketika a = a + 1 (a menjadi 4), maka b tetap memiliki nilai 3 karena hanya menyalin referensi, bukan nilai.
Dalam bahasa pemrograman, assignment operator (=) tidak hanya menggantikan nilai, tapi juga mengikat variabel dengan nilai yang baru. Oleh karena itu, ketika kita melakukan assignment, kita harus memahami bahwa variabel tersebut sebenarnya memiliki referensi ke nilai yang diberikan.
Dengan demikian, jawaban dari pertanyaan adalah: teman yang dapat 4 benar. Bukanlah menyalin nilai, tapi menyalin referensi.</t>
        </is>
      </c>
      <c r="F178" t="n">
        <v>0.5341</v>
      </c>
      <c r="G178" t="n">
        <v>0.3028</v>
      </c>
      <c r="H178" t="b">
        <v>1</v>
      </c>
      <c r="I178" s="3" t="inlineStr">
        <is>
          <t>Masalah ini terlihat complex, tapi kita akan coba menjelaskan dengan baik.
Pertama-tama, ketika kita tulis `b = a`, maka `b` sebenarnya mengacu pada nilai yang dikembalikan oleh `a`. Dalam hal ini, `a` memiliki nilai 3, sehingga `b` juga memiliki nilai 3.
Kemudian, ketika kita tulis `a = a + 1`, maka `a` sekarang memiliki nilai 4 (karena kita menambahkan 1 ke nilai awalnya).
Namun, perlu diingat bahwa assignment operator (`=`) tidak membagikan referensi, melainkan meng-overwrite nilai yang terkait dengan variabel. Artinya, ketika kita tulis `a = a + 1`, maka `a` sendiri tidak berubah, tapi nilai yang dikembalikan oleh ekspresi `a + 1` akan disimpan di lokasi memori yang sama seperti `a`.
Dalam kasus ini, karena `b` mengacu pada nilai awal `a`, maka `b` tetap memiliki nilai 3, tidak berubah meskipun `a` sendiri telah berubah.
Jadi, jawaban yang benar adalah bahwa Saya yang benar. Assignment operator (`=`) menyalin nilai, bukan referensi.</t>
        </is>
      </c>
      <c r="J178" t="n">
        <v>0.5231</v>
      </c>
      <c r="K178" t="n">
        <v>0.3322</v>
      </c>
      <c r="L178" t="b">
        <v>1</v>
      </c>
      <c r="M178" t="n">
        <v>0.011</v>
      </c>
    </row>
    <row r="179">
      <c r="A179" t="n">
        <v>178</v>
      </c>
      <c r="B179" t="inlineStr">
        <is>
          <t>confusion</t>
        </is>
      </c>
      <c r="C179" t="inlineStr">
        <is>
          <t>2PAI</t>
        </is>
      </c>
      <c r="D179" s="3" t="inlineStr">
        <is>
          <t>Di soal saya ada operasi: x = x + 1 ditulis sebelum loop, di dalam loop, dan setelah loop. Dosen bilang posisinya sangat penting. Saya trace tapi masih bingung kenapa posisi assignment di dalam atau di luar loop menghasilkan hasil yang berbeda.</t>
        </is>
      </c>
      <c r="E179" s="3" t="inlineStr">
        <is>
          <t>Based on the material provided, I will explain the concept of nested loops and their importance in programming.
Nested loops are a type of loop that is embedded within another loop. This means that for each iteration of the outer loop, the inner loop will also iterate over its entire range. In other words, the inner loop will complete all its iterations before moving on to the next iteration of the outer loop.
The importance of nested loops lies in their ability to efficiently process data structures with complex relationships between elements. For example, consider printing a 4x5 grid of asterisks (*). A single outer loop can be used to control the rows, while an inner loop is used to print the individual characters within each row.
In this case, the complexity of the nested loops is O(m × n), where m is the number of rows and n is the number of columns. This means that the time it takes for the program to complete will grow linearly with the size of the grid.
To design a nested loop, one should follow these steps:
1. Determine the division of labor: decide which loop will control the outer boundary (e.g., the rows) and which will control the inner boundary (e.g., the columns).
2. Design the outer loop first.
3. Design the inner loop.
4. Combine the two loops.
For example, to print a 4x5 grid of asterisks (*), we can use the following nested loop:
```
for i = 1 to 4 do
    for j = 1 to 5 do
        print("*", end="")
    print()
```
This code will iterate over each row (controlled by the outer loop) and then iterate over each column (controlled by the inner loop) to print the desired output.
I hope this explanation helps you understand the concept of nested loops and their importance in programming.</t>
        </is>
      </c>
      <c r="F179" t="n">
        <v>0.7367</v>
      </c>
      <c r="G179" t="n">
        <v>0.1711</v>
      </c>
      <c r="H179" t="b">
        <v>1</v>
      </c>
      <c r="I179" s="3" t="inlineStr">
        <is>
          <t>Saya dapat membantu menjawab pertanyaan Anda tentang variabel x dan operasi assignment x = x + 1.
Operasi assignment x = x + 1 memiliki tiga posisi yang berbeda: sebelum loop, di dalam loop, dan setelah loop. Dosen Anda bilang bahwa posisinya sangat penting, dan Anda ingin tahu kenapa posisi assignment tersebut menghasilkan hasil yang berbeda.
Saya akan menjelaskan secara rinci:
1. **Sebelum loop**: Ketika operasi assignment x = x + 1 ditulis sebelum loop, maka nilai variabel x tidak berubah karena loop belum dilakukan. Nilai awal x tetap sebagai nilai sebelum penambahan 1.
2. **Di dalam loop**: Ketika operasi assignment x = x + 1 ditulis di dalam loop, maka nilai variabel x berubah setiap kali loop dilakukan. Misalkan, jika loop dilakukan 3 kali, maka nilai x akan menjadi 4 (asalnya 1), kemudian 5, dan akhirnya 6.
3. **Setelah loop**: Ketika operasi assignment x = x + 1 ditulis setelah loop, maka nilai variabel x tetap menjadi hasil dari penambahan 1 pada nilai terakhir loop. Jika loop dilakukan 3 kali, maka nilai x akan menjadi 4 (asalnya 1), dan kemudian di tambahi 1 lagi sehingga menjadi 5.
Perbedaan antara posisi assignment tersebut terletak pada kapan operasi penambahan 1 dilakukan. Jika Anda ingin nilai variabel x tetap seperti awal, maka harus menulis operasi assignment sebelum loop. Jika Anda ingin nilai variabel x berubah setiap kali loop dilakukan, maka harus menulis operasi assignment di dalam loop. Dan jika Anda ingin hasil penambahan 1 pada nilai terakhir loop, maka harus menulis operasi assignment setelah loop.
Saya harap jawaban ini dapat membantu Anda memahami pentingnya posisi assignment x = x + 1 dalam program.</t>
        </is>
      </c>
      <c r="J179" t="n">
        <v>0.7731</v>
      </c>
      <c r="K179" t="n">
        <v>0.1475</v>
      </c>
      <c r="L179" t="b">
        <v>1</v>
      </c>
      <c r="M179" t="n">
        <v>-0.0364</v>
      </c>
    </row>
    <row r="180">
      <c r="A180" t="n">
        <v>179</v>
      </c>
      <c r="B180" t="inlineStr">
        <is>
          <t>application</t>
        </is>
      </c>
      <c r="C180" t="inlineStr">
        <is>
          <t>2TAI</t>
        </is>
      </c>
      <c r="D180" s="3" t="inlineStr">
        <is>
          <t>Saya latihan trace kode ini:
  i = 10
  while (i &gt; 0) do
    print(i)
    i = i - 3
Berapa baris yang tercetak dan apa nilai-nilainya? Saya bingung kapan tepatnya loop berhenti.</t>
        </is>
      </c>
      <c r="E180" s="3" t="inlineStr">
        <is>
          <t>Mahasiswa! Saya senang dapat membantu Anda memahami konsep perulangan "while" dalam Computational Thinking.
Kita lihat kode yang Anda latihan:
  i = 10
  while (i &gt; 0) do
    print(i)
    i = i - 3
Untuk memahami kode ini, kita harus memahami bahwa perulangan "while" berfungsi sebagai berikut: kondisi dievaluasi sebelum body dijalankan. Jika kondisi False sejak awal, maka body tidak pernah dijalankan.
Dalam kode Anda, kondisi `i &gt; 0` dievaluasi sebelum body dijalankan. Karena `i = 10`, maka kondisi True dan body dijalankan. Output yang akan tercetak adalah:
7
4
Kemudian, nilai `i` menjadi `7 - 3 = 4`. Kondisi `i &gt; 0` masih True, sehingga body lagi dijalankan dan output lainnya adalah:
1
Kemudian, nilai `i` menjadi `1 - 3 = -2`, tetapi karena kondisi `i &gt; 0` tidak memenuhi syarat, maka loop berhenti.
Jadi, jumlah baris yang tercetak adalah 3, dan nilai-nilainya adalah 7, 4, dan 1.</t>
        </is>
      </c>
      <c r="F180" t="n">
        <v>0.5697</v>
      </c>
      <c r="G180" t="n">
        <v>0.2797</v>
      </c>
      <c r="H180" t="b">
        <v>1</v>
      </c>
      <c r="I180" s="3" t="inlineStr">
        <is>
          <t>Tidak perlu bingung! Kode tersebut menggunakan bahasa pemrograman Python, tidak Java atau JavaScript. Berikut adalah jawabannya:
Kodemu akan mencetak 4 baris dengan nilai sebagai berikut:
1. 10
2. 7
3. 4
4. 1
Loop while akan berhenti ketika kondisi `i &gt; 0` tidak terpenuhi, yaitu ketika `i` menjadi 0. Dalam kode ini, `i` dikurangi 3 dalam setiap iterasi, sehingga:
* Pada awal, `i` bernilai 10.
* Pada iterasi kedua, `i` dikurangi 3 menjadi 7.
* Pada iterasi ketiga, `i` dikurangi 3 lagi menjadi 4.
* Pada iterasi keempat, `i` dikurangi 3 lagi menjadi 1.
* Pada iterasi kelima, `i` dikurangi 3 lagi menjadi -2, sehingga kondisi `i &gt; 0` tidak terpenuhi dan loop berhenti.</t>
        </is>
      </c>
      <c r="J180" t="n">
        <v>0.4156</v>
      </c>
      <c r="K180" t="n">
        <v>0.3799</v>
      </c>
      <c r="L180" t="b">
        <v>1</v>
      </c>
      <c r="M180" t="n">
        <v>0.1541</v>
      </c>
    </row>
    <row r="181">
      <c r="A181" t="n">
        <v>180</v>
      </c>
      <c r="B181" t="inlineStr">
        <is>
          <t>confusion</t>
        </is>
      </c>
      <c r="C181" t="inlineStr">
        <is>
          <t>3TGI</t>
        </is>
      </c>
      <c r="D181" s="3" t="inlineStr">
        <is>
          <t>Di pseudocode CT, saya lihat dua cara tulis pengulangan:
  for i = 1 to 10 do ...
  for i = 0 to 9 do ...
Keduanya 10 iterasi. Mana yang lebih 'benar' di CT? Dan kalau saya akses elemen array di dalam loop, mana indeks yang lebih aman?</t>
        </is>
      </c>
      <c r="E181" s="3" t="inlineStr">
        <is>
          <t>Saya akan menjawab pertanyaan mahasiswa dengan menggunakan istilah teknis yang ada dalam materi referensi di atas.
Pertanyaan mahasiswa berbicara tentang dua cara tulis pengulangan di pseudocode CT, yaitu `for i = 1 to 10 do ...` dan `for i = 0 to 9 do ...`. Keduanya memiliki 10 iterasi. Dalam Computational Thinking (CT), perbedaan antara keduanya adalah pada titik awal iterasi.
Dalam sintaks `for i = 1 to 10 do ...`, titik awal iterasi adalah 1, dan dalam sintaks `for i = 0 to 9 do ...`, titik awal iterasi adalah 0. Dengan kata lain, sintaks pertama memulai dari bilangan positif (1), sedangkan sintaks kedua memulai dari bilangan nol (0). Kedua sintaks memiliki 10 iterasi, tetapi jika Anda ingin mengakses elemen array di dalam loop, sintaks pertama lebih aman karena indeksnya dimulai dari 1.
Dalam CT, kita menggunakan sintaks yang sesuai dengan kebutuhan dan tujuan program. Dalam kasus pengulangan, kita harus memperhatikan titik awal iterasi dan jumlah iterasi untuk mendapatkan hasil yang diinginkan.</t>
        </is>
      </c>
      <c r="F181" t="n">
        <v>0.7687</v>
      </c>
      <c r="G181" t="n">
        <v>0.1503</v>
      </c>
      <c r="H181" t="b">
        <v>1</v>
      </c>
      <c r="I181" s="3" t="inlineStr">
        <is>
          <t>Di pseudocode CT (C-like pseudocode), kedua cara pengulangan tersebut memang memiliki 10 iterasi. Namun, jika kita lihat dari sudut pandang "benar" di CT, maka:
* `for i = 1 to 10 do ...` lebih "benar" karena dalam programming, indeks array biasanya dimulai dari 0, sehingga menggunakan indeks 1 sebagai batas awal pengulangan dapat mengarahkan pada error jika kita ingin akses elemen array di luar loop.
* `for i = 0 to 9 do ...` lebih "benar" karena memang mencermati bahwa array memiliki ukuran 10, maka indeks 0-9 adalah batas yang tepat.
Jika Anda akses elemen array di dalam loop, saya sarankan menggunakan indeks 0 sebagai batas awal pengulangan. Hal ini karena:
* Jika Anda ingin akses elemen pertama (index 0) dari array, maka Anda harus memakai indeks 0.
* Jika Anda ingin akses elemen terakhir (index 9) dari array, maka Anda harus memakai indeks 9-1 = 8, bukan 10.
Oleh karena itu, saya menyarankan menggunakan `for i = 0 to 9 do ...` sebagai pengulangan yang lebih "benar" di CT.</t>
        </is>
      </c>
      <c r="J181" t="n">
        <v>0.6326000000000001</v>
      </c>
      <c r="K181" t="n">
        <v>0.2388</v>
      </c>
      <c r="L181" t="b">
        <v>0</v>
      </c>
      <c r="M181" t="n">
        <v>0.1361</v>
      </c>
    </row>
    <row r="182">
      <c r="A182" t="n">
        <v>181</v>
      </c>
      <c r="B182" t="inlineStr">
        <is>
          <t>application</t>
        </is>
      </c>
      <c r="C182" t="inlineStr">
        <is>
          <t>4PGR</t>
        </is>
      </c>
      <c r="D182" s="3" t="inlineStr">
        <is>
          <t>Soal: diberikan deret 2, 6, 12, 20, 30, 42. Dosen minta identifikasi pola, tuliskan rumus eksplisit suku ke-n, dan hitung suku ke-15. Saya lihat selisihnya: 4, 6, 8, 10, 12 — bertambah 2 tiap kali. Tapi bagaimana cara temukan rumus eksplisit dari pola ini?</t>
        </is>
      </c>
      <c r="E182" s="3" t="inlineStr">
        <is>
          <t>As a Computational Thinking tutor for university students in Indonesia, I'm excited to help you understand the concepts and patterns related to pattern recognition.
The key takeaway from the given materials is that Computational Thinking (CT) involves identifying patterns and relationships between data, rather than just performing calculations step-by-step like Mathematical Thinking. CT allows us to create efficient solutions by recognizing and utilizing these patterns.
Regarding your problem set:
1. The first pattern is an arithmetic sequence with a common difference of 3. To find the 10th term, we can use the formula: tn = t1 + (n-1)d, where t1 is the first term, n is the term number, and d is the common difference. In this case, t1 = 2, n = 10, and d = 3, so we get: tn = 2 + (10-1)3 = 35.
2. The second pattern is a geometric sequence with a ratio of 2. To find the 10th term, we can use the formula: an = ar^(n-1), where a is the first term, r is the ratio, and n is the term number. In this case, a = 3, r = 2, and n = 10, so we get: an = 3 × 2^9 = 768.
3. The third pattern is also geometric with a ratio of 2. To find the 10th term, we can use the same formula as above.
Regarding your question about the differences between Mathematical Thinking and Computational Thinking:
Mathematical Thinking involves calculating step-by-step to arrive at an answer, whereas Computational Thinking involves recognizing patterns and relationships to create efficient solutions. In this case, CT allows us to identify the pattern of consecutive sums (1+10=11, 2+9=11, etc.) and use it to find the total sum in a more efficient way.
For your next question:
The coklat bebek problem can be solved by recognizing the pattern that the number of chocolates given to each bebek is increasing by 4 each time. To find the first bebek that does not receive any chocolate, we need to identify the pattern and use it to calculate when the total number of chocolates exceeds 500.
Regarding your last question about the pattern recognition:
The given sequence 2, 6, 12, 20, 30, 42 appears to be an arithmetic sequence with a common difference that increases by 2 each time. To find the formula for the nth term, we can use the formula: tn = t1 + (n-1)d, where t1 is the first term, n is the term number, and d is the common difference. In this case, t1 = 2, and we can calculate the common difference as follows:
d = (t2 - t1) = (6 - 2) = 4
d = (t3 - t2) = (12 - 6) = 6
d = (t4 - t3) = (20 - 12) = 8
...
The pattern can be represented as: d = 2n, where n is the term number. To find the formula for the nth term, we can substitute this expression into the original formula:
tn = t1 + (n-1)(2n)
= 2 + (n-1)2n
= 2 + 2n^2 - 2n
So, the explicit formula for the nth term is: tn = 2 + 2n^2 - 2n.
To find the 15th term, we can plug in n = 15 into this formula:
t15 = 2 + 2(15)^2 - 2(15) = 113
Therefore, the answer is 113.</t>
        </is>
      </c>
      <c r="F182" t="n">
        <v>0.6264999999999999</v>
      </c>
      <c r="G182" t="n">
        <v>0.2428</v>
      </c>
      <c r="H182" t="b">
        <v>1</v>
      </c>
      <c r="I182" s="3" t="inlineStr">
        <is>
          <t>Pertama-tama, kita lihat bahwa deret tersebut adalah deret yang terdiri atas bilangan-bilangan bulat. Selanjutnya, kita perhatikan bahwa selisih antara suku ke-n dengan suku sebelumnya berubah secara linier, yaitu bertambah 2 setiap kali.
Kita dapat menemukan rumus eksplisit dari pola ini dengan memperhatikan bahwa suku ke-n adalah hasil penjumlahan suku ke-(n-1) dengan 4 + 2(n-1), karena selisih antara suku ke-n dan suku sebelumnya bertambah 2 setiap kali.
Jadi, rumus eksplisit suku ke-n dapat dituliskan sebagai:
an = an-1 + 2(n-1) + 4
atau lebih sederhana:
an = (n-1)^2 + 4
Untuk menemukan suku ke-15, kita dapat menggantikan nilai n dengan 15 dan menghitung hasilnya. Dengan demikian, suku ke-15 adalah:
a15 = (15-1)^2 + 4
= 14^2 + 4
= 196 + 4
= 200
Jadi, suku ke-15 dari deret tersebut adalah 200.</t>
        </is>
      </c>
      <c r="J182" t="n">
        <v>0.659</v>
      </c>
      <c r="K182" t="n">
        <v>0.2216</v>
      </c>
      <c r="L182" t="b">
        <v>1</v>
      </c>
      <c r="M182" t="n">
        <v>-0.0325</v>
      </c>
    </row>
    <row r="183">
      <c r="A183" t="n">
        <v>182</v>
      </c>
      <c r="B183" t="inlineStr">
        <is>
          <t>application</t>
        </is>
      </c>
      <c r="C183" t="inlineStr">
        <is>
          <t>3PAR</t>
        </is>
      </c>
      <c r="D183" s="3" t="inlineStr">
        <is>
          <t>Soal: berapa banyak jabat tangan yang terjadi jika ada 20 orang di sebuah ruangan dan setiap orang berjabat tangan dengan semua orang lain? Dosen bilang ini berkaitan dengan pola deret segitiga. Bagaimana cara menghitungnya dengan pattern recognition?</t>
        </is>
      </c>
      <c r="E183" s="3" t="inlineStr">
        <is>
          <t>Dalam latihan ini, saya akan membantu mahasiswa memahami beberapa konsep dasar Computational Thinking (CT) yang relevan dengan tipe kognitif Level 3 Menengah / Pragmatis / Analitis / Reflektif.
Pertama, mari kita bahas tentang Latihan Pesan Sandi (Dekripsi). Dalam kasus ini, Putri mengirimkan pesan dalam bentuk sandi kepada suaminya menggunakan tiga langkah enkripsi secara berurutan. Salah satu langkah adalah membalik urutan huruf dalam paragraf dua MK. Dengan demikian, kita perlu menemukan pola transformasi atau urutan yang terjadi antar gambar untuk menentukan jawaban yang tepat.
Kedua, mari kita bahas tentang Logical Operator (Operator Logika). Operator logika digunakan untuk menggabungkan dua atau lebih ekspresi boolean dan menghasilkan nilai boolean. Operator logika yang umum digunakan meliputi AND, OR, dan NOT. Contoh, Tabel kebenaran OR: T OR T = T | T OR F = T | F OR T = T | F OR F = F.
Ketiga, mari kita bahas tentang Is Operator. Is Operator memeriksa tipe atau identitas suatu nilai/objek. Dengan demikian, kita perlu menggunakan istilah teknis yang ada dalam materi referensi untuk menghitung jabat tangan yang terjadi jika ada 20 orang di sebuah ruangan dan setiap orang berjabat tangan dengan semua orang lain.
Keempat, mari kita bahas tentang LIST (ARRAY / SEQUENCE OF VALUES). Struktur data ini menyimpan sekumpulan nilai secara berurutan di bawah satu nama variabel. Dengan demikian, kita perlu menggunakan indeks posisi untuk mengakses nilai-nama dalam list.
Jawaban yang diberikan adalah sebagai berikut:
* Latihan Pesan Sandi (Dekripsi): Membalik urutan huruf dalam paragraf dua MK.
* Logical Operator: AND, OR, dan NOT.
* Is Operator: Memeriksa tipe atau identitas suatu nilai/objek.
* LIST (ARRAY / SEQUENCE OF VALUES): Menggunakan indeks posisi untuk mengakses nilai-nama dalam list.
Dengan demikian, kita dapat menggunakan konsep CT yang relevan dengan tipe kognitif Level 3 Menengah / Pragmatis / Analitis / Reflektif untuk memecahkan masalah-masalah yang diberikan.</t>
        </is>
      </c>
      <c r="F183" t="n">
        <v>0.82</v>
      </c>
      <c r="G183" t="n">
        <v>0.117</v>
      </c>
      <c r="H183" t="b">
        <v>0</v>
      </c>
      <c r="I183" s="3" t="inlineStr">
        <is>
          <t>Saya akan menjawab pertanyaan tersebut sebaik mungkin.
Jumlah jabat tangan yang terjadi jika ada 20 orang di sebuah ruangan dan setiap orang berjabat tangan dengan semua orang lain dapat dhitung menggunakan pola deret segitiga. Berikut adalah cara menghitungnya:
1. Pertama, kita lihat bahwa setiap orang akan berjabat tangan dengan 19 orang lain (karena total 20 orang minus dirinya sendiri).
2. Kita lihat bahwa jumlah jabat tangan yang terjadi ketika pertama-tama ada dua orang yang berjabat tangan adalah 1.
3. Ketika ada tiga orang, maka jumlah jabat tangan yang terjadi adalah 2 x 2 = 4 (karena setiap orang berjabat tangan dengan dua orang lain).
4. Berikutnya, ketika ada empat orang, jumlah jabat tangan yang terjadi adalah 3 x 3 = 9 (karena setiap orang berjabat tangan dengan tiga orang lain).
5. Seterusnya, kita akan lihat bahwa jumlah jabat tangan yang terjadi adalah pola deret segitiga, yaitu 1 + 4 + 9 + ... + 19.
Pola deret segitiga dapat dihitung menggunakan rumus:
n = (jumlah orang / 2) × (jumlah orang - 1)
Dalam kasus ini, jumlah orang adalah 20. Maka:
n = (20 / 2) × (20 - 1) = 10 × 19 = 190
Jadi, total jabat tangan yang terjadi adalah 190.
Dengan demikian, jawaban untuk pertanyaan tersebut adalah 190.</t>
        </is>
      </c>
      <c r="J183" t="n">
        <v>0.0487</v>
      </c>
      <c r="K183" t="n">
        <v>0.6483</v>
      </c>
      <c r="L183" t="b">
        <v>1</v>
      </c>
      <c r="M183" t="n">
        <v>0.7713</v>
      </c>
    </row>
    <row r="184">
      <c r="A184" t="n">
        <v>183</v>
      </c>
      <c r="B184" t="inlineStr">
        <is>
          <t>application</t>
        </is>
      </c>
      <c r="C184" t="inlineStr">
        <is>
          <t>3TGR</t>
        </is>
      </c>
      <c r="D184" s="3" t="inlineStr">
        <is>
          <t>Di soal pattern recognition saya diminta cari rumus untuk pola kotak-kotak dalam grid: baris pertama 1 kotak, baris kedua 3 kotak, baris ketiga 6 kotak, baris keempat 10 kotak. Saya lihat ini deret segitiga tapi tidak yakin rumus ke-n-nya.</t>
        </is>
      </c>
      <c r="E184" s="3" t="inlineStr">
        <is>
          <t>Dalam soal pattern recognition, Anda diminta mencari rumus untuk pola kotak-kotak dalam grid: baris pertama 1 kotak, baris kedua 3 kotak, baris ketiga 6 kotak, dan seterusnya. Rumus ke-n-nya dapat ditemukan dengan menggunakan konsep dekomposisi.
Pola ini dapat diidentifikasi sebagai pola eksponensial, karena perbedaan antara dua baris sebelumnya adalah tambahan 2. Jadi, jika baris pertama memiliki 1 kotak, maka baris kedua akan memiliki 3 kotak (1 + 2), baris ketiga akan memiliki 6 kotak (3 + 3), dan seterusnya.
Rumus ke-n-nya dapat dijabarkan sebagai berikut: kn = n(n+1). Dengan demikian, Anda dapat menemukan suku ke-n-ya dengan menggunakan rumus ini. Contoh, untuk suku ke-5, Anda dapat menghitung 5(5+1) = 30.
Dalam proses dekomposisi, Anda harus membagi masalah menjadi bagian-bagian yang lebih kecil dan mencari pola dalam setiap bagian. Kemudian, Anda dapat menggunakan rumus yang ditemukan untuk menyelesaikan masalah secara lebih efektif. Dengan demikian, Anda dapat menerapkan konsep pattern recognition dengan menggunakan dekomposisi untuk menemukan suku ke-n-ya.</t>
        </is>
      </c>
      <c r="F184" t="n">
        <v>0.5394</v>
      </c>
      <c r="G184" t="n">
        <v>0.2994</v>
      </c>
      <c r="H184" t="b">
        <v>1</v>
      </c>
      <c r="I184" s="3" t="inlineStr">
        <is>
          <t>Tidak perlu khawatir! Rumus pola kotak-kotak yang Anda lihat memang terlihat seperti deret segitiga, dan Anda dapat menggunakan prinsip-prinsip matematika untuk menemukan rumus ke-n-nya.
Rumus pola ini adalah suatu contoh dari pola aritmetik, yaitu pola yang memiliki perbedaan antara dua bilangan berikutnya yang sama. Pada kasus Anda, perbedaan tersebut adalah 2 (1 + 3 = 4, 4 + 2 = 6, 6 + 4 = 10).
Untuk menemukan rumus ke-n-nya, Anda dapat menggunakan prinsip pengurangan yang berikut:
* Rumus ke-1: 1
* Rumus ke-2: 1 + (n-1) × 2
* Rumus ke-3: 1 + (n-1) × 2 + (n-2) × 2
* Rumus ke-n: 1 + (n-1) × 2 + (n-2) × 2 + ... + 2
Dalam kasus Anda, rumus ke-n-nya dapat dijabarkan sebagai berikut:
Rumus ke-1: 1
Rumus ke-2: 1 + 2 = 3
Rumus ke-3: 1 + 2 × 2 = 5
Rumus ke-4: 1 + 2 × 2 + 2 × 2 = 10
Dengan demikian, Anda dapat menemukan rumus ke-n-nya adalah sebagai berikut:
Rumus ke-n: 1 + (n-1) × 2 + (n-2) × 2
Saya harap jawaban ini membantu Anda menemukan rumus pola kotak-kotak yang Anda cari!</t>
        </is>
      </c>
      <c r="J184" t="n">
        <v>0.6238</v>
      </c>
      <c r="K184" t="n">
        <v>0.2445</v>
      </c>
      <c r="L184" t="b">
        <v>1</v>
      </c>
      <c r="M184" t="n">
        <v>-0.0844</v>
      </c>
    </row>
    <row r="185">
      <c r="A185" t="n">
        <v>184</v>
      </c>
      <c r="B185" t="inlineStr">
        <is>
          <t>out_of_scope</t>
        </is>
      </c>
      <c r="C185" t="inlineStr">
        <is>
          <t>6PAR</t>
        </is>
      </c>
      <c r="D185" s="3" t="inlineStr">
        <is>
          <t>Saya dengar ada algoritme sorting yang lebih cepat dari O(n log n) untuk kasus tertentu — namanya Counting Sort atau Radix Sort. Apakah ini diajarkan di CT? Dan bagaimana bisa lebih cepat dari batas teoritis O(n log n) untuk comparison-based sorting?</t>
        </is>
      </c>
      <c r="E185" s="3" t="inlineStr">
        <is>
          <t>Mahasiswa,
Kamu bertanya tentang algoritme sorting yang lebih cepat dari O(n log n) untuk kasus tertentu, seperti Counting Sort atau Radix Sort. Iya, CT menjelaskan konsep-konsep ini.
Counting Sort adalah algoritme sorting yang menggunakan array sebagai container untuk setiap nilai dalam input dan menghitung jumlah setiap nilai. Dengan demikian, waktu kompleksitasnya menjadi O(n + k), di mana n adalah ukuran input dan k adalah jumlah nilai unik. Radix Sort, sebaliknya, menggunakan digit-by-digit sorting dengan basis yang berbeda-beda untuk setiap bit integer. Karena itulah, waktu kompleksitasnya menjadi O(nk), di mana k adalah jumlah digit.
Alasan Counting Sort dan Radix Sort lebih cepat dari O(n log n) karena mereka tidak perlu melakukan penggantian yang berkelanjutan seperti algoritme comparison-based sorting. Selain itu, Counting Sort hanya dapat digunakan untuk input yang memiliki range nilai yang terbatas, sedangkan Radix Sort dapat digunakan untuk input apapun.</t>
        </is>
      </c>
      <c r="F185" t="n">
        <v>0.7631</v>
      </c>
      <c r="G185" t="n">
        <v>0.154</v>
      </c>
      <c r="H185" t="b">
        <v>1</v>
      </c>
      <c r="I185" s="3" t="inlineStr">
        <is>
          <t>Iya, Anda benar bahwa ada algoritme sorting yang lebih cepat dari O(n log n) untuk kasus tertentu, seperti Counting Sort dan Radix Sort.
Counting Sort tidak diajarkan secara eksplisit di Komputasi Teoretik (CT), namun konsep dasarnya sebenarnya telah dipelajari sebelumnya di modul Data Structures. Counting Sort adalah algoritme sorting yang menggunakan prinsip penghitungan frekuensi elemen untuk mengurutkan data, sehingga dapat berjalan lebih cepat jika input data memiliki properti tertentu (misalnya, data terbatas pada rentang nilai tertentu).
Radix Sort juga tidak diajarkan secara eksplisit di CT, namun konsep dasarnya sebenarnya telah dipelajari sebelumnya di modul Data Structures. Radix Sort adalah algoritme sorting yang menggunakan prinsip pengurutan berdasarkan digit tertentu (misalnya, bit) dari elemen data, sehingga dapat berjalan lebih cepat jika input data memiliki properti tertentu (misalnya, data terbatas pada rentang nilai tertentu).
Alasan mengapa Counting Sort dan Radix Sort dapat lebih cepat dari batas teoritis O(n log n) untuk comparison-based sorting adalah karena mereka tidak menggunakan cara pengurutan berbasis perbandingan, melainkan menggunakan prinsip lain yang sesuai dengan sifat input data.
Dalam kasus Counting Sort, algoritme tersebut hanya memerlukan ruang konstan dan waktu O(n + k), di mana k adalah rentang nilai maksimal dari elemen data. Hal ini karena Counting Sort tidak memerlukan perbandingan antara elemen data, melainkan hanya menghitung frekuensi elemen.
Sementara itu, Radix Sort menggunakan prinsip pengurutan berbasis digit yang memungkinkan algoritme tersebut berjalan lebih cepat jika input data memiliki properti tertentu. Dalam kasus Radix Sort, algoritme tersebut dapat berjalan dengan waktu O(nk), di mana k adalah jumlah digit maksimal dari elemen data.
Dalam sintesis, Counting Sort dan Radix Sort adalah algoritme sorting yang lebih cepat daripada comparison-based sorting, namun mereka hanya sesuai untuk kasus-kasus tertentu dengan input data memiliki properti tertentu.</t>
        </is>
      </c>
      <c r="J185" t="n">
        <v>0.7668</v>
      </c>
      <c r="K185" t="n">
        <v>0.1516</v>
      </c>
      <c r="L185" t="b">
        <v>1</v>
      </c>
      <c r="M185" t="n">
        <v>-0.0037</v>
      </c>
    </row>
    <row r="186">
      <c r="A186" t="n">
        <v>185</v>
      </c>
      <c r="B186" t="inlineStr">
        <is>
          <t>out_of_scope</t>
        </is>
      </c>
      <c r="C186" t="inlineStr">
        <is>
          <t>5TGI</t>
        </is>
      </c>
      <c r="D186" s="3" t="inlineStr">
        <is>
          <t>Saya tertarik dengan algoritme greedy dan dynamic programming yang sering muncul di lomba programming. Apakah kedua teknik ini diajarkan di mata kuliah CT IPB? Kalau tidak, apa hubungannya dengan CT yang sudah kita pelajari?</t>
        </is>
      </c>
      <c r="E186" s="3" t="inlineStr">
        <is>
          <t>Saya senang dapat membantu menyelesaikan pertanyaan Anda.
Dalam kaitannya dengan algoritme greedy dan dynamic programming, saya harus mengatakan bahwa kedua teknik tersebut memang tidak secara langsung diajarkan dalam mata kuliah Computational Thinking (CT) IPB. Akan tetapi, hubungan antara kedua teknik ini dengan CT yang telah kita pelajari masih sangat signifikan.
Dalam block programming, Anda dapat menggunakan algoritme greedy untuk membuat keputusan berdasarkan informasi yang tersedia dan membuat program lebih efisien. Misalnya, Anda dapat menggunakan algoritme greedy untuk memilih blok instruksi terbaik yang akan membantu mencapai tujuan tertentu dalam block programming. Selain itu, dynamic programming juga dapat digunakan dalam block programming untuk menyelesaikan masalah yang terkait dengan state machine dan membuat program lebih optimal.
Dalam CT IPB, kita telah belajar tentang dekomposisi, abstraksi, dan literasi digital, serta etika teknologi. Teknik algoritme greedy dan dynamic programming juga dapat diterapkan dalam konteks ini untuk menyelesaikan masalah yang terkait dengan pemrograman komputer.
Dalam jawaban Anda, saya harap Anda dapat memahami bahwa kedua teknik algoritme tersebut tidak hanya berhubungan dengan pemrograman komputer, tetapi juga memiliki keterkaitan dengan CT yang telah kita pelajari.</t>
        </is>
      </c>
      <c r="F186" t="n">
        <v>0.7707000000000001</v>
      </c>
      <c r="G186" t="n">
        <v>0.149</v>
      </c>
      <c r="H186" t="b">
        <v>1</v>
      </c>
      <c r="I186" s="3" t="inlineStr">
        <is>
          <t>Dalam program Studi Teknologi Informasi, Universitas IPB, mata kuliah yang terkait dengan algoritme greedy dan dynamic programming adalah matematika komputasi. Kedua teknik tersebut biasanya diajarkan pada semester awal sebagai bagian dari materi algoritme.
Algoritme greedy digunakan untuk menyelesaikan masalah optimisasi yang dapat dipecah menjadi beberapa sub-problem, dimana solusi terbaik ditemukan dengan memilih opsi terbaik di setiap tahap. Contoh aplikasinya adalah penggunaan algoritme greedy untuk menemukan MST (Minimum Spanning Tree) dalam graph theory.
Sementara itu, dynamic programming digunakan untuk menyelesaikan masalah yang memiliki struktur sub-problem yang sama, dimana solusi ditemukan dengan menghitung dan memakai hasil dari sub-problem yang lebih kecil. Contoh aplikasinya adalah penggunaan algoritme dynamic programming untuk menemukan solusi dari problema 0/1 knapsack.
Kedua teknik tersebut memiliki hubungan dengan konsep CT (Complexity Theory) yang telah kita pelajari, yaitu tentang analisis waktu dan ruang yang digunakan oleh suatu algoritme. Algoritme greedy dan dynamic programming seringkali memiliki waktu eksploarisasi yang lebih baik daripada algoritme lainnya, sehingga mereka sangat penting dalam mengatasi masalah kompleksitas.
Dalam konteks lomba programming, kedua teknik tersebut sering diuji sebagai bagian dari problem statement, dimana peserta harus menggunakan algoritme greedy atau dynamic programming untuk menyelesaikan masalah yang diberikan.</t>
        </is>
      </c>
      <c r="J186" t="n">
        <v>0.4312</v>
      </c>
      <c r="K186" t="n">
        <v>0.3697</v>
      </c>
      <c r="L186" t="b">
        <v>1</v>
      </c>
      <c r="M186" t="n">
        <v>0.3395</v>
      </c>
    </row>
    <row r="187">
      <c r="A187" t="n">
        <v>186</v>
      </c>
      <c r="B187" t="inlineStr">
        <is>
          <t>out_of_scope</t>
        </is>
      </c>
      <c r="C187" t="inlineStr">
        <is>
          <t>6TGR</t>
        </is>
      </c>
      <c r="D187" s="3" t="inlineStr">
        <is>
          <t>Di internet saya baca tentang 'P vs NP problem' yang katanya salah satu masalah matematika terbesar yang belum terpecahkan. Apakah ini berkaitan dengan kompleksitas Big-O yang kita pelajari? Dan apa artinya dalam praktik?</t>
        </is>
      </c>
      <c r="E187" s="3" t="inlineStr">
        <is>
          <t>As a tutor for computational thinking, I'm excited to help you navigate the world of problem-solving and abstraction.
Let's start with the concept of Symptom vs Problem. In this context, Symptom refers to the observable or perceived issue, while Problem is the underlying cause that leads to the Symptom. For example:
* "I feel tired" (Symptom) → Problem: lack of sleep, poor diet, or stress
* "I'm late for class" (Symptom) → Problem: alarm didn't go off, wrong schedule, or traffic jam
To identify the root cause of a problem, we need to ask ourselves "What went wrong with what?" and explore the possible underlying causes.
Now, let's move on to the topic of abstraction. Abstraction is a crucial concept in computational thinking, as it allows us to focus on essential features while ignoring irrelevant details. In the context of problem-solving, abstraction helps us identify the core issue and ignore extraneous factors.
For instance, consider the problem of "many supermarkets closed" (Symptom). The Problem might be related to changes in consumer behavior, competition among retailers, or economic downturns.
In your case study, the student used ChatGPT to complete their assignments without acknowledging AI's involvement. This raises concerns about academic integrity and ethics. From a Learning with ICT (LwICT) perspective, the student failed to demonstrate responsible and ethical use of technology, as they concealed AI's role in their work.
To address this issue, we need to emphasize the importance of transparency and accountability in using technology for learning. By doing so, students can develop essential skills for problem-solving and critical thinking.
Regarding your SOAL 4 question, I'd be happy to help you explain the concept of P vs NP problem and its connection to Big-O complexity. Would you like me to elaborate on this topic?</t>
        </is>
      </c>
      <c r="F187" t="n">
        <v>0.7477</v>
      </c>
      <c r="G187" t="n">
        <v>0.194</v>
      </c>
      <c r="H187" t="b">
        <v>1</v>
      </c>
      <c r="I187" s="3" t="inlineStr">
        <is>
          <t>Kamu telah menemukan salah satu masalah matematika terbesar dan paling sulit di bidang teori computational complexity, yakni "P vs NP problem"!
"P vs NP problem" ini berhubungan dengan kompleksitas Big-O yang kamu pelajari, tetapi bukan hanya sekadar itu. Kompleksitas Big-O sebenarnya adalah suatu konsep untuk mengukur skalabilitas algoritma dalam hal waktu dan ruang, sedangkan "P vs NP problem" terkait dengan sifat keputusan dari masalah matematika.
Pada dasarnya, "P vs NP problem" bertanya apakah setiap masalah yang dapat dipecahkan secara cepat oleh mesin (yakni dalam waktu polynomial) juga dapat dipecahkan secara cepat oleh manusia (yakni dalam waktu polynomial). P dan NP adalah dua kelas masalah matematika yang berbeda:
* P (Polynomial Time) adalah kelas masalah yang dapat dipecahkan dalam waktu polynomial, yakni dengan menggunakan algoritma yang memerlukan waktu yang linear atau kuadratik terhadap ukuran input.
* NP (Nondeterministic Polynomial Time) adalah kelas masalah yang dapat dipecahkan secara cepat oleh mesin, tetapi tidak pasti apakah hasilnya benar. Dalam teorinya, mesin dapat memecahkan masalah NP dalam waktu polynomial, tetapi untuk mengetahui apakah jawaban yang diperoleh adalah benar, dibutuhkan waktu yang sangat besar.
Masalah "P vs NP problem" ini penting karena jika kita dapat menyelesaikan masalah ini dengan membuktikan bahwa P=NP (yakni semua masalah NP dapat dipecahkan dalam waktu polynomial), maka akan ada konsekuensi signifikan pada bidang kriptografi, penjualan informasi, dan banyak bidang lainnya.
Dalam praktik, "P vs NP problem" memiliki implikasi yang sangat besar. Misalnya, jika kita dapat menyelesaikan masalah ini dengan membuktikan bahwa P=NP, maka akan ada konsekuensi pada sistem kriptografi yang saat ini digunakan. Sistem kriptografi seperti RSA dan elliptic curve cryptography bergantung pada asumsi bahwa NP-hard problem tidak dapat dipecahkan dalam waktu polynomial.
Dalam sisi lain, jika kita tidak dapat menyelesaikan masalah "P vs NP problem", maka akan ada konsekuensi pada penjualan informasi dan banyak bidang lainnya. Masalah ini masih terbuka hingga saat ini, dan pembuktian bahwa P≠NP (yakni NP-hard problem tidak dapat dipecahkan dalam waktu polynomial) juga belum berhasil dilakukan.
Dalam kata-kata singkat, "P vs NP problem" adalah masalah matematika yang terkait dengan kompleksitas Big-O, tetapi memiliki implikasi yang sangat besar pada praktik.</t>
        </is>
      </c>
      <c r="J187" t="n">
        <v>0.6593</v>
      </c>
      <c r="K187" t="n">
        <v>0.2515</v>
      </c>
      <c r="L187" t="b">
        <v>1</v>
      </c>
      <c r="M187" t="n">
        <v>0.08840000000000001</v>
      </c>
    </row>
    <row r="188">
      <c r="A188" t="n">
        <v>187</v>
      </c>
      <c r="B188" t="inlineStr">
        <is>
          <t>comparative</t>
        </is>
      </c>
      <c r="C188" t="inlineStr">
        <is>
          <t>5TAR</t>
        </is>
      </c>
      <c r="D188" s="3" t="inlineStr">
        <is>
          <t>Dosen minta saya bandingkan tiga cara menghitung faktorial: rekursi biasa, iterasi for loop, dan dengan rumus langsung (Stirling approximation). Dari sisi Big-O, akurasi, dan kemudahan implementasi — mana yang terbaik?</t>
        </is>
      </c>
      <c r="E188" s="3" t="inlineStr">
        <is>
          <t>Saya akan menjawab pertanyaan dosen dengan cara yang sesuai dengan tipe kognitif mahasiswa, yaitu Level 5 Lanjut / Teoritis / Analitis / Reflektif.
Pertama-tama, mari kita jelaskan konsep faktorial dan cara-cara menghitungnya. Faktorial adalah operasi matematika yang menghasilkan produk dari semua bilangan bulat positif sampai dengan suatu nilai tertentu. Ada tiga cara untuk menghitung faktorial: rekursi biasa, iterasi for loop, dan dengan rumus langsung (Stirling approximation).
Cara rekursi biasa adalah dengan menggunakan formula recursive, yaitu `n! = n * (n-1)!`. Namun, dari sisi Big-O, cara ini memiliki kompleksitas O(n), yang berarti waktu eksekusi meningkat linearly dengan nilai n.
Iterasi for loop juga dapat digunakan untuk menghitung faktorial. Contohnya: `for(i=0; i&lt;n; i++) result *= i;`. Dari sisi Big-O, cara ini memiliki kompleksitas O(n), yang berarti waktu eksekusi meningkat linearly dengan nilai n.
Cara terakhir adalah menggunakan rumus langsung (Stirling approximation). Rumus ini dikenal sebagai `n! ≈ sqrt(2 * pi * n) * (n / e)^n`. Dari sisi Big-O, cara ini memiliki kompleksitas O(log n), yang berarti waktu eksekusi meningkat logaritmik dengan nilai n.
Dalam sintaksis, akurasi, dan kemudahan implementasi, rumus langsung (Stirling approximation) adalah yang terbaik. Namun, dalam beberapa kasus, cara rekursi biasa atau iterasi for loop mungkin lebih cocok bergantung pada kebutuhan aplikasinya.
Saya berharap jawaban ini dapat memenuhi persyaratan dan memberikan gambaran yang jelas dan akurat tentang tiga cara menghitung faktorial.</t>
        </is>
      </c>
      <c r="F188" t="n">
        <v>0.7657</v>
      </c>
      <c r="G188" t="n">
        <v>0.1823</v>
      </c>
      <c r="H188" t="b">
        <v>1</v>
      </c>
      <c r="I188" s="3" t="inlineStr">
        <is>
          <t>Dosen Anda meminta bandingkan tiga cara menghitung faktorial: rekursi biasa, iterasi for loop, dan dengan rumus langsung (Stirling approximation). Berikut adalah jawaban saya:
**Rekursi Biasa**
Cara ini menghitung faktorial dengan menggunakan definisi matematika bahwa faktorial dari sebuah bilangan n adalah produk semua bilangan natural yang lebih kecil atau sama dengan n. Contohnya, faktorial dari 5 adalah 5! = 1 × 2 × 3 × 4 × 5.
Kelebihan cara ini adalah sederhana dan mudah dipahami. Namun, kelemahan adalah penggunaan rekursi yang dapat menyebabkan overhead waktu yang tinggi untuk nilai n besar.
**Iterasi For Loop**
Cara ini menghitung faktorial dengan menggunakan for loop untuk melakukan iterasi dari 1 hingga n, lalu melakukan perkalian setiap nilai dalam range tersebut. Contohnya, faktorial dari 5 adalah 5! = 1 × 2 × 3 × 4 × 5.
Kelebihan cara ini adalah lebih cepat dan efisien daripada rekursi biasa karena tidak ada overhead waktu yang tinggi. Namun, kelemahan adalah butuh lebih banyak kode untuk implementasinya.
**Stirling Approximation (Rumus Langsung)**
Cara ini menggunakan rumus Stirling approximation untuk menghitung faktorial dengan cepat dan akurat. Rumus tersebut adalah:
n! ≈ √(2πn) × (n/e)^n
Kelebihan cara ini adalah sangat cepat dan efisien karena tidak butuh melakukan iterasi atau rekursi, serta dapat menyelesaikan masalah untuk nilai n besar dengan akurasi yang tinggi. Namun, kelemahan adalah butuh pengetahuan matematika yang lebih dalam untuk menggunakan rumus ini.
**Pembandingan**
Dari sisi Big-O, iterasi for loop dan rekursi biasa memiliki waktu complexity O(n), sedangkan Stirling approximation memiliki waktu complexity O(1) karena tidak butuh melakukan iterasi atau rekursi. Dari sisi akurasi, Stirling approximation lebih akurat daripada dua cara lainnya untuk nilai n besar. Dari sisi kemudahan implementasi, iterasi for loop dan rekursi biasa lebih mudah dipahami dan digunakan, namun Stirling approximation memerlukan pengetahuan matematika yang lebih dalam.
**Kesimpulan**
Dalam penghitungan faktorial, cara yang terbaik adalah menggunakan Stirling approximation (Rumus Langsung) karena memiliki waktu complexity O(1), akurasi yang tinggi, dan mudah digunakan dengan pengetahuan matematika yang lebih dalam. Namun, jika Anda memerlukan kemudahan implementasi dan sederhana, iterasi for loop dan rekursi biasa juga dapat digunakan.</t>
        </is>
      </c>
      <c r="J188" t="n">
        <v>0.641</v>
      </c>
      <c r="K188" t="n">
        <v>0.2334</v>
      </c>
      <c r="L188" t="b">
        <v>1</v>
      </c>
      <c r="M188" t="n">
        <v>0.1247</v>
      </c>
    </row>
    <row r="189">
      <c r="A189" t="n">
        <v>188</v>
      </c>
      <c r="B189" t="inlineStr">
        <is>
          <t>comparative</t>
        </is>
      </c>
      <c r="C189" t="inlineStr">
        <is>
          <t>3TAI</t>
        </is>
      </c>
      <c r="D189" s="3" t="inlineStr">
        <is>
          <t>Saya bingung memilih antara nested if dan switch/case untuk menentukan hari kerja berdasarkan angka 1-7. Di pseudocode CT kita hanya belajar if. Apakah ada konstruk seperti switch/case di pseudocode CT? Kalau tidak, bagaimana cara paling elegan menggantinya dengan if?</t>
        </is>
      </c>
      <c r="E189" s="3" t="inlineStr">
        <is>
          <t>Mahasiswa, saya paham bahwa Anda sedikit bingung memilih antara nested if dan switch/case untuk menentukan hari kerja berdasarkan angka 1-7. Namun, perlu diingat bahwa pseudocode CT kita hanya belajar mengenai if, sehingga tidak ada konstruk seperti switch/case secara langsung.
Namun, Anda dapat menggunakan cara yang lebih elegan dengan if untuk menggantikan switch/case. Salah satu contoh adalah dengan membuat struktur kontrol berdasarkan kondisi-kondisi tertentu. Misalnya, Anda dapat membuat if-else statement sebagai berikut:
```
if (hari_kerja &gt;= 1 &amp;&amp; hari_kerja &lt;= 7) then
    if (hari_kerja == 1 || hari_kerja == 2 || ... || hari_kerja == 7) then
        print("Hari kerja")
    else
        print("Bukan hari kerja")
else
    print("Tidak ada data")
```
Dalam contoh di atas, Anda dapat menggunakan operasi bitwise (AND, OR, NOT) untuk menggabungkan kondisi-kondisi tertentu. Namun, perlu diingat bahwa cara ini kurang elegan dan sulit dipahami jika tidak digunakan dengan benar.
Sebagai akhir, saya menyarankan Anda menggunakan nested if yang lebih jelas dan mudah dipahami daripada switch/case, sejak pseudocode CT kita hanya belajar mengenai if. Namun, perlu diingat bahwa cara ini kurang efektif jika kondisi-kondisi tertentu banyak dan kompleks.</t>
        </is>
      </c>
      <c r="F189" t="n">
        <v>0.7869</v>
      </c>
      <c r="G189" t="n">
        <v>0.1385</v>
      </c>
      <c r="I189" s="3" t="inlineStr">
        <is>
          <t>Saya senang membantu!
Pertama-tama, perlu diingat bahwa pseudocode CT (Conditional Test) hanya menggunakan konstruk `if` untuk membuat keputusan, sehingga tidak ada konstruk seperti `switch/case`. Namun, kita dapat menggantikan fungsionalitas `switch/case` dengan beberapa sintaks `if`.
Berikut adalah contoh pseudocode yang mirip dengan `switch/case` menggunakan sintaks `if`:
```pseudocode
var day = 5; // misal hari ini adalah tanggal 5
if (day == 1) {
  print("Hari kerja tidak");
} else if (day == 2 || day == 3 || day == 4) {
  print("Hari sabtu");
} else if (day == 5) {
  print("Hari minggu");
} else if (day &gt; 7) {
  print("Angka melebihi batas");
} else {
  print("Tidak diketahui");
}
```
Dalam contoh di atas, kita menggunakan beberapa sintaks `if` untuk membuat keputusan berdasarkan nilai `day`. Jika `day` sama dengan 1, maka akan cetak "Hari kerja tidak". Jika `day` antara 2-4, maka akan cetak "Hari sabtu". Dan seterusnya.
Namun, perlu diingat bahwa menggunakan sintaks `if` untuk membuat keputusan seperti di atas dapat membuat kode menjadi lebih kompleks dan sulit dibaca. Oleh karena itu, jika Anda memiliki banyak kondisi yang harus diperiksa, maka penggunaan `switch/case` mungkin akan lebih efektif dan mudah dipahami.
Jika Anda memilih untuk menggunakan sintaks `if`, maka pastikan Anda mengorganisir kode dengan baik dan menggunakan komentar yang jelas agar kode menjadi lebih mudah dibaca.</t>
        </is>
      </c>
      <c r="J189" t="n">
        <v>0.7791</v>
      </c>
      <c r="K189" t="n">
        <v>0.1736</v>
      </c>
      <c r="L189" t="b">
        <v>1</v>
      </c>
      <c r="M189" t="n">
        <v>0.0078</v>
      </c>
    </row>
    <row r="190">
      <c r="A190" t="n">
        <v>189</v>
      </c>
      <c r="B190" t="inlineStr">
        <is>
          <t>comparative</t>
        </is>
      </c>
      <c r="C190" t="inlineStr">
        <is>
          <t>4PAR</t>
        </is>
      </c>
      <c r="D190" s="3" t="inlineStr">
        <is>
          <t>Saya mau bandingkan: untuk mencari nilai terbesar dalam array n elemen, apakah lebih efisien linear scan satu pass, atau sorting dulu lalu ambil elemen terakhir? Dari Big-O, mana yang lebih baik dan mengapa?</t>
        </is>
      </c>
      <c r="E190" s="3" t="inlineStr">
        <is>
          <t>Kedermawanan Anda untuk membandingkan algoritme mencari nilai terbesar dalam array n elemen! Kita akan membahas dua opsi: linear scan satu pass dan sorting dulu lalu ambil elemen terakhir.
Linear scan satu pass memiliki kompleksitas O(n), yang berarti bahwa waktu eksekusi akan meningkat linier dengan ukuran input. Misalnya, untuk mencari nilai terbesar dalam array 1000 elemen, linear scan hanya memerlukan sekitar 1000 operasi. Namun, untuk mencari nilai terbesar dalam array 10.000 elemen, linear scan akan memerlukan sekitar 20.000 operasi.
Sementara itu, sorting dulu lalu ambil elemen terakhir memiliki kompleksitas O(n log n) atau O(n^2), dependen pada algoritme sorting yang digunakan. Misalnya, untuk mencari nilai terbesar dalam array 1000 elemen, bubble sort memerlukan sekitar 1.000.000 operasi! Namun, jika kita menggunakan algoritme sorting seperti quicksort atau mergesort, kompleksitas waktu akan lebih baik.
Dalam beberapa kasus, linear scan satu pass dapat menjadi pilihan yang lebih efisien, terutama jika ukuran input relatif kecil. Namun, dalam kasus-kasus lainnya, sorting dulu lalu ambil elemen terakhir mungkin lebih efektif, terutama jika ukuran input besar dan algoritme sorting yang digunakan memiliki kompleksitas waktu yang lebih baik.
Oleh karena itu, pilihan algoritme sangat penting dalam mencari nilai terbesar dalam array. Kita harus mempertimbangkan kompleksitas waktu dan ruang, serta keterbatasan input, sebelum memutuskan mana yang akan digunakan.</t>
        </is>
      </c>
      <c r="F190" t="n">
        <v>0.782</v>
      </c>
      <c r="G190" t="n">
        <v>0.1717</v>
      </c>
      <c r="H190" t="b">
        <v>0</v>
      </c>
      <c r="I190" s="3" t="inlineStr">
        <is>
          <t>Untuk mencari nilai terbesar dalam array n elemen, dua pendekatan yang dapat dilakukan adalah linear scan satu pass dan sorting dulu lalu ambil elemen terakhir.
Pendekatan pertama, linear scan satu pass, memiliki kompleksitas O(n), karena kita hanya perlu melakukan iterasi sekali melalui array untuk menemukan nilai terbesar. Kita cukup membandingkan setiap elemen dengan elemen lainnya dan mengambil salah satu yang paling besar.
Pendekatan kedua, sorting dulu lalu ambil elemen terakhir, juga memiliki kompleksitas O(n log n) jika menggunakan algoritma sorting seperti quicksort atau mergesort. Namun, jika menggunakan algoritma sorting dengan kompleksitas O(n), seperti insertion sort, maka kompleksitas menjadi O(n^2).
Jadi, dari segi Big-O, pendekatan linear scan satu pass lebih baik karena memiliki kompleksitas yang lebih rendah dan lebih efisien.
Namun, perlu diingat bahwa dalam praktiknya, performa algoritma juga tergantung pada implementasinya. Jika implementasi sorting dulu lalu ambil elemen terakhir dilakukan dengan baik, maka dapat jauh lebih cepat daripada linear scan satu pass jika array sangat besar.
Dalam konklusi, jika tujuan adalah mencari nilai terbesar dalam array n elemen dan kompleksitas bukan masalah, maka pendekatan linear scan satu pass lebih efisien. Namun, jika memungkinkan dan implementasinya dapat dilakukan dengan baik, maka sorting dulu lalu ambil elemen terakhir juga dapat menjadi pilihan yang baik.</t>
        </is>
      </c>
      <c r="J190" t="n">
        <v>0.7839</v>
      </c>
      <c r="K190" t="n">
        <v>0.1405</v>
      </c>
      <c r="L190" t="b">
        <v>1</v>
      </c>
      <c r="M190" t="n">
        <v>-0.0019</v>
      </c>
    </row>
    <row r="191">
      <c r="A191" t="n">
        <v>190</v>
      </c>
      <c r="B191" t="inlineStr">
        <is>
          <t>scenario</t>
        </is>
      </c>
      <c r="C191" t="inlineStr">
        <is>
          <t>5PAR</t>
        </is>
      </c>
      <c r="D191" s="3" t="inlineStr">
        <is>
          <t>Saya diminta rancang algoritme untuk sistem rekomendasi film sederhana. Diketahui: user bisa kasih rating 1-5 untuk film. Rekomendasikan film yang belum ditonton dengan rating tertinggi rata-rata. Dari perspektif CT, bagaimana dekomposisi dan algoritme dasarnya?</t>
        </is>
      </c>
      <c r="E191" s="3" t="inlineStr">
        <is>
          <t>Based on the given materials and the level of cognitive function of the students (Level 5 Lanjut / Pragmatis / Analitis / Reflektif), I will provide a solution to the problem.
The task is to design an algorithm for a simple movie recommendation system. The system should recommend movies that have not been watched by users with the highest average rating.
To break down this complex task into smaller, more manageable parts (dekomposisi), we can follow these steps:
1. Define the input and output of the system:
	* Input: user ratings for each movie (1-5)
	* Output: a list of recommended movies that have not been watched by users with the highest average rating
2. Identify the key concepts required for this problem:
	* Average rating calculation
	* Filtering out watched movies
	* Ranking movies based on their average rating
3. Design an algorithm to solve this problem:
a. Calculate the average rating for each movie using the user ratings.
b. Filter out movies that have already been watched by users.
c. Rank the remaining movies based on their average rating in descending order (highest rated first).
d. Return the top N movies as recommendations, where N is a parameter that can be adjusted.
The algorithm can be represented as follows:
```
function recommend_movies(user_ratings) {
  // Calculate average ratings for each movie
  movie_average_ratings = calculate_average_rating(user_ratings)
  // Filter out watched movies
  filtered_movies = filter_out_watched_movies(movie_average_ratings)
  // Rank remaining movies based on their average rating
  ranked_movies = rank_movies(filtered_movies, "average_rating", descending=True)
  // Return top N recommendations
  return get_top_n_recommendations(ranked_movies, N)
}
```
This algorithm breaks down the complex task into smaller, more manageable parts, and uses concepts such as averaging, filtering, and ranking to solve it. The output of this algorithm is a list of recommended movies that have not been watched by users with the highest average rating.
Note: This solution is based on the given materials and assumes that the user ratings are available for each movie. If this is not the case, additional steps may be required to gather the necessary data.</t>
        </is>
      </c>
      <c r="F191" t="n">
        <v>0.3699</v>
      </c>
      <c r="G191" t="n">
        <v>0.4396</v>
      </c>
      <c r="H191" t="b">
        <v>1</v>
      </c>
      <c r="I191" s="3" t="inlineStr">
        <is>
          <t>Sebagai perancang sistem rekomendasi, saya akan menjelaskan langkah-langkah untuk membuat algoritme yang sesuai dengan kebutuhan Anda.
**Dekomposisi Problema**
Problema dapat didekomposisi menjadi beberapa bagian:
1. **Penyediaan Data**: Dapatkan data tentang film dan rating dari pengguna.
2. **Penghitungan Rating Rata-Rata**: Hitung rating rata-rata untuk setiap film yang belum ditonton oleh user.
3. **Rekomendasi Film**: Rekomendasikan film dengan rating rata-rata tertinggi kepada user.
**Algoritme Dasar**
Saya akan menggunakan algoritme yang sederhana, yaitu **Collaborative Filtering (CF)**. CF adalah metode populer untuk sistem rekomendasi yang berbasis pada perilaku pengguna lainnya.
Langkah-langkah algoritme CF:
1. **Membuat Matrix Penyediaan**: Buat matrix penyediaan dengan baris mewakili film dan kolom mewakili user.
2. **Menghitung Rating Rata-Rata**: Hitung rating rata-rata untuk setiap film yang belum ditonton oleh user menggunakan perkalian dot product antara baris film dan kolom user.
3. **Pemilihan Film Rekomendasi**: Pilih film dengan rating rata-rata tertinggi sebagai rekomendasi.
**Contoh Kode**
Berikut adalah contoh kode sederhana dalam Bahasa Python untuk algoritme CF:
```python
import numpy as np
# Data rating dari pengguna
ratings = [
    [4, 3, 5, 2],
    [3, 1, 4, 5],
    [5, 4, 3, 1]
]
# Membuat matrix penyediaan
n_users = len(ratings)
n_items = len(ratings[0])
user_item_matrix = np.zeros((n_users, n_items))
for i in range(n_users):
    for j in range(n_items):
        user_item_matrix[i][j] = ratings[i][j]
# Menghitung rating rata-rata
rata_rata_matrix = np.mean(user_item_matrix, axis=0)
# Pemilihan film rekomendasi
recom_movie_index = np.argmax(rata_rata_matrix)
print(f"Rekomendasi film: {recom_movie_index}")
```
Dalam contoh kode di atas, kita menggunakan matrix penyediaan untuk menyimpan data rating dari pengguna. Lalu, kita menghitung rating rata-rata untuk setiap film yang belum ditonton oleh user menggunakan perkalian dot product antara baris film dan kolom user. Akhirnya, kita memilih film dengan rating rata-rata tertinggi sebagai rekomendasi.
**Kesimpulan**
Dalam kesimpulannya, algoritme dasar untuk sistem rekomendasi film sederhana menggunakan Collaborative Filtering (CF). Algoritme tersebut terdiri dari penghitungan rating rata-rata dan pemilihan film dengan rating rata-rata tertinggi sebagai rekomendasi. Dengan demikian, Anda dapat membuat sistem rekomendasi yang efektif untuk menawarkan film-film yang belum ditonton oleh user.</t>
        </is>
      </c>
      <c r="J191" t="n">
        <v>0.5233</v>
      </c>
      <c r="K191" t="n">
        <v>0.3099</v>
      </c>
      <c r="L191" t="b">
        <v>1</v>
      </c>
      <c r="M191" t="n">
        <v>-0.1534</v>
      </c>
    </row>
    <row r="192">
      <c r="A192" t="n">
        <v>191</v>
      </c>
      <c r="B192" t="inlineStr">
        <is>
          <t>scenario</t>
        </is>
      </c>
      <c r="C192" t="inlineStr">
        <is>
          <t>3TGR</t>
        </is>
      </c>
      <c r="D192" s="3" t="inlineStr">
        <is>
          <t>Saya sedang bikin aplikasi to-do list dan perlu fitur: tambah tugas, hapus tugas selesai, dan tampilkan tugas berdasarkan prioritas. Dari perspektif CT, struktur data apa yang paling cocok dan bagaimana pseudocode untuk masing-masing operasi?</t>
        </is>
      </c>
      <c r="E192" s="3" t="inlineStr">
        <is>
          <t>Dalam aplikasi to-do list yang Anda buat, struktur data yang paling cocok adalah menggunakan linked list atau array dengan field "priority" untuk menampilkan tugas berdasarkan prioritas. Linked list memungkinkan Anda untuk menghapus tugas selesai dengan mudah karena Anda hanya perlu menghilangkan node yang sesuai.
Pseudocode untuk masing-masing operasi adalah sebagai berikut:
* Tambah tugas: Input nama tugas dan prioritas, lalu simpan data ke linked list atau array.
	+ Pseudocode: `read(name, priority); addTask(name, priority)`
* Hapus tugas selesai: Iterasi linked list atau array untuk mencari node yang memiliki status "selesai", lalu hapus node tersebut.
	+ Pseudocode: `while (taskList != empty) { if (task.isDone()) { removeTask(task); } }`
* Tampilkan tugas berdasarkan prioritas: Iterasi linked list atau array untuk menampilkan tugas yang memiliki prioritas tertinggi terlebih dahulu.
	+ Pseudocode: `for (task in taskList) { if (task.getPriority() == highestPriority()) { print(task); } }`
Dalam contoh di atas, saya menggunakan istilah teknis seperti "linked list", "array", dan "prioritas" yang sesuai dengan materi referensi. Saya juga menjelaskan konsep utama secara langsung dan akurat, serta menggunakan contoh konkret untuk memudahkan pemahaman.</t>
        </is>
      </c>
      <c r="F192" t="n">
        <v>0.7842</v>
      </c>
      <c r="G192" t="n">
        <v>0.1403</v>
      </c>
      <c r="H192" t="b">
        <v>1</v>
      </c>
      <c r="I192" s="3" t="inlineStr">
        <is>
          <t>Dalam pengembangan aplikasi to-do list, Anda perlu menggunakan struktur data yang sesuai dengan kebutuhan fitur-fiturnya. Berikut adalah rekomendasi struktur data dan pseudocode untuk masing-masing operasi:
**Struktur Data:**
Anda dapat menggunakan struktur data berbasis array atau linked list dengan node-node yang berisi informasi tentang tugas, seperti judul, deskripsi, prioritas, dan status (belum selesai atau selesai). Contoh struktur data yang dapat digunakan adalah sebagai berikut:
```c
typedef struct {
    char* title;
    char* description;
    int priority; // 1-3, misalnya: 1 = rendah, 2 = sedang, 3 = tinggi
    bool isDone; // true jika tugas selesai, false jika belum
} Task;
```
**Operasi:**
### Tambah Tugas (AddTask)
Pseudocode:
```c
void addTask(Task newTask) {
    // Cari posisi yang paling sesuai untuk menambahkan tugas baru berdasarkan prioritas
    int i = 0;
    while (i &lt; taskList.length &amp;&amp; taskList[i].priority &gt;= newTask.priority) {
        i++;
    }
    // Tambahkan tugas baru ke array pada posisi yang ditemukan
    taskList.insert(i, newTask);
}
```
### Hapus Tugas Selesai (DeleteDoneTasks)
Pseudocode:
```c
void deleteDoneTasks() {
    // Cari semua tugas selesai dan hapusnya dari array
    int i = 0;
    while (i &lt; taskList.length) {
        if (taskList[i].isDone) {
            taskList.remove(i);
        } else {
            i++;
        }
    }
}
```
### Tampilkan Tugas Berdasarkan Prioritas (PrioritizeTasks)
Pseudocode:
```c
void prioritizeTasks() {
    // Urutkan tugas berdasarkan prioritas dari rendah ke tinggi
    taskList.sort((a, b) =&gt; a.priority - b.priority);
}
```
Note: Pseudocode di atas hanya sebagai contoh dan belum sempurna. Anda perlu menyesuaikan dengan kebutuhan aplikasi Anda dan memastikan bahwa pseudocode tersebut sesuai dengan struktur data yang digunakan.</t>
        </is>
      </c>
      <c r="J192" t="n">
        <v>0.7762</v>
      </c>
      <c r="K192" t="n">
        <v>0.1455</v>
      </c>
      <c r="L192" t="b">
        <v>1</v>
      </c>
      <c r="M192" t="n">
        <v>0.008</v>
      </c>
    </row>
    <row r="193">
      <c r="A193" t="n">
        <v>192</v>
      </c>
      <c r="B193" t="inlineStr">
        <is>
          <t>application</t>
        </is>
      </c>
      <c r="C193" t="inlineStr">
        <is>
          <t>5TGI</t>
        </is>
      </c>
      <c r="D193" s="3" t="inlineStr">
        <is>
          <t>Saya diminta analisis kompleksitas program cek duplikat dalam array: apakah ada elemen yang muncul lebih dari sekali. Pendekatan naif: bandingkan setiap pasangan elemen. Dosen bilang ada cara lebih cepat. Apa saja pendekatan yang bisa digunakan dan berapa Big-O masing-masing?</t>
        </is>
      </c>
      <c r="E193" s="3" t="inlineStr">
        <is>
          <t>I'll be happy to help you with that!
As a tutor for computational thinking, I understand that the task is to identify the root cause of each symptom and explain the concept of decomposition in programming.
For part (a), the gejala is "Website saya lambat setiap hari Senin pagi." The root cause is likely due to scheduled job/batch process running every Monday morning, consuming many resources and causing the website to be slow.
Regarding part (b), the gejala is "Nilai ujian mahasiswa turun 20% dibanding semester lalu." The root cause could be attributed to changes in teaching methods or curriculum, leading to a decrease in student performance. Alternatively, it might be due to external factors such as changes in student motivation or socio-economic conditions.
For part (c), the gejala is "Printer kantor sering macet." The root cause could be attributed to hardware issues, software bugs, or poor maintenance of the printer.
Moving on to decomposition in programming, it is essential to identify the goal or main objective of a problem and then break it down into smaller sub-problems that can be solved individually. This approach helps to simplify complex problems and make them more manageable.
As an example, when solving the problem of finding pairs of integers with a given difference (d), we would start by identifying the goal (finding the number of pairs) and then decompose the process into smaller steps:
1. Sort the n integers in ascending order
2. Initialize p = 0
3. For each i from 1 to n-1, take mi and find the next integer m(i+1) to mn; if the difference is equal to d, increment p
4. Record p as the number of pairs satisfying the condition
This approach helps to simplify a complex problem into smaller, more manageable sub-problems.
For the encryption problem, we can decompose it into three main steps:
1. Reverse the order of letters in the first message
2. Add 3 to the ASCII value of each letter
3. Repeat step 1 on the resulting message
This approach helps to break down a complex encryption process into smaller, more manageable steps.
Regarding the duplicate check problem, we can use various approaches such as:
* Sorting the array and then checking for duplicates (O(n log n))
* Using a hash table to store unique elements and then counting the number of duplicates (O(n))
* Using a linear scan approach with a set data structure to keep track of unique elements (O(n))
Each approach has its own time complexity, which is essential in programming.
I hope this helps!</t>
        </is>
      </c>
      <c r="F193" t="n">
        <v>0.6435</v>
      </c>
      <c r="G193" t="n">
        <v>0.2617</v>
      </c>
      <c r="H193" t="b">
        <v>0</v>
      </c>
      <c r="I193" s="3" t="inlineStr">
        <is>
          <t>Pertanyaan tersebut menuntut analisis kompleksitas program cek duplikat dalam array, yaitu mencari apakah ada elemen yang muncul lebih dari sekali.
Pendekatan naif yang disebutkan adalah dengan membandingkan setiap pasangan elemen. Dalam pendekatan ini, kita perlu melakukan looping untuk setiap pair of elements dan memeriksa apakah mereka sama atau tidak. Kompleksitasnya dapat dilihat sebagai berikut:
* Looping sebanyak n (panjang array) untuk setiap elemen
* Dalam setiap loop, kita perlu membandingkan elemen dengan yang lain, sehingga kompleksitas menjadi O(n^2)
Namun, dosen bilang bahwa ada cara lebih cepat. Berikut beberapa pendekatan yang dapat digunakan:
1. Menggunakan Set: Kita dapat menggunakan set untuk mengidentifikasi elemen yang unik dan kemudian mencari apakah elemen tersebut muncul lebih dari sekali dalam array. Kompleksitasnya adalah O(n).
Contoh:
```
set uniquenessSet = new HashSet();
for (int i = 0; i &lt; array.length; i++) {
    if (!uniquenessSet.contains(array[i])) {
        uniquenessSet.add(array[i]);
    } else {
        // Elemen ini muncul lebih dari sekali
    }
}
```
2. Menggunakan Hashing: Kita dapat menggunakan hashing untuk mengidentifikasi elemen yang unik dan kemudian mencari apakah elemen tersebut muncul lebih dari sekali dalam array. Kompleksitasnya adalah O(n).
Contoh:
```
HashMap&lt;Integer, Integer&gt; hashMap = new HashMap&lt;&gt;();
for (int i = 0; i &lt; array.length; i++) {
    if (!hashMap.containsKey(array[i])) {
        hashMap.put(array[i], 1);
    } else {
        // Elemen ini muncul lebih dari sekali
    }
}
```
3. Menggunakan Sorting: Kita dapat mengurutkan array terlebih dahulu dan kemudian mencari apakah elemen yang sama muncul lebih dari sekali. Kompleksitasnya adalah O(n log n) jika menggunakan algoritma sorting seperti quicksort atau mergesort.
Contoh:
```
Arrays.sort(array);
for (int i = 0; i &lt; array.length - 1; i++) {
    if (array[i] == array[i+1]) {
        // Elemen ini muncul lebih dari sekali
    }
}
```
Dalam kesimpulan, pendekatan naif memiliki kompleksitas O(n^2), sedangkan pendekatan menggunakan set atau hashing memiliki kompleksitas O(n). Pendekatan menggunakan sorting memiliki kompleksitas O(n log n) jika menggunakan algoritma sorting yang sesuai.</t>
        </is>
      </c>
      <c r="J193" t="n">
        <v>0.7576000000000001</v>
      </c>
      <c r="K193" t="n">
        <v>0.1576</v>
      </c>
      <c r="L193" t="b">
        <v>1</v>
      </c>
      <c r="M193" t="n">
        <v>-0.1141</v>
      </c>
    </row>
    <row r="194">
      <c r="A194" t="n">
        <v>193</v>
      </c>
      <c r="B194" t="inlineStr">
        <is>
          <t>application</t>
        </is>
      </c>
      <c r="C194" t="inlineStr">
        <is>
          <t>5TGR</t>
        </is>
      </c>
      <c r="D194" s="3" t="inlineStr">
        <is>
          <t>Trace fungsi rekursif ini untuk input n=4:
  function mystery(n):
    if n == 0: return 0
    if n mod 2 == 0: return mystery(n/2)
    else: return 1 + mystery(n-1)
Saya tidak tahu apa yang dihitung fungsi ini — tapi dosen bilang hasilnya punya makna. Apa output-nya dan apa yang dihitung fungsi ini?</t>
        </is>
      </c>
      <c r="E194" s="3" t="inlineStr">
        <is>
          <t>Saya akan menjawab pertanyaan mahasiswa tentang fungsi rekursif "mystery(n)".
Fungsi "mystery(n)" adalah fungsi rekursif yang memeriksa apakah bilangan n adalah bilangan ganjil atau genap, dan menghitung hasilnya. Fungsi ini menggunakan dua kondisi: jika n == 0, maka fungsi akan return 0; jika n mod 2 == 0, maka fungsi akan panggil dirinya sendiri dengan argument n/2, sehingga fungsi akan mencari FPB dari bilangan n.
Jika n bukan genap (n mod 2 != 0), maka fungsi akan return 1 + mystery(n-1). Dalam kasus ini, fungsi akan menghitung jumlah bilangan ganjil yang terdapat dalam bilangan n.
Contoh: jika input n = 4, maka fungsi "mystery(4)" akan menjalankan sebagai berikut:
* mystery(4) = mystery(2), karena 4 mod 2 == 0
* mystery(2) = 1 + mystery(1), karena 2 bukan genap (2 mod 2 != 0)
* mystery(1) = 1, karena 1 adalah bilangan ganjil
Maka, fungsi "mystery(n)" akan menghitung hasilnya sebagai 3.
Dalam sintesis, fungsi "mystery(n)" memeriksa apakah bilangan n adalah genap atau ganjil, dan menghitung jumlah bilangan ganjil yang terdapat dalam bilangan n.</t>
        </is>
      </c>
      <c r="F194" t="n">
        <v>0.7725</v>
      </c>
      <c r="G194" t="n">
        <v>0.1479</v>
      </c>
      <c r="H194" t="b">
        <v>1</v>
      </c>
      <c r="I194" s="3" t="inlineStr">
        <is>
          <t>Untuk input n=4, fungsi mystery(n) dapat dihitung sebagai berikut:
1. mystery(4) = 1 + mystery(3)
	* Karena n mod 2 != 0, maka algoritme tidak memilih jalur pertama (n == 0), dan alih-alih memanggil fungsi recursive untuk n/2.
2. mystery(3) = 1 + mystery(2)
	* Kembali, karena n mod 2 != 0, maka algoritme tidak memilih jalur pertama (n == 0), dan memanggil fungsi recursive untuk n-1.
3. mystery(2) = 1 + mystery(1)
	* Kembali, karena n mod 2 == 0, maka algoritme memilih jalur pertama (n/2), dan memanggil fungsi recursive untuk n/2.
4. mystery(1) = 1
	* Karena n != 0, maka algoritme tidak memilih jalur pertama (n == 0), dan mengembalikan nilai 1.
5. mystery(2) = 1 + 1 = 2
	* Menggunakan hasil dari langkah sebelumnya, menghitung nilai 2 untuk n=2.
6. mystery(3) = 1 + 2 = 3
	* Menggunakan hasil dari langkah sebelumnya, menghitung nilai 3 untuk n=3.
7. mystery(4) = 1 + 3 = 4
	* Menggunakan hasil dari langkah sebelumnya, menghitung nilai 4 untuk n=4.
Jadi, output untuk input n=4 adalah 4.
Fungsi ini sebenarnya menghitung deret Fibonacci! Deret Fibonacci adalah suatu deret bilangan yang dimulai dengan 0 dan 1, serta setiap anggota berikutnya adalah hasil penjumlahan dua anggota sebelumnya. Dalam kasus fungsi mystery(n), nilai 1 mewakili anggota awal (F(0) = F(1) = 1), sedangkan nilai yang dihitung dalam proses rekursif mewakili anggota-anggota selanjutnya dalam deret Fibonacci.</t>
        </is>
      </c>
      <c r="J194" t="n">
        <v>0.7697000000000001</v>
      </c>
      <c r="K194" t="n">
        <v>0.1497</v>
      </c>
      <c r="L194" t="b">
        <v>0</v>
      </c>
      <c r="M194" t="n">
        <v>0.0028</v>
      </c>
    </row>
    <row r="195">
      <c r="A195" t="n">
        <v>194</v>
      </c>
      <c r="B195" t="inlineStr">
        <is>
          <t>application</t>
        </is>
      </c>
      <c r="C195" t="inlineStr">
        <is>
          <t>3PAI</t>
        </is>
      </c>
      <c r="D195" s="3" t="inlineStr">
        <is>
          <t>Trace program berikut untuk input array [3,1,4,1,5,9,2,6]:
  found = false
  i = 0
  while (i &lt; panjang(arr) AND NOT found) do
    if arr[i] &gt; arr[i+1] then found = true
    else i = i + 1
  print(found)
Apa output-nya dan apa yang dicari program ini?</t>
        </is>
      </c>
      <c r="E195" s="3" t="inlineStr">
        <is>
          <t>Saya akan menjawab pertanyaan mahasiswa dengan menggunakan istilah teknis yang ada dalam materi referensi.
Pertanyaan: Trace program berikut untuk input array [3,1,4,1,5,9,2,6]:
  found = false
  i = 0
  while (i &lt; panjang(arr) AND NOT found) do
    if arr[i] &gt; arr[i+1] then found = true
    else i = i + 1
  print(found)
Apa output-nya dan apa yang dicari program ini?
Jawaban: Output dari program ini adalah "true". Program ini mencari apakah terdapat sebuah elemen di array yang lebih besar daripada elemen sebelumnya. Kondisi pengulangan memeriksa elemen di array mulai dari indeks 0 hingga panjang(array) dan berhenti jika ditemukan elemen yang lebih besar daripada elemen sebelumnya.
Dalam program ini, variabel "found" digunakan untuk menandai apakah ditemukan elemen yang lebih besar. Kondisi pengulangan while menggunakan operasi logical AND NOT untuk memastikan bahwa program hanya berhenti jika ditemukan elemen yang lebih besar dan tidak mencari lagi.</t>
        </is>
      </c>
      <c r="F195" t="n">
        <v>0.6758</v>
      </c>
      <c r="G195" t="n">
        <v>0.2107</v>
      </c>
      <c r="H195" t="b">
        <v>0</v>
      </c>
      <c r="I195" s="3" t="inlineStr">
        <is>
          <t>Saya akan menjawab pertanyaan Anda dengan sebaik mungkin.
Program di atas adalah program sederhana untuk menemukan apakah sebuah array memiliki "mountain sequence" (urutan gunung). Mountain sequence adalah urutan elemen yang mempunyai bentuk seperti "gunung", yaitu jika suatu elemen lebih besar dari elemen sebelumnya, tetapi lebih kecil daripada elemen setelahnya.
Dalam kasus input array [3,1,4,1,5,9,2,6], program ini akan menemukan apakah terdapat urutan gunung dalam array tersebut.
Setelah dijalankan, output dari program ini adalah "true", karena array tersebut memiliki urutan gunung, yaitu [3,1,4] dan [5,9].
Program ini mencari mountain sequence dengan cara mengulangi proses berikut:
1. Mulai dari elemen pertama dalam array.
2. Cek apakah elemen sekarang lebih besar daripada elemen selanjutnya. Jika demikian, maka program menemukan urutan gunung dan menghentikan loop.
3. Jika tidak, maka program melanjutkan ke elemen berikutnya dalam array.
Proses di atas dilakukan sampai akhir array atau hingga urutan gunung ditemukan.</t>
        </is>
      </c>
      <c r="J195" t="n">
        <v>0.5452</v>
      </c>
      <c r="K195" t="n">
        <v>0.3256</v>
      </c>
      <c r="L195" t="b">
        <v>1</v>
      </c>
      <c r="M195" t="n">
        <v>0.1306</v>
      </c>
    </row>
    <row r="196">
      <c r="A196" t="n">
        <v>195</v>
      </c>
      <c r="B196" t="inlineStr">
        <is>
          <t>application</t>
        </is>
      </c>
      <c r="C196" t="inlineStr">
        <is>
          <t>3TGI</t>
        </is>
      </c>
      <c r="D196" s="3" t="inlineStr">
        <is>
          <t>Saya trace kode ini:
  x = 5
  y = 3
  x = x + y
  y = x - y
  x = x - y
  print(x, y)
Saya dapat x=3, y=5. Tapi teman dapat x=5, y=3. Mana yang benar? Dan apa yang sebenarnya dilakukan kode ini?</t>
        </is>
      </c>
      <c r="E196" s="3" t="inlineStr">
        <is>
          <t>Saya akan menjawab pertanyaan mahasiswa.
Kode tersebut menggunakan algoritme untuk mencari nilai x dan y. Algoritme ini menggunakan perulangan dengan variable x dan y, serta menggunakan operator aritmatika (+, -, =). Pada awalnya, nilai x dan y adalah 5 dan 3 masing-masing.
Pertama-tama, x dijumlahkan dengan y sehingga menjadi x = 8. Kemudian, y diubah menjadi nilai baru yang sama dengan x minus y, sehingga y = 8 - 3 = 5. Selanjutnya, x diubah menjadi nilai baru yang sama dengan x minus y, sehingga x = 8 - 5 = 3.
Jadi, akhirnya, nilai x dan y adalah 3 dan 5 masing-masing. Kode ini memangkan nilai x dan y dengan cara tersebut, sehingga hasil yang diperoleh oleh mahasiswa Anda (x=3, y=5) adalah benar.
Namun, teman Anda yang mendapatkan hasil x=5, y=3 mungkin tidak paham bagaimana kode tersebut bekerja. Kode ini memangkan nilai x dan y dengan cara tersebut, sehingga hasil yang diperoleh oleh mahasiswa Anda (x=3, y=5) adalah benar.
Dalam sintaks algoritme, perulangan dapat diimplementasikan dengan menggunakan kata kunci `while` atau `do while`. Dalam contoh ini, kita menggunakan perulangan dengan menggunakan `while` untuk mencari nilai x dan y.</t>
        </is>
      </c>
      <c r="F196" t="n">
        <v>0.7663</v>
      </c>
      <c r="G196" t="n">
        <v>0.1819</v>
      </c>
      <c r="H196" t="b">
        <v>1</v>
      </c>
      <c r="I196" s="3" t="inlineStr">
        <is>
          <t>Temanmu memiliki kesalahan dalam memahami cara kerja variable x dan y.
Pada awalnya, nilai x adalah 5 dan y adalah 3. Kemudian, baris ke-3 membuat x menjadi x + y, sehingga x = 5 + 3 = 8. Baris ke-4 membuat y menjadi x - y, sehingga y = 8 - 3 = 5. Dan baris ke-5 membuat x menjadi x - y, sehingga x = 8 - 5 = 3.
Jadi, nilai yang sesungguhnya adalah x = 3 dan y = 5, seperti apa yang Anda dapatkan. Tidak ada salahnya, karena variable x dan y hanya berisi nilai baru setelah perintah-perintah tersebut dijalankan.
Kesimpulan, kode ini tidak salah, tetapi temanmu memahami cara kerja variable x dan y secara salah.</t>
        </is>
      </c>
      <c r="J196" t="n">
        <v>0.498</v>
      </c>
      <c r="K196" t="n">
        <v>0.3263</v>
      </c>
      <c r="L196" t="b">
        <v>1</v>
      </c>
      <c r="M196" t="n">
        <v>0.2683</v>
      </c>
    </row>
    <row r="197">
      <c r="A197" t="n">
        <v>196</v>
      </c>
      <c r="B197" t="inlineStr">
        <is>
          <t>cross_topic</t>
        </is>
      </c>
      <c r="C197" t="inlineStr">
        <is>
          <t>4TGI</t>
        </is>
      </c>
      <c r="D197" s="3" t="inlineStr">
        <is>
          <t>Saya belajar bahwa pattern recognition dan abstraksi sering digunakan bersama-sama. Dosen beri contoh: 'mengidentifikasi pola desain dalam kode yang berulang'. Tapi saya tidak paham: apakah identifikasi pola dulu baru abstraksi, atau sebaliknya? Mana yang mendahului?</t>
        </is>
      </c>
      <c r="E197" s="3" t="inlineStr">
        <is>
          <t>Saya senang membantu menjawab pertanyaan Anda.
Identifikasi pola (pattern recognition) dan abstraksi sering digunakan bersama-sama dalam berbagai bidang, termasuk pemrograman dan ilmu komputer. Identifikasi pola melibatkan pengenalan pola yang tersembunyi di dalam data atau kode, sedangkan abstraksi melibatkan proses menghilangkan detail untuk menemukan konsep utama.
Dalam contoh "mengidentifikasi pola desain dalam kode yang berulang", identifikasi pola terlebih dahulu dilakukan untuk mengenali pola yang tersembunyi di dalam kode. Kemudian, abstraksi dilakukan untuk menemukan konsep utama dari pola tersebut. Contoh lain adalah penggunaan algoritma untuk mengidentifikasi pola penyebaran wabah penyakit, kemudian menggunakan informasi itu untuk membuat prediksi dan rekomendasi.
Dalam level 4 Mahir/Teoritis/Global/Intuitif, kita dapat berpikir bahwa identifikasi pola adalah proses awal yang memungkinkan kita untuk mengenal pola-pola yang tersembunyi di dalam data atau kode. Kemudian, abstraksi dilakukan untuk menemukan konsep utama dari pola tersebut dan membuat kesimpulan yang lebih umum.
Dalam contoh lain, seperti analisis data cuaca, identifikasi pola dilakukan terlebih dahulu untuk mengenal pola historis suhu, kelembapan, dan tekanan udara. Kemudian, abstraksi dilakukan untuk menemukan konsep utama dari pola tersebut dan membuat prediksi cuaca yang lebih akurat.
Dalam sintesis, identifikasi pola terlebih dahulu dilakukan untuk mengenali pola-pola yang tersembunyi di dalam data atau kode, kemudian abstraksi dilakukan untuk menemukan konsep utama dari pola tersebut dan membuat kesimpulan yang lebih umum.</t>
        </is>
      </c>
      <c r="F197" t="n">
        <v>0.7734</v>
      </c>
      <c r="G197" t="n">
        <v>0.1473</v>
      </c>
      <c r="H197" t="b">
        <v>1</v>
      </c>
      <c r="I197" s="3" t="inlineStr">
        <is>
          <t>Kedua konsep tersebut, pattern recognition dan abstraksi, memang terkait erat dan sering digunakan bersama-sama. Namun, apakah identifikasi pola dulu baru abstraksi atau sebaliknya? Berikut adalah jawaban yang paling logis:
Identifikasi pola biasanya mendahului abstraksi. Artinya, Anda harus terlebih dahulu mengidentifikasi pola yang terjadi dalam data atau informasi yang Anda analisis. Misalnya, dalam contoh "mengidentifikasi pola desain dalam kode yang berulang", Anda pertama-tama harus menemukan pola desain yang terjadi dalam kode tersebut, seperti huruf yang sama sekali, simbol-simbol tertentu, atau struktur yang serupa.
Setelah Anda telah mengidentifikasi pola, maka langkah selanjutnya adalah abstraksi. Abstraksi berarti mengumpulkan informasi yang terkait dan menarik kesimpulan dari pola-pola tersebut. Dalam contoh sebelumnya, setelah Anda telah mengidentifikasi pola desain dalam kode, Anda dapat membuat abstraksi tentang struktur atau prinsip-prinsip desain yang digunakan.
Dengan kata lain, identifikasi pola adalah proses awal untuk memahami data atau informasi, sementara abstraksi adalah langkah berikutnya untuk mengumpulkan informasi dan menarik kesimpulan. Kedua konsep tersebut saling terkait erat dan harus digunakan bersama-sama dalam analisis data atau informasi.</t>
        </is>
      </c>
      <c r="J197" t="n">
        <v>0.7648</v>
      </c>
      <c r="K197" t="n">
        <v>0.1529</v>
      </c>
      <c r="L197" t="b">
        <v>1</v>
      </c>
      <c r="M197" t="n">
        <v>0.0086</v>
      </c>
    </row>
    <row r="198">
      <c r="A198" t="n">
        <v>197</v>
      </c>
      <c r="B198" t="inlineStr">
        <is>
          <t>cross_topic</t>
        </is>
      </c>
      <c r="C198" t="inlineStr">
        <is>
          <t>5PAR</t>
        </is>
      </c>
      <c r="D198" s="3" t="inlineStr">
        <is>
          <t>Dosen bilang kompleksitas binary search O(log n) 'berasal dari' strategi divide and conquer yang merupakan implementasi dekomposisi CT. Saya tidak melihat hubungannya secara langsung. Bagaimana dekomposisi CT menjelaskan mengapa binary search O(log n)?</t>
        </is>
      </c>
      <c r="E198" s="3" t="inlineStr">
        <is>
          <t>Saya dapat menjawab pertanyaan Anda dengan menggunakan konsep utama dekomposisi CT dan Big-O notation.
Pertama, saya akan menjelaskan bahwa binary search adalah algoritme yang digunakan untuk mencari elemen dalam sebuah array yang terurut. Algoritme ini bekerja dengan cara membagi array menjadi dua bagian secara rekursif hingga ditemukan elemen yang dicari. Strategi divide and conquer ini membuat binary search memiliki kompleksitas O(log n).
Sekarang, saya akan menjelaskan bagaimana dekomposisi CT membantu menjelaskan mengapa binary search memiliki kompleksitas O(log n). Dekomposisi CT adalah konsep bahwa suatu masalah dapat dipecah menjadi beberapa sub-masalah yang lebih kecil dan kemudian diperbaiki untuk mendapatkan solusi. Dalam kasus binary search, dekomposisi CT digunakan untuk membagi array menjadi dua bagian secara rekursif, sehingga ukuran input (n) berkurang dengan cepat.
Dengan menggunakan strategi divide and conquer ini, kompleksitas algoritme binary search menjadi O(log n) karena ukuran input berkurang dengan cepat dan jumlah operasi yang dibutuhkan juga berkurang. Oleh karena itu, dekomposisi CT membantu menjelaskan mengapa binary search memiliki kompleksitas O(log n).
Dalam kesimpulan, dekomposisi CT digunakan dalam algoritme binary search untuk membagi array menjadi dua bagian secara rekursif dan mendapatkan ukuran input yang berkurang dengan cepat. Strategi ini membuat binary search memiliki kompleksitas O(log n) dan membantu menjelaskan mengapa algoritme ini dapat berjalan dengan cepat dan efisien.</t>
        </is>
      </c>
      <c r="F198" t="n">
        <v>0.7873</v>
      </c>
      <c r="G198" t="n">
        <v>0.1383</v>
      </c>
      <c r="H198" t="b">
        <v>0</v>
      </c>
      <c r="I198" s="3" t="inlineStr">
        <is>
          <t>Saya setuju dengan Anda, bahwa kompleksitas binary search O(log n) tidak tampak terkait dengan dekomposisi CT (Combinatorial Theory) secara langsung.
Namun, jika kita memahami konsep divide and conquer yang digunakan dalam binary search, maka kita dapat menjelaskan mengapa binary search memiliki kompleksitas O(log n).
Binary search adalah algoritma searching yang bekerja dengan cara membagi daftar data menjadi dua bagian, kemudian mencari elemen target di salah satu bagian. Proses ini dilakukan secara rekursif sampai ditemukan elemen target atau batas daftar data dicapai.
Dalam prosesnya, binary search melakukan dekomposisi CT yang lebih spesifik, yaitu:
1. Pembagian: Algoritma membagi daftar data menjadi dua bagian yang setengah panjang.
2. Dekomposisi: Algoritma mengurangi ukuran masalah dengan cara mencari elemen target di salah satu bagian yang lebih kecil.
Pembagian dan dekomposisi ini dilakukan sebanyak logaritma dari ukuran daftar data. Karena setiap pembagian membagi daftar data menjadi dua bagian, maka kompleksitas algoritma akan menjadi O(log n), dimana n adalah ukuran daftar data.
Jadi, walaupun dekomposisi CT tidak terlihat secara langsung dalam binary search, konsep divide and conquer yang digunakan dalam binary search memungkinkan kita untuk menjelaskan mengapa binary search memiliki kompleksitas O(log n).</t>
        </is>
      </c>
      <c r="J198" t="n">
        <v>0.7719</v>
      </c>
      <c r="K198" t="n">
        <v>0.1483</v>
      </c>
      <c r="L198" t="b">
        <v>1</v>
      </c>
      <c r="M198" t="n">
        <v>0.0154</v>
      </c>
    </row>
    <row r="199">
      <c r="A199" t="n">
        <v>198</v>
      </c>
      <c r="B199" t="inlineStr">
        <is>
          <t>cross_topic</t>
        </is>
      </c>
      <c r="C199" t="inlineStr">
        <is>
          <t>5TGR</t>
        </is>
      </c>
      <c r="D199" s="3" t="inlineStr">
        <is>
          <t>Saya sedang belajar graph dan structure data sekaligus. Ternyata tree bisa ditraversal rekursif karena setiap subtree adalah tree juga. Ini membuat saya bertanya: apakah semua struktur rekursif (tree, dll.) bisa ditangani dengan fungsi rekursif secara alami?</t>
        </is>
      </c>
      <c r="E199" s="3" t="inlineStr">
        <is>
          <t>Mahasiswa!
Ternyata Anda memiliki pertanyaan tentang struktur rekursif, seperti tree, dan apakah semua struktur tersebut dapat ditangani dengan fungsi rekursif secara alami?
 Jawaban: Iya, semuanya! Tree adalah bentuk khusus dari graph yang tidak mengandung cycle. Dalam tree, setiap node dapat di- traversal rekursif karena setiap subtree juga adalah tree lainnya. Fungsi rekursif sangat berguna dalam mengelola struktur data seperti ini.
 Contoh konkretnya, dalam permainan catur berbasis kecerdasan buatan, setiap node merepresentasikan satu kondisi papan catur dan setiap edge merepresentasikan satu kemungkinan langkah. Dalam tree catur, kita dapat melakukan traversal rekursif untuk menghasilkan semua kemungkinan langkah yang tersedia.
Dengan demikian, Anda dapat menggunakan fungsi rekursif untuk mengelola struktur data seperti tree, dan memiliki kemampuan untuk menangani kompleksitas struktur tersebut.</t>
        </is>
      </c>
      <c r="F199" t="n">
        <v>0.7731</v>
      </c>
      <c r="G199" t="n">
        <v>0.1775</v>
      </c>
      <c r="H199" t="b">
        <v>1</v>
      </c>
      <c r="I199" s="3" t="inlineStr">
        <is>
          <t>I'm happy to help!
Jawaban saya: tidak seluruhnya.
Struktur data tree memang dapat di-traversi menggunakan teknik rekursif karena setiap bagian (subtree) berupa struktur data yang mirip dengan struktur induk. Namun, tidak semua struktur data dapat di-handle dengan cara langsung menggunakan fungsi rekursif.
Contoh struktur data lain seperti linked list, stack, atau queue tidak mempunyai hubungan anak-keluarga (parent-child) antara elemen, sehingga tidak cocok untuk di-traversi dengan teknik rekursif. Untuk meng-handle struktur data ini, kita perlu menggunakan pendekatan yang berbeda seperti iteratif atau menggunakan fungsi loop.
Namun, ada beberapa struktur data lain yang memungkinkan penggunaan fungsi rekursif, seperti:
* Trie (prefix tree): memiliki hubungan anak-keluarga antara node sehingga dapat di-traversi dengan cara rekursif.
* Heap: dapat di-traversi menggunakan teknik rekursif karena memiliki struktur hierarkis.
Dalam beberapa kasus, kita juga dapat meng-emasikan fungsi rekursif untuk struktur data yang tidak memungkinkan penggunaan cara langsung, seperti dengan menggunakan fungsi stack atau recursive function wrapper.
Jadi, dalam jawaban saya: tidak semua struktur data dapat di-handle dengan cara langsung menggunakan fungsi rekursif. Namun, beberapa struktur data lainnya masih memungkinkan penggunaan fungsi rekursif dengan cara yang sesuai.</t>
        </is>
      </c>
      <c r="J199" t="n">
        <v>0.7643</v>
      </c>
      <c r="K199" t="n">
        <v>0.1532</v>
      </c>
      <c r="M199" t="n">
        <v>0.008800000000000001</v>
      </c>
    </row>
    <row r="200">
      <c r="A200" t="n">
        <v>199</v>
      </c>
      <c r="B200" t="inlineStr">
        <is>
          <t>cross_topic</t>
        </is>
      </c>
      <c r="C200" t="inlineStr">
        <is>
          <t>5PAI</t>
        </is>
      </c>
      <c r="D200" s="3" t="inlineStr">
        <is>
          <t>Di kelas abstraksi saya belajar bahwa kita 'menyembunyikan detail'. Di kelas fungsi saya belajar bahwa fungsi 'menyembunyikan implementasi'. Di kelas struktur data saya belajar ADT (Abstract Data Type) yang juga 'menyembunyikan implementasi'. Apakah ketiganya adalah hal yang sama?</t>
        </is>
      </c>
      <c r="E200" s="3" t="inlineStr">
        <is>
          <t>Mahasiswa, saya senang membantu Anda memahami konsep-konsep dasar Computational Thinking.
Pertama-tama, kita perlu membahas tentang apa itu "menyembunyikan detail". Dalam Computational Thinking, kita tidak hanya mengabaikan detail-detail kecil, tetapi juga fokus pada struktur dan pola yang terlihat dari data atau problema. Misalnya, dalam materi GT_DETAIL_PT01_Pendahuluan.txt, kita fokus pada informasi penting seperti nama mata kuliah, jumlah SKS, jadwal kuliah, dan preferensi waktu belajar, tanpa perlu mempertahankan detail-detail kecil lainnya.
Kedua, tentang "menyembunyikan implementasi". Dalam Computer Science, kita memiliki konsep ADT (Abstract Data Type) yang memungkinkan kita untuk berfokus pada struktur dan fungsi data tanpa memperhatikan implementasinya. Contohnya, dalam materi GT_CT13.txt, kita menggunakan Tree sebagai struktur data untuk merepresentasikan berbagai kemungkinan langkah ke depan dalam permainan catur, tanpa perlu mempertahankan detail-detail implementasi.
Ketiga, "menyembunyikan implementasi" juga terlihat dalam materi GT_CT07.txt, di mana kita menggunakan algoritma untuk menemukan pasangan bilangan dengan selisih sebesar d. Kita fokus pada struktur dan pola algoritma tanpa memperhatikan implementasinya.
Jadi, jawaban Anda adalah: ya, ketiganya adalah hal yang sama. Dalam Computational Thinking, kita memfokuskan diri pada struktur dan pola, serta berfokus pada abstraksi dan implementasi, tanpa perlu mempertahankan detail-detail kecil lainnya.</t>
        </is>
      </c>
      <c r="F200" t="n">
        <v>0.7804</v>
      </c>
      <c r="G200" t="n">
        <v>0.1727</v>
      </c>
      <c r="H200" t="b">
        <v>1</v>
      </c>
      <c r="I200" s="3" t="inlineStr">
        <is>
          <t>Ya, ketiga konsep tersebut memiliki kesamaan dasarnya, yaitu "menyembunyikan detail" atau "menyembunyikan implementasi". Berikut penjelasannya:
* Abstraksi (kelas abstraksi) memungkinkan Anda membuat kelas yang hanya menampilkan interface (antarmuka) dari suatu objek, tanpa perlu mempertimbangkan bagaimana objek tersebut di-implementasikan. Dengan demikian, Anda dapat memisahkan interface dan implementasi, sehingga "menyembunyikan detail" implementasinya.
* Fungsi memungkinkan Anda membuat fungsi yang memiliki behavior (tindakan) tertentu, namun Anda tidak perlu mempertimbangkan bagaimana fungsi tersebut di-implementasikan. Anda hanya perlu memanggil fungsi dan biarkan detail implementasinya disembah.
* ADT (Abstract Data Type) juga memiliki tujuan yang sama dengan abstraksi dan fungsi, yaitu menyembunyikan detail implementasinya. Dengan menggunakan ADT, Anda dapat membuat tipe data yang memiliki behavior tertentu, tanpa perlu mempertimbangkan bagaimana behavior tersebut di-implementasikan.
Dalam semua kasus, tujuan dari "menyembunyikan detail" atau "menyembunyikan implementasi" adalah untuk memisahkan interface dan implementasi, sehingga Anda dapat mengembangkan sistem yang lebih modular, lebih mudah dipahami, dan lebih mudah dikembangkan.</t>
        </is>
      </c>
      <c r="J200" t="n">
        <v>0.6331</v>
      </c>
      <c r="K200" t="n">
        <v>0.2385</v>
      </c>
      <c r="L200" t="b">
        <v>1</v>
      </c>
      <c r="M200" t="n">
        <v>0.1473</v>
      </c>
    </row>
    <row r="201">
      <c r="A201" t="n">
        <v>200</v>
      </c>
      <c r="B201" t="inlineStr">
        <is>
          <t>cross_topic</t>
        </is>
      </c>
      <c r="C201" t="inlineStr">
        <is>
          <t>5TGI</t>
        </is>
      </c>
      <c r="D201" s="3" t="inlineStr">
        <is>
          <t>Dosen pernah bilang bahwa DFS menggunakan stack secara implisit melalui rekursi, sementara BFS menggunakan queue secara eksplisit. Saya tidak paham maksud 'implisit' di sini. Bagaimana rekursi DFS menggunakan stack tanpa kita mendeklarasikan stack?</t>
        </is>
      </c>
      <c r="E201" s="3" t="inlineStr">
        <is>
          <t>Mahasiswa, saya senang melihat Anda tertarik dengan konsep stack dan queue! Rekursi DFS menggunakan stack secara implisit karena algoritma tersebut memanfaatkan stack sebagai wadah untuk menampung fungsi-fungsi yang perlu dijalankan. Dalam rekursi, fungsi-fungsi tersebut dipanggil secara terus-menerus, namun dalam hal ini, mereka tidak ditampilkan secara eksplisit sebagai stack.
Untuk memahami konsep ini, kita dapat melihat contoh sederhana berikut: imajinasi Anda memiliki sebuah rumah yang memiliki beberapa kamar. Kita dapat menjelajahi rumah tersebut dengan cara melakukan perjalanan ke dalam dan keluar dari kamar-kamar secara rekursif, seperti: "Masuk ke kamar A, lalu masuk ke kamar B, lalu masuk ke kamar C..." Dalam hal ini, kita tidak perlu mendeklarasikan stack secara eksplisit, namun stack tersebut tetap ada dan berfungsi sebagai wadah untuk menampung jalur-jalur yang perlu dijalankan.
Dalam DFS, stack digunakan untuk memantau jalur-jalur yang telah dijalani. Saat kita masuk ke dalam sebuah node, kita menambahkan node tersebut ke dalam stack dan kemudian melakukan penjelajahan rekursif pada child-node-nya. Dalam hal ini, stack berfungsi sebagai wadah untuk menampung jalur-jalur yang telah dijalani, sehingga kita dapat kembali ke node sebelumnya melalui pop operasi.
Dengan demikian, kita dapat melihat bahwa DFS menggunakan stack secara implisit melalui rekursi, tanpa kita perlu mendeklarasikan stack secara eksplisit. Sementara BFS menggunakan queue secara eksplisit karena algoritma tersebut memanfaatkan antrian untuk menampung node-node yang perlu dijalani.</t>
        </is>
      </c>
      <c r="F201" t="n">
        <v>0.5497</v>
      </c>
      <c r="G201" t="n">
        <v>0.2927</v>
      </c>
      <c r="H201" t="b">
        <v>1</v>
      </c>
      <c r="I201" s="3" t="inlineStr">
        <is>
          <t>I'm happy to help you understand this concept!
Dosen Anda memiliki tujuan yang tepat, bahwa DFS (Depth-First Search) memanfaatkan stack secara implisit melalui rekursi, sementara BFS (Breadth-First Search) menggunakan queue secara eksplisit.
Ketika kita melakukan DFS dengan cara rekursif, maka dalam setiap panggilan fungsi rekursif, kita memiliki sebuah "pemasok" atau "caller" yang memanggil fungsi lain. Pada saat itulah, "pemasok" menjadi bagian dari "stack" yang tidak langsung kita deklarasikan.
Contohnya, jika kita memiliki sebuah fungsi `visit` yang melakukan DFS, maka panggilan fungsi rekursif `visit(nextNode)` dapat dianggap sebagai penambahan elemen ke dalam "stack". Ketika fungsi `visit` selesai melalui suatu node, maka fungsi `visit` akan kembali ke "pemasok" (caller) yang memanggilnya, sehingga "pemasok" tersebut menjadi bagian dari stack.
Jadi, dalam melakukan DFS dengan cara rekursif, kita tidak perlu secara eksplisit mendeklarasikan stack, namun stack ini dibuat secara implisit melalui panggilan fungsi rekursif. Sedangkan BFS, karena menggunakan queue secara eksplisit, maka kita harus secara langsung mendeklarasikan queue.
Semoga penjelasan di atas dapat membantu Anda memahami konsep "implisit" dalam DFS!</t>
        </is>
      </c>
      <c r="J201" t="n">
        <v>0.6584</v>
      </c>
      <c r="K201" t="n">
        <v>0.222</v>
      </c>
      <c r="L201" t="b">
        <v>1</v>
      </c>
      <c r="M201" t="n">
        <v>-0.1087</v>
      </c>
    </row>
    <row r="202">
      <c r="A202" t="n">
        <v>201</v>
      </c>
      <c r="B202" t="inlineStr">
        <is>
          <t>application</t>
        </is>
      </c>
      <c r="C202" t="inlineStr">
        <is>
          <t>4TAR</t>
        </is>
      </c>
      <c r="D202" s="3" t="inlineStr">
        <is>
          <t>Soal CT: buat pseudocode untuk mengecek apakah sebuah string merupakan anagram dari string lain. Contoh: 'listen' dan 'silent' adalah anagram. Saya tidak boleh pakai sorting — harus pakai counting atau cara lain. Bagaimana algoritmanya?</t>
        </is>
      </c>
      <c r="E202" s="3" t="inlineStr">
        <is>
          <t>Dalam konteks Computational Thinking (CT), pseudocode adalah cara informal untuk menuliskan algoritme atau rancangan program komputer. Tujuan utama pseudocode adalah untuk mendapatkan ide secara cepat sekaligus memudahkan pembacaan algoritme tanpa harus mengikuti aturan grammar (sintaks) bahasa pemrograman yang ketat.
Untuk menyelesaikan soal CT tentang anagram, kita dapat menggunakan konsep counting dan iterasi. Berikut adalah pseudocode untuk mengecek apakah sebuah string merupakan anagram dari string lain:
Input: dua string s1 dan s2
Output: "anagram" jika s1 dan s2 adalah anagram, atau "bukan anagram" jika tidak
Proses:
  // Hitung frekuensi masing-masing huruf dalam s1 dan s2
  frequency_s1 = new array[26] (A-Z)
  frequency_s2 = new array[26]
  for setiap huruf h dalam s1:
    frequency_s1[h - 'A']++
  for setiap huruf h dalam s2:
    frequency_s2[h - 'A']++
  // Cek apakah frekuensi masing-masing huruf sama
  for i = 0 to 25 do
    if (frequency_s1[i] != frequency_s2[i]) then
      print("bukan anagram")
      break
  // Jika tidak ada perbedaan, maka s1 dan s2 adalah anagram
  print("anagram")
Dalam pseudocode di atas, kita menggunakan array untuk mencatat frekuensi masing-masing huruf dalam dua string. Kemudian, kita iterasi melalui array tersebut untuk menemukan perbedaan antara frekuensi huruf dalam dua string. Jika tidak ada perbedaan, maka s1 dan s2 adalah anagram.
Dengan demikian, pseudocode di atas dapat membantu menyelesaikan soal CT tentang anagram tanpa menggunakan sorting.</t>
        </is>
      </c>
      <c r="F202" t="n">
        <v>0.3479</v>
      </c>
      <c r="G202" t="n">
        <v>0.4239</v>
      </c>
      <c r="H202" t="b">
        <v>1</v>
      </c>
      <c r="I202" s="3" t="inlineStr">
        <is>
          <t>Pseudocode untuk mengecek apakah sebuah string merupakan anagram dari string lain dapat dikerjakan sebagai berikut:
1. Buat variabel `count` dengan nilai 0.
2. Loop melalui setiap karakter dalam string asli (`str1`) dan increment `count` jika karakter tersebut ada di dalam string target (`str2`).
3. Jika `count` sama dengan panjang string target, maka string asli merupakan anagram dari string target.
Contoh pseudocode:
```
function adalah_anagram(str1, str2) {
  count = 0
  for each character c in str1 do
    if c is in str2 then
      increment count
  if count equals length of str2 then
    return true
  else
    return false
}
```
Contoh penggunaan:
```
str1 = "listen"
str2 = "silent"
if adalah_anagram(str1, str2) then
  print "Str1 dan Str2 adalah anagram"
else
  print "Str1 tidak anagram dengan Str2"
```
Pada contoh di atas, fungsi `adalah_anagram` akan menghitung jumlah karakter yang ada dalam string target (`str2`) dan membandingkannya dengan panjang string asli (`str1`). Jika jumlah karakter yang ada sama dengan panjang string asli, maka string asli merupakan anagram dari string target.
Dalam sintakssi Java, pseudocode di atas dapat diimplementasikan sebagai berikut:
```
public boolean adalahAnagram(String str1, String str2) {
  int count = 0;
  for (char c : str1.toCharArray()) {
    if (str2.indexOf(c) != -1) {
      count++;
    }
  }
  return count == str2.length();
}
```</t>
        </is>
      </c>
      <c r="J202" t="n">
        <v>0.6506999999999999</v>
      </c>
      <c r="K202" t="n">
        <v>0.227</v>
      </c>
      <c r="L202" t="b">
        <v>0</v>
      </c>
      <c r="M202" t="n">
        <v>-0.3028</v>
      </c>
    </row>
    <row r="203">
      <c r="A203" t="n">
        <v>202</v>
      </c>
      <c r="B203" t="inlineStr">
        <is>
          <t>application</t>
        </is>
      </c>
      <c r="C203" t="inlineStr">
        <is>
          <t>3PGI</t>
        </is>
      </c>
      <c r="D203" s="3" t="inlineStr">
        <is>
          <t>Saya diminta buat pseudocode untuk binary to decimal conversion. Input: string binary seperti '1011'. Output: nilai decimal (11). Saya tahu prinsipnya (nilai posisi: 2^3 + 2^1 + 2^0) tapi bingung cara implementasi pseudocode-nya dengan loop.</t>
        </is>
      </c>
      <c r="E203" s="3" t="inlineStr">
        <is>
          <t>Saya senang dapat membantu Anda menulis pseudocode untuk konversi binary to decimal! Berdasarkan prinsip nilai posisi, kita dapat menggunakan loop untuk melakukan konversi ini.
Pseudocode:
```
Input: string binary seperti '1011'
Output: nilai decimal (11)
read(binary)
nilai = 0
for i = length(binary) downto 1 do
  if (binary[i] == '1') then
    nilai += 2^(i-1)
  end if
print(nilai)
```
Contoh: jika input adalah '1011', pseudocode di atas akan menghasilkan output 11.
Dalam pseudocode ini, kita menggunakan loop untuk iterasi melalui string binary dari kanan ke kiri. Pada setiap iterasi, kita mengecek apakah digit binary adalah '1' atau '0'. Jika '1', kita tambahkan nilai decimal dengan menggunakan eksponen 2^(i-1), di mana i adalah indeks digit binary yang dikonversikan. Akhirnya, kita mencetak hasil konversi sebagai output.
Saya harap pseudocode ini membantu Anda!</t>
        </is>
      </c>
      <c r="F203" t="n">
        <v>0.428</v>
      </c>
      <c r="G203" t="n">
        <v>0.3718</v>
      </c>
      <c r="H203" t="b">
        <v>1</v>
      </c>
      <c r="I203" s="3" t="inlineStr">
        <is>
          <t>Saya dapat membantu Anda membuat pseudocode untuk konversi binary ke decimal! Berikut adalah contoh pseudocode yang menggunakan loop:
```
ALGORITMA:
  Masukkan input binary (string) sebagai variable "binary_str"
  Deklarasi variable "decimal" sebagai 0
  Deklarasi variable "power" sebagai 1
  Loop until length of "binary_str" = 0
    Ambil character terakhir dari "binary_str" dan simpan ke dalam variable "bit"
    Jika "bit" adalah '1', maka tambahkan nilai "power" ke dalam "decimal"
    Hapus bit terakhir dari "binary_str"
  Output: "decimal"
```
Cara kerja pseudocode ini adalah sebagai berikut:
1. Masukkan input binary sebagai string dan simpan ke dalam variable "binary_str".
2. Deklarasi variable "decimal" sebagai 0 untuk menampung nilai decimal.
3. Deklarasi variable "power" sebagai 1, yang akan digunakan sebagai nilai pangkat dalam perhitungan.
4. Loop hingga panjang input binary menjadi 0.
5. Dalam setiap iterasi loop, ambil character terakhir dari input binary dan simpan ke dalam variable "bit".
6. Jika "bit" adalah '1', maka tambahkan nilai "power" ke dalam "decimal". Karena "power" awalnya 1, maka jika bit adalah '1' maka akan ditambahkan nilai pangkat 2^n.
7. Hapus bit terakhir dari input binary.
8. Output hasil konversi sebagai nilai decimal.
Contoh penggunaan pseudocode ini untuk konversi binary '1011' ke decimal:
* "binary_str" = '1011'
* "decimal" = 0
* "power" = 1
Iterasi loop:
1. Ambil bit terakhir ('1'), tambahkan nilai "power" (1) ke dalam "decimal", sehingga menjadi 1.
2. Hapus bit terakhir, sehingga "binary_str" menjadi '10'.
3. Ambil bit terakhir ('1'), tambahkan nilai "power" (2) ke dalam "decimal", sehingga menjadi 3.
4. Hapus bit terakhir, sehingga "binary_str" menjadi '0'.
5. Ambil bit terakhir ('0'), tidak ada perubahan pada "decimal".
6. Hapus bit terakhir, sehingga "binary_str" kosong.
Output: "decimal" = 11
Saya harap pseudocode ini dapat membantu Anda!</t>
        </is>
      </c>
      <c r="J203" t="n">
        <v>0.7728</v>
      </c>
      <c r="K203" t="n">
        <v>0.1477</v>
      </c>
      <c r="L203" t="b">
        <v>1</v>
      </c>
      <c r="M203" t="n">
        <v>-0.3448</v>
      </c>
    </row>
    <row r="204">
      <c r="A204" t="n">
        <v>203</v>
      </c>
      <c r="B204" t="inlineStr">
        <is>
          <t>application</t>
        </is>
      </c>
      <c r="C204" t="inlineStr">
        <is>
          <t>5TAI</t>
        </is>
      </c>
      <c r="D204" s="3" t="inlineStr">
        <is>
          <t>Soal: buat pseudocode untuk mencari semua pasangan bilangan dalam array yang jumlahnya sama dengan nilai target K. Contoh: array [1,4,3,2,6,8] dan K=7, pasangannya: (1,6), (3,4). Pendekatan naif O(n²) sudah saya tahu — ada yang lebih efisien?</t>
        </is>
      </c>
      <c r="E204" s="3" t="inlineStr">
        <is>
          <t>Saya senang membantu!
Sebelum kita mulai, saya ingin menjelaskan bahwa pseudocode adalah cara informal untuk menuliskan algoritme atau rancangan program komputer. Saya akan menggunakan istilah teknis yang ada dalam materi referensi di atas dan menjelaskan konsep utama secara langsung dan akurat.
Untuk soal Anda, saya akan membantu membuat pseudocode untuk mencari semua pasangan bilangan dalam array yang jumlahnya sama dengan nilai target K. Contoh: array [1,4,3,2,6,8] dan K=7, pasangannya: (1,6), (3,4).
Pseudocode:
```
Input : array berisi n bilangan bulat, K berisi nilai target
Output : semua pasangan bilangan yang jumlahnya sama dengan K
// Langkah 1: Looping melalui array
for i = 0 to n-1 do
  // Looping melalui sisinya
  for j = i+1 to n-1 do
    // Cek apakah jumlah pasangan bilangan i dan j sama dengan K
    if (arr[i] + arr[j] == K) then
      print(arr[i], "dan", arr[j])  // Cetak pasangan bilangan yang ditemukan
```
Saya harap pseudocode di atas membantu Anda mencari semua pasangan bilangan dalam array yang jumlahnya sama dengan nilai target K.</t>
        </is>
      </c>
      <c r="F204" t="n">
        <v>0.5506</v>
      </c>
      <c r="G204" t="n">
        <v>0.2921</v>
      </c>
      <c r="H204" t="b">
        <v>1</v>
      </c>
      <c r="I204" s="3" t="inlineStr">
        <is>
          <t>Saya dapat memberikan pseudocode untuk mencari semua pasangan bilangan dalam array yang jumlahnya sama dengan nilai target K menggunakan pendekatan hash table (O(n)):
1. Membuat sebuah hash table dengan key sebagai nilai bilangan dan value sebagai list pasangan bilangan yang memiliki nilai tersebut.
2. Mengeksekusi loop melalui array:
   - Untuk setiap bilangan dalam array, mencari apakah hash table sudah memiliki key yang nilainya adalah K minus bilangan saat ini (K - a).
   - Jika ditemukan, maka itu berarti telah ditemukan pasangan bilangan yang jumlahnya sama dengan nilai target K. Menambahkan pasangan tersebut ke list hasil.
3. Mengembalikan list hasil.
Berikut adalah pseudocode-nya:
```
function cariPasangan(array A, int K)
    // Membuat hash table
    hashTable = {}
    // Mengeksekusi loop melalui array
    for a in A:
        if K - a is in hashTable:
            // Menambahkan pasangan ke list hasil
            results.append((a, K - a))
        else:
            // Menyimpan bilangan sebagai key dan list kosong sebagai value
            hashTable[a] = []
    return results
```
Dalam pseudocode di atas, fungsi `cariPasangan` mengambil array A dan nilai target K sebagai input, lalu mencari semua pasangan bilangan dalam array yang jumlahnya sama dengan nilai target K. Fungsi ini memiliki kompleksitas O(n), sehingga lebih efisien daripada pendekatan naif O(n²).</t>
        </is>
      </c>
      <c r="J204" t="n">
        <v>0.1747</v>
      </c>
      <c r="K204" t="n">
        <v>0.5364</v>
      </c>
      <c r="L204" t="b">
        <v>1</v>
      </c>
      <c r="M204" t="n">
        <v>0.3759</v>
      </c>
    </row>
    <row r="205">
      <c r="A205" t="n">
        <v>204</v>
      </c>
      <c r="B205" t="inlineStr">
        <is>
          <t>application</t>
        </is>
      </c>
      <c r="C205" t="inlineStr">
        <is>
          <t>4PGR</t>
        </is>
      </c>
      <c r="D205" s="3" t="inlineStr">
        <is>
          <t>Tugas CT saya: buat pseudocode untuk konversi Roman numeral ke integer. Contoh: 'XIV' = 14, 'IX' = 9. Saya tahu aturannya (kalau simbol lebih kecil ada sebelum yang lebih besar, dikurangi). Tapi saya bingung cara implementasi logika 'pengurangan' ini dalam pseudocode.</t>
        </is>
      </c>
      <c r="E205" s="3" t="inlineStr">
        <is>
          <t>Dengan menggunakan pseudocode, kita dapat menerjemahkan konsep logika menjadi suatu algoritme yang mudah dipahami dan diterapkan. Berdasarkan tipe kognitif Level 4 Mahir/Pragmatis/Global/Reflektif, saya akan menjelaskan bagaimana dekomposisi dapat diterapkan pada konversi Roman numeral ke integer.
Dalam pseudocode, kita dapat menggunakan sintaks yang sederhana dan logis untuk mewakili langkah-langkah proses. Berikut adalah contoh pseudocode untuk konversi Roman numeral ke integer:
```
Input : roman_numeral (string)
Output : integer_value
1. Read roman_numeral
2. Initialize integer_value = 0
3. For each character c in roman_numeral:
    If c is 'I', add 1 to integer_value
    ElseIf c is 'V', add 5 to integer_value
    ElseIf c is 'X', add 10 to integer_value (dan kemudian kurangi)
4. Return integer_value
Contoh : 'XIV' = 14, 'IX' = 9
```
Dalam pseudocode di atas, kita menggunakan sintaks yang logis untuk mewakili langkah-langkah proses konversi Roman numeral ke integer. Kita menggunakan if-else statement untuk menghandle simbol-simbol Roman numeral dan melakukan penjumlahan atau pengurangan terhadap nilai integer_value. Dengan demikian, kita dapat dengan mudah membaca dan memahami pseudocode ini.
Selain itu, dalam dekomposisi masalah pencarian bilangan terbesar dari 49 bilangan, kita dapat menggunakan dekomposisi (divide and conquer) untuk mengurangi kompleksitas problema. Kita dapat membagi 49 bilangan menjadi 7 kelompok @ 7 bilangan dan kemudian mencari terbesar di setiap kelompok. Dengan demikian, kita dapat dengan mudah menemukan bilangan terbesar global.
Dalam jawaban ini, saya menggunakan sintaks teknis yang sesuai dengan materi referensi dan menjelaskan konsep utama secara langsung dan akurat. Saya juga menggunakan contoh konkret untuk membantu pemahaman.</t>
        </is>
      </c>
      <c r="F205" t="n">
        <v>0.5683</v>
      </c>
      <c r="G205" t="n">
        <v>0.2806</v>
      </c>
      <c r="H205" t="b">
        <v>1</v>
      </c>
      <c r="I205" s="3" t="inlineStr">
        <is>
          <t>Saya dapat membantu Anda membuat pseudocode untuk konversi Roman numeral ke integer. Berikut adalah contoh pseudocode yang mengimplementasikan aturan pengurangan:
```
Prosedur ConvertRomanToInteger(RomanNumeral)
  Variabel Integer nilai = 0
  Variabel String huruf = ""
  Mula dari awal RomanNumeral
    Jika huruf adalah "I", maka nilai ditambahkan dengan 1
    Jika huruf adalah "V", maka nilai ditambahkan dengan 5, kecuali jika terdapat "I" sebelumnya, maka nilai dikurangi dengan 1
    Jika huruf adalah "X", maka nilai ditambahkan dengan 10, kecuali jika terdapat "IX" atau "IV" sebelumnya, maka nilai dikurangi dengan 9 atau 4
    Jika huruf adalah "L", maka nilai ditambahkan dengan 50, kecuali jika terdapat "XL" sebelumnya, maka nilai dikurangi dengan 40
    Jika huruf adalah "C", maka nilai ditambahkan dengan 100, kecuali jika terdapat "XC" atau "CD" sebelumnya, maka nilai dikurangi dengan 90 atau 400
    Jika huruf adalah "D", maka nilai ditambahkan dengan 500, kecuali jika terdapat "CD" sebelumnya, maka nilai dikurangi dengan 400
    Jika huruf adalah "M", maka nilai ditambahkan dengan 1000
  Kembali ke awal RomanNumeral hingga habis
  Retun nilai
```
Dalam pseudocode ini, kita menggunakan variabel `nilai` untuk menghitung total integer dari Roman numeral. Kemudian, kita menggunakan loop untuk memproses setiap huruf dalam Roman numeral.
Ketika kita menemukan huruf "I", "V", "X", "L", atau "C", kita langsung menambahkan nilai yang sesuai ke `nilai`. Namun, ketika kita menemukan huruf "IX", "IV", "XL", "XC", atau "CD", kita mengurangi nilai yang sesuai dari `nilai` karena aturan pengurangan Roman numeral.
Prosedur ini akan menghasilkan integer yang sesuai dengan Roman numeral input.</t>
        </is>
      </c>
      <c r="J205" t="n">
        <v>0.7554999999999999</v>
      </c>
      <c r="K205" t="n">
        <v>0.1589</v>
      </c>
      <c r="L205" t="b">
        <v>1</v>
      </c>
      <c r="M205" t="n">
        <v>-0.1872</v>
      </c>
    </row>
    <row r="206">
      <c r="A206" t="n">
        <v>205</v>
      </c>
      <c r="B206" t="inlineStr">
        <is>
          <t>application</t>
        </is>
      </c>
      <c r="C206" t="inlineStr">
        <is>
          <t>5PGI</t>
        </is>
      </c>
      <c r="D206" s="3" t="inlineStr">
        <is>
          <t>Saya perlu buat fungsi untuk menghitung nilai Pi (π) menggunakan deret Leibniz: π/4 = 1 - 1/3 + 1/5 - 1/7 + ... Dosen minta pseudocode yang berhenti ketika selisih suku berikutnya sudah cukup kecil (misal &lt; 0.0001). Bagaimana struktur while loop-nya?</t>
        </is>
      </c>
      <c r="E206" s="3" t="inlineStr">
        <is>
          <t>Mahasiswa!
Saya akan membantu Anda membuat fungsi untuk menghitung nilai Pi (π) menggunakan deret Leibniz: π/4 = 1 - 1/3 + 1/5 - 1/7 + ... Dosen minta pseudocode yang berhenti ketika selisih suku berikutnya sudah cukup kecil (misal &lt; 0.0001). Berikut adalah jawaban saya:
Pseudocode:
```
Input : epsilon (nilai toleransi)
Output : nilai Pi (π)
read(epsilon) // baca nilai toleransi
pi = 0.0       // inisialisasi nilai Pi
suma = 0.0     // inisialisasi nilai suku deret
while (true) {
    term = 1.0 / (2 * i + 1)
    suma += term
    diff = fabs(suma - pi) // hitung selisih antara jumlah suku dan nilai Pi
    if (diff &lt; epsilon) break
    i++
}
print(pi * 4) // cetak nilai Pi
```
Keterangan:
* `epsilon` adalah nilai toleransi yang diinginkan.
* `suma` adalah variabel untuk menampung nilai suku deret.
* `i` adalah variabel loop.
* `term` adalah nilai suku deret yang sekarang diproses.
* `diff` adalah selisih antara jumlah suku dan nilai Pi.
Struktur while loop-nya seperti berikut:
1. Loop akan terus berjalan hingga selisih antara jumlah suku dan nilai Pi kurang dari nilai toleransi (`epsilon`).
2. Dalam setiap iterasi, loop akan menambahkan nilai suku deret ke variabel `suma`.
3. Setelah menambahkan suku deret, loop akan menghitung selisih antara jumlah suku dan nilai Pi.
4. Jika selisih kurang dari nilai toleransi, maka loop akan berhenti dan mencetak nilai Pi.
Jadi, dengan menggunakan struktur while loop seperti di atas, kita dapat membuat fungsi yang berhenti ketika selisih suku berikutnya sudah cukup kecil (misal &lt; 0.0001).</t>
        </is>
      </c>
      <c r="F206" t="n">
        <v>0.0779</v>
      </c>
      <c r="G206" t="n">
        <v>0.5994</v>
      </c>
      <c r="H206" t="b">
        <v>1</v>
      </c>
      <c r="I206" s="3" t="inlineStr">
        <is>
          <t>Untuk membuat fungsi yang menghitung nilai Pi menggunakan deret Leibniz, kita dapat menggunakan struktur while loop sebagai berikut:
```pseudocode
proses hitungi_pi:
    nilai_pi = 0
    suku_sebelumnya = 1
    selisih = 1
    while (selisih &gt; 0.0001):
        suku_terbaru = -1 / (2 * i + 3) // menghitung suku terbaru
        nilai_pi += suku_terbaru
        selisih = abs(suku_terbaru - suku_sebelumnya)
        suku_sebelumnya = suku_terbaru
    return nilai_pi
```
Fungsi ini akan berhenti ketika selisih antara suku terbaru dan suku sebelumnya menjadi kurang dari 0.0001, yang artinya kita telah mencapai tingkat akurasi yang diinginkan.
Namun perlu diingat bahwa fungsi ini tidak efektif untuk menghitung nilai Pi karena memerlukan banyak iterasi untuk mencapai tingkat akurasi yang diinginkan. Deret Leibniz adalah deret yang lambat dalam mengkonvergi ke nilai Pi, sehingga diperlukan banyak suku untuk mendapatkan hasil yang akurat.</t>
        </is>
      </c>
      <c r="J206" t="n">
        <v>0.1773</v>
      </c>
      <c r="K206" t="n">
        <v>0.5348000000000001</v>
      </c>
      <c r="L206" t="b">
        <v>1</v>
      </c>
      <c r="M206" t="n">
        <v>-0.0994</v>
      </c>
    </row>
    <row r="207">
      <c r="A207" t="n">
        <v>206</v>
      </c>
      <c r="B207" t="inlineStr">
        <is>
          <t>gap</t>
        </is>
      </c>
      <c r="C207" t="inlineStr">
        <is>
          <t>2TAR</t>
        </is>
      </c>
      <c r="D207" s="3" t="inlineStr">
        <is>
          <t>Di pseudocode CT saya selalu menulis komentar seperti ini: # ini adalah variabel counter. Dosen bilang komentar yang baik itu menjelaskan 'mengapa', bukan 'apa'. Tapi saya tidak mengerti bedanya. Apa yang dimaksud komentar yang baik dalam konteks penulisan pseudocode?</t>
        </is>
      </c>
      <c r="E207" s="3" t="inlineStr">
        <is>
          <t>Saya senang dapat membantu menjawab pertanyaan mahasiswa.
Dalam konteks penulisan pseudocode, komentar yang baik berfungsi sebagai dokumentasi yang menjelaskan "mengapa" suatu variabel atau instruksi dipilih. Komentar tersebut tidak hanya sekadar menuliskan apa fungsi variabel atau instruksi, tapi juga mengapa mereka diperlukan dalam algoritme.
Sebagai contoh, jika kita memiliki variabel counter yang berfungsi sebagai penghitung, komentar yang baik dapat menjelaskan bahwa variabel tersebut digunakan untuk menghitung jumlah iterasi dalam loop. Dengan demikian, orang lain yang membaca pseudocode dapat memahami tujuan dan fungsi dari variabel tersebut.
Dalam penulisan pseudocode, komentar yang baik juga membantu dalam meningkatkan keterbacaan dan keterjelasan algoritme. Oleh karena itu, penting untuk menulis komentar yang menjelaskan "mengapa" suatu elemen algoritme dipilih, bukan hanya "apa".
Dalam materi referensi, kita dapat melihat contoh penulisan pseudocode yang memiliki komentar yang baik, seperti contoh pada SOAL 1 dan SOAL 2. Komentar tersebut membantu dalam memahami tujuan dan fungsi dari variabel dan instruksi, sehingga membuat algoritme lebih mudah dipahami.</t>
        </is>
      </c>
      <c r="F207" t="n">
        <v>0.7715</v>
      </c>
      <c r="G207" t="n">
        <v>0.1485</v>
      </c>
      <c r="H207" t="b">
        <v>1</v>
      </c>
      <c r="I207" s="3" t="inlineStr">
        <is>
          <t>Dalam konteks penulisan pseudocode, komentar yang baik adalah sebuah komentar yang menjelaskan tujuan atau alasan (mengapa) dari kode tersebut, bukan hanya deskripsi (apa) tentang apa yang dilakukan oleh kode.
Dalam contoh Anda, # ini adalah variabel counter, itu hanyalah deskripsi (apa) tentang apa yang dilakukan oleh variabel counter. Sementara dalam pseudocode, komentar yang baik seperti: # digunakan untuk menghitung jumlah iterasi yang telah terjadi, atau # digunakan sebagai penanda awal dan akhir loop.
Ciri khas dari komentar yang baik dalam pseudocode adalah menjelaskan tujuan atau alasan dari kode tersebut, sehingga pembaca dapat memahami logika dan tujuan dari kode. Oleh karena itu, dalam contoh Anda, komentar yang lebih baik mungkin seperti: # digunakan untuk menghitung jumlah iterasi yang telah terjadi.
Dengan demikian, komentar yang baik dalam pseudocode tidak hanya menjelaskan apa yang dilakukan oleh kode, tetapi juga mengapa kode tersebut dibuat.</t>
        </is>
      </c>
      <c r="J207" t="n">
        <v>0.7623</v>
      </c>
      <c r="K207" t="n">
        <v>0.1845</v>
      </c>
      <c r="L207" t="b">
        <v>1</v>
      </c>
      <c r="M207" t="n">
        <v>0.0092</v>
      </c>
    </row>
    <row r="208">
      <c r="A208" t="n">
        <v>207</v>
      </c>
      <c r="B208" t="inlineStr">
        <is>
          <t>out_of_scope</t>
        </is>
      </c>
      <c r="C208" t="inlineStr">
        <is>
          <t>3TAI</t>
        </is>
      </c>
      <c r="D208" s="3" t="inlineStr">
        <is>
          <t>Saya dengar ada prinsip 'KISS' (Keep It Simple, Stupid) dalam programming. Apakah prinsip ini berkaitan dengan pilar CT? Misalnya apakah KISS itu implementasi dari abstraksi, atau ada pilar lain yang lebih relevan?</t>
        </is>
      </c>
      <c r="E208" s="3" t="inlineStr">
        <is>
          <t>Saya akan menjawab pertanyaan mahasiswa dengan menggunakan istilah teknis yang ada dalam materi referensi.
Prinsip 'KISS' (Keep It Simple, Stupid) dalam programming berkaitan dengan pilar Computational Thinking (CT), yaitu abstraksi. Abstraksi adalah proses menghilangkan detail dan memfokuskan pada konsep utama agar lebih mudah dipahami dan digunakan. Dalam prinsip KISS, kita harus mengurangi kompleksitas kode dan membuatnya lebih sederhana tanpa mengorbankan fungsionalitasnya.
Dalam kaitannya dengan pilar CT, abstraksi sangat penting dalam programming. Abstraksi memungkinkan programmer untuk mengidentifikasi konsep utama dan mengabaikan detail-detail yang tidak relevan. Dengan demikian, programmer dapat membuat kode yang lebih mudah dipahami dan diulang.
Contoh konkret adalah ketika kita membuat fungsi meowing() yang langsung print nama hewan tanpa mengembalikan nilai. Fungsi ini menggunakan abstraksi untuk memfokuskan pada konsep utama (meong miaw) dan mengabaikan detail-detail lainnya.
Dengan demikian, prinsip KISS dalam programming adalah implementasi dari abstraksi, salah satu pilar CT yang penting dalam membuat program yang lebih mudah dipahami dan diulang.</t>
        </is>
      </c>
      <c r="F208" t="n">
        <v>0.6512</v>
      </c>
      <c r="G208" t="n">
        <v>0.2267</v>
      </c>
      <c r="H208" t="b">
        <v>1</v>
      </c>
      <c r="I208" s="3" t="inlineStr">
        <is>
          <t>Prinsip "KISS" (Keep It Simple, Stupid) memang dikenal dalam programming dan berkaitan dengan prinsip-prinsip dasar dalam pengembangan software.
Dalam konteks programming, KISS berarti bahwa sebuah program sebaiknya tidak rumit dan mudah dipahami. Prinsip ini menekankan pentingnya sederhanaan dan kemudahan dalam rancangannya, sehingga programmer lain dapat dengan mudah memahami dan mengembangkan kembali kode tersebut.
Dalam hal ini, KISS lebih terkait dengan pilar "Abstraksi" (Abstraction) daripada pilar lain. Abstraksi berarti membuat sesuatu yang kompleks menjadi lebih sederhana dan mudah dipahami melalui proses penambahan lapisan abstraksi.
Dalam programming, abstraksi digunakan untuk membuat kode menjadi lebih modular, reusable, dan mudah dipahami. KISS dapat diimplementasikan sebagai salah satu strategi dalam menerapkan abstraksi, yaitu dengan cara membuat kode menjadi lebih sederhana dan mudah dipahami.
Namun, perlu diingat bahwa KISS bukan hanya terkait dengan abstraksi, tapi juga dengan pilar-pilar lain seperti "Encapsulation" (Penghambatan), "Decoupling" (Pemisahan), dan "Single Responsibility Principle" (Hukum Tanggung Jawab Satu). Oleh karena itu, KISS dapat diimplementasikan dalam berbagai cara yang sesuai dengan kebutuhan dan desain program.</t>
        </is>
      </c>
      <c r="J208" t="n">
        <v>0.6395999999999999</v>
      </c>
      <c r="K208" t="n">
        <v>0.2343</v>
      </c>
      <c r="L208" t="b">
        <v>1</v>
      </c>
      <c r="M208" t="n">
        <v>0.0116</v>
      </c>
    </row>
    <row r="209">
      <c r="A209" t="n">
        <v>208</v>
      </c>
      <c r="B209" t="inlineStr">
        <is>
          <t>gap</t>
        </is>
      </c>
      <c r="C209" t="inlineStr">
        <is>
          <t>4TGR</t>
        </is>
      </c>
      <c r="D209" s="3" t="inlineStr">
        <is>
          <t>Dosen bilang salah satu manfaat CT adalah kemampuan 'transfer learning' — solusi untuk satu masalah bisa ditransfer ke masalah serupa. Ini berkaitan dengan pilar apa dalam AADP? Dan bagaimana cara melatih kemampuan ini secara sadar?</t>
        </is>
      </c>
      <c r="E209" s="3" t="inlineStr">
        <is>
          <t>Berikut jawaban untuk pertanyaan mahasiswa:
Dosen bilang salah satu manfaat CT adalah kemampuan 'transfer learning' — solusi untuk satu masalah bisa ditransfer ke masalah serupa. Ini berkaitan dengan pilar apa dalam AADP? Dan bagaimana cara melatih kemampuan ini secara sadar?
Transfer learning merupakan fitur penting dari Computational Thinking (CT). Pada dasarnya, CT adalah pilar dari AADP yang terkait dengan keterampilan berpikir dan berkelanjutan. Dalam konteks transfer learning, CT memungkinkan kita untuk menggunakan konsep dan solusi yang sudah dipahami sebelumnya pada masalah lain yang serupa.
Untuk melatih kemampuan transfer learning secara sadar, maka perlu dilakukan beberapa langkah. Pertama, harus memiliki kemampuan berpikir kritis dan analitis untuk memahami konsep dan pola yang terkait dengan masalah. Kedua, harus memiliki kemampuan menghubungkan informasi baru dengan informasi lama untuk menemukan solusi yang efektif. Ketiga, perlu dilakukan pengukuran dan evaluasi berkelanjutan untuk memantau kemajuan dan melakukan perbaikan.
Dalam konteks ini, tipe kognitif Level 4 Mahir/Teoritis/Global/Reflektif sangat berguna, karena mampu memahami konsep CT secara teoritis dan aplikatif, serta mampu menghubungkan informasi baru dengan informasi lama untuk menemukan solusi yang efektif.</t>
        </is>
      </c>
      <c r="F209" t="n">
        <v>0.8</v>
      </c>
      <c r="G209" t="n">
        <v>0.13</v>
      </c>
      <c r="I209" s="3" t="inlineStr">
        <is>
          <t>Dosen bilang salah satu manfaat CT (Computer Tomography) adalah kemampuan "transfer learning", yaitu solusi untuk satu masalah dapat ditransfer ke masalah serupa, terkait dengan pilar 5 dalam AADP (Artificial Intelligence and Data Processing), yaitu "Knowledge Sharing dan Collaborative Learning".
Cara melatih kemampuan transfer learning secara sadar adalah dengan menggunakan teknik berikut:
1. Data augmentation: Meningkatkan kualitas data dengan cara mengubah, misalnya, warna, skala, atau posisi objek dalam gambar.
2. Model selection: Memilih model yang sesuai untuk masalah yang akan dipecahkan dan memodifikasi model tersebut untuk dapat digunakan pada masalah lain.
3. Hyperparameter tuning: Mengoptimalkan nilai hyperparameter dalam model untuk meningkatkan kemampuan transfer learning.
4. Meta-learning: Menguji model dengan berbagai dataset dan scenario, sehingga model dapat belajar dari pengalaman dan dapat ditransfer ke masalah lain.
5. Iterative fine-tuning: Melakukan pelatihan ulang model yang telah dikembangkan sebelumnya pada data baru untuk meningkatkan kemampuan transfer learning.
Dengan menggunakan teknik-teknik di atas, maka kemampuan transfer learning dalam CT dapat ditingkatkan dan menjadi lebih efektif dalam menyelesaikan berbagai masalah.</t>
        </is>
      </c>
      <c r="J209" t="n">
        <v>0.7572</v>
      </c>
      <c r="K209" t="n">
        <v>0.1578</v>
      </c>
      <c r="L209" t="b">
        <v>0</v>
      </c>
      <c r="M209" t="n">
        <v>0.0428</v>
      </c>
    </row>
    <row r="210">
      <c r="A210" t="n">
        <v>209</v>
      </c>
      <c r="B210" t="inlineStr">
        <is>
          <t>cross_topic</t>
        </is>
      </c>
      <c r="C210" t="inlineStr">
        <is>
          <t>3PGI</t>
        </is>
      </c>
      <c r="D210" s="3" t="inlineStr">
        <is>
          <t>Dosen saya bilang debugging kode itu sebenarnya latihan CT — khususnya dekomposisi dan pattern recognition. Saya tidak melihat hubungannya. Bagaimana cara kerja debugging yang dikerjakan dengan pendekatan CT?</t>
        </is>
      </c>
      <c r="E210" s="3" t="inlineStr">
        <is>
          <t>Pada awalnya, mungkin terlihat bahwa debugging kode tidak langsung terkait dengan dekomposisi dan pattern recognition seperti yang diceritakan oleh dosen Anda. Namun, melalui pendekatan Computational Thinking (CT), kita dapat memahami bagaimana debugging kode sebenarnya aplikasi dekomposisi dan pattern recognition.
Dalam proses debugging, kita harus mengidentifikasi masalah besar menjadi sub-masalah yang lebih kecil dan mudah ditangani. Hal ini sesuai dengan konsep dekomposisi dalam CT, yaitu memecahkan masalah besar menjadi sub-masalah yang lebih kecil. Kita kemudian akan menganalisis setiap sub-masalah tersebut, mencari pattern dan pola yang mengarahkan kita pada solusi.
Dalam hal debugging kode, kita dapat menggunakan pendekatan CT untuk menemukan pattern dan pola dalam kode yang tidak berfungsi sebagaimana mestinya. Kita akan menganalisis setiap baris kode, memecahkan masalah menjadi sub-masalah yang lebih kecil, dan mencari solusi parsial. Dalam tahap akhir, kita akan menggabungkan semua solusi parsial tersebut untuk mendapatkan solusi keseluruhan.
Dalam sintesis, debugging kode sebenarnya aplikasi dekomposisi dan pattern recognition dalam Computational Thinking. Kita harus menggunakan pendekatan CT untuk memecahkan masalah menjadi sub-masalah yang lebih kecil, mencari pattern dan pola, dan mencari solusi parsial yang kemudian digabungkan untuk mendapatkan solusi keseluruhan.</t>
        </is>
      </c>
      <c r="F210" t="n">
        <v>0.7684</v>
      </c>
      <c r="G210" t="n">
        <v>0.1805</v>
      </c>
      <c r="H210" t="b">
        <v>1</v>
      </c>
      <c r="I210" s="3" t="inlineStr">
        <is>
          <t>Pertanyaan yang menarik! Debugging, seperti yang disebutkan oleh dosen Anda, sebenarnya memiliki keterkaitan dengan Cognitive Training (CT) yang melibatkan dua kemampuan utama: dekomposisi dan pattern recognition.
Dalam debugging, kita harus membagi kode menjadi bagian-bagian kecil (dekomposisi) untuk memahami bagaimana mereka berinteraksi. Ini mirip dengan cara kita mengurai suatu masalah menjadi bagian yang lebih kecil dan mudah dipahami.
Selanjutnya, dalam proses debugging, kita harus mencari pola atau pattern yang tersembunyi di dalam kode. Pola-pola tersebut dapat berupa error message, behavior aplikasi, atau keterkaitan antara variabel. Dengan mengenali pola-pola ini, kita dapat menemukan sumber error dan melakukan perbaikan yang sesuai.
Dalam konteks CT, dekomposisi dan pattern recognition adalah dua kemampuan yang sangat penting dalam memecahkan masalah. Dekomposisi memungkinkan kita untuk memahami bagian-bagian kecil dari suatu sistem, sementara pattern recognition memungkinkan kita untuk mengenali pola-pola yang tersembunyi di balik data.
Dalam debugging, kemampuan-kemampuan ini digunakan dalam berbagai tahapan:
1. Dekomposisi: Membagi kode menjadi bagian-bagian kecil untuk memahami bagaimana mereka berinteraksi.
2. Pattern recognition: Mencari pola-pola yang tersembunyi di dalam kode, seperti error message, behavior aplikasi, atau keterkaitan antara variabel.
3. Analisis: Mengumpulkan informasi dari dekomposisi dan pattern recognition untuk menemukan sumber error dan melakukan perbaikan.
Dengan demikian, debugging dapat dipandang sebagai contoh bagaimana CT dapat digunakan dalam memecahkan masalah yang kompleks.</t>
        </is>
      </c>
      <c r="J210" t="n">
        <v>0.7727000000000001</v>
      </c>
      <c r="K210" t="n">
        <v>0.1477</v>
      </c>
      <c r="L210" t="b">
        <v>1</v>
      </c>
      <c r="M210" t="n">
        <v>-0.0043</v>
      </c>
    </row>
    <row r="211">
      <c r="A211" t="n">
        <v>210</v>
      </c>
      <c r="B211" t="inlineStr">
        <is>
          <t>gap</t>
        </is>
      </c>
      <c r="C211" t="inlineStr">
        <is>
          <t>6PAR</t>
        </is>
      </c>
      <c r="D211" s="3" t="inlineStr">
        <is>
          <t>Saya hampir selesai belajar CT semester ini dan ingin tahu: dari semua yang dipelajari — dekomposisi, abstraksi, pattern recognition, algoritme, struktur data, kompleksitas — menurut materi CT di IPB, pilar atau konsep mana yang paling fundamental dan menjadi landasan dari semua konsep lainnya?</t>
        </is>
      </c>
      <c r="E211" s="3" t="inlineStr">
        <is>
          <t>Mahasiswa!
Sebelum menjawab pertanyaan Anda, saya akan memahami konsep fundamental Computational Thinking (CT) yang diajarkan di IPB. Berdasarkan materi referensi, saya dapat katakan bahwa pilar atau konsep mana yang paling fundamental dan menjadi landasan dari semua konsep lainnya adalah DEKOMPOSISI.
Dekomposisi adalah proses menghancurkan masalah besar menjadi sub-masalah yang lebih kecil dan mudah ditangani. Konsep ini memungkinkan kita untuk memecahkan masalah kompleks dengan cara yang sistematis dan terstruktur. Dalam CT, dekomposisi digunakan sebagai dasar untuk menganalisis masalah, mengidentifikasi pattern, serta merancang algoritme dan struktur data.
Dalam konteks ini, dekomposisi menjadi landasan dari semua konsep lainnya, termasuk abstraksi, pattern recognition, algoritme, struktur data, dan kompleksitas. Dengan menggunakan dekomposisi, kita dapat memahami bagaimana masalah dapat dipecahkan menjadi sub-masalah yang lebih kecil, sehingga membuatnya lebih mudah untuk dianalisis dan diselesaikan.
Dalam sintesis, saya dapat katakan bahwa dekomposisi adalah konsep fundamental Computational Thinking yang menjadi landasan dari semua konsep lainnya.</t>
        </is>
      </c>
      <c r="F211" t="n">
        <v>0.7883</v>
      </c>
      <c r="G211" t="n">
        <v>0.1376</v>
      </c>
      <c r="H211" t="b">
        <v>1</v>
      </c>
      <c r="I211" s="3" t="inlineStr">
        <is>
          <t>Menurut materi Komputasi Teknologi (CT) di Institut Pertanian Bogor (IPB), pilar atau konsep yang paling fundamental dan menjadi landasan dari semua konsep lainnya adalah dekomposisi.
Dekomposisi adalah proses mengurai suatu masalah atau sistem menjadi bagian-bagian yang lebih kecil dan sederhana. Dalam CT, dekomposisi digunakan sebagai dasar untuk memahami konsep-konsep lainnya seperti abstraksi, pattern recognition, algoritme, struktur data, dan kompleksitas.
Dekomposisi membantu dalam mengurai suatu masalah menjadi bagian-bagian yang lebih mudah dipahami dan dapat dianalisis. Dengan demikian, dekomposisi memungkinkan siswa-siswi CT untuk memahami konsep-konsep lainnya dengan lebih baik.
Oleh karena itu, dekomposisi dapat dianggap sebagai pilar atau konsep yang paling fundamental dan menjadi landasan dari semua konsep lainnya dalam mata kuliah Komputasi Teknologi (CT) di IPB.</t>
        </is>
      </c>
      <c r="J211" t="n">
        <v>0.7645999999999999</v>
      </c>
      <c r="K211" t="n">
        <v>0.153</v>
      </c>
      <c r="L211" t="b">
        <v>1</v>
      </c>
      <c r="M211" t="n">
        <v>0.0237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61"/>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40" customWidth="1" min="3" max="3"/>
    <col width="44" customWidth="1" min="4" max="4"/>
    <col width="12" customWidth="1" min="5" max="5"/>
    <col width="10" customWidth="1" min="6" max="6"/>
    <col width="10" customWidth="1" min="7" max="7"/>
    <col width="80" customWidth="1" min="8" max="8"/>
  </cols>
  <sheetData>
    <row r="1">
      <c r="A1" s="1" t="inlineStr">
        <is>
          <t>test_id</t>
        </is>
      </c>
      <c r="B1" s="1" t="inlineStr">
        <is>
          <t>peringkat</t>
        </is>
      </c>
      <c r="C1" s="1" t="inlineStr">
        <is>
          <t>file sumber</t>
        </is>
      </c>
      <c r="D1" s="1" t="inlineStr">
        <is>
          <t>topik</t>
        </is>
      </c>
      <c r="E1" s="1" t="inlineStr">
        <is>
          <t>skor cosine</t>
        </is>
      </c>
      <c r="F1" s="1" t="inlineStr">
        <is>
          <t>≥ θ (0,25)</t>
        </is>
      </c>
      <c r="G1" s="1" t="inlineStr">
        <is>
          <t>≥ θc (0,35)</t>
        </is>
      </c>
      <c r="H1" s="1" t="inlineStr">
        <is>
          <t>cuplikan teks chunk</t>
        </is>
      </c>
    </row>
    <row r="2">
      <c r="A2" t="n">
        <v>1</v>
      </c>
      <c r="B2" t="n">
        <v>1</v>
      </c>
      <c r="C2" t="inlineStr">
        <is>
          <t>GT_CT07.txt</t>
        </is>
      </c>
      <c r="D2" s="3" t="inlineStr">
        <is>
          <t>Pertemuan 7: Algoritme — Notasi Algoritme</t>
        </is>
      </c>
      <c r="E2" t="n">
        <v>0.7468</v>
      </c>
      <c r="F2" t="inlineStr">
        <is>
          <t>✓</t>
        </is>
      </c>
      <c r="G2" t="inlineStr">
        <is>
          <t>✓</t>
        </is>
      </c>
      <c r="H2" s="3" t="inlineStr">
        <is>
          <t>) dan selisih angka yang dicari (d). Output: banyaknya pasangan bilangan dengan selisih sebesar d (p). Proses: (a) Urutkan n bilangan secara menaik menjadi m1, m2, ..., mn; (b) Inisialisasi p = 0; (c) Untuk setiap i dari</t>
        </is>
      </c>
    </row>
    <row r="3">
      <c r="A3" t="n">
        <v>1</v>
      </c>
      <c r="B3" t="n">
        <v>2</v>
      </c>
      <c r="C3" t="inlineStr">
        <is>
          <t>GT_CT05.txt</t>
        </is>
      </c>
      <c r="D3" s="3" t="inlineStr">
        <is>
          <t>Pertemuan 5: Pattern Recognition (Pengenalan Pola)</t>
        </is>
      </c>
      <c r="E3" t="n">
        <v>0.7353</v>
      </c>
      <c r="F3" t="inlineStr">
        <is>
          <t>✓</t>
        </is>
      </c>
      <c r="G3" t="inlineStr">
        <is>
          <t>✓</t>
        </is>
      </c>
      <c r="H3" s="3" t="inlineStr">
        <is>
          <t>an matematis biasa akan menjumlahkan secara bertahap satu per satu. Namun dengan pendekatan berpikir komputasional melalui pengenalan pola, ditemukan bahwa penjumlahan bilangan di ujung kiri dan kanan selalu menghasilkan</t>
        </is>
      </c>
    </row>
    <row r="4">
      <c r="A4" t="n">
        <v>1</v>
      </c>
      <c r="B4" t="n">
        <v>3</v>
      </c>
      <c r="C4" t="inlineStr">
        <is>
          <t>GT_CT09.txt</t>
        </is>
      </c>
      <c r="D4" s="3" t="inlineStr">
        <is>
          <t>Pertemuan 9: Elemen Pseudocode — Variabel, Operator, Tipe Data, dan List</t>
        </is>
      </c>
      <c r="E4" t="n">
        <v>0.7336</v>
      </c>
      <c r="F4" t="inlineStr">
        <is>
          <t>✓</t>
        </is>
      </c>
      <c r="G4" t="inlineStr">
        <is>
          <t>✓</t>
        </is>
      </c>
      <c r="H4" s="3" t="inlineStr">
        <is>
          <t>ama dengan (==), tidak sama dengan (!=), lebih besar dari (&gt;), lebih kecil dari (&lt;), lebih besar atau sama dengan (&gt;=), dan lebih kecil atau sama dengan (&lt;=).  4. Logical Operator (Operator Logika): Digunakan untuk mengg</t>
        </is>
      </c>
    </row>
    <row r="5">
      <c r="A5" t="n">
        <v>1</v>
      </c>
      <c r="B5" t="n">
        <v>4</v>
      </c>
      <c r="C5" t="inlineStr">
        <is>
          <t>GT_CT03.txt</t>
        </is>
      </c>
      <c r="D5" s="3" t="inlineStr">
        <is>
          <t>Pertemuan 3: Problem Solving — Dekomposisi</t>
        </is>
      </c>
      <c r="E5" t="n">
        <v>0.727</v>
      </c>
      <c r="F5" t="inlineStr">
        <is>
          <t>✓</t>
        </is>
      </c>
      <c r="G5" t="inlineStr">
        <is>
          <t>✓</t>
        </is>
      </c>
      <c r="H5" s="3" t="inlineStr">
        <is>
          <t>pertama yang krusial adalah mengidentifikasi goal atau tujuan utama dari masalah tersebut, kemudian menentukan bagaimana masalah itu dapat didekomposisi menjadi sub-masalah yang lebih kecil.  Sebagai contoh latihan, pada</t>
        </is>
      </c>
    </row>
    <row r="6">
      <c r="A6" t="n">
        <v>1</v>
      </c>
      <c r="B6" t="n">
        <v>5</v>
      </c>
      <c r="C6" t="inlineStr">
        <is>
          <t>GT_DETAIL_PT09_Variabel_TipeData_Operator_List.txt</t>
        </is>
      </c>
      <c r="D6" s="3" t="inlineStr">
        <is>
          <t>Pertemuan 9: Elemen Pseudocode — Variabel, Tipe Data, Operator, List</t>
        </is>
      </c>
      <c r="E6" t="n">
        <v>0.7261</v>
      </c>
      <c r="F6" t="inlineStr">
        <is>
          <t>✓</t>
        </is>
      </c>
      <c r="G6" t="inlineStr">
        <is>
          <t>✓</t>
        </is>
      </c>
      <c r="H6" s="3" t="inlineStr">
        <is>
          <t xml:space="preserve"> T = F | F AND F = F     Tabel kebenaran OR:    T OR T = T | T OR F = T | F OR T = T | F OR F = F     NOT: NOT T = F | NOT F = T  5. Is Operator: memeriksa tipe atau identitas suatu nilai/objek.  G. LIST (ARRAY / SEQUENC</t>
        </is>
      </c>
    </row>
    <row r="7">
      <c r="A7" t="n">
        <v>1</v>
      </c>
      <c r="B7" t="n">
        <v>6</v>
      </c>
      <c r="C7" t="inlineStr">
        <is>
          <t>GT_SUBTOPIK_02_Abstraksi_Formulasi.txt</t>
        </is>
      </c>
      <c r="D7" s="3" t="inlineStr">
        <is>
          <t>Subtopik: Abstraksi — Formulasi Problem (Problem/Goal/Batasan/Data)</t>
        </is>
      </c>
      <c r="E7" t="n">
        <v>0.7258</v>
      </c>
      <c r="F7" t="inlineStr">
        <is>
          <t>✓</t>
        </is>
      </c>
      <c r="G7" t="inlineStr">
        <is>
          <t>✓</t>
        </is>
      </c>
      <c r="H7" s="3" t="inlineStr">
        <is>
          <t>bisa bergerak ke KANAN atau ke ATAS (tidak bisa balik/diagonal)   - Harus mulai dari S dan berakhir di F   - Semua permen di petak yang dilalui otomatis diambil DATA     :   - Grid dengan dimensi tertentu   - Jumlah perm</t>
        </is>
      </c>
    </row>
    <row r="8">
      <c r="A8" t="n">
        <v>2</v>
      </c>
      <c r="B8" t="n">
        <v>1</v>
      </c>
      <c r="C8" t="inlineStr">
        <is>
          <t>GT_CT11.txt</t>
        </is>
      </c>
      <c r="D8" s="3" t="inlineStr">
        <is>
          <t>Pertemuan 11: Algoritme — Struktur Kontrol Perulangan</t>
        </is>
      </c>
      <c r="E8" t="n">
        <v>0.7148</v>
      </c>
      <c r="F8" t="inlineStr">
        <is>
          <t>✓</t>
        </is>
      </c>
      <c r="G8" t="inlineStr">
        <is>
          <t>✓</t>
        </is>
      </c>
      <c r="H8" s="3" t="inlineStr">
        <is>
          <t>e, yaitu: 1. Iterasi Tetap: perulangan dengan jumlah pengulangan yang sudah ditentukan sejak awal (perulangan "for"). 2. Iterasi Berdasarkan Kondisi: perulangan yang berjalan selama kondisi tertentu terpenuhi, dengan jum</t>
        </is>
      </c>
    </row>
    <row r="9">
      <c r="A9" t="n">
        <v>2</v>
      </c>
      <c r="B9" t="n">
        <v>2</v>
      </c>
      <c r="C9" t="inlineStr">
        <is>
          <t>GT_DETAIL_PT09_Variabel_TipeData_Operator_List.txt</t>
        </is>
      </c>
      <c r="D9" s="3" t="inlineStr">
        <is>
          <t>Pertemuan 9: Elemen Pseudocode — Variabel, Tipe Data, Operator, List</t>
        </is>
      </c>
      <c r="E9" t="n">
        <v>0.7105</v>
      </c>
      <c r="F9" t="inlineStr">
        <is>
          <t>✓</t>
        </is>
      </c>
      <c r="G9" t="inlineStr">
        <is>
          <t>✓</t>
        </is>
      </c>
      <c r="H9" s="3" t="inlineStr">
        <is>
          <t xml:space="preserve">    | "Halo", "IPB" Boolean    | Nilai kebenaran (True/False)     | True, False Character  | Satu karakter tunggal            | 'A', 'b', '3'  F. OPERATOR  1. Assignment Operator: =    Contoh: x = 5  2. Arithmetic Operat</t>
        </is>
      </c>
    </row>
    <row r="10">
      <c r="A10" t="n">
        <v>2</v>
      </c>
      <c r="B10" t="n">
        <v>3</v>
      </c>
      <c r="C10" t="inlineStr">
        <is>
          <t>GT_DETAIL_PT04_Abstraksi.txt</t>
        </is>
      </c>
      <c r="D10" s="3" t="inlineStr">
        <is>
          <t>Pertemuan 4: Problem Solving — Abstraksi</t>
        </is>
      </c>
      <c r="E10" t="n">
        <v>0.6985</v>
      </c>
      <c r="F10" t="inlineStr">
        <is>
          <t>✓</t>
        </is>
      </c>
      <c r="G10" t="inlineStr">
        <is>
          <t>✓</t>
        </is>
      </c>
      <c r="H10" s="3" t="inlineStr">
        <is>
          <t xml:space="preserve">–6 (HOTS).  B. PROBLEM SOLVING — SYMPTOM vs. PROBLEM  Perbedaan krusial yang sering diabaikan:  SYMPTOM (Gejala): perbedaan antara fakta yang terjadi dengan hasil yang diharapkan. → Apa yang kita rasakan/amati.  PROBLEM </t>
        </is>
      </c>
    </row>
    <row r="11">
      <c r="A11" t="n">
        <v>2</v>
      </c>
      <c r="B11" t="n">
        <v>4</v>
      </c>
      <c r="C11" t="inlineStr">
        <is>
          <t>GT_DETAIL_PT11_Perulangan.txt</t>
        </is>
      </c>
      <c r="D11" s="3" t="inlineStr">
        <is>
          <t>Pertemuan 11: Struktur Kontrol — Perulangan</t>
        </is>
      </c>
      <c r="E11" t="n">
        <v>0.6985</v>
      </c>
      <c r="F11" t="inlineStr">
        <is>
          <t>✓</t>
        </is>
      </c>
      <c r="G11" t="inlineStr">
        <is>
          <t>✓</t>
        </is>
      </c>
      <c r="H11" s="3" t="inlineStr">
        <is>
          <t>an: - Kondisi dievaluasi SEBELUM body dijalankan - Jika kondisi False sejak awal → body tidak pernah dijalankan - Jika kondisi tidak pernah False → infinite loop (hindari!) - Body HARUS mengubah sesuatu yang mempengaruhi</t>
        </is>
      </c>
    </row>
    <row r="12">
      <c r="A12" t="n">
        <v>2</v>
      </c>
      <c r="B12" t="n">
        <v>5</v>
      </c>
      <c r="C12" t="inlineStr">
        <is>
          <t>GT_SUBTOPIK_05_Pseudocode_Algoritme.txt</t>
        </is>
      </c>
      <c r="D12" s="3" t="inlineStr">
        <is>
          <t>Subtopik: Pseudocode dan Notasi Algoritme</t>
        </is>
      </c>
      <c r="E12" t="n">
        <v>0.6957</v>
      </c>
      <c r="F12" t="inlineStr">
        <is>
          <t>✓</t>
        </is>
      </c>
      <c r="G12" t="inlineStr">
        <is>
          <t>✓</t>
        </is>
      </c>
      <c r="H12" s="3">
        <f>=============================================================== GROUND TRUTH SUBTOPIK — KOM2102 COMPUTATIONAL THINKING Subtopik: Pseudocode dan Notasi Algoritme ==========================================================</f>
        <v/>
      </c>
    </row>
    <row r="13">
      <c r="A13" t="n">
        <v>2</v>
      </c>
      <c r="B13" t="n">
        <v>6</v>
      </c>
      <c r="C13" t="inlineStr">
        <is>
          <t>GT_CT09.txt</t>
        </is>
      </c>
      <c r="D13" s="3" t="inlineStr">
        <is>
          <t>Pertemuan 9: Elemen Pseudocode — Variabel, Operator, Tipe Data, dan List</t>
        </is>
      </c>
      <c r="E13" t="n">
        <v>0.6915</v>
      </c>
      <c r="F13" t="inlineStr">
        <is>
          <t>✓</t>
        </is>
      </c>
      <c r="G13" t="inlineStr">
        <is>
          <t>✓</t>
        </is>
      </c>
      <c r="H13" s="3" t="inlineStr">
        <is>
          <t>ama dengan (==), tidak sama dengan (!=), lebih besar dari (&gt;), lebih kecil dari (&lt;), lebih besar atau sama dengan (&gt;=), dan lebih kecil atau sama dengan (&lt;=).  4. Logical Operator (Operator Logika): Digunakan untuk mengg</t>
        </is>
      </c>
    </row>
    <row r="14">
      <c r="A14" t="n">
        <v>3</v>
      </c>
      <c r="B14" t="n">
        <v>1</v>
      </c>
      <c r="C14" t="inlineStr">
        <is>
          <t>GT_CT01.txt</t>
        </is>
      </c>
      <c r="D14" s="3" t="inlineStr">
        <is>
          <t>Pertemuan 1: Kontrak Perkuliahan dan Pendahuluan</t>
        </is>
      </c>
      <c r="E14" t="n">
        <v>0.7575</v>
      </c>
      <c r="F14" t="inlineStr">
        <is>
          <t>✓</t>
        </is>
      </c>
      <c r="G14" t="inlineStr">
        <is>
          <t>✓</t>
        </is>
      </c>
      <c r="H14" s="3" t="inlineStr">
        <is>
          <t xml:space="preserve"> dunia komputasi yang ditandai oleh perkembangan pesat kecerdasan buatan (Artificial Intelligence/AI). Salah satu tonggak penting dalam era ini adalah kemunculan ChatGPT yang diakui sebagai game changer dalam dunia tekno</t>
        </is>
      </c>
    </row>
    <row r="15">
      <c r="A15" t="n">
        <v>3</v>
      </c>
      <c r="B15" t="n">
        <v>2</v>
      </c>
      <c r="C15" t="inlineStr">
        <is>
          <t>GT_DETAIL_PT01_Pendahuluan.txt</t>
        </is>
      </c>
      <c r="D15" s="3" t="inlineStr">
        <is>
          <t>Pertemuan 1: Pendahuluan &amp; Kontrak Perkuliahan</t>
        </is>
      </c>
      <c r="E15" t="n">
        <v>0.7366</v>
      </c>
      <c r="F15" t="inlineStr">
        <is>
          <t>✓</t>
        </is>
      </c>
      <c r="G15" t="inlineStr">
        <is>
          <t>✓</t>
        </is>
      </c>
      <c r="H15" s="3" t="inlineStr">
        <is>
          <t>n      : Fokus hanya pada informasi penting: nama mata kuliah, jumlah SKS, jadwal                      kuliah tetap, dan preferensi waktu belajar. Mengabaikan detail seperti                      konten setiap mata kuliah</t>
        </is>
      </c>
    </row>
    <row r="16">
      <c r="A16" t="n">
        <v>3</v>
      </c>
      <c r="B16" t="n">
        <v>3</v>
      </c>
      <c r="C16" t="inlineStr">
        <is>
          <t>GT_DETAIL_PT02_ICT_Literacy_Ethics.txt</t>
        </is>
      </c>
      <c r="D16" s="3" t="inlineStr">
        <is>
          <t>Pertemuan 2: ICT Literacy and Ethics</t>
        </is>
      </c>
      <c r="E16" t="n">
        <v>0.7297</v>
      </c>
      <c r="F16" t="inlineStr">
        <is>
          <t>✓</t>
        </is>
      </c>
      <c r="G16" t="inlineStr">
        <is>
          <t>✓</t>
        </is>
      </c>
      <c r="H16" s="3" t="inlineStr">
        <is>
          <t xml:space="preserve">ngawasan dan Tanggung Jawab: perkembangan teknologi tidak selalu    diimbangi mekanisme akuntabilitas yang memadai. 4. Pemanfaatan AI: bias algoritmik, privasi data, dampak sosial otomatisasi. 5. Teknologi Otonom: mobil </t>
        </is>
      </c>
    </row>
    <row r="17">
      <c r="A17" t="n">
        <v>3</v>
      </c>
      <c r="B17" t="n">
        <v>4</v>
      </c>
      <c r="C17" t="inlineStr">
        <is>
          <t>GT_CT02.txt</t>
        </is>
      </c>
      <c r="D17" s="3" t="inlineStr">
        <is>
          <t>Pertemuan 2: ICT Literacy and Ethics</t>
        </is>
      </c>
      <c r="E17" t="n">
        <v>0.7256</v>
      </c>
      <c r="F17" t="inlineStr">
        <is>
          <t>✓</t>
        </is>
      </c>
      <c r="G17" t="inlineStr">
        <is>
          <t>✓</t>
        </is>
      </c>
      <c r="H17" s="3" t="inlineStr">
        <is>
          <t>awasan dan Tanggung Jawab: Perkembangan teknologi yang cepat seringkali tidak diimbangi dengan mekanisme pengawasan dan akuntabilitas yang memadai dari para pengembang maupun pengguna teknologi.  4. Pemanfaatan AI: Kecer</t>
        </is>
      </c>
    </row>
    <row r="18">
      <c r="A18" t="n">
        <v>3</v>
      </c>
      <c r="B18" t="n">
        <v>5</v>
      </c>
      <c r="C18" t="inlineStr">
        <is>
          <t>GT_CT06.txt</t>
        </is>
      </c>
      <c r="D18" s="3" t="inlineStr">
        <is>
          <t>Pertemuan 6: Pengenalan Algoritme &amp; Block Programming</t>
        </is>
      </c>
      <c r="E18" t="n">
        <v>0.7154</v>
      </c>
      <c r="F18" t="inlineStr">
        <is>
          <t>✓</t>
        </is>
      </c>
      <c r="G18" t="inlineStr">
        <is>
          <t>✓</t>
        </is>
      </c>
      <c r="H18" s="3" t="inlineStr">
        <is>
          <t>mudah dan lebih mudah diakses, terutama bagi pemula.  Block programming adalah metode pemrograman yang menggunakan blok-blok visual berbentuk puzzle yang dapat disusun dengan cara drag and drop, sehingga relatif lebih mu</t>
        </is>
      </c>
    </row>
    <row r="19">
      <c r="A19" t="n">
        <v>3</v>
      </c>
      <c r="B19" t="n">
        <v>6</v>
      </c>
      <c r="C19" t="inlineStr">
        <is>
          <t>GT_DETAIL_PT04_Abstraksi.txt</t>
        </is>
      </c>
      <c r="D19" s="3" t="inlineStr">
        <is>
          <t>Pertemuan 4: Problem Solving — Abstraksi</t>
        </is>
      </c>
      <c r="E19" t="n">
        <v>0.7151999999999999</v>
      </c>
      <c r="F19" t="inlineStr">
        <is>
          <t>✓</t>
        </is>
      </c>
      <c r="G19" t="inlineStr">
        <is>
          <t>✓</t>
        </is>
      </c>
      <c r="H19" s="3" t="inlineStr">
        <is>
          <t xml:space="preserve">    Batasan   : robot hanya bisa bergerak ke kanan atau ke atas    Data      : peta petak dengan jumlah permen (0–3) di setiap petak  ---------------------------------------------------------------- CONTOH SOAL DAN PEMBA</t>
        </is>
      </c>
    </row>
    <row r="20">
      <c r="A20" t="n">
        <v>4</v>
      </c>
      <c r="B20" t="n">
        <v>1</v>
      </c>
      <c r="C20" t="inlineStr">
        <is>
          <t>GT_CT09.txt</t>
        </is>
      </c>
      <c r="D20" s="3" t="inlineStr">
        <is>
          <t>Pertemuan 9: Elemen Pseudocode — Variabel, Operator, Tipe Data, dan List</t>
        </is>
      </c>
      <c r="E20" t="n">
        <v>0.7173</v>
      </c>
      <c r="F20" t="inlineStr">
        <is>
          <t>✓</t>
        </is>
      </c>
      <c r="G20" t="inlineStr">
        <is>
          <t>✓</t>
        </is>
      </c>
      <c r="H20" s="3" t="inlineStr">
        <is>
          <t>ama dengan (==), tidak sama dengan (!=), lebih besar dari (&gt;), lebih kecil dari (&lt;), lebih besar atau sama dengan (&gt;=), dan lebih kecil atau sama dengan (&lt;=).  4. Logical Operator (Operator Logika): Digunakan untuk mengg</t>
        </is>
      </c>
    </row>
    <row r="21">
      <c r="A21" t="n">
        <v>4</v>
      </c>
      <c r="B21" t="n">
        <v>2</v>
      </c>
      <c r="C21" t="inlineStr">
        <is>
          <t>GT_CT07.txt</t>
        </is>
      </c>
      <c r="D21" s="3" t="inlineStr">
        <is>
          <t>Pertemuan 7: Algoritme — Notasi Algoritme</t>
        </is>
      </c>
      <c r="E21" t="n">
        <v>0.7139</v>
      </c>
      <c r="F21" t="inlineStr">
        <is>
          <t>✓</t>
        </is>
      </c>
      <c r="G21" t="inlineStr">
        <is>
          <t>✓</t>
        </is>
      </c>
      <c r="H21" s="3" t="inlineStr">
        <is>
          <t>) dan selisih angka yang dicari (d). Output: banyaknya pasangan bilangan dengan selisih sebesar d (p). Proses: (a) Urutkan n bilangan secara menaik menjadi m1, m2, ..., mn; (b) Inisialisasi p = 0; (c) Untuk setiap i dari</t>
        </is>
      </c>
    </row>
    <row r="22">
      <c r="A22" t="n">
        <v>4</v>
      </c>
      <c r="B22" t="n">
        <v>3</v>
      </c>
      <c r="C22" t="inlineStr">
        <is>
          <t>GT_SUBTOPIK_01_Dekomposisi_Optimasi.txt</t>
        </is>
      </c>
      <c r="D22" s="3" t="inlineStr">
        <is>
          <t>Subtopik: Dekomposisi — Optimasi dan Pemecahan Masalah Terstruktur</t>
        </is>
      </c>
      <c r="E22" t="n">
        <v>0.7037</v>
      </c>
      <c r="F22" t="inlineStr">
        <is>
          <t>✓</t>
        </is>
      </c>
      <c r="G22" t="inlineStr">
        <is>
          <t>✓</t>
        </is>
      </c>
      <c r="H22" s="3" t="inlineStr">
        <is>
          <t>L 5 — Dekomposisi Algoritme FPB] Dekomposisikan masalah "mencari FPB dari tiga bilangan a, b, c" menjadi sub-masalah yang lebih kecil!  JAWABAN: Dekomposisi: - Sub-masalah 1: cari FPB(a, b) → hasil1 - Sub-masalah 2: cari</t>
        </is>
      </c>
    </row>
    <row r="23">
      <c r="A23" t="n">
        <v>4</v>
      </c>
      <c r="B23" t="n">
        <v>4</v>
      </c>
      <c r="C23" t="inlineStr">
        <is>
          <t>GT_DETAIL_PT04_Abstraksi.txt</t>
        </is>
      </c>
      <c r="D23" s="3" t="inlineStr">
        <is>
          <t>Pertemuan 4: Problem Solving — Abstraksi</t>
        </is>
      </c>
      <c r="E23" t="n">
        <v>0.6939</v>
      </c>
      <c r="F23" t="inlineStr">
        <is>
          <t>✓</t>
        </is>
      </c>
      <c r="G23" t="inlineStr">
        <is>
          <t>✓</t>
        </is>
      </c>
      <c r="H23" s="3" t="inlineStr">
        <is>
          <t xml:space="preserve">–6 (HOTS).  B. PROBLEM SOLVING — SYMPTOM vs. PROBLEM  Perbedaan krusial yang sering diabaikan:  SYMPTOM (Gejala): perbedaan antara fakta yang terjadi dengan hasil yang diharapkan. → Apa yang kita rasakan/amati.  PROBLEM </t>
        </is>
      </c>
    </row>
    <row r="24">
      <c r="A24" t="n">
        <v>4</v>
      </c>
      <c r="B24" t="n">
        <v>5</v>
      </c>
      <c r="C24" t="inlineStr">
        <is>
          <t>GT_CT03.txt</t>
        </is>
      </c>
      <c r="D24" s="3" t="inlineStr">
        <is>
          <t>Pertemuan 3: Problem Solving — Dekomposisi</t>
        </is>
      </c>
      <c r="E24" t="n">
        <v>0.6933</v>
      </c>
      <c r="F24" t="inlineStr">
        <is>
          <t>✓</t>
        </is>
      </c>
      <c r="G24" t="inlineStr">
        <is>
          <t>✓</t>
        </is>
      </c>
      <c r="H24" s="3" t="inlineStr">
        <is>
          <t xml:space="preserve"> terstruktur dan sistematis. Kata kunci dari konsep dekomposisi adalah: BREAKING BIG PROBLEMS INTO SMALLER AND EASIER TO MANAGE PROBLEMS.  Prinsip dekomposisi mengikuti pola hierarkis, di mana sebuah masalah besar (misal</t>
        </is>
      </c>
    </row>
    <row r="25">
      <c r="A25" t="n">
        <v>4</v>
      </c>
      <c r="B25" t="n">
        <v>6</v>
      </c>
      <c r="C25" t="inlineStr">
        <is>
          <t>GT_DETAIL_PT01_Pendahuluan.txt</t>
        </is>
      </c>
      <c r="D25" s="3" t="inlineStr">
        <is>
          <t>Pertemuan 1: Pendahuluan &amp; Kontrak Perkuliahan</t>
        </is>
      </c>
      <c r="E25" t="n">
        <v>0.6932</v>
      </c>
      <c r="F25" t="inlineStr">
        <is>
          <t>✓</t>
        </is>
      </c>
      <c r="G25" t="inlineStr">
        <is>
          <t>✓</t>
        </is>
      </c>
      <c r="H25" s="3" t="inlineStr">
        <is>
          <t>n      : Fokus hanya pada informasi penting: nama mata kuliah, jumlah SKS, jadwal                      kuliah tetap, dan preferensi waktu belajar. Mengabaikan detail seperti                      konten setiap mata kuliah</t>
        </is>
      </c>
    </row>
    <row r="26">
      <c r="A26" t="n">
        <v>5</v>
      </c>
      <c r="B26" t="n">
        <v>1</v>
      </c>
      <c r="C26" t="inlineStr">
        <is>
          <t>GT_DETAIL_PT02_ICT_Literacy_Ethics.txt</t>
        </is>
      </c>
      <c r="D26" s="3" t="inlineStr">
        <is>
          <t>Pertemuan 2: ICT Literacy and Ethics</t>
        </is>
      </c>
      <c r="E26" t="n">
        <v>0.7281</v>
      </c>
      <c r="F26" t="inlineStr">
        <is>
          <t>✓</t>
        </is>
      </c>
      <c r="G26" t="inlineStr">
        <is>
          <t>✓</t>
        </is>
      </c>
      <c r="H26" s="3" t="inlineStr">
        <is>
          <t>si    d) Media (foto/video) palsu atau dimanipulasi    Gerakan Anti Hoax: turnbackhoax.id  ---------------------------------------------------------------- CONTOH SOAL DAN PEMBAHASAN -------------------------------------</t>
        </is>
      </c>
    </row>
    <row r="27">
      <c r="A27" t="n">
        <v>5</v>
      </c>
      <c r="B27" t="n">
        <v>2</v>
      </c>
      <c r="C27" t="inlineStr">
        <is>
          <t>GT_DETAIL_PT02_ICT_Literacy_Ethics.txt</t>
        </is>
      </c>
      <c r="D27" s="3" t="inlineStr">
        <is>
          <t>Pertemuan 2: ICT Literacy and Ethics</t>
        </is>
      </c>
      <c r="E27" t="n">
        <v>0.7063</v>
      </c>
      <c r="F27" t="inlineStr">
        <is>
          <t>✓</t>
        </is>
      </c>
      <c r="G27" t="inlineStr">
        <is>
          <t>✓</t>
        </is>
      </c>
      <c r="H27" s="3" t="inlineStr">
        <is>
          <t>L!!", huruf kapital seluruhnya, klaim    penyembuhan dalam 3 jam yang tidak masuk akal. b) Kredibilitas situs meragukan: menggunakan platform blog gratis (blogspot.com) dengan    nama domain tidak profesional. c) Klaim t</t>
        </is>
      </c>
    </row>
    <row r="28">
      <c r="A28" t="n">
        <v>5</v>
      </c>
      <c r="B28" t="n">
        <v>3</v>
      </c>
      <c r="C28" t="inlineStr">
        <is>
          <t>GT_CT01.txt</t>
        </is>
      </c>
      <c r="D28" s="3" t="inlineStr">
        <is>
          <t>Pertemuan 1: Kontrak Perkuliahan dan Pendahuluan</t>
        </is>
      </c>
      <c r="E28" t="n">
        <v>0.706</v>
      </c>
      <c r="F28" t="inlineStr">
        <is>
          <t>✓</t>
        </is>
      </c>
      <c r="G28" t="inlineStr">
        <is>
          <t>✓</t>
        </is>
      </c>
      <c r="H28" s="3" t="inlineStr">
        <is>
          <t xml:space="preserve"> dunia komputasi yang ditandai oleh perkembangan pesat kecerdasan buatan (Artificial Intelligence/AI). Salah satu tonggak penting dalam era ini adalah kemunculan ChatGPT yang diakui sebagai game changer dalam dunia tekno</t>
        </is>
      </c>
    </row>
    <row r="29">
      <c r="A29" t="n">
        <v>5</v>
      </c>
      <c r="B29" t="n">
        <v>4</v>
      </c>
      <c r="C29" t="inlineStr">
        <is>
          <t>GT_DETAIL_PT02_ICT_Literacy_Ethics.txt</t>
        </is>
      </c>
      <c r="D29" s="3" t="inlineStr">
        <is>
          <t>Pertemuan 2: ICT Literacy and Ethics</t>
        </is>
      </c>
      <c r="E29" t="n">
        <v>0.7015</v>
      </c>
      <c r="F29" t="inlineStr">
        <is>
          <t>✓</t>
        </is>
      </c>
      <c r="G29" t="inlineStr">
        <is>
          <t>✓</t>
        </is>
      </c>
      <c r="H29" s="3" t="inlineStr">
        <is>
          <t xml:space="preserve">ngawasan dan Tanggung Jawab: perkembangan teknologi tidak selalu    diimbangi mekanisme akuntabilitas yang memadai. 4. Pemanfaatan AI: bias algoritmik, privasi data, dampak sosial otomatisasi. 5. Teknologi Otonom: mobil </t>
        </is>
      </c>
    </row>
    <row r="30">
      <c r="A30" t="n">
        <v>5</v>
      </c>
      <c r="B30" t="n">
        <v>5</v>
      </c>
      <c r="C30" t="inlineStr">
        <is>
          <t>GT_DETAIL_PT01_Pendahuluan.txt</t>
        </is>
      </c>
      <c r="D30" s="3" t="inlineStr">
        <is>
          <t>Pertemuan 1: Pendahuluan &amp; Kontrak Perkuliahan</t>
        </is>
      </c>
      <c r="E30" t="n">
        <v>0.6972</v>
      </c>
      <c r="F30" t="inlineStr">
        <is>
          <t>✓</t>
        </is>
      </c>
      <c r="G30" t="inlineStr">
        <is>
          <t>✓</t>
        </is>
      </c>
      <c r="H30" s="3" t="inlineStr">
        <is>
          <t>n      : Fokus hanya pada informasi penting: nama mata kuliah, jumlah SKS, jadwal                      kuliah tetap, dan preferensi waktu belajar. Mengabaikan detail seperti                      konten setiap mata kuliah</t>
        </is>
      </c>
    </row>
    <row r="31">
      <c r="A31" t="n">
        <v>5</v>
      </c>
      <c r="B31" t="n">
        <v>6</v>
      </c>
      <c r="C31" t="inlineStr">
        <is>
          <t>GT_CT02.txt</t>
        </is>
      </c>
      <c r="D31" s="3" t="inlineStr">
        <is>
          <t>Pertemuan 2: ICT Literacy and Ethics</t>
        </is>
      </c>
      <c r="E31" t="n">
        <v>0.6887</v>
      </c>
      <c r="F31" t="inlineStr">
        <is>
          <t>✓</t>
        </is>
      </c>
      <c r="G31" t="inlineStr">
        <is>
          <t>✓</t>
        </is>
      </c>
      <c r="H31" s="3" t="inlineStr">
        <is>
          <t>saha untuk menipu atau mengakali masyarakat agar mempercayai sesuatu yang tidak benar. Hoax dapat dikenali dari beberapa ciri khas, yaitu: judul yang bersifat provokatif dan sensasional; kredibilitas alamat situs yang me</t>
        </is>
      </c>
    </row>
    <row r="32">
      <c r="A32" t="n">
        <v>6</v>
      </c>
      <c r="B32" t="n">
        <v>1</v>
      </c>
      <c r="C32" t="inlineStr">
        <is>
          <t>GT_CT07.txt</t>
        </is>
      </c>
      <c r="D32" s="3" t="inlineStr">
        <is>
          <t>Pertemuan 7: Algoritme — Notasi Algoritme</t>
        </is>
      </c>
      <c r="E32" t="n">
        <v>0.7719</v>
      </c>
      <c r="F32" t="inlineStr">
        <is>
          <t>✓</t>
        </is>
      </c>
      <c r="G32" t="inlineStr">
        <is>
          <t>✓</t>
        </is>
      </c>
      <c r="H32" s="3" t="inlineStr">
        <is>
          <t>) dan selisih angka yang dicari (d). Output: banyaknya pasangan bilangan dengan selisih sebesar d (p). Proses: (a) Urutkan n bilangan secara menaik menjadi m1, m2, ..., mn; (b) Inisialisasi p = 0; (c) Untuk setiap i dari</t>
        </is>
      </c>
    </row>
    <row r="33">
      <c r="A33" t="n">
        <v>6</v>
      </c>
      <c r="B33" t="n">
        <v>2</v>
      </c>
      <c r="C33" t="inlineStr">
        <is>
          <t>GT_DETAIL_PT01_Pendahuluan.txt</t>
        </is>
      </c>
      <c r="D33" s="3" t="inlineStr">
        <is>
          <t>Pertemuan 1: Pendahuluan &amp; Kontrak Perkuliahan</t>
        </is>
      </c>
      <c r="E33" t="n">
        <v>0.7371</v>
      </c>
      <c r="F33" t="inlineStr">
        <is>
          <t>✓</t>
        </is>
      </c>
      <c r="G33" t="inlineStr">
        <is>
          <t>✓</t>
        </is>
      </c>
      <c r="H33" s="3" t="inlineStr">
        <is>
          <t>n      : Fokus hanya pada informasi penting: nama mata kuliah, jumlah SKS, jadwal                      kuliah tetap, dan preferensi waktu belajar. Mengabaikan detail seperti                      konten setiap mata kuliah</t>
        </is>
      </c>
    </row>
    <row r="34">
      <c r="A34" t="n">
        <v>6</v>
      </c>
      <c r="B34" t="n">
        <v>3</v>
      </c>
      <c r="C34" t="inlineStr">
        <is>
          <t>GT_CT01.txt</t>
        </is>
      </c>
      <c r="D34" s="3" t="inlineStr">
        <is>
          <t>Pertemuan 1: Kontrak Perkuliahan dan Pendahuluan</t>
        </is>
      </c>
      <c r="E34" t="n">
        <v>0.7328</v>
      </c>
      <c r="F34" t="inlineStr">
        <is>
          <t>✓</t>
        </is>
      </c>
      <c r="G34" t="inlineStr">
        <is>
          <t>✓</t>
        </is>
      </c>
      <c r="H34" s="3" t="inlineStr">
        <is>
          <t xml:space="preserve"> dunia komputasi yang ditandai oleh perkembangan pesat kecerdasan buatan (Artificial Intelligence/AI). Salah satu tonggak penting dalam era ini adalah kemunculan ChatGPT yang diakui sebagai game changer dalam dunia tekno</t>
        </is>
      </c>
    </row>
    <row r="35">
      <c r="A35" t="n">
        <v>6</v>
      </c>
      <c r="B35" t="n">
        <v>4</v>
      </c>
      <c r="C35" t="inlineStr">
        <is>
          <t>GT_CT09.txt</t>
        </is>
      </c>
      <c r="D35" s="3" t="inlineStr">
        <is>
          <t>Pertemuan 9: Elemen Pseudocode — Variabel, Operator, Tipe Data, dan List</t>
        </is>
      </c>
      <c r="E35" t="n">
        <v>0.7327</v>
      </c>
      <c r="F35" t="inlineStr">
        <is>
          <t>✓</t>
        </is>
      </c>
      <c r="G35" t="inlineStr">
        <is>
          <t>✓</t>
        </is>
      </c>
      <c r="H35" s="3" t="inlineStr">
        <is>
          <t>ama dengan (==), tidak sama dengan (!=), lebih besar dari (&gt;), lebih kecil dari (&lt;), lebih besar atau sama dengan (&gt;=), dan lebih kecil atau sama dengan (&lt;=).  4. Logical Operator (Operator Logika): Digunakan untuk mengg</t>
        </is>
      </c>
    </row>
    <row r="36">
      <c r="A36" t="n">
        <v>6</v>
      </c>
      <c r="B36" t="n">
        <v>5</v>
      </c>
      <c r="C36" t="inlineStr">
        <is>
          <t>GT_DETAIL_PT01_Pendahuluan.txt</t>
        </is>
      </c>
      <c r="D36" s="3" t="inlineStr">
        <is>
          <t>Pertemuan 1: Pendahuluan &amp; Kontrak Perkuliahan</t>
        </is>
      </c>
      <c r="E36" t="n">
        <v>0.7233000000000001</v>
      </c>
      <c r="F36" t="inlineStr">
        <is>
          <t>✓</t>
        </is>
      </c>
      <c r="G36" t="inlineStr">
        <is>
          <t>✓</t>
        </is>
      </c>
      <c r="H36" s="3" t="inlineStr">
        <is>
          <t>afis. - Pattern Recognition: Mencari pola: apakah hoaks lebih sering menyebar di jam tertentu?                        Apakah ada kesamaan karakteristik akun yang sering menyebarkan hoaks? - Algorithm        : Merancang l</t>
        </is>
      </c>
    </row>
    <row r="37">
      <c r="A37" t="n">
        <v>6</v>
      </c>
      <c r="B37" t="n">
        <v>6</v>
      </c>
      <c r="C37" t="inlineStr">
        <is>
          <t>GT_DETAIL_PT01_Pendahuluan.txt</t>
        </is>
      </c>
      <c r="D37" s="3" t="inlineStr">
        <is>
          <t>Pertemuan 1: Pendahuluan &amp; Kontrak Perkuliahan</t>
        </is>
      </c>
      <c r="E37" t="n">
        <v>0.7213000000000001</v>
      </c>
      <c r="F37" t="inlineStr">
        <is>
          <t>✓</t>
        </is>
      </c>
      <c r="G37" t="inlineStr">
        <is>
          <t>✓</t>
        </is>
      </c>
      <c r="H37" s="3" t="inlineStr">
        <is>
          <t xml:space="preserve">erhadap masalah — kemampuan kognitif untuk memformulasikan masalah dan solusinya secara sistematis. Belajar pemrograman adalah keterampilan teknis untuk menuliskan instruksi dalam bahasa pemrograman tertentu.  Mahasiswa </t>
        </is>
      </c>
    </row>
    <row r="38">
      <c r="A38" t="n">
        <v>7</v>
      </c>
      <c r="B38" t="n">
        <v>1</v>
      </c>
      <c r="C38" t="inlineStr">
        <is>
          <t>GT_CT02.txt</t>
        </is>
      </c>
      <c r="D38" s="3" t="inlineStr">
        <is>
          <t>Pertemuan 2: ICT Literacy and Ethics</t>
        </is>
      </c>
      <c r="E38" t="n">
        <v>0.7667</v>
      </c>
      <c r="F38" t="inlineStr">
        <is>
          <t>✓</t>
        </is>
      </c>
      <c r="G38" t="inlineStr">
        <is>
          <t>✓</t>
        </is>
      </c>
      <c r="H38" s="3" t="inlineStr">
        <is>
          <t>d ke-21.  Terdapat empat dilema etika utama dalam penggunaan teknologi informasi yang dirumuskan berdasarkan perspektif Aristotelian (Michael D. Myers &amp; Leigh Miller, 1996), yaitu:  1. Akurasi Informasi: Penyebaran infor</t>
        </is>
      </c>
    </row>
    <row r="39">
      <c r="A39" t="n">
        <v>7</v>
      </c>
      <c r="B39" t="n">
        <v>2</v>
      </c>
      <c r="C39" t="inlineStr">
        <is>
          <t>GT_CT02.txt</t>
        </is>
      </c>
      <c r="D39" s="3" t="inlineStr">
        <is>
          <t>Pertemuan 2: ICT Literacy and Ethics</t>
        </is>
      </c>
      <c r="E39" t="n">
        <v>0.7634</v>
      </c>
      <c r="F39" t="inlineStr">
        <is>
          <t>✓</t>
        </is>
      </c>
      <c r="G39" t="inlineStr">
        <is>
          <t>✓</t>
        </is>
      </c>
      <c r="H39" s="3" t="inlineStr">
        <is>
          <t>knologi informasi dan komunikasi tidak lepas dari risiko terhadap kesehatan dan keselamatan penggunanya. Salah satu bahaya yang perlu diwaspadai adalah cyber bullying (perundungan di dunia maya), pencurian identitas, dan</t>
        </is>
      </c>
    </row>
    <row r="40">
      <c r="A40" t="n">
        <v>7</v>
      </c>
      <c r="B40" t="n">
        <v>3</v>
      </c>
      <c r="C40" t="inlineStr">
        <is>
          <t>GT_SUBTOPIK_02_Abstraksi_Formulasi.txt</t>
        </is>
      </c>
      <c r="D40" s="3" t="inlineStr">
        <is>
          <t>Subtopik: Abstraksi — Formulasi Problem (Problem/Goal/Batasan/Data)</t>
        </is>
      </c>
      <c r="E40" t="n">
        <v>0.744</v>
      </c>
      <c r="F40" t="inlineStr">
        <is>
          <t>✓</t>
        </is>
      </c>
      <c r="G40" t="inlineStr">
        <is>
          <t>✓</t>
        </is>
      </c>
      <c r="H40" s="3" t="inlineStr">
        <is>
          <t xml:space="preserve"> aus, atau printer tidak dibersihkan secara berkala.    Abstraksi: fokus pada frekuensi dan kondisi saat macet →    apakah selalu dengan kertas tertentu? Setelah sekian lembar?  [SOAL 7 — Abstraksi Data] Diberikan datase</t>
        </is>
      </c>
    </row>
    <row r="41">
      <c r="A41" t="n">
        <v>7</v>
      </c>
      <c r="B41" t="n">
        <v>4</v>
      </c>
      <c r="C41" t="inlineStr">
        <is>
          <t>GT_DETAIL_PT01_Pendahuluan.txt</t>
        </is>
      </c>
      <c r="D41" s="3" t="inlineStr">
        <is>
          <t>Pertemuan 1: Pendahuluan &amp; Kontrak Perkuliahan</t>
        </is>
      </c>
      <c r="E41" t="n">
        <v>0.7403999999999999</v>
      </c>
      <c r="F41" t="inlineStr">
        <is>
          <t>✓</t>
        </is>
      </c>
      <c r="G41" t="inlineStr">
        <is>
          <t>✓</t>
        </is>
      </c>
      <c r="H41" s="3" t="inlineStr">
        <is>
          <t>n      : Fokus hanya pada informasi penting: nama mata kuliah, jumlah SKS, jadwal                      kuliah tetap, dan preferensi waktu belajar. Mengabaikan detail seperti                      konten setiap mata kuliah</t>
        </is>
      </c>
    </row>
    <row r="42">
      <c r="A42" t="n">
        <v>7</v>
      </c>
      <c r="B42" t="n">
        <v>5</v>
      </c>
      <c r="C42" t="inlineStr">
        <is>
          <t>GT_DETAIL_PT02_ICT_Literacy_Ethics.txt</t>
        </is>
      </c>
      <c r="D42" s="3" t="inlineStr">
        <is>
          <t>Pertemuan 2: ICT Literacy and Ethics</t>
        </is>
      </c>
      <c r="E42" t="n">
        <v>0.7339</v>
      </c>
      <c r="F42" t="inlineStr">
        <is>
          <t>✓</t>
        </is>
      </c>
      <c r="G42" t="inlineStr">
        <is>
          <t>✓</t>
        </is>
      </c>
      <c r="H42" s="3" t="inlineStr">
        <is>
          <t xml:space="preserve"> informasi pribadi orang tersebut. Undang-undang mana yang berpotensi dilanggar? Jelaskan alasannya!  JAWABAN: Dua undang-undang yang berpotensi dilanggar: 1. UU No. 27 Tahun 2022 tentang Perlindungan Data Pribadi: karen</t>
        </is>
      </c>
    </row>
    <row r="43">
      <c r="A43" t="n">
        <v>7</v>
      </c>
      <c r="B43" t="n">
        <v>6</v>
      </c>
      <c r="C43" t="inlineStr">
        <is>
          <t>GT_DETAIL_PT02_ICT_Literacy_Ethics.txt</t>
        </is>
      </c>
      <c r="D43" s="3" t="inlineStr">
        <is>
          <t>Pertemuan 2: ICT Literacy and Ethics</t>
        </is>
      </c>
      <c r="E43" t="n">
        <v>0.7304</v>
      </c>
      <c r="F43" t="inlineStr">
        <is>
          <t>✓</t>
        </is>
      </c>
      <c r="G43" t="inlineStr">
        <is>
          <t>✓</t>
        </is>
      </c>
      <c r="H43" s="3" t="inlineStr">
        <is>
          <t>si    d) Media (foto/video) palsu atau dimanipulasi    Gerakan Anti Hoax: turnbackhoax.id  ---------------------------------------------------------------- CONTOH SOAL DAN PEMBAHASAN -------------------------------------</t>
        </is>
      </c>
    </row>
    <row r="44">
      <c r="A44" t="n">
        <v>8</v>
      </c>
      <c r="B44" t="n">
        <v>1</v>
      </c>
      <c r="C44" t="inlineStr">
        <is>
          <t>GT_CT03.txt</t>
        </is>
      </c>
      <c r="D44" s="3" t="inlineStr">
        <is>
          <t>Pertemuan 3: Problem Solving — Dekomposisi</t>
        </is>
      </c>
      <c r="E44" t="n">
        <v>0.7311</v>
      </c>
      <c r="F44" t="inlineStr">
        <is>
          <t>✓</t>
        </is>
      </c>
      <c r="G44" t="inlineStr">
        <is>
          <t>✓</t>
        </is>
      </c>
      <c r="H44" s="3" t="inlineStr">
        <is>
          <t xml:space="preserve"> terstruktur dan sistematis. Kata kunci dari konsep dekomposisi adalah: BREAKING BIG PROBLEMS INTO SMALLER AND EASIER TO MANAGE PROBLEMS.  Prinsip dekomposisi mengikuti pola hierarkis, di mana sebuah masalah besar (misal</t>
        </is>
      </c>
    </row>
    <row r="45">
      <c r="A45" t="n">
        <v>8</v>
      </c>
      <c r="B45" t="n">
        <v>2</v>
      </c>
      <c r="C45" t="inlineStr">
        <is>
          <t>GT_CT09.txt</t>
        </is>
      </c>
      <c r="D45" s="3" t="inlineStr">
        <is>
          <t>Pertemuan 9: Elemen Pseudocode — Variabel, Operator, Tipe Data, dan List</t>
        </is>
      </c>
      <c r="E45" t="n">
        <v>0.7252</v>
      </c>
      <c r="F45" t="inlineStr">
        <is>
          <t>✓</t>
        </is>
      </c>
      <c r="G45" t="inlineStr">
        <is>
          <t>✓</t>
        </is>
      </c>
      <c r="H45" s="3" t="inlineStr">
        <is>
          <t>ama dengan (==), tidak sama dengan (!=), lebih besar dari (&gt;), lebih kecil dari (&lt;), lebih besar atau sama dengan (&gt;=), dan lebih kecil atau sama dengan (&lt;=).  4. Logical Operator (Operator Logika): Digunakan untuk mengg</t>
        </is>
      </c>
    </row>
    <row r="46">
      <c r="A46" t="n">
        <v>8</v>
      </c>
      <c r="B46" t="n">
        <v>3</v>
      </c>
      <c r="C46" t="inlineStr">
        <is>
          <t>GT_DETAIL_PT01_Pendahuluan.txt</t>
        </is>
      </c>
      <c r="D46" s="3" t="inlineStr">
        <is>
          <t>Pertemuan 1: Pendahuluan &amp; Kontrak Perkuliahan</t>
        </is>
      </c>
      <c r="E46" t="n">
        <v>0.7124</v>
      </c>
      <c r="F46" t="inlineStr">
        <is>
          <t>✓</t>
        </is>
      </c>
      <c r="G46" t="inlineStr">
        <is>
          <t>✓</t>
        </is>
      </c>
      <c r="H46" s="3" t="inlineStr">
        <is>
          <t>afis. - Pattern Recognition: Mencari pola: apakah hoaks lebih sering menyebar di jam tertentu?                        Apakah ada kesamaan karakteristik akun yang sering menyebarkan hoaks? - Algorithm        : Merancang l</t>
        </is>
      </c>
    </row>
    <row r="47">
      <c r="A47" t="n">
        <v>8</v>
      </c>
      <c r="B47" t="n">
        <v>4</v>
      </c>
      <c r="C47" t="inlineStr">
        <is>
          <t>GT_SUBTOPIK_02_Abstraksi_Formulasi.txt</t>
        </is>
      </c>
      <c r="D47" s="3" t="inlineStr">
        <is>
          <t>Subtopik: Abstraksi — Formulasi Problem (Problem/Goal/Batasan/Data)</t>
        </is>
      </c>
      <c r="E47" t="n">
        <v>0.7076</v>
      </c>
      <c r="F47" t="inlineStr">
        <is>
          <t>✓</t>
        </is>
      </c>
      <c r="G47" t="inlineStr">
        <is>
          <t>✓</t>
        </is>
      </c>
      <c r="H47" s="3" t="inlineStr">
        <is>
          <t>— Abstraksi: Berang-Berang dan Lift] Lakukan abstraksi penuh terhadap masalah berikut: "2 lift di BeaverHQ, kapasitas masing-masing 30 kg. 9 berang dengan berat berbeda (A:2, B:3, C:5, D:8, E:9, F:9, G:12, H:12, I:22 kg)</t>
        </is>
      </c>
    </row>
    <row r="48">
      <c r="A48" t="n">
        <v>8</v>
      </c>
      <c r="B48" t="n">
        <v>5</v>
      </c>
      <c r="C48" t="inlineStr">
        <is>
          <t>GT_CT03.txt</t>
        </is>
      </c>
      <c r="D48" s="3" t="inlineStr">
        <is>
          <t>Pertemuan 3: Problem Solving — Dekomposisi</t>
        </is>
      </c>
      <c r="E48" t="n">
        <v>0.7006</v>
      </c>
      <c r="F48" t="inlineStr">
        <is>
          <t>✓</t>
        </is>
      </c>
      <c r="G48" t="inlineStr">
        <is>
          <t>✓</t>
        </is>
      </c>
      <c r="H48" s="3" t="inlineStr">
        <is>
          <t>sing bagian dihitung secara terpisah, kemudian hasilnya dijumlahkan untuk memperoleh luas total bangun datar tersebut.  2. Membuat Sarapan: Kegiatan membuat sarapan yang tampak sederhana sebenarnya merupakan kumpulan dar</t>
        </is>
      </c>
    </row>
    <row r="49">
      <c r="A49" t="n">
        <v>8</v>
      </c>
      <c r="B49" t="n">
        <v>6</v>
      </c>
      <c r="C49" t="inlineStr">
        <is>
          <t>GT_CT10.txt</t>
        </is>
      </c>
      <c r="D49" s="3" t="inlineStr">
        <is>
          <t>Pertemuan 10: Struktur Kontrol — Percabangan</t>
        </is>
      </c>
      <c r="E49" t="n">
        <v>0.6969</v>
      </c>
      <c r="F49" t="inlineStr">
        <is>
          <t>✓</t>
        </is>
      </c>
      <c r="G49" t="inlineStr">
        <is>
          <t>✓</t>
        </is>
      </c>
      <c r="H49" s="3" t="inlineStr">
        <is>
          <t xml:space="preserve">oritme Berangkat ke Kampus (versi 1):     Shower     Breakfast     if (cloudy) then         Bring umbrella         Bring jacket     Go to Campus  Bentuk 2 — Percabangan Dua Arah (if-then-else): Digunakan ketika terdapat </t>
        </is>
      </c>
    </row>
    <row r="50">
      <c r="A50" t="n">
        <v>9</v>
      </c>
      <c r="B50" t="n">
        <v>1</v>
      </c>
      <c r="C50" t="inlineStr">
        <is>
          <t>GT_SUBTOPIK_02_Abstraksi_Formulasi.txt</t>
        </is>
      </c>
      <c r="D50" s="3" t="inlineStr">
        <is>
          <t>Subtopik: Abstraksi — Formulasi Problem (Problem/Goal/Batasan/Data)</t>
        </is>
      </c>
      <c r="E50" t="n">
        <v>0.8732</v>
      </c>
      <c r="F50" t="inlineStr">
        <is>
          <t>✓</t>
        </is>
      </c>
      <c r="G50" t="inlineStr">
        <is>
          <t>✓</t>
        </is>
      </c>
      <c r="H50" s="3" t="inlineStr">
        <is>
          <t>— Abstraksi: Berang-Berang dan Lift] Lakukan abstraksi penuh terhadap masalah berikut: "2 lift di BeaverHQ, kapasitas masing-masing 30 kg. 9 berang dengan berat berbeda (A:2, B:3, C:5, D:8, E:9, F:9, G:12, H:12, I:22 kg)</t>
        </is>
      </c>
    </row>
    <row r="51">
      <c r="A51" t="n">
        <v>9</v>
      </c>
      <c r="B51" t="n">
        <v>2</v>
      </c>
      <c r="C51" t="inlineStr">
        <is>
          <t>GT_DETAIL_PT04_Abstraksi.txt</t>
        </is>
      </c>
      <c r="D51" s="3" t="inlineStr">
        <is>
          <t>Pertemuan 4: Problem Solving — Abstraksi</t>
        </is>
      </c>
      <c r="E51" t="n">
        <v>0.8318</v>
      </c>
      <c r="F51" t="inlineStr">
        <is>
          <t>✓</t>
        </is>
      </c>
      <c r="G51" t="inlineStr">
        <is>
          <t>✓</t>
        </is>
      </c>
      <c r="H51" s="3" t="inlineStr">
        <is>
          <t>ABAN: Abstraksi: Problem : Tidak semua berang muat (total 3+5+7+10+12+15+18 = 70 kg &gt; 50 kg kapasitas) Goal    : Angkut sebanyak mungkin berang (prioritas jumlah, bukan berat) Batasan : 2 lift, masing-masing max 25 kg, 1</t>
        </is>
      </c>
    </row>
    <row r="52">
      <c r="A52" t="n">
        <v>9</v>
      </c>
      <c r="B52" t="n">
        <v>3</v>
      </c>
      <c r="C52" t="inlineStr">
        <is>
          <t>GT_DETAIL_PT03_Dekomposisi.txt</t>
        </is>
      </c>
      <c r="D52" s="3" t="inlineStr">
        <is>
          <t>Pertemuan 3: Problem Solving — Dekomposisi</t>
        </is>
      </c>
      <c r="E52" t="n">
        <v>0.8016</v>
      </c>
      <c r="F52" t="inlineStr">
        <is>
          <t>✓</t>
        </is>
      </c>
      <c r="G52" t="inlineStr">
        <is>
          <t>✓</t>
        </is>
      </c>
      <c r="H52" s="3" t="inlineStr">
        <is>
          <t>tukan apakah suatu tahun adalah tahun kabisat" menjadi sub-masalah yang lebih kecil!  JAWABAN: Sub-masalah hasil dekomposisi: 1. Baca input: tahun (Y) 2. Periksa apakah Y habis dibagi 4 3. Jika ya, periksa apakah Y habis</t>
        </is>
      </c>
    </row>
    <row r="53">
      <c r="A53" t="n">
        <v>9</v>
      </c>
      <c r="B53" t="n">
        <v>4</v>
      </c>
      <c r="C53" t="inlineStr">
        <is>
          <t>GT_SUBTOPIK_01_Dekomposisi_Optimasi.txt</t>
        </is>
      </c>
      <c r="D53" s="3" t="inlineStr">
        <is>
          <t>Subtopik: Dekomposisi — Optimasi dan Pemecahan Masalah Terstruktur</t>
        </is>
      </c>
      <c r="E53" t="n">
        <v>0.7827</v>
      </c>
      <c r="F53" t="inlineStr">
        <is>
          <t>✓</t>
        </is>
      </c>
      <c r="G53" t="inlineStr">
        <is>
          <t>✓</t>
        </is>
      </c>
      <c r="H53" s="3" t="inlineStr">
        <is>
          <t>kali perjalanan.  JAWABAN: Dekomposisi: - Sub-masalah 1: optimalkan isi Lift 1 (maks jumlah berang ≤30 kg) - Sub-masalah 2: optimalkan isi Lift 2 dari sisa berang (≤30 kg) - Sub-masalah 3: hitung total yang terangkut  St</t>
        </is>
      </c>
    </row>
    <row r="54">
      <c r="A54" t="n">
        <v>9</v>
      </c>
      <c r="B54" t="n">
        <v>5</v>
      </c>
      <c r="C54" t="inlineStr">
        <is>
          <t>GT_DETAIL_PT03_Dekomposisi.txt</t>
        </is>
      </c>
      <c r="D54" s="3" t="inlineStr">
        <is>
          <t>Pertemuan 3: Problem Solving — Dekomposisi</t>
        </is>
      </c>
      <c r="E54" t="n">
        <v>0.7764</v>
      </c>
      <c r="F54" t="inlineStr">
        <is>
          <t>✓</t>
        </is>
      </c>
      <c r="G54" t="inlineStr">
        <is>
          <t>✓</t>
        </is>
      </c>
      <c r="H54" s="3" t="inlineStr">
        <is>
          <t xml:space="preserve">anya digabungkan (stitching) pada area tumpang tindih → hasil gambar 360° seamless.  6. Mencari Bilangan Terbesar dari Kumpulan Data    Dekomposisi: bagi kumpulan bilangan menjadi kelompok → cari terbesar per kelompok → </t>
        </is>
      </c>
    </row>
    <row r="55">
      <c r="A55" t="n">
        <v>9</v>
      </c>
      <c r="B55" t="n">
        <v>6</v>
      </c>
      <c r="C55" t="inlineStr">
        <is>
          <t>GT_CT04.txt</t>
        </is>
      </c>
      <c r="D55" s="3" t="inlineStr">
        <is>
          <t>Pertemuan 4: Problem Solving — Abstraction</t>
        </is>
      </c>
      <c r="E55" t="n">
        <v>0.7658</v>
      </c>
      <c r="F55" t="inlineStr">
        <is>
          <t>✓</t>
        </is>
      </c>
      <c r="G55" t="inlineStr">
        <is>
          <t>✓</t>
        </is>
      </c>
      <c r="H55" s="3" t="inlineStr">
        <is>
          <t>Ground Truth:  Dalam penerapan abstraksi pada problem solving, setiap persoalan perlu dianalisis secara saksama dengan mengidentifikasi empat komponen utama, yaitu: (1) apa problemnya (root cause/akar masalah), (2) apa g</t>
        </is>
      </c>
    </row>
    <row r="56">
      <c r="A56" t="n">
        <v>10</v>
      </c>
      <c r="B56" t="n">
        <v>1</v>
      </c>
      <c r="C56" t="inlineStr">
        <is>
          <t>GT_CT01.txt</t>
        </is>
      </c>
      <c r="D56" s="3" t="inlineStr">
        <is>
          <t>Pertemuan 1: Kontrak Perkuliahan dan Pendahuluan</t>
        </is>
      </c>
      <c r="E56" t="n">
        <v>0.7724</v>
      </c>
      <c r="F56" t="inlineStr">
        <is>
          <t>✓</t>
        </is>
      </c>
      <c r="G56" t="inlineStr">
        <is>
          <t>✓</t>
        </is>
      </c>
      <c r="H56" s="3" t="inlineStr">
        <is>
          <t>emecah masalah besar menjadi submasalah yang lebih kecil dan mudah ditangani (dekomposisi).  Berdasarkan ketentuan beban SKS, setiap mahasiswa diperkirakan menghabiskan total 340 menit atau sekitar 5 jam 40 menit per min</t>
        </is>
      </c>
    </row>
    <row r="57">
      <c r="A57" t="n">
        <v>10</v>
      </c>
      <c r="B57" t="n">
        <v>2</v>
      </c>
      <c r="C57" t="inlineStr">
        <is>
          <t>GT_CT03.txt</t>
        </is>
      </c>
      <c r="D57" s="3" t="inlineStr">
        <is>
          <t>Pertemuan 3: Problem Solving — Dekomposisi</t>
        </is>
      </c>
      <c r="E57" t="n">
        <v>0.7671</v>
      </c>
      <c r="F57" t="inlineStr">
        <is>
          <t>✓</t>
        </is>
      </c>
      <c r="G57" t="inlineStr">
        <is>
          <t>✓</t>
        </is>
      </c>
      <c r="H57" s="3" t="inlineStr">
        <is>
          <t xml:space="preserve"> terstruktur dan sistematis. Kata kunci dari konsep dekomposisi adalah: BREAKING BIG PROBLEMS INTO SMALLER AND EASIER TO MANAGE PROBLEMS.  Prinsip dekomposisi mengikuti pola hierarkis, di mana sebuah masalah besar (misal</t>
        </is>
      </c>
    </row>
    <row r="58">
      <c r="A58" t="n">
        <v>10</v>
      </c>
      <c r="B58" t="n">
        <v>3</v>
      </c>
      <c r="C58" t="inlineStr">
        <is>
          <t>GT_CT12.txt</t>
        </is>
      </c>
      <c r="D58" s="3" t="inlineStr">
        <is>
          <t>Pertemuan 12: Fungsi</t>
        </is>
      </c>
      <c r="E58" t="n">
        <v>0.7576000000000001</v>
      </c>
      <c r="F58" t="inlineStr">
        <is>
          <t>✓</t>
        </is>
      </c>
      <c r="G58" t="inlineStr">
        <is>
          <t>✓</t>
        </is>
      </c>
      <c r="H58" s="3" t="inlineStr">
        <is>
          <t xml:space="preserve">lah penggunaan fungsi. Dengan fungsi, kode dapat digunakan kembali tanpa ditulis ulang (reusable), blok kode diberi nama sehingga mudah dipanggil kapan pun dibutuhkan, dan perubahan logika cukup dilakukan di satu tempat </t>
        </is>
      </c>
    </row>
    <row r="59">
      <c r="A59" t="n">
        <v>10</v>
      </c>
      <c r="B59" t="n">
        <v>4</v>
      </c>
      <c r="C59" t="inlineStr">
        <is>
          <t>GT_DETAIL_PT12_Fungsi.txt</t>
        </is>
      </c>
      <c r="D59" s="3" t="inlineStr">
        <is>
          <t>Pertemuan 12: Fungsi</t>
        </is>
      </c>
      <c r="E59" t="n">
        <v>0.754</v>
      </c>
      <c r="F59" t="inlineStr">
        <is>
          <t>✓</t>
        </is>
      </c>
      <c r="G59" t="inlineStr">
        <is>
          <t>✓</t>
        </is>
      </c>
      <c r="H59" s="3" t="inlineStr">
        <is>
          <t xml:space="preserve"> FUNGSI SEBAGAI DEKOMPOSISI DAN ABSTRAKSI  Dekomposisi: memecah algoritme besar menjadi fungsi-fungsi kecil yang terfokus. Abstraksi: menyembunyikan kerumitan implementasi di dalam fungsi;            algoritme utama cuku</t>
        </is>
      </c>
    </row>
    <row r="60">
      <c r="A60" t="n">
        <v>10</v>
      </c>
      <c r="B60" t="n">
        <v>5</v>
      </c>
      <c r="C60" t="inlineStr">
        <is>
          <t>GT_CT03.txt</t>
        </is>
      </c>
      <c r="D60" s="3" t="inlineStr">
        <is>
          <t>Pertemuan 3: Problem Solving — Dekomposisi</t>
        </is>
      </c>
      <c r="E60" t="n">
        <v>0.752</v>
      </c>
      <c r="F60" t="inlineStr">
        <is>
          <t>✓</t>
        </is>
      </c>
      <c r="G60" t="inlineStr">
        <is>
          <t>✓</t>
        </is>
      </c>
      <c r="H60" s="3" t="inlineStr">
        <is>
          <t>pertama yang krusial adalah mengidentifikasi goal atau tujuan utama dari masalah tersebut, kemudian menentukan bagaimana masalah itu dapat didekomposisi menjadi sub-masalah yang lebih kecil.  Sebagai contoh latihan, pada</t>
        </is>
      </c>
    </row>
    <row r="61">
      <c r="A61" t="n">
        <v>10</v>
      </c>
      <c r="B61" t="n">
        <v>6</v>
      </c>
      <c r="C61" t="inlineStr">
        <is>
          <t>GT_CT03.txt</t>
        </is>
      </c>
      <c r="D61" s="3" t="inlineStr">
        <is>
          <t>Pertemuan 3: Problem Solving — Dekomposisi</t>
        </is>
      </c>
      <c r="E61" t="n">
        <v>0.7491</v>
      </c>
      <c r="F61" t="inlineStr">
        <is>
          <t>✓</t>
        </is>
      </c>
      <c r="G61" t="inlineStr">
        <is>
          <t>✓</t>
        </is>
      </c>
      <c r="H61" s="3" t="inlineStr">
        <is>
          <t>ang harus melakukan semua hal terkait perakitan mobil sendirian. Konsep ini merepresentasikan dekomposisi tugas kompleks menjadi fungsi-fungsi yang lebih kecil dan terspesialisasi.  5. Kamera 360 Derajat (Insta360): Sebu</t>
        </is>
      </c>
    </row>
    <row r="62">
      <c r="A62" t="n">
        <v>11</v>
      </c>
      <c r="B62" t="n">
        <v>1</v>
      </c>
      <c r="C62" t="inlineStr">
        <is>
          <t>GT_CT03.txt</t>
        </is>
      </c>
      <c r="D62" s="3" t="inlineStr">
        <is>
          <t>Pertemuan 3: Problem Solving — Dekomposisi</t>
        </is>
      </c>
      <c r="E62" t="n">
        <v>0.7695</v>
      </c>
      <c r="F62" t="inlineStr">
        <is>
          <t>✓</t>
        </is>
      </c>
      <c r="G62" t="inlineStr">
        <is>
          <t>✓</t>
        </is>
      </c>
      <c r="H62" s="3" t="inlineStr">
        <is>
          <t xml:space="preserve"> terstruktur dan sistematis. Kata kunci dari konsep dekomposisi adalah: BREAKING BIG PROBLEMS INTO SMALLER AND EASIER TO MANAGE PROBLEMS.  Prinsip dekomposisi mengikuti pola hierarkis, di mana sebuah masalah besar (misal</t>
        </is>
      </c>
    </row>
    <row r="63">
      <c r="A63" t="n">
        <v>11</v>
      </c>
      <c r="B63" t="n">
        <v>2</v>
      </c>
      <c r="C63" t="inlineStr">
        <is>
          <t>GT_CT03.txt</t>
        </is>
      </c>
      <c r="D63" s="3" t="inlineStr">
        <is>
          <t>Pertemuan 3: Problem Solving — Dekomposisi</t>
        </is>
      </c>
      <c r="E63" t="n">
        <v>0.7578</v>
      </c>
      <c r="F63" t="inlineStr">
        <is>
          <t>✓</t>
        </is>
      </c>
      <c r="G63" t="inlineStr">
        <is>
          <t>✓</t>
        </is>
      </c>
      <c r="H63" s="3" t="inlineStr">
        <is>
          <t>pertama yang krusial adalah mengidentifikasi goal atau tujuan utama dari masalah tersebut, kemudian menentukan bagaimana masalah itu dapat didekomposisi menjadi sub-masalah yang lebih kecil.  Sebagai contoh latihan, pada</t>
        </is>
      </c>
    </row>
    <row r="64">
      <c r="A64" t="n">
        <v>11</v>
      </c>
      <c r="B64" t="n">
        <v>3</v>
      </c>
      <c r="C64" t="inlineStr">
        <is>
          <t>GT_CT05.txt</t>
        </is>
      </c>
      <c r="D64" s="3" t="inlineStr">
        <is>
          <t>Pertemuan 5: Pattern Recognition (Pengenalan Pola)</t>
        </is>
      </c>
      <c r="E64" t="n">
        <v>0.7563</v>
      </c>
      <c r="F64" t="inlineStr">
        <is>
          <t>✓</t>
        </is>
      </c>
      <c r="G64" t="inlineStr">
        <is>
          <t>✓</t>
        </is>
      </c>
      <c r="H64" s="3" t="inlineStr">
        <is>
          <t xml:space="preserve"> memanggang, waktu penambahan masing-masing bahan, dan peralatan yang diperlukan. Setelah memahami cara memanggang satu jenis kue, seseorang dapat segera melihat bahwa memanggang kue jenis lain tidak jauh berbeda, karena</t>
        </is>
      </c>
    </row>
    <row r="65">
      <c r="A65" t="n">
        <v>11</v>
      </c>
      <c r="B65" t="n">
        <v>4</v>
      </c>
      <c r="C65" t="inlineStr">
        <is>
          <t>GT_CT01.txt</t>
        </is>
      </c>
      <c r="D65" s="3" t="inlineStr">
        <is>
          <t>Pertemuan 1: Kontrak Perkuliahan dan Pendahuluan</t>
        </is>
      </c>
      <c r="E65" t="n">
        <v>0.7531</v>
      </c>
      <c r="F65" t="inlineStr">
        <is>
          <t>✓</t>
        </is>
      </c>
      <c r="G65" t="inlineStr">
        <is>
          <t>✓</t>
        </is>
      </c>
      <c r="H65" s="3" t="inlineStr">
        <is>
          <t>emecah masalah besar menjadi submasalah yang lebih kecil dan mudah ditangani (dekomposisi).  Berdasarkan ketentuan beban SKS, setiap mahasiswa diperkirakan menghabiskan total 340 menit atau sekitar 5 jam 40 menit per min</t>
        </is>
      </c>
    </row>
    <row r="66">
      <c r="A66" t="n">
        <v>11</v>
      </c>
      <c r="B66" t="n">
        <v>5</v>
      </c>
      <c r="C66" t="inlineStr">
        <is>
          <t>GT_CT07.txt</t>
        </is>
      </c>
      <c r="D66" s="3" t="inlineStr">
        <is>
          <t>Pertemuan 7: Algoritme — Notasi Algoritme</t>
        </is>
      </c>
      <c r="E66" t="n">
        <v>0.7343</v>
      </c>
      <c r="F66" t="inlineStr">
        <is>
          <t>✓</t>
        </is>
      </c>
      <c r="G66" t="inlineStr">
        <is>
          <t>✓</t>
        </is>
      </c>
      <c r="H66" s="3" t="inlineStr">
        <is>
          <t>) dan selisih angka yang dicari (d). Output: banyaknya pasangan bilangan dengan selisih sebesar d (p). Proses: (a) Urutkan n bilangan secara menaik menjadi m1, m2, ..., mn; (b) Inisialisasi p = 0; (c) Untuk setiap i dari</t>
        </is>
      </c>
    </row>
    <row r="67">
      <c r="A67" t="n">
        <v>11</v>
      </c>
      <c r="B67" t="n">
        <v>6</v>
      </c>
      <c r="C67" t="inlineStr">
        <is>
          <t>GT_DETAIL_PT01_Pendahuluan.txt</t>
        </is>
      </c>
      <c r="D67" s="3" t="inlineStr">
        <is>
          <t>Pertemuan 1: Pendahuluan &amp; Kontrak Perkuliahan</t>
        </is>
      </c>
      <c r="E67" t="n">
        <v>0.73</v>
      </c>
      <c r="F67" t="inlineStr">
        <is>
          <t>✓</t>
        </is>
      </c>
      <c r="G67" t="inlineStr">
        <is>
          <t>✓</t>
        </is>
      </c>
      <c r="H67" s="3" t="inlineStr">
        <is>
          <t>afis. - Pattern Recognition: Mencari pola: apakah hoaks lebih sering menyebar di jam tertentu?                        Apakah ada kesamaan karakteristik akun yang sering menyebarkan hoaks? - Algorithm        : Merancang l</t>
        </is>
      </c>
    </row>
    <row r="68">
      <c r="A68" t="n">
        <v>12</v>
      </c>
      <c r="B68" t="n">
        <v>1</v>
      </c>
      <c r="C68" t="inlineStr">
        <is>
          <t>GT_SUBTOPIK_02_Abstraksi_Formulasi.txt</t>
        </is>
      </c>
      <c r="D68" s="3" t="inlineStr">
        <is>
          <t>Subtopik: Abstraksi — Formulasi Problem (Problem/Goal/Batasan/Data)</t>
        </is>
      </c>
      <c r="E68" t="n">
        <v>0.8341</v>
      </c>
      <c r="F68" t="inlineStr">
        <is>
          <t>✓</t>
        </is>
      </c>
      <c r="G68" t="inlineStr">
        <is>
          <t>✓</t>
        </is>
      </c>
      <c r="H68" s="3" t="inlineStr">
        <is>
          <t>— Abstraksi: Berang-Berang dan Lift] Lakukan abstraksi penuh terhadap masalah berikut: "2 lift di BeaverHQ, kapasitas masing-masing 30 kg. 9 berang dengan berat berbeda (A:2, B:3, C:5, D:8, E:9, F:9, G:12, H:12, I:22 kg)</t>
        </is>
      </c>
    </row>
    <row r="69">
      <c r="A69" t="n">
        <v>12</v>
      </c>
      <c r="B69" t="n">
        <v>2</v>
      </c>
      <c r="C69" t="inlineStr">
        <is>
          <t>GT_CT04.txt</t>
        </is>
      </c>
      <c r="D69" s="3" t="inlineStr">
        <is>
          <t>Pertemuan 4: Problem Solving — Abstraction</t>
        </is>
      </c>
      <c r="E69" t="n">
        <v>0.8023</v>
      </c>
      <c r="F69" t="inlineStr">
        <is>
          <t>✓</t>
        </is>
      </c>
      <c r="G69" t="inlineStr">
        <is>
          <t>✓</t>
        </is>
      </c>
      <c r="H69" s="3" t="inlineStr">
        <is>
          <t>Ground Truth:  Dalam penerapan abstraksi pada problem solving, setiap persoalan perlu dianalisis secara saksama dengan mengidentifikasi empat komponen utama, yaitu: (1) apa problemnya (root cause/akar masalah), (2) apa g</t>
        </is>
      </c>
    </row>
    <row r="70">
      <c r="A70" t="n">
        <v>12</v>
      </c>
      <c r="B70" t="n">
        <v>3</v>
      </c>
      <c r="C70" t="inlineStr">
        <is>
          <t>GT_DETAIL_PT04_Abstraksi.txt</t>
        </is>
      </c>
      <c r="D70" s="3" t="inlineStr">
        <is>
          <t>Pertemuan 4: Problem Solving — Abstraksi</t>
        </is>
      </c>
      <c r="E70" t="n">
        <v>0.7753</v>
      </c>
      <c r="F70" t="inlineStr">
        <is>
          <t>✓</t>
        </is>
      </c>
      <c r="G70" t="inlineStr">
        <is>
          <t>✓</t>
        </is>
      </c>
      <c r="H70" s="3" t="inlineStr">
        <is>
          <t>ABAN: Abstraksi: Problem : Tidak semua berang muat (total 3+5+7+10+12+15+18 = 70 kg &gt; 50 kg kapasitas) Goal    : Angkut sebanyak mungkin berang (prioritas jumlah, bukan berat) Batasan : 2 lift, masing-masing max 25 kg, 1</t>
        </is>
      </c>
    </row>
    <row r="71">
      <c r="A71" t="n">
        <v>12</v>
      </c>
      <c r="B71" t="n">
        <v>4</v>
      </c>
      <c r="C71" t="inlineStr">
        <is>
          <t>GT_DETAIL_PT03_Dekomposisi.txt</t>
        </is>
      </c>
      <c r="D71" s="3" t="inlineStr">
        <is>
          <t>Pertemuan 3: Problem Solving — Dekomposisi</t>
        </is>
      </c>
      <c r="E71" t="n">
        <v>0.7564</v>
      </c>
      <c r="F71" t="inlineStr">
        <is>
          <t>✓</t>
        </is>
      </c>
      <c r="G71" t="inlineStr">
        <is>
          <t>✓</t>
        </is>
      </c>
      <c r="H71" s="3" t="inlineStr">
        <is>
          <t>tukan apakah suatu tahun adalah tahun kabisat" menjadi sub-masalah yang lebih kecil!  JAWABAN: Sub-masalah hasil dekomposisi: 1. Baca input: tahun (Y) 2. Periksa apakah Y habis dibagi 4 3. Jika ya, periksa apakah Y habis</t>
        </is>
      </c>
    </row>
    <row r="72">
      <c r="A72" t="n">
        <v>12</v>
      </c>
      <c r="B72" t="n">
        <v>5</v>
      </c>
      <c r="C72" t="inlineStr">
        <is>
          <t>GT_DETAIL_PT03_Dekomposisi.txt</t>
        </is>
      </c>
      <c r="D72" s="3" t="inlineStr">
        <is>
          <t>Pertemuan 3: Problem Solving — Dekomposisi</t>
        </is>
      </c>
      <c r="E72" t="n">
        <v>0.7347</v>
      </c>
      <c r="F72" t="inlineStr">
        <is>
          <t>✓</t>
        </is>
      </c>
      <c r="G72" t="inlineStr">
        <is>
          <t>✓</t>
        </is>
      </c>
      <c r="H72" s="3" t="inlineStr">
        <is>
          <t xml:space="preserve">anya digabungkan (stitching) pada area tumpang tindih → hasil gambar 360° seamless.  6. Mencari Bilangan Terbesar dari Kumpulan Data    Dekomposisi: bagi kumpulan bilangan menjadi kelompok → cari terbesar per kelompok → </t>
        </is>
      </c>
    </row>
    <row r="73">
      <c r="A73" t="n">
        <v>12</v>
      </c>
      <c r="B73" t="n">
        <v>6</v>
      </c>
      <c r="C73" t="inlineStr">
        <is>
          <t>GT_CT04.txt</t>
        </is>
      </c>
      <c r="D73" s="3" t="inlineStr">
        <is>
          <t>Pertemuan 4: Problem Solving — Abstraction</t>
        </is>
      </c>
      <c r="E73" t="n">
        <v>0.7329</v>
      </c>
      <c r="F73" t="inlineStr">
        <is>
          <t>✓</t>
        </is>
      </c>
      <c r="G73" t="inlineStr">
        <is>
          <t>✓</t>
        </is>
      </c>
      <c r="H73" s="3" t="inlineStr">
        <is>
          <t>, dan problem sebenarnya adalah memaksimalkan jumlah berang-berang yang terangkut dalam batasan kapasitas 30 kg per lift dan dua lift tersedia.  2. Latihan Penyusup Museum: Di museum Darmaga terdapat sistem pengamanan ce</t>
        </is>
      </c>
    </row>
    <row r="74">
      <c r="A74" t="n">
        <v>13</v>
      </c>
      <c r="B74" t="n">
        <v>1</v>
      </c>
      <c r="C74" t="inlineStr">
        <is>
          <t>GT_CT04.txt</t>
        </is>
      </c>
      <c r="D74" s="3" t="inlineStr">
        <is>
          <t>Pertemuan 4: Problem Solving — Abstraction</t>
        </is>
      </c>
      <c r="E74" t="n">
        <v>0.7561</v>
      </c>
      <c r="F74" t="inlineStr">
        <is>
          <t>✓</t>
        </is>
      </c>
      <c r="G74" t="inlineStr">
        <is>
          <t>✓</t>
        </is>
      </c>
      <c r="H74" s="3" t="inlineStr">
        <is>
          <t>informasi yang relevan dan penting bagi pengguna, seperti nama jalan, bangunan utama, dan rute, dengan mengabaikan detail visual yang tidak diperlukan untuk navigasi.  Abstraksi juga ditemukan di berbagai bidang kehidupa</t>
        </is>
      </c>
    </row>
    <row r="75">
      <c r="A75" t="n">
        <v>13</v>
      </c>
      <c r="B75" t="n">
        <v>2</v>
      </c>
      <c r="C75" t="inlineStr">
        <is>
          <t>GT_DETAIL_PT01_Pendahuluan.txt</t>
        </is>
      </c>
      <c r="D75" s="3" t="inlineStr">
        <is>
          <t>Pertemuan 1: Pendahuluan &amp; Kontrak Perkuliahan</t>
        </is>
      </c>
      <c r="E75" t="n">
        <v>0.7339</v>
      </c>
      <c r="F75" t="inlineStr">
        <is>
          <t>✓</t>
        </is>
      </c>
      <c r="G75" t="inlineStr">
        <is>
          <t>✓</t>
        </is>
      </c>
      <c r="H75" s="3" t="inlineStr">
        <is>
          <t>n      : Fokus hanya pada informasi penting: nama mata kuliah, jumlah SKS, jadwal                      kuliah tetap, dan preferensi waktu belajar. Mengabaikan detail seperti                      konten setiap mata kuliah</t>
        </is>
      </c>
    </row>
    <row r="76">
      <c r="A76" t="n">
        <v>13</v>
      </c>
      <c r="B76" t="n">
        <v>3</v>
      </c>
      <c r="C76" t="inlineStr">
        <is>
          <t>GT_DETAIL_PT04_Abstraksi.txt</t>
        </is>
      </c>
      <c r="D76" s="3" t="inlineStr">
        <is>
          <t>Pertemuan 4: Problem Solving — Abstraksi</t>
        </is>
      </c>
      <c r="E76" t="n">
        <v>0.7332</v>
      </c>
      <c r="F76" t="inlineStr">
        <is>
          <t>✓</t>
        </is>
      </c>
      <c r="G76" t="inlineStr">
        <is>
          <t>✓</t>
        </is>
      </c>
      <c r="H76" s="3" t="inlineStr">
        <is>
          <t>the important details and leaving out irrelevant distractions." (Fokus pada detail penting dan mengabaikan hal yang tidak relevan.)  PENTING: Abstraksi BUKAN membuang bagian yang tidak penting, melainkan HANYA memberi pr</t>
        </is>
      </c>
    </row>
    <row r="77">
      <c r="A77" t="n">
        <v>13</v>
      </c>
      <c r="B77" t="n">
        <v>4</v>
      </c>
      <c r="C77" t="inlineStr">
        <is>
          <t>GT_CT04.txt</t>
        </is>
      </c>
      <c r="D77" s="3" t="inlineStr">
        <is>
          <t>Pertemuan 4: Problem Solving — Abstraction</t>
        </is>
      </c>
      <c r="E77" t="n">
        <v>0.7328</v>
      </c>
      <c r="F77" t="inlineStr">
        <is>
          <t>✓</t>
        </is>
      </c>
      <c r="G77" t="inlineStr">
        <is>
          <t>✓</t>
        </is>
      </c>
      <c r="H77" s="3" t="inlineStr">
        <is>
          <t>dari empat elemen inti berpikir komputasional. Abstraksi didefinisikan sebagai kemampuan untuk fokus pada hal-hal yang penting, mengidentifikasi dan memusatkan perhatian pada detail yang relevan, serta mengabaikan hal-ha</t>
        </is>
      </c>
    </row>
    <row r="78">
      <c r="A78" t="n">
        <v>13</v>
      </c>
      <c r="B78" t="n">
        <v>5</v>
      </c>
      <c r="C78" t="inlineStr">
        <is>
          <t>GT_CT09.txt</t>
        </is>
      </c>
      <c r="D78" s="3" t="inlineStr">
        <is>
          <t>Pertemuan 9: Elemen Pseudocode — Variabel, Operator, Tipe Data, dan List</t>
        </is>
      </c>
      <c r="E78" t="n">
        <v>0.7196</v>
      </c>
      <c r="F78" t="inlineStr">
        <is>
          <t>✓</t>
        </is>
      </c>
      <c r="G78" t="inlineStr">
        <is>
          <t>✓</t>
        </is>
      </c>
      <c r="H78" s="3" t="inlineStr">
        <is>
          <t>ama dengan (==), tidak sama dengan (!=), lebih besar dari (&gt;), lebih kecil dari (&lt;), lebih besar atau sama dengan (&gt;=), dan lebih kecil atau sama dengan (&lt;=).  4. Logical Operator (Operator Logika): Digunakan untuk mengg</t>
        </is>
      </c>
    </row>
    <row r="79">
      <c r="A79" t="n">
        <v>13</v>
      </c>
      <c r="B79" t="n">
        <v>6</v>
      </c>
      <c r="C79" t="inlineStr">
        <is>
          <t>GT_CT07.txt</t>
        </is>
      </c>
      <c r="D79" s="3" t="inlineStr">
        <is>
          <t>Pertemuan 7: Algoritme — Notasi Algoritme</t>
        </is>
      </c>
      <c r="E79" t="n">
        <v>0.7193000000000001</v>
      </c>
      <c r="F79" t="inlineStr">
        <is>
          <t>✓</t>
        </is>
      </c>
      <c r="G79" t="inlineStr">
        <is>
          <t>✓</t>
        </is>
      </c>
      <c r="H79" s="3" t="inlineStr">
        <is>
          <t xml:space="preserve"> ukuran atau nilai data (input) yang diproses bertambah besar.   ---------------------------------------------------------------- [MATERI 4: Latihan Penulisan Algoritme] --------------------------------------------------</t>
        </is>
      </c>
    </row>
    <row r="80">
      <c r="A80" t="n">
        <v>14</v>
      </c>
      <c r="B80" t="n">
        <v>1</v>
      </c>
      <c r="C80" t="inlineStr">
        <is>
          <t>GT_CT04.txt</t>
        </is>
      </c>
      <c r="D80" s="3" t="inlineStr">
        <is>
          <t>Pertemuan 4: Problem Solving — Abstraction</t>
        </is>
      </c>
      <c r="E80" t="n">
        <v>0.7677</v>
      </c>
      <c r="F80" t="inlineStr">
        <is>
          <t>✓</t>
        </is>
      </c>
      <c r="G80" t="inlineStr">
        <is>
          <t>✓</t>
        </is>
      </c>
      <c r="H80" s="3" t="inlineStr">
        <is>
          <t>dari empat elemen inti berpikir komputasional. Abstraksi didefinisikan sebagai kemampuan untuk fokus pada hal-hal yang penting, mengidentifikasi dan memusatkan perhatian pada detail yang relevan, serta mengabaikan hal-ha</t>
        </is>
      </c>
    </row>
    <row r="81">
      <c r="A81" t="n">
        <v>14</v>
      </c>
      <c r="B81" t="n">
        <v>2</v>
      </c>
      <c r="C81" t="inlineStr">
        <is>
          <t>GT_DETAIL_PT04_Abstraksi.txt</t>
        </is>
      </c>
      <c r="D81" s="3" t="inlineStr">
        <is>
          <t>Pertemuan 4: Problem Solving — Abstraksi</t>
        </is>
      </c>
      <c r="E81" t="n">
        <v>0.7143</v>
      </c>
      <c r="F81" t="inlineStr">
        <is>
          <t>✓</t>
        </is>
      </c>
      <c r="G81" t="inlineStr">
        <is>
          <t>✓</t>
        </is>
      </c>
      <c r="H81" s="3" t="inlineStr">
        <is>
          <t>the important details and leaving out irrelevant distractions." (Fokus pada detail penting dan mengabaikan hal yang tidak relevan.)  PENTING: Abstraksi BUKAN membuang bagian yang tidak penting, melainkan HANYA memberi pr</t>
        </is>
      </c>
    </row>
    <row r="82">
      <c r="A82" t="n">
        <v>14</v>
      </c>
      <c r="B82" t="n">
        <v>3</v>
      </c>
      <c r="C82" t="inlineStr">
        <is>
          <t>GT_CT02.txt</t>
        </is>
      </c>
      <c r="D82" s="3" t="inlineStr">
        <is>
          <t>Pertemuan 2: ICT Literacy and Ethics</t>
        </is>
      </c>
      <c r="E82" t="n">
        <v>0.6967</v>
      </c>
      <c r="F82" t="inlineStr">
        <is>
          <t>✓</t>
        </is>
      </c>
      <c r="G82" t="inlineStr">
        <is>
          <t>✓</t>
        </is>
      </c>
      <c r="H82" s="3" t="inlineStr">
        <is>
          <t>saha untuk menipu atau mengakali masyarakat agar mempercayai sesuatu yang tidak benar. Hoax dapat dikenali dari beberapa ciri khas, yaitu: judul yang bersifat provokatif dan sensasional; kredibilitas alamat situs yang me</t>
        </is>
      </c>
    </row>
    <row r="83">
      <c r="A83" t="n">
        <v>14</v>
      </c>
      <c r="B83" t="n">
        <v>4</v>
      </c>
      <c r="C83" t="inlineStr">
        <is>
          <t>GT_CT01.txt</t>
        </is>
      </c>
      <c r="D83" s="3" t="inlineStr">
        <is>
          <t>Pertemuan 1: Kontrak Perkuliahan dan Pendahuluan</t>
        </is>
      </c>
      <c r="E83" t="n">
        <v>0.6776</v>
      </c>
      <c r="F83" t="inlineStr">
        <is>
          <t>✓</t>
        </is>
      </c>
      <c r="G83" t="inlineStr">
        <is>
          <t>✓</t>
        </is>
      </c>
      <c r="H83" s="3" t="inlineStr">
        <is>
          <t xml:space="preserve"> dunia komputasi yang ditandai oleh perkembangan pesat kecerdasan buatan (Artificial Intelligence/AI). Salah satu tonggak penting dalam era ini adalah kemunculan ChatGPT yang diakui sebagai game changer dalam dunia tekno</t>
        </is>
      </c>
    </row>
    <row r="84">
      <c r="A84" t="n">
        <v>14</v>
      </c>
      <c r="B84" t="n">
        <v>5</v>
      </c>
      <c r="C84" t="inlineStr">
        <is>
          <t>GT_DETAIL_PT02_ICT_Literacy_Ethics.txt</t>
        </is>
      </c>
      <c r="D84" s="3" t="inlineStr">
        <is>
          <t>Pertemuan 2: ICT Literacy and Ethics</t>
        </is>
      </c>
      <c r="E84" t="n">
        <v>0.672</v>
      </c>
      <c r="F84" t="inlineStr">
        <is>
          <t>✓</t>
        </is>
      </c>
      <c r="G84" t="inlineStr">
        <is>
          <t>✓</t>
        </is>
      </c>
      <c r="H84" s="3" t="inlineStr">
        <is>
          <t>si    d) Media (foto/video) palsu atau dimanipulasi    Gerakan Anti Hoax: turnbackhoax.id  ---------------------------------------------------------------- CONTOH SOAL DAN PEMBAHASAN -------------------------------------</t>
        </is>
      </c>
    </row>
    <row r="85">
      <c r="A85" t="n">
        <v>14</v>
      </c>
      <c r="B85" t="n">
        <v>6</v>
      </c>
      <c r="C85" t="inlineStr">
        <is>
          <t>GT_SUBTOPIK_02_Abstraksi_Formulasi.txt</t>
        </is>
      </c>
      <c r="D85" s="3" t="inlineStr">
        <is>
          <t>Subtopik: Abstraksi — Formulasi Problem (Problem/Goal/Batasan/Data)</t>
        </is>
      </c>
      <c r="E85" t="n">
        <v>0.6697</v>
      </c>
      <c r="F85" t="inlineStr">
        <is>
          <t>✓</t>
        </is>
      </c>
      <c r="G85" t="inlineStr">
        <is>
          <t>✓</t>
        </is>
      </c>
      <c r="H85" s="3" t="inlineStr">
        <is>
          <t xml:space="preserve"> aus, atau printer tidak dibersihkan secara berkala.    Abstraksi: fokus pada frekuensi dan kondisi saat macet →    apakah selalu dengan kertas tertentu? Setelah sekian lembar?  [SOAL 7 — Abstraksi Data] Diberikan datase</t>
        </is>
      </c>
    </row>
    <row r="86">
      <c r="A86" t="n">
        <v>15</v>
      </c>
      <c r="B86" t="n">
        <v>1</v>
      </c>
      <c r="C86" t="inlineStr">
        <is>
          <t>GT_CT09.txt</t>
        </is>
      </c>
      <c r="D86" s="3" t="inlineStr">
        <is>
          <t>Pertemuan 9: Elemen Pseudocode — Variabel, Operator, Tipe Data, dan List</t>
        </is>
      </c>
      <c r="E86" t="n">
        <v>0.7456</v>
      </c>
      <c r="F86" t="inlineStr">
        <is>
          <t>✓</t>
        </is>
      </c>
      <c r="G86" t="inlineStr">
        <is>
          <t>✓</t>
        </is>
      </c>
      <c r="H86" s="3" t="inlineStr">
        <is>
          <t>ama dengan (==), tidak sama dengan (!=), lebih besar dari (&gt;), lebih kecil dari (&lt;), lebih besar atau sama dengan (&gt;=), dan lebih kecil atau sama dengan (&lt;=).  4. Logical Operator (Operator Logika): Digunakan untuk mengg</t>
        </is>
      </c>
    </row>
    <row r="87">
      <c r="A87" t="n">
        <v>15</v>
      </c>
      <c r="B87" t="n">
        <v>2</v>
      </c>
      <c r="C87" t="inlineStr">
        <is>
          <t>GT_DETAIL_PT09_Variabel_TipeData_Operator_List.txt</t>
        </is>
      </c>
      <c r="D87" s="3" t="inlineStr">
        <is>
          <t>Pertemuan 9: Elemen Pseudocode — Variabel, Tipe Data, Operator, List</t>
        </is>
      </c>
      <c r="E87" t="n">
        <v>0.7356</v>
      </c>
      <c r="F87" t="inlineStr">
        <is>
          <t>✓</t>
        </is>
      </c>
      <c r="G87" t="inlineStr">
        <is>
          <t>✓</t>
        </is>
      </c>
      <c r="H87" s="3" t="inlineStr">
        <is>
          <t xml:space="preserve"> T = F | F AND F = F     Tabel kebenaran OR:    T OR T = T | T OR F = T | F OR T = T | F OR F = F     NOT: NOT T = F | NOT F = T  5. Is Operator: memeriksa tipe atau identitas suatu nilai/objek.  G. LIST (ARRAY / SEQUENC</t>
        </is>
      </c>
    </row>
    <row r="88">
      <c r="A88" t="n">
        <v>15</v>
      </c>
      <c r="B88" t="n">
        <v>3</v>
      </c>
      <c r="C88" t="inlineStr">
        <is>
          <t>GT_CT13.txt</t>
        </is>
      </c>
      <c r="D88" s="3" t="inlineStr">
        <is>
          <t>Pertemuan 13: Pengenalan Struktur Data</t>
        </is>
      </c>
      <c r="E88" t="n">
        <v>0.7214</v>
      </c>
      <c r="F88" t="inlineStr">
        <is>
          <t>✓</t>
        </is>
      </c>
      <c r="G88" t="inlineStr">
        <is>
          <t>✓</t>
        </is>
      </c>
      <c r="H88" s="3" t="inlineStr">
        <is>
          <t>ai urutan kedatangannya. - Sistem kecerdasan buatan dalam permainan catur yang merepresentasikan berbagai kemungkinan langkah ke depan: struktur data yang paling tepat adalah Tree, karena setiap kemungkinan langkah berca</t>
        </is>
      </c>
    </row>
    <row r="89">
      <c r="A89" t="n">
        <v>15</v>
      </c>
      <c r="B89" t="n">
        <v>4</v>
      </c>
      <c r="C89" t="inlineStr">
        <is>
          <t>GT_CT09.txt</t>
        </is>
      </c>
      <c r="D89" s="3" t="inlineStr">
        <is>
          <t>Pertemuan 9: Elemen Pseudocode — Variabel, Operator, Tipe Data, dan List</t>
        </is>
      </c>
      <c r="E89" t="n">
        <v>0.7197</v>
      </c>
      <c r="F89" t="inlineStr">
        <is>
          <t>✓</t>
        </is>
      </c>
      <c r="G89" t="inlineStr">
        <is>
          <t>✓</t>
        </is>
      </c>
      <c r="H89" s="3" t="inlineStr">
        <is>
          <t>data yang menentukan jenis nilai yang dapat ditampung serta operasi apa yang dapat dilakukan terhadapnya. Terdapat beberapa tipe data dasar yang umum digunakan dalam algoritme dan pemrograman, antara lain:  1. Integer (B</t>
        </is>
      </c>
    </row>
    <row r="90">
      <c r="A90" t="n">
        <v>15</v>
      </c>
      <c r="B90" t="n">
        <v>5</v>
      </c>
      <c r="C90" t="inlineStr">
        <is>
          <t>5PAI.txt</t>
        </is>
      </c>
      <c r="D90" s="3" t="inlineStr">
        <is>
          <t>Profil Kognitif 5PAI</t>
        </is>
      </c>
      <c r="E90" t="n">
        <v>0.7177</v>
      </c>
      <c r="F90" t="inlineStr">
        <is>
          <t>✓</t>
        </is>
      </c>
      <c r="G90" t="inlineStr">
        <is>
          <t>✓</t>
        </is>
      </c>
      <c r="H90" s="3" t="inlineStr">
        <is>
          <t xml:space="preserve">ugesti Fokus untuk LLM - Fokus pada penguatan aspek CT sesuai profil ini. - Pertanyaan perlu diarahkan untuk memperdalam analisis, refleksi, dan pemecahan masalah. - Gunakan pendekatan akademik dan scaffolding kognitif. </t>
        </is>
      </c>
    </row>
    <row r="91">
      <c r="A91" t="n">
        <v>15</v>
      </c>
      <c r="B91" t="n">
        <v>6</v>
      </c>
      <c r="C91" t="inlineStr">
        <is>
          <t>GT_SUBTOPIK_14_Kompleksitas_BigO.txt</t>
        </is>
      </c>
      <c r="D91" s="3" t="inlineStr">
        <is>
          <t>Subtopik: Kompleksitas Algoritme (Big-O Notation)</t>
        </is>
      </c>
      <c r="E91" t="n">
        <v>0.7163</v>
      </c>
      <c r="F91" t="inlineStr">
        <is>
          <t>✓</t>
        </is>
      </c>
      <c r="G91" t="inlineStr">
        <is>
          <t>✓</t>
        </is>
      </c>
      <c r="H91" s="3" t="inlineStr">
        <is>
          <t xml:space="preserve"> (sangat cepat)   O(n log n)  : 1.000*10 / 10^8 = 0,0001 detik (cepat)   O(n^2)      : 10^6 / 10^8 = 0,01 detik (masih oke)   O(2^n)      : 2^1000 / 10^8 = TIDAK MUNGKIN selesai (lebih besar dari umur alam semesta!)  Unt</t>
        </is>
      </c>
    </row>
    <row r="92">
      <c r="A92" t="n">
        <v>16</v>
      </c>
      <c r="B92" t="n">
        <v>1</v>
      </c>
      <c r="C92" t="inlineStr">
        <is>
          <t>GT_SUBTOPIK_03_Pola_Bilangan_Deret.txt</t>
        </is>
      </c>
      <c r="D92" s="3" t="inlineStr">
        <is>
          <t>Subtopik: Pattern Recognition — Pola Bilangan dan Deret Matematis</t>
        </is>
      </c>
      <c r="E92" t="n">
        <v>0.8618</v>
      </c>
      <c r="F92" t="inlineStr">
        <is>
          <t>✓</t>
        </is>
      </c>
      <c r="G92" t="inlineStr">
        <is>
          <t>✓</t>
        </is>
      </c>
      <c r="H92" s="3" t="inlineStr">
        <is>
          <t>0 coklat. Bebek nomor berapa yang pertama tidak mendapat coklat?  JAWABAN: Pola: jumlah komulatif s/d bebek ke-n = n(n+1)/2 Cari n terbesar sehingga n(n+1)/2 ≤ 500:   n=31: 31×32/2 = 496 ≤ 500 ✓   n=32: 32×33/2 = 528 &gt; 5</t>
        </is>
      </c>
    </row>
    <row r="93">
      <c r="A93" t="n">
        <v>16</v>
      </c>
      <c r="B93" t="n">
        <v>2</v>
      </c>
      <c r="C93" t="inlineStr">
        <is>
          <t>GT_CT05.txt</t>
        </is>
      </c>
      <c r="D93" s="3" t="inlineStr">
        <is>
          <t>Pertemuan 5: Pattern Recognition (Pengenalan Pola)</t>
        </is>
      </c>
      <c r="E93" t="n">
        <v>0.8174</v>
      </c>
      <c r="F93" t="inlineStr">
        <is>
          <t>✓</t>
        </is>
      </c>
      <c r="G93" t="inlineStr">
        <is>
          <t>✓</t>
        </is>
      </c>
      <c r="H93" s="3" t="inlineStr">
        <is>
          <t>g kosong. Pendekatan yang digunakan adalah terlebih dahulu melakukan abstraksi terhadap elemen-elemen visual yang relevan, kemudian mengenali pola transformasi atau urutan yang terjadi antar gambar untuk menentukan jawab</t>
        </is>
      </c>
    </row>
    <row r="94">
      <c r="A94" t="n">
        <v>16</v>
      </c>
      <c r="B94" t="n">
        <v>3</v>
      </c>
      <c r="C94" t="inlineStr">
        <is>
          <t>GT_DETAIL_PT05_Pattern_Recognition.txt</t>
        </is>
      </c>
      <c r="D94" s="3" t="inlineStr">
        <is>
          <t>Pertemuan 5: Pattern Recognition (Pengenalan Pola)</t>
        </is>
      </c>
      <c r="E94" t="n">
        <v>0.7776999999999999</v>
      </c>
      <c r="F94" t="inlineStr">
        <is>
          <t>✓</t>
        </is>
      </c>
      <c r="G94" t="inlineStr">
        <is>
          <t>✓</t>
        </is>
      </c>
      <c r="H94" s="3" t="inlineStr">
        <is>
          <t xml:space="preserve">li y ayam  → hari ini 3y bebek Simulasi: Hari 1: 1 bebek   (total: 1) Hari 2: 2 ayam    (total: 3) Hari 3: 6 bebek   (total: 9) Hari 4: 12 ayam   (total: 21) Hari 5: 36 bebek  (total: 57) Pola: hari ganjil = bebek, hari </t>
        </is>
      </c>
    </row>
    <row r="95">
      <c r="A95" t="n">
        <v>16</v>
      </c>
      <c r="B95" t="n">
        <v>4</v>
      </c>
      <c r="C95" t="inlineStr">
        <is>
          <t>GT_SUBTOPIK_04_Modulo_Siklus.txt</t>
        </is>
      </c>
      <c r="D95" s="3" t="inlineStr">
        <is>
          <t>Subtopik: Pattern Recognition — Modulo dan Siklus</t>
        </is>
      </c>
      <c r="E95" t="n">
        <v>0.7441</v>
      </c>
      <c r="F95" t="inlineStr">
        <is>
          <t>✓</t>
        </is>
      </c>
      <c r="G95" t="inlineStr">
        <is>
          <t>✓</t>
        </is>
      </c>
      <c r="H95" s="3" t="inlineStr">
        <is>
          <t>1×24 = 1000 - 984 = 16 08:00 + 16 jam = 24:00 = 00:00 (tengah malam) JAWABAN: Jam 00:00 (tengah malam)  [SOAL 5 — Masalah Coklat Bebek dengan Modulo] Dengan pola deret segitiga n(n+1)/2, tuliskan pseudocode untuk mencari</t>
        </is>
      </c>
    </row>
    <row r="96">
      <c r="A96" t="n">
        <v>16</v>
      </c>
      <c r="B96" t="n">
        <v>5</v>
      </c>
      <c r="C96" t="inlineStr">
        <is>
          <t>GT_CT07.txt</t>
        </is>
      </c>
      <c r="D96" s="3" t="inlineStr">
        <is>
          <t>Pertemuan 7: Algoritme — Notasi Algoritme</t>
        </is>
      </c>
      <c r="E96" t="n">
        <v>0.7428</v>
      </c>
      <c r="F96" t="inlineStr">
        <is>
          <t>✓</t>
        </is>
      </c>
      <c r="G96" t="inlineStr">
        <is>
          <t>✓</t>
        </is>
      </c>
      <c r="H96" s="3" t="inlineStr">
        <is>
          <t>) dan selisih angka yang dicari (d). Output: banyaknya pasangan bilangan dengan selisih sebesar d (p). Proses: (a) Urutkan n bilangan secara menaik menjadi m1, m2, ..., mn; (b) Inisialisasi p = 0; (c) Untuk setiap i dari</t>
        </is>
      </c>
    </row>
    <row r="97">
      <c r="A97" t="n">
        <v>16</v>
      </c>
      <c r="B97" t="n">
        <v>6</v>
      </c>
      <c r="C97" t="inlineStr">
        <is>
          <t>GT_DETAIL_PT05_Pattern_Recognition.txt</t>
        </is>
      </c>
      <c r="D97" s="3" t="inlineStr">
        <is>
          <t>Pertemuan 5: Pattern Recognition (Pengenalan Pola)</t>
        </is>
      </c>
      <c r="E97" t="n">
        <v>0.7346</v>
      </c>
      <c r="F97" t="inlineStr">
        <is>
          <t>✓</t>
        </is>
      </c>
      <c r="G97" t="inlineStr">
        <is>
          <t>✓</t>
        </is>
      </c>
      <c r="H97" s="3" t="inlineStr">
        <is>
          <t>memiliki pola serupa.  D. PERBEDAAN MATHEMATICAL THINKING vs. COMPUTATIONAL THINKING  Masalah: 1 + 2 + 3 + ... + 10 = ?  Mathematical Thinking (kalkulasi bertahap): 1+2=3, 3+3=6, 6+4=10, 10+5=15, ... = 55 (10 langkah)  C</t>
        </is>
      </c>
    </row>
    <row r="98">
      <c r="A98" t="n">
        <v>17</v>
      </c>
      <c r="B98" t="n">
        <v>1</v>
      </c>
      <c r="C98" t="inlineStr">
        <is>
          <t>GT_CT05.txt</t>
        </is>
      </c>
      <c r="D98" s="3" t="inlineStr">
        <is>
          <t>Pertemuan 5: Pattern Recognition (Pengenalan Pola)</t>
        </is>
      </c>
      <c r="E98" t="n">
        <v>0.756</v>
      </c>
      <c r="F98" t="inlineStr">
        <is>
          <t>✓</t>
        </is>
      </c>
      <c r="G98" t="inlineStr">
        <is>
          <t>✓</t>
        </is>
      </c>
      <c r="H98" s="3" t="inlineStr">
        <is>
          <t>hwa digit terakhir dari perpangkatan 2 berulang dalam siklus empat: 1, 2, 4, 8, 6, 2, 4, 8, 6, ... Pola ini dapat direpresentasikan sebagai: jika N mod 4 = 1 maka digit terakhir 2; jika N mod 4 = 2 maka digit terakhir 4;</t>
        </is>
      </c>
    </row>
    <row r="99">
      <c r="A99" t="n">
        <v>17</v>
      </c>
      <c r="B99" t="n">
        <v>2</v>
      </c>
      <c r="C99" t="inlineStr">
        <is>
          <t>GT_CT05.txt</t>
        </is>
      </c>
      <c r="D99" s="3" t="inlineStr">
        <is>
          <t>Pertemuan 5: Pattern Recognition (Pengenalan Pola)</t>
        </is>
      </c>
      <c r="E99" t="n">
        <v>0.7352</v>
      </c>
      <c r="F99" t="inlineStr">
        <is>
          <t>✓</t>
        </is>
      </c>
      <c r="G99" t="inlineStr">
        <is>
          <t>✓</t>
        </is>
      </c>
      <c r="H99" s="3" t="inlineStr">
        <is>
          <t>g kosong. Pendekatan yang digunakan adalah terlebih dahulu melakukan abstraksi terhadap elemen-elemen visual yang relevan, kemudian mengenali pola transformasi atau urutan yang terjadi antar gambar untuk menentukan jawab</t>
        </is>
      </c>
    </row>
    <row r="100">
      <c r="A100" t="n">
        <v>17</v>
      </c>
      <c r="B100" t="n">
        <v>3</v>
      </c>
      <c r="C100" t="inlineStr">
        <is>
          <t>GT_SUBTOPIK_04_Modulo_Siklus.txt</t>
        </is>
      </c>
      <c r="D100" s="3" t="inlineStr">
        <is>
          <t>Subtopik: Pattern Recognition — Modulo dan Siklus</t>
        </is>
      </c>
      <c r="E100" t="n">
        <v>0.7277</v>
      </c>
      <c r="F100" t="inlineStr">
        <is>
          <t>✓</t>
        </is>
      </c>
      <c r="G100" t="inlineStr">
        <is>
          <t>✓</t>
        </is>
      </c>
      <c r="H100" s="3" t="inlineStr">
        <is>
          <t>1×24 = 1000 - 984 = 16 08:00 + 16 jam = 24:00 = 00:00 (tengah malam) JAWABAN: Jam 00:00 (tengah malam)  [SOAL 5 — Masalah Coklat Bebek dengan Modulo] Dengan pola deret segitiga n(n+1)/2, tuliskan pseudocode untuk mencari</t>
        </is>
      </c>
    </row>
    <row r="101">
      <c r="A101" t="n">
        <v>17</v>
      </c>
      <c r="B101" t="n">
        <v>4</v>
      </c>
      <c r="C101" t="inlineStr">
        <is>
          <t>GT_CT09.txt</t>
        </is>
      </c>
      <c r="D101" s="3" t="inlineStr">
        <is>
          <t>Pertemuan 9: Elemen Pseudocode — Variabel, Operator, Tipe Data, dan List</t>
        </is>
      </c>
      <c r="E101" t="n">
        <v>0.7191</v>
      </c>
      <c r="F101" t="inlineStr">
        <is>
          <t>✓</t>
        </is>
      </c>
      <c r="G101" t="inlineStr">
        <is>
          <t>✓</t>
        </is>
      </c>
      <c r="H101" s="3" t="inlineStr">
        <is>
          <t>ga konsistensi dan keterbacaan algoritme. Variabel umumnya bersifat case-sensitive, artinya membedakan huruf besar dan huruf kecil (misalnya, "Data", "data", dan "DATA" diperlakukan sebagai tiga variabel yang berbeda). V</t>
        </is>
      </c>
    </row>
    <row r="102">
      <c r="A102" t="n">
        <v>17</v>
      </c>
      <c r="B102" t="n">
        <v>5</v>
      </c>
      <c r="C102" t="inlineStr">
        <is>
          <t>GT_CT07.txt</t>
        </is>
      </c>
      <c r="D102" s="3" t="inlineStr">
        <is>
          <t>Pertemuan 7: Algoritme — Notasi Algoritme</t>
        </is>
      </c>
      <c r="E102" t="n">
        <v>0.7174</v>
      </c>
      <c r="F102" t="inlineStr">
        <is>
          <t>✓</t>
        </is>
      </c>
      <c r="G102" t="inlineStr">
        <is>
          <t>✓</t>
        </is>
      </c>
      <c r="H102" s="3" t="inlineStr">
        <is>
          <t>) dan selisih angka yang dicari (d). Output: banyaknya pasangan bilangan dengan selisih sebesar d (p). Proses: (a) Urutkan n bilangan secara menaik menjadi m1, m2, ..., mn; (b) Inisialisasi p = 0; (c) Untuk setiap i dari</t>
        </is>
      </c>
    </row>
    <row r="103">
      <c r="A103" t="n">
        <v>17</v>
      </c>
      <c r="B103" t="n">
        <v>6</v>
      </c>
      <c r="C103" t="inlineStr">
        <is>
          <t>GT_CT01.txt</t>
        </is>
      </c>
      <c r="D103" s="3" t="inlineStr">
        <is>
          <t>Pertemuan 1: Kontrak Perkuliahan dan Pendahuluan</t>
        </is>
      </c>
      <c r="E103" t="n">
        <v>0.7127</v>
      </c>
      <c r="F103" t="inlineStr">
        <is>
          <t>✓</t>
        </is>
      </c>
      <c r="G103" t="inlineStr">
        <is>
          <t>✓</t>
        </is>
      </c>
      <c r="H103" s="3" t="inlineStr">
        <is>
          <t xml:space="preserve"> dunia komputasi yang ditandai oleh perkembangan pesat kecerdasan buatan (Artificial Intelligence/AI). Salah satu tonggak penting dalam era ini adalah kemunculan ChatGPT yang diakui sebagai game changer dalam dunia tekno</t>
        </is>
      </c>
    </row>
    <row r="104">
      <c r="A104" t="n">
        <v>18</v>
      </c>
      <c r="B104" t="n">
        <v>1</v>
      </c>
      <c r="C104" t="inlineStr">
        <is>
          <t>GT_CT01.txt</t>
        </is>
      </c>
      <c r="D104" s="3" t="inlineStr">
        <is>
          <t>Pertemuan 1: Kontrak Perkuliahan dan Pendahuluan</t>
        </is>
      </c>
      <c r="E104" t="n">
        <v>0.7206</v>
      </c>
      <c r="F104" t="inlineStr">
        <is>
          <t>✓</t>
        </is>
      </c>
      <c r="G104" t="inlineStr">
        <is>
          <t>✓</t>
        </is>
      </c>
      <c r="H104" s="3" t="inlineStr">
        <is>
          <t>gi; (3) Dekomposisi — pengertian, teori, dan penerapan dekomposisi dalam problem solving; (4) Abstraksi — definisi dan penerapan abstraction dalam problem solving; (5) Pengenalan Pola — definisi dan penerapan pattern rec</t>
        </is>
      </c>
    </row>
    <row r="105">
      <c r="A105" t="n">
        <v>18</v>
      </c>
      <c r="B105" t="n">
        <v>2</v>
      </c>
      <c r="C105" t="inlineStr">
        <is>
          <t>GT_SUBTOPIK_02_Abstraksi_Formulasi.txt</t>
        </is>
      </c>
      <c r="D105" s="3" t="inlineStr">
        <is>
          <t>Subtopik: Abstraksi — Formulasi Problem (Problem/Goal/Batasan/Data)</t>
        </is>
      </c>
      <c r="E105" t="n">
        <v>0.697</v>
      </c>
      <c r="F105" t="inlineStr">
        <is>
          <t>✓</t>
        </is>
      </c>
      <c r="G105" t="inlineStr">
        <is>
          <t>✓</t>
        </is>
      </c>
      <c r="H105" s="3" t="inlineStr">
        <is>
          <t>ara dua MK jika ada konflik. Masalah menjadi: cari jumlah warna minimum untuk mewarnai node agar tidak ada dua node terhubung punya warna sama (chromatic number).  [SOAL 6 — Abstraksi vs Symptom] Identifikasi mana ROOT C</t>
        </is>
      </c>
    </row>
    <row r="106">
      <c r="A106" t="n">
        <v>18</v>
      </c>
      <c r="B106" t="n">
        <v>3</v>
      </c>
      <c r="C106" t="inlineStr">
        <is>
          <t>2PAR.txt</t>
        </is>
      </c>
      <c r="D106" s="3" t="inlineStr">
        <is>
          <t>Profil Kognitif 2PAR</t>
        </is>
      </c>
      <c r="E106" t="n">
        <v>0.6959</v>
      </c>
      <c r="F106" t="inlineStr">
        <is>
          <t>✓</t>
        </is>
      </c>
      <c r="G106" t="inlineStr">
        <is>
          <t>✓</t>
        </is>
      </c>
      <c r="H106" s="3" t="inlineStr">
        <is>
          <t>KOMBINASI KOGNITIF: 2PAR Pedagogi: Connect learning Tipe Kognitif: PAR  1. Deskripsi User menunjukkan pendekatan analitis mendalam saat hubungan materi baru divisualisasikan secara rinci. User menganalisis setiap kompone</t>
        </is>
      </c>
    </row>
    <row r="107">
      <c r="A107" t="n">
        <v>18</v>
      </c>
      <c r="B107" t="n">
        <v>4</v>
      </c>
      <c r="C107" t="inlineStr">
        <is>
          <t>3PAR.txt</t>
        </is>
      </c>
      <c r="D107" s="3" t="inlineStr">
        <is>
          <t>Profil Kognitif 3PAR</t>
        </is>
      </c>
      <c r="E107" t="n">
        <v>0.6958</v>
      </c>
      <c r="F107" t="inlineStr">
        <is>
          <t>✓</t>
        </is>
      </c>
      <c r="G107" t="inlineStr">
        <is>
          <t>✓</t>
        </is>
      </c>
      <c r="H107" s="3" t="inlineStr">
        <is>
          <t>KOMBINASI KOGNITIF: 3PAR Pedagogi: Chunk and sequence learning Tipe Kognitif: PAR  1. Deskripsi User menunjukkan pendekatan analitis dan teliti ketika materi rinci dipecah dan divisualisasikan. User menganalisis setiap d</t>
        </is>
      </c>
    </row>
    <row r="108">
      <c r="A108" t="n">
        <v>18</v>
      </c>
      <c r="B108" t="n">
        <v>5</v>
      </c>
      <c r="C108" t="inlineStr">
        <is>
          <t>5PAI.txt</t>
        </is>
      </c>
      <c r="D108" s="3" t="inlineStr">
        <is>
          <t>Profil Kognitif 5PAI</t>
        </is>
      </c>
      <c r="E108" t="n">
        <v>0.6948</v>
      </c>
      <c r="F108" t="inlineStr">
        <is>
          <t>✓</t>
        </is>
      </c>
      <c r="G108" t="inlineStr">
        <is>
          <t>✓</t>
        </is>
      </c>
      <c r="H108" s="3" t="inlineStr">
        <is>
          <t xml:space="preserve">ugesti Fokus untuk LLM - Fokus pada penguatan aspek CT sesuai profil ini. - Pertanyaan perlu diarahkan untuk memperdalam analisis, refleksi, dan pemecahan masalah. - Gunakan pendekatan akademik dan scaffolding kognitif. </t>
        </is>
      </c>
    </row>
    <row r="109">
      <c r="A109" t="n">
        <v>18</v>
      </c>
      <c r="B109" t="n">
        <v>6</v>
      </c>
      <c r="C109" t="inlineStr">
        <is>
          <t>3PGI.txt</t>
        </is>
      </c>
      <c r="D109" s="3" t="inlineStr">
        <is>
          <t>Profil Kognitif 3PGI</t>
        </is>
      </c>
      <c r="E109" t="n">
        <v>0.6936</v>
      </c>
      <c r="F109" t="inlineStr">
        <is>
          <t>✓</t>
        </is>
      </c>
      <c r="G109" t="inlineStr">
        <is>
          <t>✓</t>
        </is>
      </c>
      <c r="H109" s="3" t="inlineStr">
        <is>
          <t>KOMBINASI KOGNITIF: 3PGI Pedagogi: Chunk and sequence learning Tipe Kognitif: PGI  1. Deskripsi User menunjukkan pemahaman konsep besar dengan cepat saat materi dibagi dalam bentuk chunk visual sederhana. User mampu mena</t>
        </is>
      </c>
    </row>
    <row r="110">
      <c r="A110" t="n">
        <v>19</v>
      </c>
      <c r="B110" t="n">
        <v>1</v>
      </c>
      <c r="C110" t="inlineStr">
        <is>
          <t>GT_DETAIL_PT01_Pendahuluan.txt</t>
        </is>
      </c>
      <c r="D110" s="3" t="inlineStr">
        <is>
          <t>Pertemuan 1: Pendahuluan &amp; Kontrak Perkuliahan</t>
        </is>
      </c>
      <c r="E110" t="n">
        <v>0.7951</v>
      </c>
      <c r="F110" t="inlineStr">
        <is>
          <t>✓</t>
        </is>
      </c>
      <c r="G110" t="inlineStr">
        <is>
          <t>✓</t>
        </is>
      </c>
      <c r="H110" s="3" t="inlineStr">
        <is>
          <t>n      : Fokus hanya pada informasi penting: nama mata kuliah, jumlah SKS, jadwal                      kuliah tetap, dan preferensi waktu belajar. Mengabaikan detail seperti                      konten setiap mata kuliah</t>
        </is>
      </c>
    </row>
    <row r="111">
      <c r="A111" t="n">
        <v>19</v>
      </c>
      <c r="B111" t="n">
        <v>2</v>
      </c>
      <c r="C111" t="inlineStr">
        <is>
          <t>GT_DETAIL_PT09_Variabel_TipeData_Operator_List.txt</t>
        </is>
      </c>
      <c r="D111" s="3" t="inlineStr">
        <is>
          <t>Pertemuan 9: Elemen Pseudocode — Variabel, Tipe Data, Operator, List</t>
        </is>
      </c>
      <c r="E111" t="n">
        <v>0.7779</v>
      </c>
      <c r="F111" t="inlineStr">
        <is>
          <t>✓</t>
        </is>
      </c>
      <c r="G111" t="inlineStr">
        <is>
          <t>✓</t>
        </is>
      </c>
      <c r="H111" s="3" t="inlineStr">
        <is>
          <t xml:space="preserve"> T = F | F AND F = F     Tabel kebenaran OR:    T OR T = T | T OR F = T | F OR T = T | F OR F = F     NOT: NOT T = F | NOT F = T  5. Is Operator: memeriksa tipe atau identitas suatu nilai/objek.  G. LIST (ARRAY / SEQUENC</t>
        </is>
      </c>
    </row>
    <row r="112">
      <c r="A112" t="n">
        <v>19</v>
      </c>
      <c r="B112" t="n">
        <v>3</v>
      </c>
      <c r="C112" t="inlineStr">
        <is>
          <t>GT_CT09.txt</t>
        </is>
      </c>
      <c r="D112" s="3" t="inlineStr">
        <is>
          <t>Pertemuan 9: Elemen Pseudocode — Variabel, Operator, Tipe Data, dan List</t>
        </is>
      </c>
      <c r="E112" t="n">
        <v>0.7727000000000001</v>
      </c>
      <c r="F112" t="inlineStr">
        <is>
          <t>✓</t>
        </is>
      </c>
      <c r="G112" t="inlineStr">
        <is>
          <t>✓</t>
        </is>
      </c>
      <c r="H112" s="3" t="inlineStr">
        <is>
          <t>ama dengan (==), tidak sama dengan (!=), lebih besar dari (&gt;), lebih kecil dari (&lt;), lebih besar atau sama dengan (&gt;=), dan lebih kecil atau sama dengan (&lt;=).  4. Logical Operator (Operator Logika): Digunakan untuk mengg</t>
        </is>
      </c>
    </row>
    <row r="113">
      <c r="A113" t="n">
        <v>19</v>
      </c>
      <c r="B113" t="n">
        <v>4</v>
      </c>
      <c r="C113" t="inlineStr">
        <is>
          <t>GT_CT05.txt</t>
        </is>
      </c>
      <c r="D113" s="3" t="inlineStr">
        <is>
          <t>Pertemuan 5: Pattern Recognition (Pengenalan Pola)</t>
        </is>
      </c>
      <c r="E113" t="n">
        <v>0.7655</v>
      </c>
      <c r="F113" t="inlineStr">
        <is>
          <t>✓</t>
        </is>
      </c>
      <c r="G113" t="inlineStr">
        <is>
          <t>✓</t>
        </is>
      </c>
      <c r="H113" s="3" t="inlineStr">
        <is>
          <t>pola yang ada, dengan tujuan untuk memprediksi atau memperoleh cara cepat dalam memandang suatu persoalan. Pengenalan pola merupakan dasar untuk menyelesaikan persoalan karena dengan mengenali pola umum yang ada, seseora</t>
        </is>
      </c>
    </row>
    <row r="114">
      <c r="A114" t="n">
        <v>19</v>
      </c>
      <c r="B114" t="n">
        <v>5</v>
      </c>
      <c r="C114" t="inlineStr">
        <is>
          <t>GT_SUBTOPIK_02_Abstraksi_Formulasi.txt</t>
        </is>
      </c>
      <c r="D114" s="3" t="inlineStr">
        <is>
          <t>Subtopik: Abstraksi — Formulasi Problem (Problem/Goal/Batasan/Data)</t>
        </is>
      </c>
      <c r="E114" t="n">
        <v>0.7581</v>
      </c>
      <c r="F114" t="inlineStr">
        <is>
          <t>✓</t>
        </is>
      </c>
      <c r="G114" t="inlineStr">
        <is>
          <t>✓</t>
        </is>
      </c>
      <c r="H114" s="3" t="inlineStr">
        <is>
          <t xml:space="preserve"> aus, atau printer tidak dibersihkan secara berkala.    Abstraksi: fokus pada frekuensi dan kondisi saat macet →    apakah selalu dengan kertas tertentu? Setelah sekian lembar?  [SOAL 7 — Abstraksi Data] Diberikan datase</t>
        </is>
      </c>
    </row>
    <row r="115">
      <c r="A115" t="n">
        <v>19</v>
      </c>
      <c r="B115" t="n">
        <v>6</v>
      </c>
      <c r="C115" t="inlineStr">
        <is>
          <t>GT_CT09.txt</t>
        </is>
      </c>
      <c r="D115" s="3" t="inlineStr">
        <is>
          <t>Pertemuan 9: Elemen Pseudocode — Variabel, Operator, Tipe Data, dan List</t>
        </is>
      </c>
      <c r="E115" t="n">
        <v>0.7571</v>
      </c>
      <c r="F115" t="inlineStr">
        <is>
          <t>✓</t>
        </is>
      </c>
      <c r="G115" t="inlineStr">
        <is>
          <t>✓</t>
        </is>
      </c>
      <c r="H115" s="3" t="inlineStr">
        <is>
          <t>data yang menentukan jenis nilai yang dapat ditampung serta operasi apa yang dapat dilakukan terhadapnya. Terdapat beberapa tipe data dasar yang umum digunakan dalam algoritme dan pemrograman, antara lain:  1. Integer (B</t>
        </is>
      </c>
    </row>
    <row r="116">
      <c r="A116" t="n">
        <v>20</v>
      </c>
      <c r="B116" t="n">
        <v>1</v>
      </c>
      <c r="C116" t="inlineStr">
        <is>
          <t>GT_DETAIL_PT05_Pattern_Recognition.txt</t>
        </is>
      </c>
      <c r="D116" s="3" t="inlineStr">
        <is>
          <t>Pertemuan 5: Pattern Recognition (Pengenalan Pola)</t>
        </is>
      </c>
      <c r="E116" t="n">
        <v>0.7639</v>
      </c>
      <c r="F116" t="inlineStr">
        <is>
          <t>✓</t>
        </is>
      </c>
      <c r="G116" t="inlineStr">
        <is>
          <t>✓</t>
        </is>
      </c>
      <c r="H116" s="3" t="inlineStr">
        <is>
          <t>3=27(7), 3^4=81(1), 3^5=243(3) → siklus 4: 3,9,7,1 c) 2024 mod 4 = 0 → digit terakhir = 1  [SOAL 3 — Pola Bilangan] Temukan pola dari barisan berikut dan tentukan suku ke-10: a) 2, 5, 10, 17, 26, ... b) 1, 1, 2, 3, 5, 8,</t>
        </is>
      </c>
    </row>
    <row r="117">
      <c r="A117" t="n">
        <v>20</v>
      </c>
      <c r="B117" t="n">
        <v>2</v>
      </c>
      <c r="C117" t="inlineStr">
        <is>
          <t>GT_CT09.txt</t>
        </is>
      </c>
      <c r="D117" s="3" t="inlineStr">
        <is>
          <t>Pertemuan 9: Elemen Pseudocode — Variabel, Operator, Tipe Data, dan List</t>
        </is>
      </c>
      <c r="E117" t="n">
        <v>0.7554999999999999</v>
      </c>
      <c r="F117" t="inlineStr">
        <is>
          <t>✓</t>
        </is>
      </c>
      <c r="G117" t="inlineStr">
        <is>
          <t>✓</t>
        </is>
      </c>
      <c r="H117" s="3" t="inlineStr">
        <is>
          <t>ama dengan (==), tidak sama dengan (!=), lebih besar dari (&gt;), lebih kecil dari (&lt;), lebih besar atau sama dengan (&gt;=), dan lebih kecil atau sama dengan (&lt;=).  4. Logical Operator (Operator Logika): Digunakan untuk mengg</t>
        </is>
      </c>
    </row>
    <row r="118">
      <c r="A118" t="n">
        <v>20</v>
      </c>
      <c r="B118" t="n">
        <v>3</v>
      </c>
      <c r="C118" t="inlineStr">
        <is>
          <t>GT_CT07.txt</t>
        </is>
      </c>
      <c r="D118" s="3" t="inlineStr">
        <is>
          <t>Pertemuan 7: Algoritme — Notasi Algoritme</t>
        </is>
      </c>
      <c r="E118" t="n">
        <v>0.7552</v>
      </c>
      <c r="F118" t="inlineStr">
        <is>
          <t>✓</t>
        </is>
      </c>
      <c r="G118" t="inlineStr">
        <is>
          <t>✓</t>
        </is>
      </c>
      <c r="H118" s="3" t="inlineStr">
        <is>
          <t>) dan selisih angka yang dicari (d). Output: banyaknya pasangan bilangan dengan selisih sebesar d (p). Proses: (a) Urutkan n bilangan secara menaik menjadi m1, m2, ..., mn; (b) Inisialisasi p = 0; (c) Untuk setiap i dari</t>
        </is>
      </c>
    </row>
    <row r="119">
      <c r="A119" t="n">
        <v>20</v>
      </c>
      <c r="B119" t="n">
        <v>4</v>
      </c>
      <c r="C119" t="inlineStr">
        <is>
          <t>GT_DETAIL_PT04_Abstraksi.txt</t>
        </is>
      </c>
      <c r="D119" s="3" t="inlineStr">
        <is>
          <t>Pertemuan 4: Problem Solving — Abstraksi</t>
        </is>
      </c>
      <c r="E119" t="n">
        <v>0.7435</v>
      </c>
      <c r="F119" t="inlineStr">
        <is>
          <t>✓</t>
        </is>
      </c>
      <c r="G119" t="inlineStr">
        <is>
          <t>✓</t>
        </is>
      </c>
      <c r="H119" s="3" t="inlineStr">
        <is>
          <t xml:space="preserve">2  1 (F di pojok kanan atas)  Berapa maksimum permen yang bisa dikumpulkan Robot Candy?  JAWABAN: Semua jalur dari S (baris1,kol1) ke F (baris3,kol3) — panjang 4 langkah (2R, 2U):  Jalur 1: S→R→R→U→U (kol: 1→2→3, baris: </t>
        </is>
      </c>
    </row>
    <row r="120">
      <c r="A120" t="n">
        <v>20</v>
      </c>
      <c r="B120" t="n">
        <v>5</v>
      </c>
      <c r="C120" t="inlineStr">
        <is>
          <t>GT_DETAIL_PT09_Variabel_TipeData_Operator_List.txt</t>
        </is>
      </c>
      <c r="D120" s="3" t="inlineStr">
        <is>
          <t>Pertemuan 9: Elemen Pseudocode — Variabel, Tipe Data, Operator, List</t>
        </is>
      </c>
      <c r="E120" t="n">
        <v>0.7369</v>
      </c>
      <c r="F120" t="inlineStr">
        <is>
          <t>✓</t>
        </is>
      </c>
      <c r="G120" t="inlineStr">
        <is>
          <t>✓</t>
        </is>
      </c>
      <c r="H120" s="3" t="inlineStr">
        <is>
          <t xml:space="preserve"> T = F | F AND F = F     Tabel kebenaran OR:    T OR T = T | T OR F = T | F OR T = T | F OR F = F     NOT: NOT T = F | NOT F = T  5. Is Operator: memeriksa tipe atau identitas suatu nilai/objek.  G. LIST (ARRAY / SEQUENC</t>
        </is>
      </c>
    </row>
    <row r="121">
      <c r="A121" t="n">
        <v>20</v>
      </c>
      <c r="B121" t="n">
        <v>6</v>
      </c>
      <c r="C121" t="inlineStr">
        <is>
          <t>GT_SUBTOPIK_04_Modulo_Siklus.txt</t>
        </is>
      </c>
      <c r="D121" s="3" t="inlineStr">
        <is>
          <t>Subtopik: Pattern Recognition — Modulo dan Siklus</t>
        </is>
      </c>
      <c r="E121" t="n">
        <v>0.7352</v>
      </c>
      <c r="F121" t="inlineStr">
        <is>
          <t>✓</t>
        </is>
      </c>
      <c r="G121" t="inlineStr">
        <is>
          <t>✓</t>
        </is>
      </c>
      <c r="H121" s="3" t="inlineStr">
        <is>
          <t>ggal 13.    Pola hari tanggal 13 dari setiap bulan membentuk siklus berdasarkan    panjang bulan. Dalam satu tahun non-kabisat, Jumat ke-13 muncul minimal    1 kali dan maksimal 3 kali. Rata-rata: dalam 28 tahun siklus k</t>
        </is>
      </c>
    </row>
    <row r="122">
      <c r="A122" t="n">
        <v>21</v>
      </c>
      <c r="B122" t="n">
        <v>1</v>
      </c>
      <c r="C122" t="inlineStr">
        <is>
          <t>GT_CT07.txt</t>
        </is>
      </c>
      <c r="D122" s="3" t="inlineStr">
        <is>
          <t>Pertemuan 7: Algoritme — Notasi Algoritme</t>
        </is>
      </c>
      <c r="E122" t="n">
        <v>0.7831</v>
      </c>
      <c r="F122" t="inlineStr">
        <is>
          <t>✓</t>
        </is>
      </c>
      <c r="G122" t="inlineStr">
        <is>
          <t>✓</t>
        </is>
      </c>
      <c r="H122" s="3" t="inlineStr">
        <is>
          <t>an nilai alas dengan tinggi, lalu hasilnya dibagi dua.  2. Pseudocode: Pseudocode adalah cara informal untuk menuliskan algoritme atau rancangan program komputer. Tujuan utama pseudocode adalah untuk mendapatkan ide seca</t>
        </is>
      </c>
    </row>
    <row r="123">
      <c r="A123" t="n">
        <v>21</v>
      </c>
      <c r="B123" t="n">
        <v>2</v>
      </c>
      <c r="C123" t="inlineStr">
        <is>
          <t>GT_CT07.txt</t>
        </is>
      </c>
      <c r="D123" s="3" t="inlineStr">
        <is>
          <t>Pertemuan 7: Algoritme — Notasi Algoritme</t>
        </is>
      </c>
      <c r="E123" t="n">
        <v>0.7643</v>
      </c>
      <c r="F123" t="inlineStr">
        <is>
          <t>✓</t>
        </is>
      </c>
      <c r="G123" t="inlineStr">
        <is>
          <t>✓</t>
        </is>
      </c>
      <c r="H123" s="3" t="inlineStr">
        <is>
          <t>mbigu, artinya setiap tahap hanya memiliki satu makna yang pasti. 3. Finiteness, yaitu memiliki batas jumlah langkah yang terhingga dan tidak berjalan selamanya. 4. Feasibility, artinya sesuai dengan sumber daya yang ter</t>
        </is>
      </c>
    </row>
    <row r="124">
      <c r="A124" t="n">
        <v>21</v>
      </c>
      <c r="B124" t="n">
        <v>3</v>
      </c>
      <c r="C124" t="inlineStr">
        <is>
          <t>GT_DETAIL_PT10_Percabangan.txt</t>
        </is>
      </c>
      <c r="D124" s="3" t="inlineStr">
        <is>
          <t>Pertemuan 10: Struktur Kontrol — Percabangan</t>
        </is>
      </c>
      <c r="E124" t="n">
        <v>0.7633</v>
      </c>
      <c r="F124" t="inlineStr">
        <is>
          <t>✓</t>
        </is>
      </c>
      <c r="G124" t="inlineStr">
        <is>
          <t>✓</t>
        </is>
      </c>
      <c r="H124" s="3" t="inlineStr">
        <is>
          <t>------------ CONTOH SOAL DAN PEMBAHASAN ----------------------------------------------------------------  [SOAL 1 — Maks 2 Bilangan] Tuliskan pseudocode untuk menentukan bilangan terbesar dari dua bilangan a dan b!  JAWA</t>
        </is>
      </c>
    </row>
    <row r="125">
      <c r="A125" t="n">
        <v>21</v>
      </c>
      <c r="B125" t="n">
        <v>4</v>
      </c>
      <c r="C125" t="inlineStr">
        <is>
          <t>GT_CT01.txt</t>
        </is>
      </c>
      <c r="D125" s="3" t="inlineStr">
        <is>
          <t>Pertemuan 1: Kontrak Perkuliahan dan Pendahuluan</t>
        </is>
      </c>
      <c r="E125" t="n">
        <v>0.7455000000000001</v>
      </c>
      <c r="F125" t="inlineStr">
        <is>
          <t>✓</t>
        </is>
      </c>
      <c r="G125" t="inlineStr">
        <is>
          <t>✓</t>
        </is>
      </c>
      <c r="H125" s="3" t="inlineStr">
        <is>
          <t>gi; (3) Dekomposisi — pengertian, teori, dan penerapan dekomposisi dalam problem solving; (4) Abstraksi — definisi dan penerapan abstraction dalam problem solving; (5) Pengenalan Pola — definisi dan penerapan pattern rec</t>
        </is>
      </c>
    </row>
    <row r="126">
      <c r="A126" t="n">
        <v>21</v>
      </c>
      <c r="B126" t="n">
        <v>5</v>
      </c>
      <c r="C126" t="inlineStr">
        <is>
          <t>GT_DETAIL_PT07_Notasi_Algoritme.txt</t>
        </is>
      </c>
      <c r="D126" s="3" t="inlineStr">
        <is>
          <t>Pertemuan 7: Algoritme — Notasi Algoritme</t>
        </is>
      </c>
      <c r="E126" t="n">
        <v>0.7376</v>
      </c>
      <c r="F126" t="inlineStr">
        <is>
          <t>✓</t>
        </is>
      </c>
      <c r="G126" t="inlineStr">
        <is>
          <t>✓</t>
        </is>
      </c>
      <c r="H126" s="3" t="inlineStr">
        <is>
          <t>perasinya linear)  c) Rata-rata n bilangan: baca semua n bilangan + 1 pembagian → O(n) [linear]  [SOAL 5 — Pseudocode: Pesan Sandi] Tuliskan pseudocode untuk MENDEKRIPSI pesan yang dienkripsi dengan tiga langkah: (1) bal</t>
        </is>
      </c>
    </row>
    <row r="127">
      <c r="A127" t="n">
        <v>21</v>
      </c>
      <c r="B127" t="n">
        <v>6</v>
      </c>
      <c r="C127" t="inlineStr">
        <is>
          <t>GT_CT09.txt</t>
        </is>
      </c>
      <c r="D127" s="3" t="inlineStr">
        <is>
          <t>Pertemuan 9: Elemen Pseudocode — Variabel, Operator, Tipe Data, dan List</t>
        </is>
      </c>
      <c r="E127" t="n">
        <v>0.7306</v>
      </c>
      <c r="F127" t="inlineStr">
        <is>
          <t>✓</t>
        </is>
      </c>
      <c r="G127" t="inlineStr">
        <is>
          <t>✓</t>
        </is>
      </c>
      <c r="H127" s="3" t="inlineStr">
        <is>
          <t>ga konsistensi dan keterbacaan algoritme. Variabel umumnya bersifat case-sensitive, artinya membedakan huruf besar dan huruf kecil (misalnya, "Data", "data", dan "DATA" diperlakukan sebagai tiga variabel yang berbeda). V</t>
        </is>
      </c>
    </row>
    <row r="128">
      <c r="A128" t="n">
        <v>22</v>
      </c>
      <c r="B128" t="n">
        <v>1</v>
      </c>
      <c r="C128" t="inlineStr">
        <is>
          <t>GT_CT07.txt</t>
        </is>
      </c>
      <c r="D128" s="3" t="inlineStr">
        <is>
          <t>Pertemuan 7: Algoritme — Notasi Algoritme</t>
        </is>
      </c>
      <c r="E128" t="n">
        <v>0.8283</v>
      </c>
      <c r="F128" t="inlineStr">
        <is>
          <t>✓</t>
        </is>
      </c>
      <c r="G128" t="inlineStr">
        <is>
          <t>✓</t>
        </is>
      </c>
      <c r="H128" s="3" t="inlineStr">
        <is>
          <t>an nilai alas dengan tinggi, lalu hasilnya dibagi dua.  2. Pseudocode: Pseudocode adalah cara informal untuk menuliskan algoritme atau rancangan program komputer. Tujuan utama pseudocode adalah untuk mendapatkan ide seca</t>
        </is>
      </c>
    </row>
    <row r="129">
      <c r="A129" t="n">
        <v>22</v>
      </c>
      <c r="B129" t="n">
        <v>2</v>
      </c>
      <c r="C129" t="inlineStr">
        <is>
          <t>GT_DETAIL_PT10_Percabangan.txt</t>
        </is>
      </c>
      <c r="D129" s="3" t="inlineStr">
        <is>
          <t>Pertemuan 10: Struktur Kontrol — Percabangan</t>
        </is>
      </c>
      <c r="E129" t="n">
        <v>0.8206</v>
      </c>
      <c r="F129" t="inlineStr">
        <is>
          <t>✓</t>
        </is>
      </c>
      <c r="G129" t="inlineStr">
        <is>
          <t>✓</t>
        </is>
      </c>
      <c r="H129" s="3" t="inlineStr">
        <is>
          <t>------------ CONTOH SOAL DAN PEMBAHASAN ----------------------------------------------------------------  [SOAL 1 — Maks 2 Bilangan] Tuliskan pseudocode untuk menentukan bilangan terbesar dari dua bilangan a dan b!  JAWA</t>
        </is>
      </c>
    </row>
    <row r="130">
      <c r="A130" t="n">
        <v>22</v>
      </c>
      <c r="B130" t="n">
        <v>3</v>
      </c>
      <c r="C130" t="inlineStr">
        <is>
          <t>GT_SUBTOPIK_05_Pseudocode_Algoritme.txt</t>
        </is>
      </c>
      <c r="D130" s="3" t="inlineStr">
        <is>
          <t>Subtopik: Pseudocode dan Notasi Algoritme</t>
        </is>
      </c>
      <c r="E130" t="n">
        <v>0.7766</v>
      </c>
      <c r="F130" t="inlineStr">
        <is>
          <t>✓</t>
        </is>
      </c>
      <c r="G130" t="inlineStr">
        <is>
          <t>✓</t>
        </is>
      </c>
      <c r="H130" s="3" t="inlineStr">
        <is>
          <t xml:space="preserve">,12),(15,17),(18,20) → p=6  [SOAL 3 — Pseudocode: Cek Prima] Tulis pseudocode untuk mengecek apakah bilangan n prima!  JAWABAN: Input : bilangan bulat n Output: "prima" atau "bukan prima"    read(n)   if (n &lt;= 1) then   </t>
        </is>
      </c>
    </row>
    <row r="131">
      <c r="A131" t="n">
        <v>22</v>
      </c>
      <c r="B131" t="n">
        <v>4</v>
      </c>
      <c r="C131" t="inlineStr">
        <is>
          <t>GT_CT11.txt</t>
        </is>
      </c>
      <c r="D131" s="3" t="inlineStr">
        <is>
          <t>Pertemuan 11: Algoritme — Struktur Kontrol Perulangan</t>
        </is>
      </c>
      <c r="E131" t="n">
        <v>0.7715</v>
      </c>
      <c r="F131" t="inlineStr">
        <is>
          <t>✓</t>
        </is>
      </c>
      <c r="G131" t="inlineStr">
        <is>
          <t>✓</t>
        </is>
      </c>
      <c r="H131" s="3" t="inlineStr">
        <is>
          <t>2: x = 0; for i = 1 to 10 do; print(x); x = x + 2   ---------------------------------------------------------------- [MATERI 3: Iterasi Berdasarkan Kondisi (Perulangan "while")] ------------------------------------------</t>
        </is>
      </c>
    </row>
    <row r="132">
      <c r="A132" t="n">
        <v>22</v>
      </c>
      <c r="B132" t="n">
        <v>5</v>
      </c>
      <c r="C132" t="inlineStr">
        <is>
          <t>GT_DETAIL_PT07_Notasi_Algoritme.txt</t>
        </is>
      </c>
      <c r="D132" s="3" t="inlineStr">
        <is>
          <t>Pertemuan 7: Algoritme — Notasi Algoritme</t>
        </is>
      </c>
      <c r="E132" t="n">
        <v>0.7667</v>
      </c>
      <c r="F132" t="inlineStr">
        <is>
          <t>✓</t>
        </is>
      </c>
      <c r="G132" t="inlineStr">
        <is>
          <t>✓</t>
        </is>
      </c>
      <c r="H132" s="3" t="inlineStr">
        <is>
          <t>perasinya linear)  c) Rata-rata n bilangan: baca semua n bilangan + 1 pembagian → O(n) [linear]  [SOAL 5 — Pseudocode: Pesan Sandi] Tuliskan pseudocode untuk MENDEKRIPSI pesan yang dienkripsi dengan tiga langkah: (1) bal</t>
        </is>
      </c>
    </row>
    <row r="133">
      <c r="A133" t="n">
        <v>22</v>
      </c>
      <c r="B133" t="n">
        <v>6</v>
      </c>
      <c r="C133" t="inlineStr">
        <is>
          <t>GT_DETAIL_PT11_Perulangan.txt</t>
        </is>
      </c>
      <c r="D133" s="3" t="inlineStr">
        <is>
          <t>Pertemuan 11: Struktur Kontrol — Perulangan</t>
        </is>
      </c>
      <c r="E133" t="n">
        <v>0.7658</v>
      </c>
      <c r="F133" t="inlineStr">
        <is>
          <t>✓</t>
        </is>
      </c>
      <c r="G133" t="inlineStr">
        <is>
          <t>✓</t>
        </is>
      </c>
      <c r="H133" s="3" t="inlineStr">
        <is>
          <t xml:space="preserve">AL 11 — DO-WHILE vs WHILE] Apa perbedaan output dari dua pseudocode berikut? Kode A:   i = 10   while i &lt; 5 do     print(i)     i = i + 1  Kode B:   i = 10   do     print(i)     i = i + 1   while i &lt; 5  JAWABAN: Kode A: </t>
        </is>
      </c>
    </row>
    <row r="134">
      <c r="A134" t="n">
        <v>23</v>
      </c>
      <c r="B134" t="n">
        <v>1</v>
      </c>
      <c r="C134" t="inlineStr">
        <is>
          <t>GT_DETAIL_PT06_Block_Programming.txt</t>
        </is>
      </c>
      <c r="D134" s="3" t="inlineStr">
        <is>
          <t>Pertemuan 6: Pengenalan Algoritme &amp; Block Programming</t>
        </is>
      </c>
      <c r="E134" t="n">
        <v>0.7593</v>
      </c>
      <c r="F134" t="inlineStr">
        <is>
          <t>✓</t>
        </is>
      </c>
      <c r="G134" t="inlineStr">
        <is>
          <t>✓</t>
        </is>
      </c>
      <c r="H134" s="3" t="inlineStr">
        <is>
          <t>-------------------------------------------------  [SOAL 1 — Algoritme dalam Kehidupan] Tuliskan algoritme (narasi langkah-langkah) untuk "Membuat Mie Instan"!  JAWABAN: INPUT  : 1 bungkus mie instan, air, bumbu OUTPUT :</t>
        </is>
      </c>
    </row>
    <row r="135">
      <c r="A135" t="n">
        <v>23</v>
      </c>
      <c r="B135" t="n">
        <v>2</v>
      </c>
      <c r="C135" t="inlineStr">
        <is>
          <t>GT_CT09.txt</t>
        </is>
      </c>
      <c r="D135" s="3" t="inlineStr">
        <is>
          <t>Pertemuan 9: Elemen Pseudocode — Variabel, Operator, Tipe Data, dan List</t>
        </is>
      </c>
      <c r="E135" t="n">
        <v>0.7423</v>
      </c>
      <c r="F135" t="inlineStr">
        <is>
          <t>✓</t>
        </is>
      </c>
      <c r="G135" t="inlineStr">
        <is>
          <t>✓</t>
        </is>
      </c>
      <c r="H135" s="3" t="inlineStr">
        <is>
          <t>ama dengan (==), tidak sama dengan (!=), lebih besar dari (&gt;), lebih kecil dari (&lt;), lebih besar atau sama dengan (&gt;=), dan lebih kecil atau sama dengan (&lt;=).  4. Logical Operator (Operator Logika): Digunakan untuk mengg</t>
        </is>
      </c>
    </row>
    <row r="136">
      <c r="A136" t="n">
        <v>23</v>
      </c>
      <c r="B136" t="n">
        <v>3</v>
      </c>
      <c r="C136" t="inlineStr">
        <is>
          <t>GT_SUBTOPIK_02_Abstraksi_Formulasi.txt</t>
        </is>
      </c>
      <c r="D136" s="3" t="inlineStr">
        <is>
          <t>Subtopik: Abstraksi — Formulasi Problem (Problem/Goal/Batasan/Data)</t>
        </is>
      </c>
      <c r="E136" t="n">
        <v>0.7402</v>
      </c>
      <c r="F136" t="inlineStr">
        <is>
          <t>✓</t>
        </is>
      </c>
      <c r="G136" t="inlineStr">
        <is>
          <t>✓</t>
        </is>
      </c>
      <c r="H136" s="3" t="inlineStr">
        <is>
          <t>bisa bergerak ke KANAN atau ke ATAS (tidak bisa balik/diagonal)   - Harus mulai dari S dan berakhir di F   - Semua permen di petak yang dilalui otomatis diambil DATA     :   - Grid dengan dimensi tertentu   - Jumlah perm</t>
        </is>
      </c>
    </row>
    <row r="137">
      <c r="A137" t="n">
        <v>23</v>
      </c>
      <c r="B137" t="n">
        <v>4</v>
      </c>
      <c r="C137" t="inlineStr">
        <is>
          <t>GT_DETAIL_PT04_Abstraksi.txt</t>
        </is>
      </c>
      <c r="D137" s="3" t="inlineStr">
        <is>
          <t>Pertemuan 4: Problem Solving — Abstraksi</t>
        </is>
      </c>
      <c r="E137" t="n">
        <v>0.7269</v>
      </c>
      <c r="F137" t="inlineStr">
        <is>
          <t>✓</t>
        </is>
      </c>
      <c r="G137" t="inlineStr">
        <is>
          <t>✓</t>
        </is>
      </c>
      <c r="H137" s="3" t="inlineStr">
        <is>
          <t xml:space="preserve"> R(7)? R sudah → U(15) saja Lift 2: T(12) = 12 kg → 1 berang. Atau U(15) = 15 kg → 1 berang. Total terangkut: 5 berang (Lift 1: P,Q,R,S + Lift 2: T atau U). V tidak terangkut + U atau T.  [SOAL 4 — Abstraksi dalam Kehidu</t>
        </is>
      </c>
    </row>
    <row r="138">
      <c r="A138" t="n">
        <v>23</v>
      </c>
      <c r="B138" t="n">
        <v>5</v>
      </c>
      <c r="C138" t="inlineStr">
        <is>
          <t>GT_SUBTOPIK_14_Kompleksitas_BigO.txt</t>
        </is>
      </c>
      <c r="D138" s="3" t="inlineStr">
        <is>
          <t>Subtopik: Kompleksitas Algoritme (Big-O Notation)</t>
        </is>
      </c>
      <c r="E138" t="n">
        <v>0.7259</v>
      </c>
      <c r="F138" t="inlineStr">
        <is>
          <t>✓</t>
        </is>
      </c>
      <c r="G138" t="inlineStr">
        <is>
          <t>✓</t>
        </is>
      </c>
      <c r="H138" s="3" t="inlineStr">
        <is>
          <t xml:space="preserve"> (sangat cepat)   O(n log n)  : 1.000*10 / 10^8 = 0,0001 detik (cepat)   O(n^2)      : 10^6 / 10^8 = 0,01 detik (masih oke)   O(2^n)      : 2^1000 / 10^8 = TIDAK MUNGKIN selesai (lebih besar dari umur alam semesta!)  Unt</t>
        </is>
      </c>
    </row>
    <row r="139">
      <c r="A139" t="n">
        <v>23</v>
      </c>
      <c r="B139" t="n">
        <v>6</v>
      </c>
      <c r="C139" t="inlineStr">
        <is>
          <t>GT_CT07.txt</t>
        </is>
      </c>
      <c r="D139" s="3" t="inlineStr">
        <is>
          <t>Pertemuan 7: Algoritme — Notasi Algoritme</t>
        </is>
      </c>
      <c r="E139" t="n">
        <v>0.7205</v>
      </c>
      <c r="F139" t="inlineStr">
        <is>
          <t>✓</t>
        </is>
      </c>
      <c r="G139" t="inlineStr">
        <is>
          <t>✓</t>
        </is>
      </c>
      <c r="H139" s="3" t="inlineStr">
        <is>
          <t xml:space="preserve"> dan 20 seharusnya menghasilkan output 4; Algoritme Coklat Bebek dengan input 15 (jumlah coklat) seharusnya menghasilkan output 6 (nomor bebek pertama yang tidak mendapat coklat).  Selain validitas, efisiensi algoritme j</t>
        </is>
      </c>
    </row>
    <row r="140">
      <c r="A140" t="n">
        <v>24</v>
      </c>
      <c r="B140" t="n">
        <v>1</v>
      </c>
      <c r="C140" t="inlineStr">
        <is>
          <t>GT_CT10.txt</t>
        </is>
      </c>
      <c r="D140" s="3" t="inlineStr">
        <is>
          <t>Pertemuan 10: Struktur Kontrol — Percabangan</t>
        </is>
      </c>
      <c r="E140" t="n">
        <v>0.7912</v>
      </c>
      <c r="F140" t="inlineStr">
        <is>
          <t>✓</t>
        </is>
      </c>
      <c r="G140" t="inlineStr">
        <is>
          <t>✓</t>
        </is>
      </c>
      <c r="H140" s="3" t="inlineStr">
        <is>
          <t xml:space="preserve">n (Loop): digunakan ketika algoritme perlu mengulang pelaksanaan instruksi tertentu sampai suatu kondisi yang ditetapkan terpenuhi.  Pertemuan ini berfokus pada pembahasan struktur kontrol percabangan secara mendalam.   </t>
        </is>
      </c>
    </row>
    <row r="141">
      <c r="A141" t="n">
        <v>24</v>
      </c>
      <c r="B141" t="n">
        <v>2</v>
      </c>
      <c r="C141" t="inlineStr">
        <is>
          <t>GT_SUBTOPIK_14_Kompleksitas_BigO.txt</t>
        </is>
      </c>
      <c r="D141" s="3" t="inlineStr">
        <is>
          <t>Subtopik: Kompleksitas Algoritme (Big-O Notation)</t>
        </is>
      </c>
      <c r="E141" t="n">
        <v>0.7798</v>
      </c>
      <c r="F141" t="inlineStr">
        <is>
          <t>✓</t>
        </is>
      </c>
      <c r="G141" t="inlineStr">
        <is>
          <t>✓</t>
        </is>
      </c>
      <c r="H141" s="3" t="inlineStr">
        <is>
          <t xml:space="preserve"> (sangat cepat)   O(n log n)  : 1.000*10 / 10^8 = 0,0001 detik (cepat)   O(n^2)      : 10^6 / 10^8 = 0,01 detik (masih oke)   O(2^n)      : 2^1000 / 10^8 = TIDAK MUNGKIN selesai (lebih besar dari umur alam semesta!)  Unt</t>
        </is>
      </c>
    </row>
    <row r="142">
      <c r="A142" t="n">
        <v>24</v>
      </c>
      <c r="B142" t="n">
        <v>3</v>
      </c>
      <c r="C142" t="inlineStr">
        <is>
          <t>GT_DETAIL_PT07_Notasi_Algoritme.txt</t>
        </is>
      </c>
      <c r="D142" s="3" t="inlineStr">
        <is>
          <t>Pertemuan 7: Algoritme — Notasi Algoritme</t>
        </is>
      </c>
      <c r="E142" t="n">
        <v>0.7604</v>
      </c>
      <c r="F142" t="inlineStr">
        <is>
          <t>✓</t>
        </is>
      </c>
      <c r="G142" t="inlineStr">
        <is>
          <t>✓</t>
        </is>
      </c>
      <c r="H142" s="3" t="inlineStr">
        <is>
          <t>rata)  [SOAL 3 — Kasus Uji Algoritme Euclidean] Jalankan Algoritme Euclidean secara manual untuk input berikut dan tunjukkan setiap langkahnya: a) FPB(56, 14) b) FPB(77, 33) c) FPB(144, 89)  JAWABAN: a) FPB(56, 14):    5</t>
        </is>
      </c>
    </row>
    <row r="143">
      <c r="A143" t="n">
        <v>24</v>
      </c>
      <c r="B143" t="n">
        <v>4</v>
      </c>
      <c r="C143" t="inlineStr">
        <is>
          <t>GT_SUBTOPIK_11_Rekursi.txt</t>
        </is>
      </c>
      <c r="D143" s="3" t="inlineStr">
        <is>
          <t>Subtopik: Rekursi (Recursion)</t>
        </is>
      </c>
      <c r="E143" t="n">
        <v>0.7594</v>
      </c>
      <c r="F143" t="inlineStr">
        <is>
          <t>✓</t>
        </is>
      </c>
      <c r="G143" t="inlineStr">
        <is>
          <t>✓</t>
        </is>
      </c>
      <c r="H143" s="3" t="inlineStr">
        <is>
          <t>O(log n)  [SOAL 7 -- Tower of Hanoi] 3 tiang (A, B, C), n piringan di tiang A (terkecil di atas). Pindahkan semua ke C menggunakan B sebagai tiang bantu. Aturan: tidak boleh menaruh piringan besar di atas kecil.  JAWABAN</t>
        </is>
      </c>
    </row>
    <row r="144">
      <c r="A144" t="n">
        <v>24</v>
      </c>
      <c r="B144" t="n">
        <v>5</v>
      </c>
      <c r="C144" t="inlineStr">
        <is>
          <t>GT_CT07.txt</t>
        </is>
      </c>
      <c r="D144" s="3" t="inlineStr">
        <is>
          <t>Pertemuan 7: Algoritme — Notasi Algoritme</t>
        </is>
      </c>
      <c r="E144" t="n">
        <v>0.7548</v>
      </c>
      <c r="F144" t="inlineStr">
        <is>
          <t>✓</t>
        </is>
      </c>
      <c r="G144" t="inlineStr">
        <is>
          <t>✓</t>
        </is>
      </c>
      <c r="H144" s="3" t="inlineStr">
        <is>
          <t xml:space="preserve"> dan 20 seharusnya menghasilkan output 4; Algoritme Coklat Bebek dengan input 15 (jumlah coklat) seharusnya menghasilkan output 6 (nomor bebek pertama yang tidak mendapat coklat).  Selain validitas, efisiensi algoritme j</t>
        </is>
      </c>
    </row>
    <row r="145">
      <c r="A145" t="n">
        <v>24</v>
      </c>
      <c r="B145" t="n">
        <v>6</v>
      </c>
      <c r="C145" t="inlineStr">
        <is>
          <t>GT_DETAIL_PT07_Notasi_Algoritme.txt</t>
        </is>
      </c>
      <c r="D145" s="3" t="inlineStr">
        <is>
          <t>Pertemuan 7: Algoritme — Notasi Algoritme</t>
        </is>
      </c>
      <c r="E145" t="n">
        <v>0.7518</v>
      </c>
      <c r="F145" t="inlineStr">
        <is>
          <t>✓</t>
        </is>
      </c>
      <c r="G145" t="inlineStr">
        <is>
          <t>✓</t>
        </is>
      </c>
      <c r="H145" s="3" t="inlineStr">
        <is>
          <t xml:space="preserve">urutan selanjutnya M,M,H) Rekonstruksi kompleks — jawaban dari analisis: Total permen = 46.  Verifikasi: mesin=46: M→k=1, m=45, t+=22, m=22: seharusnya M tapi m=22 genap → lampu hijau (✗)  Penyelesaian sistematis dengan </t>
        </is>
      </c>
    </row>
    <row r="146">
      <c r="A146" t="n">
        <v>25</v>
      </c>
      <c r="B146" t="n">
        <v>1</v>
      </c>
      <c r="C146" t="inlineStr">
        <is>
          <t>GT_CT07.txt</t>
        </is>
      </c>
      <c r="D146" s="3" t="inlineStr">
        <is>
          <t>Pertemuan 7: Algoritme — Notasi Algoritme</t>
        </is>
      </c>
      <c r="E146" t="n">
        <v>0.8149999999999999</v>
      </c>
      <c r="F146" t="inlineStr">
        <is>
          <t>✓</t>
        </is>
      </c>
      <c r="G146" t="inlineStr">
        <is>
          <t>✓</t>
        </is>
      </c>
      <c r="H146" s="3" t="inlineStr">
        <is>
          <t>an nilai alas dengan tinggi, lalu hasilnya dibagi dua.  2. Pseudocode: Pseudocode adalah cara informal untuk menuliskan algoritme atau rancangan program komputer. Tujuan utama pseudocode adalah untuk mendapatkan ide seca</t>
        </is>
      </c>
    </row>
    <row r="147">
      <c r="A147" t="n">
        <v>25</v>
      </c>
      <c r="B147" t="n">
        <v>2</v>
      </c>
      <c r="C147" t="inlineStr">
        <is>
          <t>GT_DETAIL_PT10_Percabangan.txt</t>
        </is>
      </c>
      <c r="D147" s="3" t="inlineStr">
        <is>
          <t>Pertemuan 10: Struktur Kontrol — Percabangan</t>
        </is>
      </c>
      <c r="E147" t="n">
        <v>0.8038999999999999</v>
      </c>
      <c r="F147" t="inlineStr">
        <is>
          <t>✓</t>
        </is>
      </c>
      <c r="G147" t="inlineStr">
        <is>
          <t>✓</t>
        </is>
      </c>
      <c r="H147" s="3" t="inlineStr">
        <is>
          <t>------------ CONTOH SOAL DAN PEMBAHASAN ----------------------------------------------------------------  [SOAL 1 — Maks 2 Bilangan] Tuliskan pseudocode untuk menentukan bilangan terbesar dari dua bilangan a dan b!  JAWA</t>
        </is>
      </c>
    </row>
    <row r="148">
      <c r="A148" t="n">
        <v>25</v>
      </c>
      <c r="B148" t="n">
        <v>3</v>
      </c>
      <c r="C148" t="inlineStr">
        <is>
          <t>GT_DETAIL_PT07_Notasi_Algoritme.txt</t>
        </is>
      </c>
      <c r="D148" s="3" t="inlineStr">
        <is>
          <t>Pertemuan 7: Algoritme — Notasi Algoritme</t>
        </is>
      </c>
      <c r="E148" t="n">
        <v>0.7925</v>
      </c>
      <c r="F148" t="inlineStr">
        <is>
          <t>✓</t>
        </is>
      </c>
      <c r="G148" t="inlineStr">
        <is>
          <t>✓</t>
        </is>
      </c>
      <c r="H148" s="3" t="inlineStr">
        <is>
          <t>perasinya linear)  c) Rata-rata n bilangan: baca semua n bilangan + 1 pembagian → O(n) [linear]  [SOAL 5 — Pseudocode: Pesan Sandi] Tuliskan pseudocode untuk MENDEKRIPSI pesan yang dienkripsi dengan tiga langkah: (1) bal</t>
        </is>
      </c>
    </row>
    <row r="149">
      <c r="A149" t="n">
        <v>25</v>
      </c>
      <c r="B149" t="n">
        <v>4</v>
      </c>
      <c r="C149" t="inlineStr">
        <is>
          <t>GT_CT09.txt</t>
        </is>
      </c>
      <c r="D149" s="3" t="inlineStr">
        <is>
          <t>Pertemuan 9: Elemen Pseudocode — Variabel, Operator, Tipe Data, dan List</t>
        </is>
      </c>
      <c r="E149" t="n">
        <v>0.7916</v>
      </c>
      <c r="F149" t="inlineStr">
        <is>
          <t>✓</t>
        </is>
      </c>
      <c r="G149" t="inlineStr">
        <is>
          <t>✓</t>
        </is>
      </c>
      <c r="H149" s="3" t="inlineStr">
        <is>
          <t>h atau operasi yang dilakukan. 5. Struktur Kendali: mekanisme pengaturan alur eksekusi algoritme.  Pertemuan ini berfokus pada pembahasan mendalam terhadap variabel, instruksi, assignment, tipe data, dan operator sebagai</t>
        </is>
      </c>
    </row>
    <row r="150">
      <c r="A150" t="n">
        <v>25</v>
      </c>
      <c r="B150" t="n">
        <v>5</v>
      </c>
      <c r="C150" t="inlineStr">
        <is>
          <t>GT_SUBTOPIK_05_Pseudocode_Algoritme.txt</t>
        </is>
      </c>
      <c r="D150" s="3" t="inlineStr">
        <is>
          <t>Subtopik: Pseudocode dan Notasi Algoritme</t>
        </is>
      </c>
      <c r="E150" t="n">
        <v>0.7891</v>
      </c>
      <c r="F150" t="inlineStr">
        <is>
          <t>✓</t>
        </is>
      </c>
      <c r="G150" t="inlineStr">
        <is>
          <t>✓</t>
        </is>
      </c>
      <c r="H150" s="3" t="inlineStr">
        <is>
          <t xml:space="preserve">,12),(15,17),(18,20) → p=6  [SOAL 3 — Pseudocode: Cek Prima] Tulis pseudocode untuk mengecek apakah bilangan n prima!  JAWABAN: Input : bilangan bulat n Output: "prima" atau "bukan prima"    read(n)   if (n &lt;= 1) then   </t>
        </is>
      </c>
    </row>
    <row r="151">
      <c r="A151" t="n">
        <v>25</v>
      </c>
      <c r="B151" t="n">
        <v>6</v>
      </c>
      <c r="C151" t="inlineStr">
        <is>
          <t>GT_SUBTOPIK_01_Dekomposisi_Optimasi.txt</t>
        </is>
      </c>
      <c r="D151" s="3" t="inlineStr">
        <is>
          <t>Subtopik: Dekomposisi — Optimasi dan Pemecahan Masalah Terstruktur</t>
        </is>
      </c>
      <c r="E151" t="n">
        <v>0.7852</v>
      </c>
      <c r="F151" t="inlineStr">
        <is>
          <t>✓</t>
        </is>
      </c>
      <c r="G151" t="inlineStr">
        <is>
          <t>✓</t>
        </is>
      </c>
      <c r="H151" s="3" t="inlineStr">
        <is>
          <t>nan+P3K = 14 kg, nilai=31 ← terbesar sejauh ini Semua 5 barang = 5+3+4+6+2=20 ✗  JAWABAN: Bawa Tenda+Sleeping bag+Makanan+P3K = 14 kg, nilai total = 31.  [SOAL 7 — Dekomposisi Masalah Pencarian] Jelaskan bagaimana dekomp</t>
        </is>
      </c>
    </row>
    <row r="152">
      <c r="A152" t="n">
        <v>26</v>
      </c>
      <c r="B152" t="n">
        <v>1</v>
      </c>
      <c r="C152" t="inlineStr">
        <is>
          <t>GT_DETAIL_PT05_Pattern_Recognition.txt</t>
        </is>
      </c>
      <c r="D152" s="3" t="inlineStr">
        <is>
          <t>Pertemuan 5: Pattern Recognition (Pengenalan Pola)</t>
        </is>
      </c>
      <c r="E152" t="n">
        <v>0.7855</v>
      </c>
      <c r="F152" t="inlineStr">
        <is>
          <t>✓</t>
        </is>
      </c>
      <c r="G152" t="inlineStr">
        <is>
          <t>✓</t>
        </is>
      </c>
      <c r="H152" s="3" t="inlineStr">
        <is>
          <t>memiliki pola serupa.  D. PERBEDAAN MATHEMATICAL THINKING vs. COMPUTATIONAL THINKING  Masalah: 1 + 2 + 3 + ... + 10 = ?  Mathematical Thinking (kalkulasi bertahap): 1+2=3, 3+3=6, 6+4=10, 10+5=15, ... = 55 (10 langkah)  C</t>
        </is>
      </c>
    </row>
    <row r="153">
      <c r="A153" t="n">
        <v>26</v>
      </c>
      <c r="B153" t="n">
        <v>2</v>
      </c>
      <c r="C153" t="inlineStr">
        <is>
          <t>GT_DETAIL_PT05_Pattern_Recognition.txt</t>
        </is>
      </c>
      <c r="D153" s="3" t="inlineStr">
        <is>
          <t>Pertemuan 5: Pattern Recognition (Pengenalan Pola)</t>
        </is>
      </c>
      <c r="E153" t="n">
        <v>0.773</v>
      </c>
      <c r="F153" t="inlineStr">
        <is>
          <t>✓</t>
        </is>
      </c>
      <c r="G153" t="inlineStr">
        <is>
          <t>✓</t>
        </is>
      </c>
      <c r="H153" s="3" t="inlineStr">
        <is>
          <t>3=27(7), 3^4=81(1), 3^5=243(3) → siklus 4: 3,9,7,1 c) 2024 mod 4 = 0 → digit terakhir = 1  [SOAL 3 — Pola Bilangan] Temukan pola dari barisan berikut dan tentukan suku ke-10: a) 2, 5, 10, 17, 26, ... b) 1, 1, 2, 3, 5, 8,</t>
        </is>
      </c>
    </row>
    <row r="154">
      <c r="A154" t="n">
        <v>26</v>
      </c>
      <c r="B154" t="n">
        <v>3</v>
      </c>
      <c r="C154" t="inlineStr">
        <is>
          <t>GT_DETAIL_PT01_Pendahuluan.txt</t>
        </is>
      </c>
      <c r="D154" s="3" t="inlineStr">
        <is>
          <t>Pertemuan 1: Pendahuluan &amp; Kontrak Perkuliahan</t>
        </is>
      </c>
      <c r="E154" t="n">
        <v>0.7724</v>
      </c>
      <c r="F154" t="inlineStr">
        <is>
          <t>✓</t>
        </is>
      </c>
      <c r="G154" t="inlineStr">
        <is>
          <t>✓</t>
        </is>
      </c>
      <c r="H154" s="3" t="inlineStr">
        <is>
          <t xml:space="preserve">            : 35% - Kuis                       : 20% - Proyek / Aktivitas Partisipatif : 10%  Konversi Huruf Mutu (aturan IPB University): - A  : NA ≥ 75 - AB : 70 ≤ NA &lt; 75 - B  : 60 ≤ NA &lt; 70 - BC : 55 ≤ NA &lt; 60 - C  :</t>
        </is>
      </c>
    </row>
    <row r="155">
      <c r="A155" t="n">
        <v>26</v>
      </c>
      <c r="B155" t="n">
        <v>4</v>
      </c>
      <c r="C155" t="inlineStr">
        <is>
          <t>GT_DETAIL_PT09_Variabel_TipeData_Operator_List.txt</t>
        </is>
      </c>
      <c r="D155" s="3" t="inlineStr">
        <is>
          <t>Pertemuan 9: Elemen Pseudocode — Variabel, Tipe Data, Operator, List</t>
        </is>
      </c>
      <c r="E155" t="n">
        <v>0.7694</v>
      </c>
      <c r="F155" t="inlineStr">
        <is>
          <t>✓</t>
        </is>
      </c>
      <c r="G155" t="inlineStr">
        <is>
          <t>✓</t>
        </is>
      </c>
      <c r="H155" s="3" t="inlineStr">
        <is>
          <t>: mengandung tanda minus (-)  [SOAL 2 — Tipe Data] Tentukan tipe data yang paling tepat untuk menyimpan informasi berikut: a) Usia seseorang dalam tahun b) Nilai IPK (misalnya 3.75) c) Nama lengkap mahasiswa d) Status ke</t>
        </is>
      </c>
    </row>
    <row r="156">
      <c r="A156" t="n">
        <v>26</v>
      </c>
      <c r="B156" t="n">
        <v>5</v>
      </c>
      <c r="C156" t="inlineStr">
        <is>
          <t>GT_SUBTOPIK_03_Pola_Bilangan_Deret.txt</t>
        </is>
      </c>
      <c r="D156" s="3" t="inlineStr">
        <is>
          <t>Subtopik: Pattern Recognition — Pola Bilangan dan Deret Matematis</t>
        </is>
      </c>
      <c r="E156" t="n">
        <v>0.7629</v>
      </c>
      <c r="F156" t="inlineStr">
        <is>
          <t>✓</t>
        </is>
      </c>
      <c r="G156" t="inlineStr">
        <is>
          <t>✓</t>
        </is>
      </c>
      <c r="H156" s="3" t="inlineStr">
        <is>
          <t xml:space="preserve">Pola 3: 13 titik (ditambah 8) Pola 4: 25 titik (ditambah 12)  JAWABAN: Selisih antar pola: 4, 8, 12, ... → bertambah 4 setiap langkah Selisih ke-5: 16 Pola ke-5: 25 + 16 = 41  Formula: an = 2n² - 2n + 1 Verifikasi: n=5: </t>
        </is>
      </c>
    </row>
    <row r="157">
      <c r="A157" t="n">
        <v>26</v>
      </c>
      <c r="B157" t="n">
        <v>6</v>
      </c>
      <c r="C157" t="inlineStr">
        <is>
          <t>GT_DETAIL_PT01_Pendahuluan.txt</t>
        </is>
      </c>
      <c r="D157" s="3" t="inlineStr">
        <is>
          <t>Pertemuan 1: Pendahuluan &amp; Kontrak Perkuliahan</t>
        </is>
      </c>
      <c r="E157" t="n">
        <v>0.7621</v>
      </c>
      <c r="F157" t="inlineStr">
        <is>
          <t>✓</t>
        </is>
      </c>
      <c r="G157" t="inlineStr">
        <is>
          <t>✓</t>
        </is>
      </c>
      <c r="H157" s="3" t="inlineStr">
        <is>
          <t xml:space="preserve">ng saling terkait. - Ambiguity     : Informasi tentang dampak jangka panjang media sosial terhadap kesehatan mental                   masih kontradiktif dan sulit diinterpretasikan.  [SOAL 3 — Hitung Beban Belajar] Mata </t>
        </is>
      </c>
    </row>
    <row r="158">
      <c r="A158" t="n">
        <v>27</v>
      </c>
      <c r="B158" t="n">
        <v>1</v>
      </c>
      <c r="C158" t="inlineStr">
        <is>
          <t>GT_CT07.txt</t>
        </is>
      </c>
      <c r="D158" s="3" t="inlineStr">
        <is>
          <t>Pertemuan 7: Algoritme — Notasi Algoritme</t>
        </is>
      </c>
      <c r="E158" t="n">
        <v>0.7428</v>
      </c>
      <c r="F158" t="inlineStr">
        <is>
          <t>✓</t>
        </is>
      </c>
      <c r="G158" t="inlineStr">
        <is>
          <t>✓</t>
        </is>
      </c>
      <c r="H158" s="3" t="inlineStr">
        <is>
          <t>) dan selisih angka yang dicari (d). Output: banyaknya pasangan bilangan dengan selisih sebesar d (p). Proses: (a) Urutkan n bilangan secara menaik menjadi m1, m2, ..., mn; (b) Inisialisasi p = 0; (c) Untuk setiap i dari</t>
        </is>
      </c>
    </row>
    <row r="159">
      <c r="A159" t="n">
        <v>27</v>
      </c>
      <c r="B159" t="n">
        <v>2</v>
      </c>
      <c r="C159" t="inlineStr">
        <is>
          <t>GT_DETAIL_PT04_Abstraksi.txt</t>
        </is>
      </c>
      <c r="D159" s="3" t="inlineStr">
        <is>
          <t>Pertemuan 4: Problem Solving — Abstraksi</t>
        </is>
      </c>
      <c r="E159" t="n">
        <v>0.7193000000000001</v>
      </c>
      <c r="F159" t="inlineStr">
        <is>
          <t>✓</t>
        </is>
      </c>
      <c r="G159" t="inlineStr">
        <is>
          <t>✓</t>
        </is>
      </c>
      <c r="H159" s="3" t="inlineStr">
        <is>
          <t xml:space="preserve">–6 (HOTS).  B. PROBLEM SOLVING — SYMPTOM vs. PROBLEM  Perbedaan krusial yang sering diabaikan:  SYMPTOM (Gejala): perbedaan antara fakta yang terjadi dengan hasil yang diharapkan. → Apa yang kita rasakan/amati.  PROBLEM </t>
        </is>
      </c>
    </row>
    <row r="160">
      <c r="A160" t="n">
        <v>27</v>
      </c>
      <c r="B160" t="n">
        <v>3</v>
      </c>
      <c r="C160" t="inlineStr">
        <is>
          <t>GT_CT02.txt</t>
        </is>
      </c>
      <c r="D160" s="3" t="inlineStr">
        <is>
          <t>Pertemuan 2: ICT Literacy and Ethics</t>
        </is>
      </c>
      <c r="E160" t="n">
        <v>0.7122000000000001</v>
      </c>
      <c r="F160" t="inlineStr">
        <is>
          <t>✓</t>
        </is>
      </c>
      <c r="G160" t="inlineStr">
        <is>
          <t>✓</t>
        </is>
      </c>
      <c r="H160" s="3" t="inlineStr">
        <is>
          <t>saha untuk menipu atau mengakali masyarakat agar mempercayai sesuatu yang tidak benar. Hoax dapat dikenali dari beberapa ciri khas, yaitu: judul yang bersifat provokatif dan sensasional; kredibilitas alamat situs yang me</t>
        </is>
      </c>
    </row>
    <row r="161">
      <c r="A161" t="n">
        <v>27</v>
      </c>
      <c r="B161" t="n">
        <v>4</v>
      </c>
      <c r="C161" t="inlineStr">
        <is>
          <t>GT_DETAIL_PT01_Pendahuluan.txt</t>
        </is>
      </c>
      <c r="D161" s="3" t="inlineStr">
        <is>
          <t>Pertemuan 1: Pendahuluan &amp; Kontrak Perkuliahan</t>
        </is>
      </c>
      <c r="E161" t="n">
        <v>0.7074</v>
      </c>
      <c r="F161" t="inlineStr">
        <is>
          <t>✓</t>
        </is>
      </c>
      <c r="G161" t="inlineStr">
        <is>
          <t>✓</t>
        </is>
      </c>
      <c r="H161" s="3" t="inlineStr">
        <is>
          <t>afis. - Pattern Recognition: Mencari pola: apakah hoaks lebih sering menyebar di jam tertentu?                        Apakah ada kesamaan karakteristik akun yang sering menyebarkan hoaks? - Algorithm        : Merancang l</t>
        </is>
      </c>
    </row>
    <row r="162">
      <c r="A162" t="n">
        <v>27</v>
      </c>
      <c r="B162" t="n">
        <v>5</v>
      </c>
      <c r="C162" t="inlineStr">
        <is>
          <t>GT_CT05.txt</t>
        </is>
      </c>
      <c r="D162" s="3" t="inlineStr">
        <is>
          <t>Pertemuan 5: Pattern Recognition (Pengenalan Pola)</t>
        </is>
      </c>
      <c r="E162" t="n">
        <v>0.7033</v>
      </c>
      <c r="F162" t="inlineStr">
        <is>
          <t>✓</t>
        </is>
      </c>
      <c r="G162" t="inlineStr">
        <is>
          <t>✓</t>
        </is>
      </c>
      <c r="H162" s="3" t="inlineStr">
        <is>
          <t>pola yang ada, dengan tujuan untuk memprediksi atau memperoleh cara cepat dalam memandang suatu persoalan. Pengenalan pola merupakan dasar untuk menyelesaikan persoalan karena dengan mengenali pola umum yang ada, seseora</t>
        </is>
      </c>
    </row>
    <row r="163">
      <c r="A163" t="n">
        <v>27</v>
      </c>
      <c r="B163" t="n">
        <v>6</v>
      </c>
      <c r="C163" t="inlineStr">
        <is>
          <t>GT_DETAIL_PT02_ICT_Literacy_Ethics.txt</t>
        </is>
      </c>
      <c r="D163" s="3" t="inlineStr">
        <is>
          <t>Pertemuan 2: ICT Literacy and Ethics</t>
        </is>
      </c>
      <c r="E163" t="n">
        <v>0.7028</v>
      </c>
      <c r="F163" t="inlineStr">
        <is>
          <t>✓</t>
        </is>
      </c>
      <c r="G163" t="inlineStr">
        <is>
          <t>✓</t>
        </is>
      </c>
      <c r="H163" s="3" t="inlineStr">
        <is>
          <t xml:space="preserve"> informasi pribadi orang tersebut. Undang-undang mana yang berpotensi dilanggar? Jelaskan alasannya!  JAWABAN: Dua undang-undang yang berpotensi dilanggar: 1. UU No. 27 Tahun 2022 tentang Perlindungan Data Pribadi: karen</t>
        </is>
      </c>
    </row>
    <row r="164">
      <c r="A164" t="n">
        <v>28</v>
      </c>
      <c r="B164" t="n">
        <v>1</v>
      </c>
      <c r="C164" t="inlineStr">
        <is>
          <t>GT_CT07.txt</t>
        </is>
      </c>
      <c r="D164" s="3" t="inlineStr">
        <is>
          <t>Pertemuan 7: Algoritme — Notasi Algoritme</t>
        </is>
      </c>
      <c r="E164" t="n">
        <v>0.8035</v>
      </c>
      <c r="F164" t="inlineStr">
        <is>
          <t>✓</t>
        </is>
      </c>
      <c r="G164" t="inlineStr">
        <is>
          <t>✓</t>
        </is>
      </c>
      <c r="H164" s="3" t="inlineStr">
        <is>
          <t>an nilai alas dengan tinggi, lalu hasilnya dibagi dua.  2. Pseudocode: Pseudocode adalah cara informal untuk menuliskan algoritme atau rancangan program komputer. Tujuan utama pseudocode adalah untuk mendapatkan ide seca</t>
        </is>
      </c>
    </row>
    <row r="165">
      <c r="A165" t="n">
        <v>28</v>
      </c>
      <c r="B165" t="n">
        <v>2</v>
      </c>
      <c r="C165" t="inlineStr">
        <is>
          <t>GT_SUBTOPIK_01_Dekomposisi_Optimasi.txt</t>
        </is>
      </c>
      <c r="D165" s="3" t="inlineStr">
        <is>
          <t>Subtopik: Dekomposisi — Optimasi dan Pemecahan Masalah Terstruktur</t>
        </is>
      </c>
      <c r="E165" t="n">
        <v>0.8005</v>
      </c>
      <c r="F165" t="inlineStr">
        <is>
          <t>✓</t>
        </is>
      </c>
      <c r="G165" t="inlineStr">
        <is>
          <t>✓</t>
        </is>
      </c>
      <c r="H165" s="3" t="inlineStr">
        <is>
          <t>nan+P3K = 14 kg, nilai=31 ← terbesar sejauh ini Semua 5 barang = 5+3+4+6+2=20 ✗  JAWABAN: Bawa Tenda+Sleeping bag+Makanan+P3K = 14 kg, nilai total = 31.  [SOAL 7 — Dekomposisi Masalah Pencarian] Jelaskan bagaimana dekomp</t>
        </is>
      </c>
    </row>
    <row r="166">
      <c r="A166" t="n">
        <v>28</v>
      </c>
      <c r="B166" t="n">
        <v>3</v>
      </c>
      <c r="C166" t="inlineStr">
        <is>
          <t>GT_DETAIL_PT10_Percabangan.txt</t>
        </is>
      </c>
      <c r="D166" s="3" t="inlineStr">
        <is>
          <t>Pertemuan 10: Struktur Kontrol — Percabangan</t>
        </is>
      </c>
      <c r="E166" t="n">
        <v>0.7949000000000001</v>
      </c>
      <c r="F166" t="inlineStr">
        <is>
          <t>✓</t>
        </is>
      </c>
      <c r="G166" t="inlineStr">
        <is>
          <t>✓</t>
        </is>
      </c>
      <c r="H166" s="3" t="inlineStr">
        <is>
          <t>------------ CONTOH SOAL DAN PEMBAHASAN ----------------------------------------------------------------  [SOAL 1 — Maks 2 Bilangan] Tuliskan pseudocode untuk menentukan bilangan terbesar dari dua bilangan a dan b!  JAWA</t>
        </is>
      </c>
    </row>
    <row r="167">
      <c r="A167" t="n">
        <v>28</v>
      </c>
      <c r="B167" t="n">
        <v>4</v>
      </c>
      <c r="C167" t="inlineStr">
        <is>
          <t>GT_SUBTOPIK_04_Modulo_Siklus.txt</t>
        </is>
      </c>
      <c r="D167" s="3" t="inlineStr">
        <is>
          <t>Subtopik: Pattern Recognition — Modulo dan Siklus</t>
        </is>
      </c>
      <c r="E167" t="n">
        <v>0.7913</v>
      </c>
      <c r="F167" t="inlineStr">
        <is>
          <t>✓</t>
        </is>
      </c>
      <c r="G167" t="inlineStr">
        <is>
          <t>✓</t>
        </is>
      </c>
      <c r="H167" s="3" t="inlineStr">
        <is>
          <t>1×24 = 1000 - 984 = 16 08:00 + 16 jam = 24:00 = 00:00 (tengah malam) JAWABAN: Jam 00:00 (tengah malam)  [SOAL 5 — Masalah Coklat Bebek dengan Modulo] Dengan pola deret segitiga n(n+1)/2, tuliskan pseudocode untuk mencari</t>
        </is>
      </c>
    </row>
    <row r="168">
      <c r="A168" t="n">
        <v>28</v>
      </c>
      <c r="B168" t="n">
        <v>5</v>
      </c>
      <c r="C168" t="inlineStr">
        <is>
          <t>GT_SUBTOPIK_05_Pseudocode_Algoritme.txt</t>
        </is>
      </c>
      <c r="D168" s="3" t="inlineStr">
        <is>
          <t>Subtopik: Pseudocode dan Notasi Algoritme</t>
        </is>
      </c>
      <c r="E168" t="n">
        <v>0.7889</v>
      </c>
      <c r="F168" t="inlineStr">
        <is>
          <t>✓</t>
        </is>
      </c>
      <c r="G168" t="inlineStr">
        <is>
          <t>✓</t>
        </is>
      </c>
      <c r="H168" s="3" t="inlineStr">
        <is>
          <t xml:space="preserve">,12),(15,17),(18,20) → p=6  [SOAL 3 — Pseudocode: Cek Prima] Tulis pseudocode untuk mengecek apakah bilangan n prima!  JAWABAN: Input : bilangan bulat n Output: "prima" atau "bukan prima"    read(n)   if (n &lt;= 1) then   </t>
        </is>
      </c>
    </row>
    <row r="169">
      <c r="A169" t="n">
        <v>28</v>
      </c>
      <c r="B169" t="n">
        <v>6</v>
      </c>
      <c r="C169" t="inlineStr">
        <is>
          <t>GT_SUBTOPIK_05_Pseudocode_Algoritme.txt</t>
        </is>
      </c>
      <c r="D169" s="3" t="inlineStr">
        <is>
          <t>Subtopik: Pseudocode dan Notasi Algoritme</t>
        </is>
      </c>
      <c r="E169" t="n">
        <v>0.7811</v>
      </c>
      <c r="F169" t="inlineStr">
        <is>
          <t>✓</t>
        </is>
      </c>
      <c r="G169" t="inlineStr">
        <is>
          <t>✓</t>
        </is>
      </c>
      <c r="H169" s="3">
        <f> n / 2                  // pembagian integer   if (biner == "") then biner = "0"   print(biner)  Trace n=13:   13 mod 2 = 1, biner="1", n=6   6 mod 2  = 0, biner="01", n=3   3 mod 2  = 1, biner="101", n=1   1 mod 2  = 1</f>
        <v/>
      </c>
    </row>
    <row r="170">
      <c r="A170" t="n">
        <v>29</v>
      </c>
      <c r="B170" t="n">
        <v>1</v>
      </c>
      <c r="C170" t="inlineStr">
        <is>
          <t>GT_CT09.txt</t>
        </is>
      </c>
      <c r="D170" s="3" t="inlineStr">
        <is>
          <t>Pertemuan 9: Elemen Pseudocode — Variabel, Operator, Tipe Data, dan List</t>
        </is>
      </c>
      <c r="E170" t="n">
        <v>0.7552</v>
      </c>
      <c r="F170" t="inlineStr">
        <is>
          <t>✓</t>
        </is>
      </c>
      <c r="G170" t="inlineStr">
        <is>
          <t>✓</t>
        </is>
      </c>
      <c r="H170" s="3" t="inlineStr">
        <is>
          <t>ama dengan (==), tidak sama dengan (!=), lebih besar dari (&gt;), lebih kecil dari (&lt;), lebih besar atau sama dengan (&gt;=), dan lebih kecil atau sama dengan (&lt;=).  4. Logical Operator (Operator Logika): Digunakan untuk mengg</t>
        </is>
      </c>
    </row>
    <row r="171">
      <c r="A171" t="n">
        <v>29</v>
      </c>
      <c r="B171" t="n">
        <v>2</v>
      </c>
      <c r="C171" t="inlineStr">
        <is>
          <t>GT_CT03.txt</t>
        </is>
      </c>
      <c r="D171" s="3" t="inlineStr">
        <is>
          <t>Pertemuan 3: Problem Solving — Dekomposisi</t>
        </is>
      </c>
      <c r="E171" t="n">
        <v>0.7513</v>
      </c>
      <c r="F171" t="inlineStr">
        <is>
          <t>✓</t>
        </is>
      </c>
      <c r="G171" t="inlineStr">
        <is>
          <t>✓</t>
        </is>
      </c>
      <c r="H171" s="3" t="inlineStr">
        <is>
          <t>sing bagian dihitung secara terpisah, kemudian hasilnya dijumlahkan untuk memperoleh luas total bangun datar tersebut.  2. Membuat Sarapan: Kegiatan membuat sarapan yang tampak sederhana sebenarnya merupakan kumpulan dar</t>
        </is>
      </c>
    </row>
    <row r="172">
      <c r="A172" t="n">
        <v>29</v>
      </c>
      <c r="B172" t="n">
        <v>3</v>
      </c>
      <c r="C172" t="inlineStr">
        <is>
          <t>GT_CT07.txt</t>
        </is>
      </c>
      <c r="D172" s="3" t="inlineStr">
        <is>
          <t>Pertemuan 7: Algoritme — Notasi Algoritme</t>
        </is>
      </c>
      <c r="E172" t="n">
        <v>0.7378</v>
      </c>
      <c r="F172" t="inlineStr">
        <is>
          <t>✓</t>
        </is>
      </c>
      <c r="G172" t="inlineStr">
        <is>
          <t>✓</t>
        </is>
      </c>
      <c r="H172" s="3" t="inlineStr">
        <is>
          <t>) dan selisih angka yang dicari (d). Output: banyaknya pasangan bilangan dengan selisih sebesar d (p). Proses: (a) Urutkan n bilangan secara menaik menjadi m1, m2, ..., mn; (b) Inisialisasi p = 0; (c) Untuk setiap i dari</t>
        </is>
      </c>
    </row>
    <row r="173">
      <c r="A173" t="n">
        <v>29</v>
      </c>
      <c r="B173" t="n">
        <v>4</v>
      </c>
      <c r="C173" t="inlineStr">
        <is>
          <t>GT_CT01.txt</t>
        </is>
      </c>
      <c r="D173" s="3" t="inlineStr">
        <is>
          <t>Pertemuan 1: Kontrak Perkuliahan dan Pendahuluan</t>
        </is>
      </c>
      <c r="E173" t="n">
        <v>0.7363</v>
      </c>
      <c r="F173" t="inlineStr">
        <is>
          <t>✓</t>
        </is>
      </c>
      <c r="G173" t="inlineStr">
        <is>
          <t>✓</t>
        </is>
      </c>
      <c r="H173" s="3" t="inlineStr">
        <is>
          <t xml:space="preserve"> dunia komputasi yang ditandai oleh perkembangan pesat kecerdasan buatan (Artificial Intelligence/AI). Salah satu tonggak penting dalam era ini adalah kemunculan ChatGPT yang diakui sebagai game changer dalam dunia tekno</t>
        </is>
      </c>
    </row>
    <row r="174">
      <c r="A174" t="n">
        <v>29</v>
      </c>
      <c r="B174" t="n">
        <v>5</v>
      </c>
      <c r="C174" t="inlineStr">
        <is>
          <t>GT_DETAIL_PT04_Abstraksi.txt</t>
        </is>
      </c>
      <c r="D174" s="3" t="inlineStr">
        <is>
          <t>Pertemuan 4: Problem Solving — Abstraksi</t>
        </is>
      </c>
      <c r="E174" t="n">
        <v>0.7352</v>
      </c>
      <c r="F174" t="inlineStr">
        <is>
          <t>✓</t>
        </is>
      </c>
      <c r="G174" t="inlineStr">
        <is>
          <t>✓</t>
        </is>
      </c>
      <c r="H174" s="3" t="inlineStr">
        <is>
          <t xml:space="preserve">–6 (HOTS).  B. PROBLEM SOLVING — SYMPTOM vs. PROBLEM  Perbedaan krusial yang sering diabaikan:  SYMPTOM (Gejala): perbedaan antara fakta yang terjadi dengan hasil yang diharapkan. → Apa yang kita rasakan/amati.  PROBLEM </t>
        </is>
      </c>
    </row>
    <row r="175">
      <c r="A175" t="n">
        <v>29</v>
      </c>
      <c r="B175" t="n">
        <v>6</v>
      </c>
      <c r="C175" t="inlineStr">
        <is>
          <t>GT_CT05.txt</t>
        </is>
      </c>
      <c r="D175" s="3" t="inlineStr">
        <is>
          <t>Pertemuan 5: Pattern Recognition (Pengenalan Pola)</t>
        </is>
      </c>
      <c r="E175" t="n">
        <v>0.7304</v>
      </c>
      <c r="F175" t="inlineStr">
        <is>
          <t>✓</t>
        </is>
      </c>
      <c r="G175" t="inlineStr">
        <is>
          <t>✓</t>
        </is>
      </c>
      <c r="H175" s="3" t="inlineStr">
        <is>
          <t>g kosong. Pendekatan yang digunakan adalah terlebih dahulu melakukan abstraksi terhadap elemen-elemen visual yang relevan, kemudian mengenali pola transformasi atau urutan yang terjadi antar gambar untuk menentukan jawab</t>
        </is>
      </c>
    </row>
    <row r="176">
      <c r="A176" t="n">
        <v>30</v>
      </c>
      <c r="B176" t="n">
        <v>1</v>
      </c>
      <c r="C176" t="inlineStr">
        <is>
          <t>GT_CT09.txt</t>
        </is>
      </c>
      <c r="D176" s="3" t="inlineStr">
        <is>
          <t>Pertemuan 9: Elemen Pseudocode — Variabel, Operator, Tipe Data, dan List</t>
        </is>
      </c>
      <c r="E176" t="n">
        <v>0.7919</v>
      </c>
      <c r="F176" t="inlineStr">
        <is>
          <t>✓</t>
        </is>
      </c>
      <c r="G176" t="inlineStr">
        <is>
          <t>✓</t>
        </is>
      </c>
      <c r="H176" s="3" t="inlineStr">
        <is>
          <t>ama dengan (==), tidak sama dengan (!=), lebih besar dari (&gt;), lebih kecil dari (&lt;), lebih besar atau sama dengan (&gt;=), dan lebih kecil atau sama dengan (&lt;=).  4. Logical Operator (Operator Logika): Digunakan untuk mengg</t>
        </is>
      </c>
    </row>
    <row r="177">
      <c r="A177" t="n">
        <v>30</v>
      </c>
      <c r="B177" t="n">
        <v>2</v>
      </c>
      <c r="C177" t="inlineStr">
        <is>
          <t>GT_CT09.txt</t>
        </is>
      </c>
      <c r="D177" s="3" t="inlineStr">
        <is>
          <t>Pertemuan 9: Elemen Pseudocode — Variabel, Operator, Tipe Data, dan List</t>
        </is>
      </c>
      <c r="E177" t="n">
        <v>0.7814</v>
      </c>
      <c r="F177" t="inlineStr">
        <is>
          <t>✓</t>
        </is>
      </c>
      <c r="G177" t="inlineStr">
        <is>
          <t>✓</t>
        </is>
      </c>
      <c r="H177" s="3" t="inlineStr">
        <is>
          <t xml:space="preserve">kses menggunakan indeks posisinya.  Konsep list sangat berguna ketika berhadapan dengan data dalam jumlah besar yang sejenis, seperti daftar nilai ujian mahasiswa, daftar harga produk, atau daftar nama pelanggan. Dengan </t>
        </is>
      </c>
    </row>
    <row r="178">
      <c r="A178" t="n">
        <v>30</v>
      </c>
      <c r="B178" t="n">
        <v>3</v>
      </c>
      <c r="C178" t="inlineStr">
        <is>
          <t>GT_CT13.txt</t>
        </is>
      </c>
      <c r="D178" s="3" t="inlineStr">
        <is>
          <t>Pertemuan 13: Pengenalan Struktur Data</t>
        </is>
      </c>
      <c r="E178" t="n">
        <v>0.7637</v>
      </c>
      <c r="F178" t="inlineStr">
        <is>
          <t>✓</t>
        </is>
      </c>
      <c r="G178" t="inlineStr">
        <is>
          <t>✓</t>
        </is>
      </c>
      <c r="H178" s="3" t="inlineStr">
        <is>
          <t>entukan kemudahan dan efisiensi pengolahan.  Berbagai aplikasi komputer memerlukan struktur data yang sesuai dengan kebutuhannya. Sebagai contoh, aplikasi perkantoran seperti Microsoft Word atau Google Docs memerlukan st</t>
        </is>
      </c>
    </row>
    <row r="179">
      <c r="A179" t="n">
        <v>30</v>
      </c>
      <c r="B179" t="n">
        <v>4</v>
      </c>
      <c r="C179" t="inlineStr">
        <is>
          <t>GT_DETAIL_PT12_Fungsi.txt</t>
        </is>
      </c>
      <c r="D179" s="3" t="inlineStr">
        <is>
          <t>Pertemuan 12: Fungsi</t>
        </is>
      </c>
      <c r="E179" t="n">
        <v>0.763</v>
      </c>
      <c r="F179" t="inlineStr">
        <is>
          <t>✓</t>
        </is>
      </c>
      <c r="G179" t="inlineStr">
        <is>
          <t>✓</t>
        </is>
      </c>
      <c r="H179" s="3" t="inlineStr">
        <is>
          <t>ion hitungFPB(a: int, b: int) : int → return FPB dari a dan b c) procedure inisialisasi() → set semua variabel ke 0 d) function cekPrima(n: int) : boolean → return True jika n prima  JAWABAN: a) PROSEDUR: tidak mengembal</t>
        </is>
      </c>
    </row>
    <row r="180">
      <c r="A180" t="n">
        <v>30</v>
      </c>
      <c r="B180" t="n">
        <v>5</v>
      </c>
      <c r="C180" t="inlineStr">
        <is>
          <t>GT_DETAIL_PT09_Variabel_TipeData_Operator_List.txt</t>
        </is>
      </c>
      <c r="D180" s="3" t="inlineStr">
        <is>
          <t>Pertemuan 9: Elemen Pseudocode — Variabel, Tipe Data, Operator, List</t>
        </is>
      </c>
      <c r="E180" t="n">
        <v>0.7613</v>
      </c>
      <c r="F180" t="inlineStr">
        <is>
          <t>✓</t>
        </is>
      </c>
      <c r="G180" t="inlineStr">
        <is>
          <t>✓</t>
        </is>
      </c>
      <c r="H180" s="3" t="inlineStr">
        <is>
          <t xml:space="preserve"> T = F | F AND F = F     Tabel kebenaran OR:    T OR T = T | T OR F = T | F OR T = T | F OR F = F     NOT: NOT T = F | NOT F = T  5. Is Operator: memeriksa tipe atau identitas suatu nilai/objek.  G. LIST (ARRAY / SEQUENC</t>
        </is>
      </c>
    </row>
    <row r="181">
      <c r="A181" t="n">
        <v>30</v>
      </c>
      <c r="B181" t="n">
        <v>6</v>
      </c>
      <c r="C181" t="inlineStr">
        <is>
          <t>GT_CT13.txt</t>
        </is>
      </c>
      <c r="D181" s="3" t="inlineStr">
        <is>
          <t>Pertemuan 13: Pengenalan Struktur Data</t>
        </is>
      </c>
      <c r="E181" t="n">
        <v>0.7609</v>
      </c>
      <c r="F181" t="inlineStr">
        <is>
          <t>✓</t>
        </is>
      </c>
      <c r="G181" t="inlineStr">
        <is>
          <t>✓</t>
        </is>
      </c>
      <c r="H181" s="3" t="inlineStr">
        <is>
          <t>ai urutan kedatangannya. - Sistem kecerdasan buatan dalam permainan catur yang merepresentasikan berbagai kemungkinan langkah ke depan: struktur data yang paling tepat adalah Tree, karena setiap kemungkinan langkah berca</t>
        </is>
      </c>
    </row>
    <row r="182">
      <c r="A182" t="n">
        <v>31</v>
      </c>
      <c r="B182" t="n">
        <v>1</v>
      </c>
      <c r="C182" t="inlineStr">
        <is>
          <t>GT_SUBTOPIK_07_Percabangan_Trace.txt</t>
        </is>
      </c>
      <c r="D182" s="3" t="inlineStr">
        <is>
          <t>Subtopik: Percabangan — Analisis Kasus dan Trace Kode</t>
        </is>
      </c>
      <c r="E182" t="n">
        <v>0.8531</v>
      </c>
      <c r="F182" t="inlineStr">
        <is>
          <t>✓</t>
        </is>
      </c>
      <c r="G182" t="inlineStr">
        <is>
          <t>✓</t>
        </is>
      </c>
      <c r="H182" s="3" t="inlineStr">
        <is>
          <t>rint("z")   else     print("y")  JAWABAN: Awal: x=6, y=3, z=9 Kondisi 1: x &gt; y → 6 &gt; 3 → True → x = 6-3 = 3 State: x=3, y=3, z=9  Kondisi 2: z &gt; x → 9 &gt; 3 → True → z = 9-3 = 6 State: x=3, y=3, z=6  Kondisi 3: x &gt; z → 3 &gt;</t>
        </is>
      </c>
    </row>
    <row r="183">
      <c r="A183" t="n">
        <v>31</v>
      </c>
      <c r="B183" t="n">
        <v>2</v>
      </c>
      <c r="C183" t="inlineStr">
        <is>
          <t>GT_DETAIL_PT10_Percabangan.txt</t>
        </is>
      </c>
      <c r="D183" s="3" t="inlineStr">
        <is>
          <t>Pertemuan 10: Struktur Kontrol — Percabangan</t>
        </is>
      </c>
      <c r="E183" t="n">
        <v>0.837</v>
      </c>
      <c r="F183" t="inlineStr">
        <is>
          <t>✓</t>
        </is>
      </c>
      <c r="G183" t="inlineStr">
        <is>
          <t>✓</t>
        </is>
      </c>
      <c r="H183" s="3" t="inlineStr">
        <is>
          <t>------------ CONTOH SOAL DAN PEMBAHASAN ----------------------------------------------------------------  [SOAL 1 — Maks 2 Bilangan] Tuliskan pseudocode untuk menentukan bilangan terbesar dari dua bilangan a dan b!  JAWA</t>
        </is>
      </c>
    </row>
    <row r="184">
      <c r="A184" t="n">
        <v>31</v>
      </c>
      <c r="B184" t="n">
        <v>3</v>
      </c>
      <c r="C184" t="inlineStr">
        <is>
          <t>GT_SUBTOPIK_05_Pseudocode_Algoritme.txt</t>
        </is>
      </c>
      <c r="D184" s="3" t="inlineStr">
        <is>
          <t>Subtopik: Pseudocode dan Notasi Algoritme</t>
        </is>
      </c>
      <c r="E184" t="n">
        <v>0.824</v>
      </c>
      <c r="F184" t="inlineStr">
        <is>
          <t>✓</t>
        </is>
      </c>
      <c r="G184" t="inlineStr">
        <is>
          <t>✓</t>
        </is>
      </c>
      <c r="H184" s="3" t="inlineStr">
        <is>
          <t xml:space="preserve">,12),(15,17),(18,20) → p=6  [SOAL 3 — Pseudocode: Cek Prima] Tulis pseudocode untuk mengecek apakah bilangan n prima!  JAWABAN: Input : bilangan bulat n Output: "prima" atau "bukan prima"    read(n)   if (n &lt;= 1) then   </t>
        </is>
      </c>
    </row>
    <row r="185">
      <c r="A185" t="n">
        <v>31</v>
      </c>
      <c r="B185" t="n">
        <v>4</v>
      </c>
      <c r="C185" t="inlineStr">
        <is>
          <t>GT_SUBTOPIK_07_Percabangan_Trace.txt</t>
        </is>
      </c>
      <c r="D185" s="3" t="inlineStr">
        <is>
          <t>Subtopik: Percabangan — Analisis Kasus dan Trace Kode</t>
        </is>
      </c>
      <c r="E185" t="n">
        <v>0.8168</v>
      </c>
      <c r="F185" t="inlineStr">
        <is>
          <t>✓</t>
        </is>
      </c>
      <c r="G185" t="inlineStr">
        <is>
          <t>✓</t>
        </is>
      </c>
      <c r="H185" s="3" t="inlineStr">
        <is>
          <t>a, b)   if (a &gt; b) then     selisih = a - b   else     selisih = b - a   print(selisih)  JAWABAN: Kondisi: a &gt; b → 5 &gt; 12 → False Eksekusi blok else: selisih = 12 - 5 = 7 print(7) Output: 7  [SOAL 3 — Trace Else-If: Huru</t>
        </is>
      </c>
    </row>
    <row r="186">
      <c r="A186" t="n">
        <v>31</v>
      </c>
      <c r="B186" t="n">
        <v>5</v>
      </c>
      <c r="C186" t="inlineStr">
        <is>
          <t>GT_DETAIL_PT10_Percabangan.txt</t>
        </is>
      </c>
      <c r="D186" s="3" t="inlineStr">
        <is>
          <t>Pertemuan 10: Struktur Kontrol — Percabangan</t>
        </is>
      </c>
      <c r="E186" t="n">
        <v>0.8126</v>
      </c>
      <c r="F186" t="inlineStr">
        <is>
          <t>✓</t>
        </is>
      </c>
      <c r="G186" t="inlineStr">
        <is>
          <t>✓</t>
        </is>
      </c>
      <c r="H186" s="3" t="inlineStr">
        <is>
          <t>ode 1 (else-if):   read(a, b, c)   if (a &gt;= b and a &gt;= c) then print(a)   else if (b &gt;= c and b &gt;= a) then print(b)   else print(c)  Metode 2 (variabel bantu):   read(a, b, c)   maks = a   if (b &gt; maks) then maks = b   i</t>
        </is>
      </c>
    </row>
    <row r="187">
      <c r="A187" t="n">
        <v>31</v>
      </c>
      <c r="B187" t="n">
        <v>6</v>
      </c>
      <c r="C187" t="inlineStr">
        <is>
          <t>GT_SUBTOPIK_07_Percabangan_Trace.txt</t>
        </is>
      </c>
      <c r="D187" s="3" t="inlineStr">
        <is>
          <t>Subtopik: Percabangan — Analisis Kasus dan Trace Kode</t>
        </is>
      </c>
      <c r="E187" t="n">
        <v>0.8122</v>
      </c>
      <c r="F187" t="inlineStr">
        <is>
          <t>✓</t>
        </is>
      </c>
      <c r="G187" t="inlineStr">
        <is>
          <t>✓</t>
        </is>
      </c>
      <c r="H187" s="3" t="inlineStr">
        <is>
          <t>s_sisi   if (jumlah_kuadrat == kuadrat_maks) then print("siku-siku")   else if (jumlah_kuadrat &gt; kuadrat_maks) then print("lancip")   else print("tumpul")  [SOAL 9 — Trace Bertingkat] Trace dan tentukan output untuk x=4,</t>
        </is>
      </c>
    </row>
    <row r="188">
      <c r="A188" t="n">
        <v>32</v>
      </c>
      <c r="B188" t="n">
        <v>1</v>
      </c>
      <c r="C188" t="inlineStr">
        <is>
          <t>GT_CT10.txt</t>
        </is>
      </c>
      <c r="D188" s="3" t="inlineStr">
        <is>
          <t>Pertemuan 10: Struktur Kontrol — Percabangan</t>
        </is>
      </c>
      <c r="E188" t="n">
        <v>0.8079</v>
      </c>
      <c r="F188" t="inlineStr">
        <is>
          <t>✓</t>
        </is>
      </c>
      <c r="G188" t="inlineStr">
        <is>
          <t>✓</t>
        </is>
      </c>
      <c r="H188" s="3" t="inlineStr">
        <is>
          <t xml:space="preserve">an:  Bentuk 1 — Bersarang Biasa (nested if di dalam if): Kondisi kedua diperiksa hanya jika kondisi pertama bernilai benar.     if (kondisi-1) then         if (kondisi-2) then             instruksi-1         else        </t>
        </is>
      </c>
    </row>
    <row r="189">
      <c r="A189" t="n">
        <v>32</v>
      </c>
      <c r="B189" t="n">
        <v>2</v>
      </c>
      <c r="C189" t="inlineStr">
        <is>
          <t>GT_SUBTOPIK_14_Kompleksitas_BigO.txt</t>
        </is>
      </c>
      <c r="D189" s="3" t="inlineStr">
        <is>
          <t>Subtopik: Kompleksitas Algoritme (Big-O Notation)</t>
        </is>
      </c>
      <c r="E189" t="n">
        <v>0.7936</v>
      </c>
      <c r="F189" t="inlineStr">
        <is>
          <t>✓</t>
        </is>
      </c>
      <c r="G189" t="inlineStr">
        <is>
          <t>✓</t>
        </is>
      </c>
      <c r="H189" s="3" t="inlineStr">
        <is>
          <t xml:space="preserve"> (sangat cepat)   O(n log n)  : 1.000*10 / 10^8 = 0,0001 detik (cepat)   O(n^2)      : 10^6 / 10^8 = 0,01 detik (masih oke)   O(2^n)      : 2^1000 / 10^8 = TIDAK MUNGKIN selesai (lebih besar dari umur alam semesta!)  Unt</t>
        </is>
      </c>
    </row>
    <row r="190">
      <c r="A190" t="n">
        <v>32</v>
      </c>
      <c r="B190" t="n">
        <v>3</v>
      </c>
      <c r="C190" t="inlineStr">
        <is>
          <t>GT_DETAIL_PT05_Pattern_Recognition.txt</t>
        </is>
      </c>
      <c r="D190" s="3" t="inlineStr">
        <is>
          <t>Pertemuan 5: Pattern Recognition (Pengenalan Pola)</t>
        </is>
      </c>
      <c r="E190" t="n">
        <v>0.7896</v>
      </c>
      <c r="F190" t="inlineStr">
        <is>
          <t>✓</t>
        </is>
      </c>
      <c r="G190" t="inlineStr">
        <is>
          <t>✓</t>
        </is>
      </c>
      <c r="H190" s="3" t="inlineStr">
        <is>
          <t>memiliki pola serupa.  D. PERBEDAAN MATHEMATICAL THINKING vs. COMPUTATIONAL THINKING  Masalah: 1 + 2 + 3 + ... + 10 = ?  Mathematical Thinking (kalkulasi bertahap): 1+2=3, 3+3=6, 6+4=10, 10+5=15, ... = 55 (10 langkah)  C</t>
        </is>
      </c>
    </row>
    <row r="191">
      <c r="A191" t="n">
        <v>32</v>
      </c>
      <c r="B191" t="n">
        <v>4</v>
      </c>
      <c r="C191" t="inlineStr">
        <is>
          <t>GT_SUBTOPIK_04_Modulo_Siklus.txt</t>
        </is>
      </c>
      <c r="D191" s="3" t="inlineStr">
        <is>
          <t>Subtopik: Pattern Recognition — Modulo dan Siklus</t>
        </is>
      </c>
      <c r="E191" t="n">
        <v>0.7872</v>
      </c>
      <c r="F191" t="inlineStr">
        <is>
          <t>✓</t>
        </is>
      </c>
      <c r="G191" t="inlineStr">
        <is>
          <t>✓</t>
        </is>
      </c>
      <c r="H191" s="3" t="inlineStr">
        <is>
          <t>1×24 = 1000 - 984 = 16 08:00 + 16 jam = 24:00 = 00:00 (tengah malam) JAWABAN: Jam 00:00 (tengah malam)  [SOAL 5 — Masalah Coklat Bebek dengan Modulo] Dengan pola deret segitiga n(n+1)/2, tuliskan pseudocode untuk mencari</t>
        </is>
      </c>
    </row>
    <row r="192">
      <c r="A192" t="n">
        <v>32</v>
      </c>
      <c r="B192" t="n">
        <v>5</v>
      </c>
      <c r="C192" t="inlineStr">
        <is>
          <t>GT_SUBTOPIK_07_Percabangan_Trace.txt</t>
        </is>
      </c>
      <c r="D192" s="3" t="inlineStr">
        <is>
          <t>Subtopik: Percabangan — Analisis Kasus dan Trace Kode</t>
        </is>
      </c>
      <c r="E192" t="n">
        <v>0.7841</v>
      </c>
      <c r="F192" t="inlineStr">
        <is>
          <t>✓</t>
        </is>
      </c>
      <c r="G192" t="inlineStr">
        <is>
          <t>✓</t>
        </is>
      </c>
      <c r="H192" s="3" t="inlineStr">
        <is>
          <t xml:space="preserve">tanggungan = 4   PTKP = 54000000 + 4500000 * tanggungan   PKP = penghasilan - PTKP   if (PKP &lt;= 0) then     pajak = 0   else if (PKP &lt;= 60000000) then     pajak = PKP * 0.05   else if (PKP &lt;= 250000000) then     pajak = </t>
        </is>
      </c>
    </row>
    <row r="193">
      <c r="A193" t="n">
        <v>32</v>
      </c>
      <c r="B193" t="n">
        <v>6</v>
      </c>
      <c r="C193" t="inlineStr">
        <is>
          <t>GT_CT10.txt</t>
        </is>
      </c>
      <c r="D193" s="3" t="inlineStr">
        <is>
          <t>Pertemuan 10: Struktur Kontrol — Percabangan</t>
        </is>
      </c>
      <c r="E193" t="n">
        <v>0.7823</v>
      </c>
      <c r="F193" t="inlineStr">
        <is>
          <t>✓</t>
        </is>
      </c>
      <c r="G193" t="inlineStr">
        <is>
          <t>✓</t>
        </is>
      </c>
      <c r="H193" s="3" t="inlineStr">
        <is>
          <t>n b. Pseudocode:     read(a, b)     if (a &gt; b) then         selisih = a - b     else         selisih = b - a     print(selisih)  3. Mencari Maksimum 3 Bilangan: Input: tiga bilangan a, b, dan c. Output: bilangan terbesar</t>
        </is>
      </c>
    </row>
    <row r="194">
      <c r="A194" t="n">
        <v>33</v>
      </c>
      <c r="B194" t="n">
        <v>1</v>
      </c>
      <c r="C194" t="inlineStr">
        <is>
          <t>GT_SUBTOPIK_07_Percabangan_Trace.txt</t>
        </is>
      </c>
      <c r="D194" s="3" t="inlineStr">
        <is>
          <t>Subtopik: Percabangan — Analisis Kasus dan Trace Kode</t>
        </is>
      </c>
      <c r="E194" t="n">
        <v>0.8211000000000001</v>
      </c>
      <c r="F194" t="inlineStr">
        <is>
          <t>✓</t>
        </is>
      </c>
      <c r="G194" t="inlineStr">
        <is>
          <t>✓</t>
        </is>
      </c>
      <c r="H194" s="3">
        <f>=============================================================== GROUND TRUTH SUBTOPIK — KOM2102 COMPUTATIONAL THINKING Subtopik: Percabangan — Analisis Kasus dan Trace Kode ==============================================</f>
        <v/>
      </c>
    </row>
    <row r="195">
      <c r="A195" t="n">
        <v>33</v>
      </c>
      <c r="B195" t="n">
        <v>2</v>
      </c>
      <c r="C195" t="inlineStr">
        <is>
          <t>GT_DETAIL_PT10_Percabangan.txt</t>
        </is>
      </c>
      <c r="D195" s="3" t="inlineStr">
        <is>
          <t>Pertemuan 10: Struktur Kontrol — Percabangan</t>
        </is>
      </c>
      <c r="E195" t="n">
        <v>0.797</v>
      </c>
      <c r="F195" t="inlineStr">
        <is>
          <t>✓</t>
        </is>
      </c>
      <c r="G195" t="inlineStr">
        <is>
          <t>✓</t>
        </is>
      </c>
      <c r="H195" s="3">
        <f>=============================================================== GROUND TRUTH DETAIL — KOM2102 COMPUTATIONAL THINKING Pertemuan 10: Struktur Kontrol — Percabangan =========================================================</f>
        <v/>
      </c>
    </row>
    <row r="196">
      <c r="A196" t="n">
        <v>33</v>
      </c>
      <c r="B196" t="n">
        <v>3</v>
      </c>
      <c r="C196" t="inlineStr">
        <is>
          <t>GT_SUBTOPIK_05_Pseudocode_Algoritme.txt</t>
        </is>
      </c>
      <c r="D196" s="3" t="inlineStr">
        <is>
          <t>Subtopik: Pseudocode dan Notasi Algoritme</t>
        </is>
      </c>
      <c r="E196" t="n">
        <v>0.7951</v>
      </c>
      <c r="F196" t="inlineStr">
        <is>
          <t>✓</t>
        </is>
      </c>
      <c r="G196" t="inlineStr">
        <is>
          <t>✓</t>
        </is>
      </c>
      <c r="H196" s="3">
        <f>=============================================================== GROUND TRUTH SUBTOPIK — KOM2102 COMPUTATIONAL THINKING Subtopik: Pseudocode dan Notasi Algoritme ==========================================================</f>
        <v/>
      </c>
    </row>
    <row r="197">
      <c r="A197" t="n">
        <v>33</v>
      </c>
      <c r="B197" t="n">
        <v>4</v>
      </c>
      <c r="C197" t="inlineStr">
        <is>
          <t>GT_CT10.txt</t>
        </is>
      </c>
      <c r="D197" s="3" t="inlineStr">
        <is>
          <t>Pertemuan 10: Struktur Kontrol — Percabangan</t>
        </is>
      </c>
      <c r="E197" t="n">
        <v>0.7913</v>
      </c>
      <c r="F197" t="inlineStr">
        <is>
          <t>✓</t>
        </is>
      </c>
      <c r="G197" t="inlineStr">
        <is>
          <t>✓</t>
        </is>
      </c>
      <c r="H197" s="3" t="inlineStr">
        <is>
          <t xml:space="preserve">an:  Bentuk 1 — Bersarang Biasa (nested if di dalam if): Kondisi kedua diperiksa hanya jika kondisi pertama bernilai benar.     if (kondisi-1) then         if (kondisi-2) then             instruksi-1         else        </t>
        </is>
      </c>
    </row>
    <row r="198">
      <c r="A198" t="n">
        <v>33</v>
      </c>
      <c r="B198" t="n">
        <v>5</v>
      </c>
      <c r="C198" t="inlineStr">
        <is>
          <t>GT_SUBTOPIK_06_Operator_Ekspresi.txt</t>
        </is>
      </c>
      <c r="D198" s="3" t="inlineStr">
        <is>
          <t>Subtopik: Operator dan Ekspresi (Aritmatika, Relasional, Logika)</t>
        </is>
      </c>
      <c r="E198" t="n">
        <v>0.7894</v>
      </c>
      <c r="F198" t="inlineStr">
        <is>
          <t>✓</t>
        </is>
      </c>
      <c r="G198" t="inlineStr">
        <is>
          <t>✓</t>
        </is>
      </c>
      <c r="H198" s="3" t="inlineStr">
        <is>
          <t>a") b) if (status == "aktif" OR umur &gt;= 18) then print("Boleh") else print("Tidak") c) if (NOT (umur &gt;= 18)) then print("Minor") else print("Dewasa") d) if (nilai &gt; 60 AND status != "aktif") then print("A") else print("B</t>
        </is>
      </c>
    </row>
    <row r="199">
      <c r="A199" t="n">
        <v>33</v>
      </c>
      <c r="B199" t="n">
        <v>6</v>
      </c>
      <c r="C199" t="inlineStr">
        <is>
          <t>GT_CT10.txt</t>
        </is>
      </c>
      <c r="D199" s="3" t="inlineStr">
        <is>
          <t>Pertemuan 10: Struktur Kontrol — Percabangan</t>
        </is>
      </c>
      <c r="E199" t="n">
        <v>0.7782</v>
      </c>
      <c r="F199" t="inlineStr">
        <is>
          <t>✓</t>
        </is>
      </c>
      <c r="G199" t="inlineStr">
        <is>
          <t>✓</t>
        </is>
      </c>
      <c r="H199" s="3" t="inlineStr">
        <is>
          <t xml:space="preserve">oritme Berangkat ke Kampus (versi 1):     Shower     Breakfast     if (cloudy) then         Bring umbrella         Bring jacket     Go to Campus  Bentuk 2 — Percabangan Dua Arah (if-then-else): Digunakan ketika terdapat </t>
        </is>
      </c>
    </row>
    <row r="200">
      <c r="A200" t="n">
        <v>34</v>
      </c>
      <c r="B200" t="n">
        <v>1</v>
      </c>
      <c r="C200" t="inlineStr">
        <is>
          <t>GT_DETAIL_PT10_Percabangan.txt</t>
        </is>
      </c>
      <c r="D200" s="3" t="inlineStr">
        <is>
          <t>Pertemuan 10: Struktur Kontrol — Percabangan</t>
        </is>
      </c>
      <c r="E200" t="n">
        <v>0.8679</v>
      </c>
      <c r="F200" t="inlineStr">
        <is>
          <t>✓</t>
        </is>
      </c>
      <c r="G200" t="inlineStr">
        <is>
          <t>✓</t>
        </is>
      </c>
      <c r="H200" s="3" t="inlineStr">
        <is>
          <t>------------ CONTOH SOAL DAN PEMBAHASAN ----------------------------------------------------------------  [SOAL 1 — Maks 2 Bilangan] Tuliskan pseudocode untuk menentukan bilangan terbesar dari dua bilangan a dan b!  JAWA</t>
        </is>
      </c>
    </row>
    <row r="201">
      <c r="A201" t="n">
        <v>34</v>
      </c>
      <c r="B201" t="n">
        <v>2</v>
      </c>
      <c r="C201" t="inlineStr">
        <is>
          <t>GT_SUBTOPIK_07_Percabangan_Trace.txt</t>
        </is>
      </c>
      <c r="D201" s="3" t="inlineStr">
        <is>
          <t>Subtopik: Percabangan — Analisis Kasus dan Trace Kode</t>
        </is>
      </c>
      <c r="E201" t="n">
        <v>0.8534</v>
      </c>
      <c r="F201" t="inlineStr">
        <is>
          <t>✓</t>
        </is>
      </c>
      <c r="G201" t="inlineStr">
        <is>
          <t>✓</t>
        </is>
      </c>
      <c r="H201" s="3" t="inlineStr">
        <is>
          <t>rint("z")   else     print("y")  JAWABAN: Awal: x=6, y=3, z=9 Kondisi 1: x &gt; y → 6 &gt; 3 → True → x = 6-3 = 3 State: x=3, y=3, z=9  Kondisi 2: z &gt; x → 9 &gt; 3 → True → z = 9-3 = 6 State: x=3, y=3, z=6  Kondisi 3: x &gt; z → 3 &gt;</t>
        </is>
      </c>
    </row>
    <row r="202">
      <c r="A202" t="n">
        <v>34</v>
      </c>
      <c r="B202" t="n">
        <v>3</v>
      </c>
      <c r="C202" t="inlineStr">
        <is>
          <t>GT_SUBTOPIK_05_Pseudocode_Algoritme.txt</t>
        </is>
      </c>
      <c r="D202" s="3" t="inlineStr">
        <is>
          <t>Subtopik: Pseudocode dan Notasi Algoritme</t>
        </is>
      </c>
      <c r="E202" t="n">
        <v>0.853</v>
      </c>
      <c r="F202" t="inlineStr">
        <is>
          <t>✓</t>
        </is>
      </c>
      <c r="G202" t="inlineStr">
        <is>
          <t>✓</t>
        </is>
      </c>
      <c r="H202" s="3" t="inlineStr">
        <is>
          <t xml:space="preserve">,12),(15,17),(18,20) → p=6  [SOAL 3 — Pseudocode: Cek Prima] Tulis pseudocode untuk mengecek apakah bilangan n prima!  JAWABAN: Input : bilangan bulat n Output: "prima" atau "bukan prima"    read(n)   if (n &lt;= 1) then   </t>
        </is>
      </c>
    </row>
    <row r="203">
      <c r="A203" t="n">
        <v>34</v>
      </c>
      <c r="B203" t="n">
        <v>4</v>
      </c>
      <c r="C203" t="inlineStr">
        <is>
          <t>GT_SUBTOPIK_07_Percabangan_Trace.txt</t>
        </is>
      </c>
      <c r="D203" s="3" t="inlineStr">
        <is>
          <t>Subtopik: Percabangan — Analisis Kasus dan Trace Kode</t>
        </is>
      </c>
      <c r="E203" t="n">
        <v>0.8347</v>
      </c>
      <c r="F203" t="inlineStr">
        <is>
          <t>✓</t>
        </is>
      </c>
      <c r="G203" t="inlineStr">
        <is>
          <t>✓</t>
        </is>
      </c>
      <c r="H203" s="3" t="inlineStr">
        <is>
          <t>s_sisi   if (jumlah_kuadrat == kuadrat_maks) then print("siku-siku")   else if (jumlah_kuadrat &gt; kuadrat_maks) then print("lancip")   else print("tumpul")  [SOAL 9 — Trace Bertingkat] Trace dan tentukan output untuk x=4,</t>
        </is>
      </c>
    </row>
    <row r="204">
      <c r="A204" t="n">
        <v>34</v>
      </c>
      <c r="B204" t="n">
        <v>5</v>
      </c>
      <c r="C204" t="inlineStr">
        <is>
          <t>GT_SUBTOPIK_05_Pseudocode_Algoritme.txt</t>
        </is>
      </c>
      <c r="D204" s="3" t="inlineStr">
        <is>
          <t>Subtopik: Pseudocode dan Notasi Algoritme</t>
        </is>
      </c>
      <c r="E204" t="n">
        <v>0.8342000000000001</v>
      </c>
      <c r="F204" t="inlineStr">
        <is>
          <t>✓</t>
        </is>
      </c>
      <c r="G204" t="inlineStr">
        <is>
          <t>✓</t>
        </is>
      </c>
      <c r="H204" s="3" t="inlineStr">
        <is>
          <t>)   : eksponensial (brute force kombinasi)  ---------------------------------------------------------------- CONTOH SOAL DAN PEMBAHASAN ----------------------------------------------------------------  [SOAL 1 — Pseudoco</t>
        </is>
      </c>
    </row>
    <row r="205">
      <c r="A205" t="n">
        <v>34</v>
      </c>
      <c r="B205" t="n">
        <v>6</v>
      </c>
      <c r="C205" t="inlineStr">
        <is>
          <t>GT_CT07.txt</t>
        </is>
      </c>
      <c r="D205" s="3" t="inlineStr">
        <is>
          <t>Pertemuan 7: Algoritme — Notasi Algoritme</t>
        </is>
      </c>
      <c r="E205" t="n">
        <v>0.8216</v>
      </c>
      <c r="F205" t="inlineStr">
        <is>
          <t>✓</t>
        </is>
      </c>
      <c r="G205" t="inlineStr">
        <is>
          <t>✓</t>
        </is>
      </c>
      <c r="H205" s="3" t="inlineStr">
        <is>
          <t>an nilai alas dengan tinggi, lalu hasilnya dibagi dua.  2. Pseudocode: Pseudocode adalah cara informal untuk menuliskan algoritme atau rancangan program komputer. Tujuan utama pseudocode adalah untuk mendapatkan ide seca</t>
        </is>
      </c>
    </row>
    <row r="206">
      <c r="A206" t="n">
        <v>35</v>
      </c>
      <c r="B206" t="n">
        <v>1</v>
      </c>
      <c r="C206" t="inlineStr">
        <is>
          <t>GT_CT11.txt</t>
        </is>
      </c>
      <c r="D206" s="3" t="inlineStr">
        <is>
          <t>Pertemuan 11: Algoritme — Struktur Kontrol Perulangan</t>
        </is>
      </c>
      <c r="E206" t="n">
        <v>0.7541</v>
      </c>
      <c r="F206" t="inlineStr">
        <is>
          <t>✓</t>
        </is>
      </c>
      <c r="G206" t="inlineStr">
        <is>
          <t>✓</t>
        </is>
      </c>
      <c r="H206" s="3" t="inlineStr">
        <is>
          <t>2: x = 0; for i = 1 to 10 do; print(x); x = x + 2   ---------------------------------------------------------------- [MATERI 3: Iterasi Berdasarkan Kondisi (Perulangan "while")] ------------------------------------------</t>
        </is>
      </c>
    </row>
    <row r="207">
      <c r="A207" t="n">
        <v>35</v>
      </c>
      <c r="B207" t="n">
        <v>2</v>
      </c>
      <c r="C207" t="inlineStr">
        <is>
          <t>GT_DETAIL_PT11_Perulangan.txt</t>
        </is>
      </c>
      <c r="D207" s="3" t="inlineStr">
        <is>
          <t>Pertemuan 11: Struktur Kontrol — Perulangan</t>
        </is>
      </c>
      <c r="E207" t="n">
        <v>0.7508</v>
      </c>
      <c r="F207" t="inlineStr">
        <is>
          <t>✓</t>
        </is>
      </c>
      <c r="G207" t="inlineStr">
        <is>
          <t>✓</t>
        </is>
      </c>
      <c r="H207" s="3" t="inlineStr">
        <is>
          <t>an: - Kondisi dievaluasi SEBELUM body dijalankan - Jika kondisi False sejak awal → body tidak pernah dijalankan - Jika kondisi tidak pernah False → infinite loop (hindari!) - Body HARUS mengubah sesuatu yang mempengaruhi</t>
        </is>
      </c>
    </row>
    <row r="208">
      <c r="A208" t="n">
        <v>35</v>
      </c>
      <c r="B208" t="n">
        <v>3</v>
      </c>
      <c r="C208" t="inlineStr">
        <is>
          <t>GT_CT10.txt</t>
        </is>
      </c>
      <c r="D208" s="3" t="inlineStr">
        <is>
          <t>Pertemuan 10: Struktur Kontrol — Percabangan</t>
        </is>
      </c>
      <c r="E208" t="n">
        <v>0.7334000000000001</v>
      </c>
      <c r="F208" t="inlineStr">
        <is>
          <t>✓</t>
        </is>
      </c>
      <c r="G208" t="inlineStr">
        <is>
          <t>✓</t>
        </is>
      </c>
      <c r="H208" s="3" t="inlineStr">
        <is>
          <t xml:space="preserve">oritme Berangkat ke Kampus (versi 1):     Shower     Breakfast     if (cloudy) then         Bring umbrella         Bring jacket     Go to Campus  Bentuk 2 — Percabangan Dua Arah (if-then-else): Digunakan ketika terdapat </t>
        </is>
      </c>
    </row>
    <row r="209">
      <c r="A209" t="n">
        <v>35</v>
      </c>
      <c r="B209" t="n">
        <v>4</v>
      </c>
      <c r="C209" t="inlineStr">
        <is>
          <t>GT_CT10.txt</t>
        </is>
      </c>
      <c r="D209" s="3" t="inlineStr">
        <is>
          <t>Pertemuan 10: Struktur Kontrol — Percabangan</t>
        </is>
      </c>
      <c r="E209" t="n">
        <v>0.7254</v>
      </c>
      <c r="F209" t="inlineStr">
        <is>
          <t>✓</t>
        </is>
      </c>
      <c r="G209" t="inlineStr">
        <is>
          <t>✓</t>
        </is>
      </c>
      <c r="H209" s="3" t="inlineStr">
        <is>
          <t xml:space="preserve">an:  Bentuk 1 — Bersarang Biasa (nested if di dalam if): Kondisi kedua diperiksa hanya jika kondisi pertama bernilai benar.     if (kondisi-1) then         if (kondisi-2) then             instruksi-1         else        </t>
        </is>
      </c>
    </row>
    <row r="210">
      <c r="A210" t="n">
        <v>35</v>
      </c>
      <c r="B210" t="n">
        <v>5</v>
      </c>
      <c r="C210" t="inlineStr">
        <is>
          <t>GT_CT10.txt</t>
        </is>
      </c>
      <c r="D210" s="3" t="inlineStr">
        <is>
          <t>Pertemuan 10: Struktur Kontrol — Percabangan</t>
        </is>
      </c>
      <c r="E210" t="n">
        <v>0.7125</v>
      </c>
      <c r="F210" t="inlineStr">
        <is>
          <t>✓</t>
        </is>
      </c>
      <c r="G210" t="inlineStr">
        <is>
          <t>✓</t>
        </is>
      </c>
      <c r="H210" s="3" t="inlineStr">
        <is>
          <t>n b. Pseudocode:     read(a, b)     if (a &gt; b) then         selisih = a - b     else         selisih = b - a     print(selisih)  3. Mencari Maksimum 3 Bilangan: Input: tiga bilangan a, b, dan c. Output: bilangan terbesar</t>
        </is>
      </c>
    </row>
    <row r="211">
      <c r="A211" t="n">
        <v>35</v>
      </c>
      <c r="B211" t="n">
        <v>6</v>
      </c>
      <c r="C211" t="inlineStr">
        <is>
          <t>GT_DETAIL_PT11_Perulangan.txt</t>
        </is>
      </c>
      <c r="D211" s="3" t="inlineStr">
        <is>
          <t>Pertemuan 11: Struktur Kontrol — Perulangan</t>
        </is>
      </c>
      <c r="E211" t="n">
        <v>0.7076</v>
      </c>
      <c r="F211" t="inlineStr">
        <is>
          <t>✓</t>
        </is>
      </c>
      <c r="G211" t="inlineStr">
        <is>
          <t>✓</t>
        </is>
      </c>
      <c r="H211" s="3" t="inlineStr">
        <is>
          <t>selalu dijalankan MINIMAL SATU KALI  F. PERULANGAN BERSARANG (NESTED LOOP)  Konsep: perulangan di dalam perulangan. - Setiap 1 iterasi luar → dalam menyelesaikan SEMUA iterasinya - Total iterasi = iterasi_luar × iterasi_</t>
        </is>
      </c>
    </row>
    <row r="212">
      <c r="A212" t="n">
        <v>36</v>
      </c>
      <c r="B212" t="n">
        <v>1</v>
      </c>
      <c r="C212" t="inlineStr">
        <is>
          <t>GT_CT11.txt</t>
        </is>
      </c>
      <c r="D212" s="3" t="inlineStr">
        <is>
          <t>Pertemuan 11: Algoritme — Struktur Kontrol Perulangan</t>
        </is>
      </c>
      <c r="E212" t="n">
        <v>0.7081</v>
      </c>
      <c r="F212" t="inlineStr">
        <is>
          <t>✓</t>
        </is>
      </c>
      <c r="G212" t="inlineStr">
        <is>
          <t>✓</t>
        </is>
      </c>
      <c r="H212" s="3" t="inlineStr">
        <is>
          <t>e, yaitu: 1. Iterasi Tetap: perulangan dengan jumlah pengulangan yang sudah ditentukan sejak awal (perulangan "for"). 2. Iterasi Berdasarkan Kondisi: perulangan yang berjalan selama kondisi tertentu terpenuhi, dengan jum</t>
        </is>
      </c>
    </row>
    <row r="213">
      <c r="A213" t="n">
        <v>36</v>
      </c>
      <c r="B213" t="n">
        <v>2</v>
      </c>
      <c r="C213" t="inlineStr">
        <is>
          <t>GT_CT11.txt</t>
        </is>
      </c>
      <c r="D213" s="3" t="inlineStr">
        <is>
          <t>Pertemuan 11: Algoritme — Struktur Kontrol Perulangan</t>
        </is>
      </c>
      <c r="E213" t="n">
        <v>0.7033</v>
      </c>
      <c r="F213" t="inlineStr">
        <is>
          <t>✓</t>
        </is>
      </c>
      <c r="G213" t="inlineStr">
        <is>
          <t>✓</t>
        </is>
      </c>
      <c r="H213" s="3" t="inlineStr">
        <is>
          <t>baris terakhir. Variasi bentuk segitiga lainnya dapat dicapai dengan mengubah logika perulangan dalam untuk mengatur posisi dan jumlah bintang pada setiap baris.   --------------------------------------------------------</t>
        </is>
      </c>
    </row>
    <row r="214">
      <c r="A214" t="n">
        <v>36</v>
      </c>
      <c r="B214" t="n">
        <v>3</v>
      </c>
      <c r="C214" t="inlineStr">
        <is>
          <t>GT_DETAIL_PT01_Pendahuluan.txt</t>
        </is>
      </c>
      <c r="D214" s="3" t="inlineStr">
        <is>
          <t>Pertemuan 1: Pendahuluan &amp; Kontrak Perkuliahan</t>
        </is>
      </c>
      <c r="E214" t="n">
        <v>0.6907</v>
      </c>
      <c r="F214" t="inlineStr">
        <is>
          <t>✓</t>
        </is>
      </c>
      <c r="G214" t="inlineStr">
        <is>
          <t>✓</t>
        </is>
      </c>
      <c r="H214" s="3" t="inlineStr">
        <is>
          <t>n      : Fokus hanya pada informasi penting: nama mata kuliah, jumlah SKS, jadwal                      kuliah tetap, dan preferensi waktu belajar. Mengabaikan detail seperti                      konten setiap mata kuliah</t>
        </is>
      </c>
    </row>
    <row r="215">
      <c r="A215" t="n">
        <v>36</v>
      </c>
      <c r="B215" t="n">
        <v>4</v>
      </c>
      <c r="C215" t="inlineStr">
        <is>
          <t>GT_DETAIL_PT04_Abstraksi.txt</t>
        </is>
      </c>
      <c r="D215" s="3" t="inlineStr">
        <is>
          <t>Pertemuan 4: Problem Solving — Abstraksi</t>
        </is>
      </c>
      <c r="E215" t="n">
        <v>0.6899999999999999</v>
      </c>
      <c r="F215" t="inlineStr">
        <is>
          <t>✓</t>
        </is>
      </c>
      <c r="G215" t="inlineStr">
        <is>
          <t>✓</t>
        </is>
      </c>
      <c r="H215" s="3" t="inlineStr">
        <is>
          <t xml:space="preserve">2  1 (F di pojok kanan atas)  Berapa maksimum permen yang bisa dikumpulkan Robot Candy?  JAWABAN: Semua jalur dari S (baris1,kol1) ke F (baris3,kol3) — panjang 4 langkah (2R, 2U):  Jalur 1: S→R→R→U→U (kol: 1→2→3, baris: </t>
        </is>
      </c>
    </row>
    <row r="216">
      <c r="A216" t="n">
        <v>36</v>
      </c>
      <c r="B216" t="n">
        <v>5</v>
      </c>
      <c r="C216" t="inlineStr">
        <is>
          <t>GT_CT13.txt</t>
        </is>
      </c>
      <c r="D216" s="3" t="inlineStr">
        <is>
          <t>Pertemuan 13: Pengenalan Struktur Data</t>
        </is>
      </c>
      <c r="E216" t="n">
        <v>0.6866</v>
      </c>
      <c r="F216" t="inlineStr">
        <is>
          <t>✓</t>
        </is>
      </c>
      <c r="G216" t="inlineStr">
        <is>
          <t>✓</t>
        </is>
      </c>
      <c r="H216" s="3" t="inlineStr">
        <is>
          <t xml:space="preserve">der) di dalam komputer, di mana folder dapat berisi subfolder dan file di dalamnya. - Struktur organisasi suatu perusahaan atau lembaga, yang menggambarkan hierarki jabatan dari atas ke bawah. - Struktur taksonomi dalam </t>
        </is>
      </c>
    </row>
    <row r="217">
      <c r="A217" t="n">
        <v>36</v>
      </c>
      <c r="B217" t="n">
        <v>6</v>
      </c>
      <c r="C217" t="inlineStr">
        <is>
          <t>GT_SUBTOPIK_02_Abstraksi_Formulasi.txt</t>
        </is>
      </c>
      <c r="D217" s="3" t="inlineStr">
        <is>
          <t>Subtopik: Abstraksi — Formulasi Problem (Problem/Goal/Batasan/Data)</t>
        </is>
      </c>
      <c r="E217" t="n">
        <v>0.6858</v>
      </c>
      <c r="F217" t="inlineStr">
        <is>
          <t>✓</t>
        </is>
      </c>
      <c r="G217" t="inlineStr">
        <is>
          <t>✓</t>
        </is>
      </c>
      <c r="H217" s="3" t="inlineStr">
        <is>
          <t xml:space="preserve"> aus, atau printer tidak dibersihkan secara berkala.    Abstraksi: fokus pada frekuensi dan kondisi saat macet →    apakah selalu dengan kertas tertentu? Setelah sekian lembar?  [SOAL 7 — Abstraksi Data] Diberikan datase</t>
        </is>
      </c>
    </row>
    <row r="218">
      <c r="A218" t="n">
        <v>37</v>
      </c>
      <c r="B218" t="n">
        <v>1</v>
      </c>
      <c r="C218" t="inlineStr">
        <is>
          <t>GT_CT07.txt</t>
        </is>
      </c>
      <c r="D218" s="3" t="inlineStr">
        <is>
          <t>Pertemuan 7: Algoritme — Notasi Algoritme</t>
        </is>
      </c>
      <c r="E218" t="n">
        <v>0.8100000000000001</v>
      </c>
      <c r="F218" t="inlineStr">
        <is>
          <t>✓</t>
        </is>
      </c>
      <c r="G218" t="inlineStr">
        <is>
          <t>✓</t>
        </is>
      </c>
      <c r="H218" s="3" t="inlineStr">
        <is>
          <t>an nilai alas dengan tinggi, lalu hasilnya dibagi dua.  2. Pseudocode: Pseudocode adalah cara informal untuk menuliskan algoritme atau rancangan program komputer. Tujuan utama pseudocode adalah untuk mendapatkan ide seca</t>
        </is>
      </c>
    </row>
    <row r="219">
      <c r="A219" t="n">
        <v>37</v>
      </c>
      <c r="B219" t="n">
        <v>2</v>
      </c>
      <c r="C219" t="inlineStr">
        <is>
          <t>GT_DETAIL_PT10_Percabangan.txt</t>
        </is>
      </c>
      <c r="D219" s="3" t="inlineStr">
        <is>
          <t>Pertemuan 10: Struktur Kontrol — Percabangan</t>
        </is>
      </c>
      <c r="E219" t="n">
        <v>0.7937</v>
      </c>
      <c r="F219" t="inlineStr">
        <is>
          <t>✓</t>
        </is>
      </c>
      <c r="G219" t="inlineStr">
        <is>
          <t>✓</t>
        </is>
      </c>
      <c r="H219" s="3" t="inlineStr">
        <is>
          <t>------------ CONTOH SOAL DAN PEMBAHASAN ----------------------------------------------------------------  [SOAL 1 — Maks 2 Bilangan] Tuliskan pseudocode untuk menentukan bilangan terbesar dari dua bilangan a dan b!  JAWA</t>
        </is>
      </c>
    </row>
    <row r="220">
      <c r="A220" t="n">
        <v>37</v>
      </c>
      <c r="B220" t="n">
        <v>3</v>
      </c>
      <c r="C220" t="inlineStr">
        <is>
          <t>GT_SUBTOPIK_05_Pseudocode_Algoritme.txt</t>
        </is>
      </c>
      <c r="D220" s="3" t="inlineStr">
        <is>
          <t>Subtopik: Pseudocode dan Notasi Algoritme</t>
        </is>
      </c>
      <c r="E220" t="n">
        <v>0.783</v>
      </c>
      <c r="F220" t="inlineStr">
        <is>
          <t>✓</t>
        </is>
      </c>
      <c r="G220" t="inlineStr">
        <is>
          <t>✓</t>
        </is>
      </c>
      <c r="H220" s="3" t="inlineStr">
        <is>
          <t xml:space="preserve">,12),(15,17),(18,20) → p=6  [SOAL 3 — Pseudocode: Cek Prima] Tulis pseudocode untuk mengecek apakah bilangan n prima!  JAWABAN: Input : bilangan bulat n Output: "prima" atau "bukan prima"    read(n)   if (n &lt;= 1) then   </t>
        </is>
      </c>
    </row>
    <row r="221">
      <c r="A221" t="n">
        <v>37</v>
      </c>
      <c r="B221" t="n">
        <v>4</v>
      </c>
      <c r="C221" t="inlineStr">
        <is>
          <t>GT_SUBTOPIK_04_Modulo_Siklus.txt</t>
        </is>
      </c>
      <c r="D221" s="3" t="inlineStr">
        <is>
          <t>Subtopik: Pattern Recognition — Modulo dan Siklus</t>
        </is>
      </c>
      <c r="E221" t="n">
        <v>0.7774</v>
      </c>
      <c r="F221" t="inlineStr">
        <is>
          <t>✓</t>
        </is>
      </c>
      <c r="G221" t="inlineStr">
        <is>
          <t>✓</t>
        </is>
      </c>
      <c r="H221" s="3" t="inlineStr">
        <is>
          <t>1×24 = 1000 - 984 = 16 08:00 + 16 jam = 24:00 = 00:00 (tengah malam) JAWABAN: Jam 00:00 (tengah malam)  [SOAL 5 — Masalah Coklat Bebek dengan Modulo] Dengan pola deret segitiga n(n+1)/2, tuliskan pseudocode untuk mencari</t>
        </is>
      </c>
    </row>
    <row r="222">
      <c r="A222" t="n">
        <v>37</v>
      </c>
      <c r="B222" t="n">
        <v>5</v>
      </c>
      <c r="C222" t="inlineStr">
        <is>
          <t>GT_DETAIL_PT07_Notasi_Algoritme.txt</t>
        </is>
      </c>
      <c r="D222" s="3" t="inlineStr">
        <is>
          <t>Pertemuan 7: Algoritme — Notasi Algoritme</t>
        </is>
      </c>
      <c r="E222" t="n">
        <v>0.771</v>
      </c>
      <c r="F222" t="inlineStr">
        <is>
          <t>✓</t>
        </is>
      </c>
      <c r="G222" t="inlineStr">
        <is>
          <t>✓</t>
        </is>
      </c>
      <c r="H222" s="3" t="inlineStr">
        <is>
          <t>perasinya linear)  c) Rata-rata n bilangan: baca semua n bilangan + 1 pembagian → O(n) [linear]  [SOAL 5 — Pseudocode: Pesan Sandi] Tuliskan pseudocode untuk MENDEKRIPSI pesan yang dienkripsi dengan tiga langkah: (1) bal</t>
        </is>
      </c>
    </row>
    <row r="223">
      <c r="A223" t="n">
        <v>37</v>
      </c>
      <c r="B223" t="n">
        <v>6</v>
      </c>
      <c r="C223" t="inlineStr">
        <is>
          <t>GT_CT11.txt</t>
        </is>
      </c>
      <c r="D223" s="3" t="inlineStr">
        <is>
          <t>Pertemuan 11: Algoritme — Struktur Kontrol Perulangan</t>
        </is>
      </c>
      <c r="E223" t="n">
        <v>0.7631</v>
      </c>
      <c r="F223" t="inlineStr">
        <is>
          <t>✓</t>
        </is>
      </c>
      <c r="G223" t="inlineStr">
        <is>
          <t>✓</t>
        </is>
      </c>
      <c r="H223" s="3" t="inlineStr">
        <is>
          <t xml:space="preserve"> nilai &lt;langkah&gt; diasumsikan sebesar 1.  Kompleksitas waktu perulangan for untuk mencetak 1 hingga n adalah linear, yaitu O(n), karena jumlah operasi bertumbuh sebanding dengan nilai n.  Berikut adalah beberapa contoh pe</t>
        </is>
      </c>
    </row>
    <row r="224">
      <c r="A224" t="n">
        <v>38</v>
      </c>
      <c r="B224" t="n">
        <v>1</v>
      </c>
      <c r="C224" t="inlineStr">
        <is>
          <t>GT_DETAIL_PT09_Variabel_TipeData_Operator_List.txt</t>
        </is>
      </c>
      <c r="D224" s="3" t="inlineStr">
        <is>
          <t>Pertemuan 9: Elemen Pseudocode — Variabel, Tipe Data, Operator, List</t>
        </is>
      </c>
      <c r="E224" t="n">
        <v>0.7215</v>
      </c>
      <c r="F224" t="inlineStr">
        <is>
          <t>✓</t>
        </is>
      </c>
      <c r="G224" t="inlineStr">
        <is>
          <t>✓</t>
        </is>
      </c>
      <c r="H224" s="3" t="inlineStr">
        <is>
          <t xml:space="preserve"> T = F | F AND F = F     Tabel kebenaran OR:    T OR T = T | T OR F = T | F OR T = T | F OR F = F     NOT: NOT T = F | NOT F = T  5. Is Operator: memeriksa tipe atau identitas suatu nilai/objek.  G. LIST (ARRAY / SEQUENC</t>
        </is>
      </c>
    </row>
    <row r="225">
      <c r="A225" t="n">
        <v>38</v>
      </c>
      <c r="B225" t="n">
        <v>2</v>
      </c>
      <c r="C225" t="inlineStr">
        <is>
          <t>GT_CT09.txt</t>
        </is>
      </c>
      <c r="D225" s="3" t="inlineStr">
        <is>
          <t>Pertemuan 9: Elemen Pseudocode — Variabel, Operator, Tipe Data, dan List</t>
        </is>
      </c>
      <c r="E225" t="n">
        <v>0.7128</v>
      </c>
      <c r="F225" t="inlineStr">
        <is>
          <t>✓</t>
        </is>
      </c>
      <c r="G225" t="inlineStr">
        <is>
          <t>✓</t>
        </is>
      </c>
      <c r="H225" s="3" t="inlineStr">
        <is>
          <t>ama dengan (==), tidak sama dengan (!=), lebih besar dari (&gt;), lebih kecil dari (&lt;), lebih besar atau sama dengan (&gt;=), dan lebih kecil atau sama dengan (&lt;=).  4. Logical Operator (Operator Logika): Digunakan untuk mengg</t>
        </is>
      </c>
    </row>
    <row r="226">
      <c r="A226" t="n">
        <v>38</v>
      </c>
      <c r="B226" t="n">
        <v>3</v>
      </c>
      <c r="C226" t="inlineStr">
        <is>
          <t>5PAR.txt</t>
        </is>
      </c>
      <c r="D226" s="3" t="inlineStr">
        <is>
          <t>Profil Kognitif 5PAR</t>
        </is>
      </c>
      <c r="E226" t="n">
        <v>0.7025</v>
      </c>
      <c r="F226" t="inlineStr">
        <is>
          <t>✓</t>
        </is>
      </c>
      <c r="G226" t="inlineStr">
        <is>
          <t>✓</t>
        </is>
      </c>
      <c r="H226" s="3" t="inlineStr">
        <is>
          <t xml:space="preserve">KOMBINASI KOGNITIF: 5PAR Pedagogi: Affirmative and corrective feedback Tipe Kognitif: PAR – Pictorial, Analytic, Reflective  1. Deskripsi User menunjukkan kemampuan analitis yang kuat ketika menerima feedback rinci yang </t>
        </is>
      </c>
    </row>
    <row r="227">
      <c r="A227" t="n">
        <v>38</v>
      </c>
      <c r="B227" t="n">
        <v>4</v>
      </c>
      <c r="C227" t="inlineStr">
        <is>
          <t>5TAR.txt</t>
        </is>
      </c>
      <c r="D227" s="3" t="inlineStr">
        <is>
          <t>Profil Kognitif 5TAR</t>
        </is>
      </c>
      <c r="E227" t="n">
        <v>0.6995</v>
      </c>
      <c r="F227" t="inlineStr">
        <is>
          <t>✓</t>
        </is>
      </c>
      <c r="G227" t="inlineStr">
        <is>
          <t>✓</t>
        </is>
      </c>
      <c r="H227" s="3" t="inlineStr">
        <is>
          <t>KOMBINASI KOGNITIF: 5TAR Pedagogi: Affirmative and corrective feedback Tipe Kognitif: TAR – Text, Analytic, Reflective  1. Deskripsi User menunjukkan kemampuan analitis yang baik ketika menerima feedback rinci yang disam</t>
        </is>
      </c>
    </row>
    <row r="228">
      <c r="A228" t="n">
        <v>38</v>
      </c>
      <c r="B228" t="n">
        <v>5</v>
      </c>
      <c r="C228" t="inlineStr">
        <is>
          <t>GT_DETAIL_PT11_Perulangan.txt</t>
        </is>
      </c>
      <c r="D228" s="3" t="inlineStr">
        <is>
          <t>Pertemuan 11: Struktur Kontrol — Perulangan</t>
        </is>
      </c>
      <c r="E228" t="n">
        <v>0.6945</v>
      </c>
      <c r="F228" t="inlineStr">
        <is>
          <t>✓</t>
        </is>
      </c>
      <c r="G228" t="inlineStr">
        <is>
          <t>✓</t>
        </is>
      </c>
      <c r="H228" s="3" t="inlineStr">
        <is>
          <t>an: - Kondisi dievaluasi SEBELUM body dijalankan - Jika kondisi False sejak awal → body tidak pernah dijalankan - Jika kondisi tidak pernah False → infinite loop (hindari!) - Body HARUS mengubah sesuatu yang mempengaruhi</t>
        </is>
      </c>
    </row>
    <row r="229">
      <c r="A229" t="n">
        <v>38</v>
      </c>
      <c r="B229" t="n">
        <v>6</v>
      </c>
      <c r="C229" t="inlineStr">
        <is>
          <t>5PAI.txt</t>
        </is>
      </c>
      <c r="D229" s="3" t="inlineStr">
        <is>
          <t>Profil Kognitif 5PAI</t>
        </is>
      </c>
      <c r="E229" t="n">
        <v>0.6931</v>
      </c>
      <c r="F229" t="inlineStr">
        <is>
          <t>✓</t>
        </is>
      </c>
      <c r="G229" t="inlineStr">
        <is>
          <t>✓</t>
        </is>
      </c>
      <c r="H229" s="3" t="inlineStr">
        <is>
          <t>KOMBINASI KOGNITIF: 5PAI Pedagogi: Affirmative and corrective feedback Tipe Kognitif: PAI – Pictorial, Analytic, Impulsive  1. Deskripsi User menunjukkan respons yang cepat dan tepat ketika menerima feedback rinci yang d</t>
        </is>
      </c>
    </row>
    <row r="230">
      <c r="A230" t="n">
        <v>39</v>
      </c>
      <c r="B230" t="n">
        <v>1</v>
      </c>
      <c r="C230" t="inlineStr">
        <is>
          <t>GT_SUBTOPIK_08_Perulangan_For_While.txt</t>
        </is>
      </c>
      <c r="D230" s="3" t="inlineStr">
        <is>
          <t>Subtopik: Perulangan — for, while, Sentinel, dan Trace</t>
        </is>
      </c>
      <c r="E230" t="n">
        <v>0.8456</v>
      </c>
      <c r="F230" t="inlineStr">
        <is>
          <t>✓</t>
        </is>
      </c>
      <c r="G230" t="inlineStr">
        <is>
          <t>✓</t>
        </is>
      </c>
      <c r="H230" s="3" t="inlineStr">
        <is>
          <t xml:space="preserve"> x=5:   5 mod 3=2 ✗   → berhenti  Output: 135, 45, 15, 5 Nilai akhir x = 5  [SOAL 5 — WHILE: Digit Terbalik] Tulis pseudocode untuk membalik digit bilangan positif n! Contoh: n=12345 → output: 54321  JAWABAN:   read(n)  </t>
        </is>
      </c>
    </row>
    <row r="231">
      <c r="A231" t="n">
        <v>39</v>
      </c>
      <c r="B231" t="n">
        <v>2</v>
      </c>
      <c r="C231" t="inlineStr">
        <is>
          <t>GT_DETAIL_PT11_Perulangan.txt</t>
        </is>
      </c>
      <c r="D231" s="3" t="inlineStr">
        <is>
          <t>Pertemuan 11: Struktur Kontrol — Perulangan</t>
        </is>
      </c>
      <c r="E231" t="n">
        <v>0.8275</v>
      </c>
      <c r="F231" t="inlineStr">
        <is>
          <t>✓</t>
        </is>
      </c>
      <c r="G231" t="inlineStr">
        <is>
          <t>✓</t>
        </is>
      </c>
      <c r="H231" s="3" t="inlineStr">
        <is>
          <t xml:space="preserve">AL 11 — DO-WHILE vs WHILE] Apa perbedaan output dari dua pseudocode berikut? Kode A:   i = 10   while i &lt; 5 do     print(i)     i = i + 1  Kode B:   i = 10   do     print(i)     i = i + 1   while i &lt; 5  JAWABAN: Kode A: </t>
        </is>
      </c>
    </row>
    <row r="232">
      <c r="A232" t="n">
        <v>39</v>
      </c>
      <c r="B232" t="n">
        <v>3</v>
      </c>
      <c r="C232" t="inlineStr">
        <is>
          <t>GT_SUBTOPIK_04_Modulo_Siklus.txt</t>
        </is>
      </c>
      <c r="D232" s="3" t="inlineStr">
        <is>
          <t>Subtopik: Pattern Recognition — Modulo dan Siklus</t>
        </is>
      </c>
      <c r="E232" t="n">
        <v>0.826</v>
      </c>
      <c r="F232" t="inlineStr">
        <is>
          <t>✓</t>
        </is>
      </c>
      <c r="G232" t="inlineStr">
        <is>
          <t>✓</t>
        </is>
      </c>
      <c r="H232" s="3" t="inlineStr">
        <is>
          <t>1×24 = 1000 - 984 = 16 08:00 + 16 jam = 24:00 = 00:00 (tengah malam) JAWABAN: Jam 00:00 (tengah malam)  [SOAL 5 — Masalah Coklat Bebek dengan Modulo] Dengan pola deret segitiga n(n+1)/2, tuliskan pseudocode untuk mencari</t>
        </is>
      </c>
    </row>
    <row r="233">
      <c r="A233" t="n">
        <v>39</v>
      </c>
      <c r="B233" t="n">
        <v>4</v>
      </c>
      <c r="C233" t="inlineStr">
        <is>
          <t>GT_SUBTOPIK_05_Pseudocode_Algoritme.txt</t>
        </is>
      </c>
      <c r="D233" s="3" t="inlineStr">
        <is>
          <t>Subtopik: Pseudocode dan Notasi Algoritme</t>
        </is>
      </c>
      <c r="E233" t="n">
        <v>0.8179999999999999</v>
      </c>
      <c r="F233" t="inlineStr">
        <is>
          <t>✓</t>
        </is>
      </c>
      <c r="G233" t="inlineStr">
        <is>
          <t>✓</t>
        </is>
      </c>
      <c r="H233" s="3">
        <f> n / 2                  // pembagian integer   if (biner == "") then biner = "0"   print(biner)  Trace n=13:   13 mod 2 = 1, biner="1", n=6   6 mod 2  = 0, biner="01", n=3   3 mod 2  = 1, biner="101", n=1   1 mod 2  = 1</f>
        <v/>
      </c>
    </row>
    <row r="234">
      <c r="A234" t="n">
        <v>39</v>
      </c>
      <c r="B234" t="n">
        <v>5</v>
      </c>
      <c r="C234" t="inlineStr">
        <is>
          <t>GT_DETAIL_PT11_Perulangan.txt</t>
        </is>
      </c>
      <c r="D234" s="3" t="inlineStr">
        <is>
          <t>Pertemuan 11: Struktur Kontrol — Perulangan</t>
        </is>
      </c>
      <c r="E234" t="n">
        <v>0.8126</v>
      </c>
      <c r="F234" t="inlineStr">
        <is>
          <t>✓</t>
        </is>
      </c>
      <c r="G234" t="inlineStr">
        <is>
          <t>✓</t>
        </is>
      </c>
      <c r="H234" s="3" t="inlineStr">
        <is>
          <t>ount = count + 1     read(nilai)   if (count &gt; 0) then     print(sum / count)   else     print("Tidak ada data")  [SOAL 7 — Nested Loop: Segitiga Bintang] Cetak segitiga bintang seperti ini untuk tinggi = 4: * ** *** ***</t>
        </is>
      </c>
    </row>
    <row r="235">
      <c r="A235" t="n">
        <v>39</v>
      </c>
      <c r="B235" t="n">
        <v>6</v>
      </c>
      <c r="C235" t="inlineStr">
        <is>
          <t>GT_DETAIL_PT11_Perulangan.txt</t>
        </is>
      </c>
      <c r="D235" s="3" t="inlineStr">
        <is>
          <t>Pertemuan 11: Struktur Kontrol — Perulangan</t>
        </is>
      </c>
      <c r="E235" t="n">
        <v>0.8089</v>
      </c>
      <c r="F235" t="inlineStr">
        <is>
          <t>✓</t>
        </is>
      </c>
      <c r="G235" t="inlineStr">
        <is>
          <t>✓</t>
        </is>
      </c>
      <c r="H235" s="3" t="inlineStr">
        <is>
          <t xml:space="preserve">    sum = sum + x   print(sum)  [SOAL 3 — FOR: Bilangan Terkecil dan Terbesar] Input: integer n, lalu n bilangan. Output: nilai terkecil dan terbesar!  JAWABAN:   read(n)   read(pertama)   min = pertama   maks = pertama </t>
        </is>
      </c>
    </row>
    <row r="236">
      <c r="A236" t="n">
        <v>40</v>
      </c>
      <c r="B236" t="n">
        <v>1</v>
      </c>
      <c r="C236" t="inlineStr">
        <is>
          <t>GT_CT11.txt</t>
        </is>
      </c>
      <c r="D236" s="3" t="inlineStr">
        <is>
          <t>Pertemuan 11: Algoritme — Struktur Kontrol Perulangan</t>
        </is>
      </c>
      <c r="E236" t="n">
        <v>0.8068</v>
      </c>
      <c r="F236" t="inlineStr">
        <is>
          <t>✓</t>
        </is>
      </c>
      <c r="G236" t="inlineStr">
        <is>
          <t>✓</t>
        </is>
      </c>
      <c r="H236" s="3" t="inlineStr">
        <is>
          <t>2: x = 0; for i = 1 to 10 do; print(x); x = x + 2   ---------------------------------------------------------------- [MATERI 3: Iterasi Berdasarkan Kondisi (Perulangan "while")] ------------------------------------------</t>
        </is>
      </c>
    </row>
    <row r="237">
      <c r="A237" t="n">
        <v>40</v>
      </c>
      <c r="B237" t="n">
        <v>2</v>
      </c>
      <c r="C237" t="inlineStr">
        <is>
          <t>GT_DETAIL_PT11_Perulangan.txt</t>
        </is>
      </c>
      <c r="D237" s="3" t="inlineStr">
        <is>
          <t>Pertemuan 11: Struktur Kontrol — Perulangan</t>
        </is>
      </c>
      <c r="E237" t="n">
        <v>0.7816</v>
      </c>
      <c r="F237" t="inlineStr">
        <is>
          <t>✓</t>
        </is>
      </c>
      <c r="G237" t="inlineStr">
        <is>
          <t>✓</t>
        </is>
      </c>
      <c r="H237" s="3" t="inlineStr">
        <is>
          <t>an: - Kondisi dievaluasi SEBELUM body dijalankan - Jika kondisi False sejak awal → body tidak pernah dijalankan - Jika kondisi tidak pernah False → infinite loop (hindari!) - Body HARUS mengubah sesuatu yang mempengaruhi</t>
        </is>
      </c>
    </row>
    <row r="238">
      <c r="A238" t="n">
        <v>40</v>
      </c>
      <c r="B238" t="n">
        <v>3</v>
      </c>
      <c r="C238" t="inlineStr">
        <is>
          <t>GT_DETAIL_PT11_Perulangan.txt</t>
        </is>
      </c>
      <c r="D238" s="3" t="inlineStr">
        <is>
          <t>Pertemuan 11: Struktur Kontrol — Perulangan</t>
        </is>
      </c>
      <c r="E238" t="n">
        <v>0.7593</v>
      </c>
      <c r="F238" t="inlineStr">
        <is>
          <t>✓</t>
        </is>
      </c>
      <c r="G238" t="inlineStr">
        <is>
          <t>✓</t>
        </is>
      </c>
      <c r="H238" s="3" t="inlineStr">
        <is>
          <t xml:space="preserve">AL 11 — DO-WHILE vs WHILE] Apa perbedaan output dari dua pseudocode berikut? Kode A:   i = 10   while i &lt; 5 do     print(i)     i = i + 1  Kode B:   i = 10   do     print(i)     i = i + 1   while i &lt; 5  JAWABAN: Kode A: </t>
        </is>
      </c>
    </row>
    <row r="239">
      <c r="A239" t="n">
        <v>40</v>
      </c>
      <c r="B239" t="n">
        <v>4</v>
      </c>
      <c r="C239" t="inlineStr">
        <is>
          <t>GT_CT07.txt</t>
        </is>
      </c>
      <c r="D239" s="3" t="inlineStr">
        <is>
          <t>Pertemuan 7: Algoritme — Notasi Algoritme</t>
        </is>
      </c>
      <c r="E239" t="n">
        <v>0.7554999999999999</v>
      </c>
      <c r="F239" t="inlineStr">
        <is>
          <t>✓</t>
        </is>
      </c>
      <c r="G239" t="inlineStr">
        <is>
          <t>✓</t>
        </is>
      </c>
      <c r="H239" s="3" t="inlineStr">
        <is>
          <t>an nilai alas dengan tinggi, lalu hasilnya dibagi dua.  2. Pseudocode: Pseudocode adalah cara informal untuk menuliskan algoritme atau rancangan program komputer. Tujuan utama pseudocode adalah untuk mendapatkan ide seca</t>
        </is>
      </c>
    </row>
    <row r="240">
      <c r="A240" t="n">
        <v>40</v>
      </c>
      <c r="B240" t="n">
        <v>5</v>
      </c>
      <c r="C240" t="inlineStr">
        <is>
          <t>GT_DETAIL_PT10_Percabangan.txt</t>
        </is>
      </c>
      <c r="D240" s="3" t="inlineStr">
        <is>
          <t>Pertemuan 10: Struktur Kontrol — Percabangan</t>
        </is>
      </c>
      <c r="E240" t="n">
        <v>0.7435</v>
      </c>
      <c r="F240" t="inlineStr">
        <is>
          <t>✓</t>
        </is>
      </c>
      <c r="G240" t="inlineStr">
        <is>
          <t>✓</t>
        </is>
      </c>
      <c r="H240" s="3" t="inlineStr">
        <is>
          <t>------------ CONTOH SOAL DAN PEMBAHASAN ----------------------------------------------------------------  [SOAL 1 — Maks 2 Bilangan] Tuliskan pseudocode untuk menentukan bilangan terbesar dari dua bilangan a dan b!  JAWA</t>
        </is>
      </c>
    </row>
    <row r="241">
      <c r="A241" t="n">
        <v>40</v>
      </c>
      <c r="B241" t="n">
        <v>6</v>
      </c>
      <c r="C241" t="inlineStr">
        <is>
          <t>GT_SUBTOPIK_05_Pseudocode_Algoritme.txt</t>
        </is>
      </c>
      <c r="D241" s="3" t="inlineStr">
        <is>
          <t>Subtopik: Pseudocode dan Notasi Algoritme</t>
        </is>
      </c>
      <c r="E241" t="n">
        <v>0.7312</v>
      </c>
      <c r="F241" t="inlineStr">
        <is>
          <t>✓</t>
        </is>
      </c>
      <c r="G241" t="inlineStr">
        <is>
          <t>✓</t>
        </is>
      </c>
      <c r="H241" s="3" t="inlineStr">
        <is>
          <t>)   : eksponensial (brute force kombinasi)  ---------------------------------------------------------------- CONTOH SOAL DAN PEMBAHASAN ----------------------------------------------------------------  [SOAL 1 — Pseudoco</t>
        </is>
      </c>
    </row>
    <row r="242">
      <c r="A242" t="n">
        <v>41</v>
      </c>
      <c r="B242" t="n">
        <v>1</v>
      </c>
      <c r="C242" t="inlineStr">
        <is>
          <t>GT_CT09.txt</t>
        </is>
      </c>
      <c r="D242" s="3" t="inlineStr">
        <is>
          <t>Pertemuan 9: Elemen Pseudocode — Variabel, Operator, Tipe Data, dan List</t>
        </is>
      </c>
      <c r="E242" t="n">
        <v>0.748</v>
      </c>
      <c r="F242" t="inlineStr">
        <is>
          <t>✓</t>
        </is>
      </c>
      <c r="G242" t="inlineStr">
        <is>
          <t>✓</t>
        </is>
      </c>
      <c r="H242" s="3" t="inlineStr">
        <is>
          <t>ama dengan (==), tidak sama dengan (!=), lebih besar dari (&gt;), lebih kecil dari (&lt;), lebih besar atau sama dengan (&gt;=), dan lebih kecil atau sama dengan (&lt;=).  4. Logical Operator (Operator Logika): Digunakan untuk mengg</t>
        </is>
      </c>
    </row>
    <row r="243">
      <c r="A243" t="n">
        <v>41</v>
      </c>
      <c r="B243" t="n">
        <v>2</v>
      </c>
      <c r="C243" t="inlineStr">
        <is>
          <t>GT_CT07.txt</t>
        </is>
      </c>
      <c r="D243" s="3" t="inlineStr">
        <is>
          <t>Pertemuan 7: Algoritme — Notasi Algoritme</t>
        </is>
      </c>
      <c r="E243" t="n">
        <v>0.7345</v>
      </c>
      <c r="F243" t="inlineStr">
        <is>
          <t>✓</t>
        </is>
      </c>
      <c r="G243" t="inlineStr">
        <is>
          <t>✓</t>
        </is>
      </c>
      <c r="H243" s="3" t="inlineStr">
        <is>
          <t>) dan selisih angka yang dicari (d). Output: banyaknya pasangan bilangan dengan selisih sebesar d (p). Proses: (a) Urutkan n bilangan secara menaik menjadi m1, m2, ..., mn; (b) Inisialisasi p = 0; (c) Untuk setiap i dari</t>
        </is>
      </c>
    </row>
    <row r="244">
      <c r="A244" t="n">
        <v>41</v>
      </c>
      <c r="B244" t="n">
        <v>3</v>
      </c>
      <c r="C244" t="inlineStr">
        <is>
          <t>GT_SUBTOPIK_02_Abstraksi_Formulasi.txt</t>
        </is>
      </c>
      <c r="D244" s="3" t="inlineStr">
        <is>
          <t>Subtopik: Abstraksi — Formulasi Problem (Problem/Goal/Batasan/Data)</t>
        </is>
      </c>
      <c r="E244" t="n">
        <v>0.7295</v>
      </c>
      <c r="F244" t="inlineStr">
        <is>
          <t>✓</t>
        </is>
      </c>
      <c r="G244" t="inlineStr">
        <is>
          <t>✓</t>
        </is>
      </c>
      <c r="H244" s="3" t="inlineStr">
        <is>
          <t>bisa bergerak ke KANAN atau ke ATAS (tidak bisa balik/diagonal)   - Harus mulai dari S dan berakhir di F   - Semua permen di petak yang dilalui otomatis diambil DATA     :   - Grid dengan dimensi tertentu   - Jumlah perm</t>
        </is>
      </c>
    </row>
    <row r="245">
      <c r="A245" t="n">
        <v>41</v>
      </c>
      <c r="B245" t="n">
        <v>4</v>
      </c>
      <c r="C245" t="inlineStr">
        <is>
          <t>GT_DETAIL_PT04_Abstraksi.txt</t>
        </is>
      </c>
      <c r="D245" s="3" t="inlineStr">
        <is>
          <t>Pertemuan 4: Problem Solving — Abstraksi</t>
        </is>
      </c>
      <c r="E245" t="n">
        <v>0.7244</v>
      </c>
      <c r="F245" t="inlineStr">
        <is>
          <t>✓</t>
        </is>
      </c>
      <c r="G245" t="inlineStr">
        <is>
          <t>✓</t>
        </is>
      </c>
      <c r="H245" s="3" t="inlineStr">
        <is>
          <t xml:space="preserve"> R(7)? R sudah → U(15) saja Lift 2: T(12) = 12 kg → 1 berang. Atau U(15) = 15 kg → 1 berang. Total terangkut: 5 berang (Lift 1: P,Q,R,S + Lift 2: T atau U). V tidak terangkut + U atau T.  [SOAL 4 — Abstraksi dalam Kehidu</t>
        </is>
      </c>
    </row>
    <row r="246">
      <c r="A246" t="n">
        <v>41</v>
      </c>
      <c r="B246" t="n">
        <v>5</v>
      </c>
      <c r="C246" t="inlineStr">
        <is>
          <t>GT_CT11.txt</t>
        </is>
      </c>
      <c r="D246" s="3" t="inlineStr">
        <is>
          <t>Pertemuan 11: Algoritme — Struktur Kontrol Perulangan</t>
        </is>
      </c>
      <c r="E246" t="n">
        <v>0.7221</v>
      </c>
      <c r="F246" t="inlineStr">
        <is>
          <t>✓</t>
        </is>
      </c>
      <c r="G246" t="inlineStr">
        <is>
          <t>✓</t>
        </is>
      </c>
      <c r="H246" s="3" t="inlineStr">
        <is>
          <t>disebut perulangan luar (outer loop). Untuk setiap satu kali iterasi perulangan luar, perulangan dalam akan menyelesaikan seluruh iterasinya dari awal hingga akhir.  Contoh perulangan bersarang untuk mencetak kotak binta</t>
        </is>
      </c>
    </row>
    <row r="247">
      <c r="A247" t="n">
        <v>41</v>
      </c>
      <c r="B247" t="n">
        <v>6</v>
      </c>
      <c r="C247" t="inlineStr">
        <is>
          <t>GT_DETAIL_PT09_Variabel_TipeData_Operator_List.txt</t>
        </is>
      </c>
      <c r="D247" s="3" t="inlineStr">
        <is>
          <t>Pertemuan 9: Elemen Pseudocode — Variabel, Tipe Data, Operator, List</t>
        </is>
      </c>
      <c r="E247" t="n">
        <v>0.7199</v>
      </c>
      <c r="F247" t="inlineStr">
        <is>
          <t>✓</t>
        </is>
      </c>
      <c r="G247" t="inlineStr">
        <is>
          <t>✓</t>
        </is>
      </c>
      <c r="H247" s="3" t="inlineStr">
        <is>
          <t xml:space="preserve"> T = F | F AND F = F     Tabel kebenaran OR:    T OR T = T | T OR F = T | F OR T = T | F OR F = F     NOT: NOT T = F | NOT F = T  5. Is Operator: memeriksa tipe atau identitas suatu nilai/objek.  G. LIST (ARRAY / SEQUENC</t>
        </is>
      </c>
    </row>
    <row r="248">
      <c r="A248" t="n">
        <v>42</v>
      </c>
      <c r="B248" t="n">
        <v>1</v>
      </c>
      <c r="C248" t="inlineStr">
        <is>
          <t>GT_DETAIL_PT11_Perulangan.txt</t>
        </is>
      </c>
      <c r="D248" s="3" t="inlineStr">
        <is>
          <t>Pertemuan 11: Struktur Kontrol — Perulangan</t>
        </is>
      </c>
      <c r="E248" t="n">
        <v>0.8295</v>
      </c>
      <c r="F248" t="inlineStr">
        <is>
          <t>✓</t>
        </is>
      </c>
      <c r="G248" t="inlineStr">
        <is>
          <t>✓</t>
        </is>
      </c>
      <c r="H248" s="3" t="inlineStr">
        <is>
          <t>selalu dijalankan MINIMAL SATU KALI  F. PERULANGAN BERSARANG (NESTED LOOP)  Konsep: perulangan di dalam perulangan. - Setiap 1 iterasi luar → dalam menyelesaikan SEMUA iterasinya - Total iterasi = iterasi_luar × iterasi_</t>
        </is>
      </c>
    </row>
    <row r="249">
      <c r="A249" t="n">
        <v>42</v>
      </c>
      <c r="B249" t="n">
        <v>2</v>
      </c>
      <c r="C249" t="inlineStr">
        <is>
          <t>GT_CT11.txt</t>
        </is>
      </c>
      <c r="D249" s="3" t="inlineStr">
        <is>
          <t>Pertemuan 11: Algoritme — Struktur Kontrol Perulangan</t>
        </is>
      </c>
      <c r="E249" t="n">
        <v>0.788</v>
      </c>
      <c r="F249" t="inlineStr">
        <is>
          <t>✓</t>
        </is>
      </c>
      <c r="G249" t="inlineStr">
        <is>
          <t>✓</t>
        </is>
      </c>
      <c r="H249" s="3" t="inlineStr">
        <is>
          <t>disebut perulangan luar (outer loop). Untuk setiap satu kali iterasi perulangan luar, perulangan dalam akan menyelesaikan seluruh iterasinya dari awal hingga akhir.  Contoh perulangan bersarang untuk mencetak kotak binta</t>
        </is>
      </c>
    </row>
    <row r="250">
      <c r="A250" t="n">
        <v>42</v>
      </c>
      <c r="B250" t="n">
        <v>3</v>
      </c>
      <c r="C250" t="inlineStr">
        <is>
          <t>GT_SUBTOPIK_14_Kompleksitas_BigO.txt</t>
        </is>
      </c>
      <c r="D250" s="3" t="inlineStr">
        <is>
          <t>Subtopik: Kompleksitas Algoritme (Big-O Notation)</t>
        </is>
      </c>
      <c r="E250" t="n">
        <v>0.7774</v>
      </c>
      <c r="F250" t="inlineStr">
        <is>
          <t>✓</t>
        </is>
      </c>
      <c r="G250" t="inlineStr">
        <is>
          <t>✓</t>
        </is>
      </c>
      <c r="H250" s="3" t="inlineStr">
        <is>
          <t>ngan ke array, lalu hitung rata-rata c) Fibonacci rekursif fib(n) d) Fibonacci iteratif dengan dua variabel  JAWABAN: a) O(1) space -- hanya butuh 2 variabel (sum dan count), tidak peduli berapa besar n  b) O(n) space --</t>
        </is>
      </c>
    </row>
    <row r="251">
      <c r="A251" t="n">
        <v>42</v>
      </c>
      <c r="B251" t="n">
        <v>4</v>
      </c>
      <c r="C251" t="inlineStr">
        <is>
          <t>GT_SUBTOPIK_14_Kompleksitas_BigO.txt</t>
        </is>
      </c>
      <c r="D251" s="3" t="inlineStr">
        <is>
          <t>Subtopik: Kompleksitas Algoritme (Big-O Notation)</t>
        </is>
      </c>
      <c r="E251" t="n">
        <v>0.7726</v>
      </c>
      <c r="F251" t="inlineStr">
        <is>
          <t>✓</t>
        </is>
      </c>
      <c r="G251" t="inlineStr">
        <is>
          <t>✓</t>
        </is>
      </c>
      <c r="H251" s="3" t="inlineStr">
        <is>
          <t>l yang terbesar: O(n^2 + n) = O(n^2)   3. Kalikan loop bersarang: O(n) dalam O(n) = O(n^2)  ---------------------------------------------------------------- CONTOH SOAL DAN PEMBAHASAN ------------------------------------</t>
        </is>
      </c>
    </row>
    <row r="252">
      <c r="A252" t="n">
        <v>42</v>
      </c>
      <c r="B252" t="n">
        <v>5</v>
      </c>
      <c r="C252" t="inlineStr">
        <is>
          <t>GT_DETAIL_PT07_Notasi_Algoritme.txt</t>
        </is>
      </c>
      <c r="D252" s="3" t="inlineStr">
        <is>
          <t>Pertemuan 7: Algoritme — Notasi Algoritme</t>
        </is>
      </c>
      <c r="E252" t="n">
        <v>0.754</v>
      </c>
      <c r="F252" t="inlineStr">
        <is>
          <t>✓</t>
        </is>
      </c>
      <c r="G252" t="inlineStr">
        <is>
          <t>✓</t>
        </is>
      </c>
      <c r="H252" s="3" t="inlineStr">
        <is>
          <t>rata)  [SOAL 3 — Kasus Uji Algoritme Euclidean] Jalankan Algoritme Euclidean secara manual untuk input berikut dan tunjukkan setiap langkahnya: a) FPB(56, 14) b) FPB(77, 33) c) FPB(144, 89)  JAWABAN: a) FPB(56, 14):    5</t>
        </is>
      </c>
    </row>
    <row r="253">
      <c r="A253" t="n">
        <v>42</v>
      </c>
      <c r="B253" t="n">
        <v>6</v>
      </c>
      <c r="C253" t="inlineStr">
        <is>
          <t>GT_DETAIL_PT09_Variabel_TipeData_Operator_List.txt</t>
        </is>
      </c>
      <c r="D253" s="3" t="inlineStr">
        <is>
          <t>Pertemuan 9: Elemen Pseudocode — Variabel, Tipe Data, Operator, List</t>
        </is>
      </c>
      <c r="E253" t="n">
        <v>0.754</v>
      </c>
      <c r="F253" t="inlineStr">
        <is>
          <t>✓</t>
        </is>
      </c>
      <c r="G253" t="inlineStr">
        <is>
          <t>✓</t>
        </is>
      </c>
      <c r="H253" s="3">
        <f> 6 + 1 = 7    → a=6, b=1, c=7 a = c * 2 = 7 * 2 = 14   → a=14, b=1, c=7 b = a - c + b = 14-7+1 = 8 → a=14, b=8, c=7  Nilai akhir: a=14, b=8, c=7  [SOAL 7 — Studi Kasus Toko Kue] Robot Robi mencatat penjualan kue di "Tok</f>
        <v/>
      </c>
    </row>
    <row r="254">
      <c r="A254" t="n">
        <v>43</v>
      </c>
      <c r="B254" t="n">
        <v>1</v>
      </c>
      <c r="C254" t="inlineStr">
        <is>
          <t>GT_DETAIL_PT07_Notasi_Algoritme.txt</t>
        </is>
      </c>
      <c r="D254" s="3" t="inlineStr">
        <is>
          <t>Pertemuan 7: Algoritme — Notasi Algoritme</t>
        </is>
      </c>
      <c r="E254" t="n">
        <v>0.7776</v>
      </c>
      <c r="F254" t="inlineStr">
        <is>
          <t>✓</t>
        </is>
      </c>
      <c r="G254" t="inlineStr">
        <is>
          <t>✓</t>
        </is>
      </c>
      <c r="H254" s="3" t="inlineStr">
        <is>
          <t>perasinya linear)  c) Rata-rata n bilangan: baca semua n bilangan + 1 pembagian → O(n) [linear]  [SOAL 5 — Pseudocode: Pesan Sandi] Tuliskan pseudocode untuk MENDEKRIPSI pesan yang dienkripsi dengan tiga langkah: (1) bal</t>
        </is>
      </c>
    </row>
    <row r="255">
      <c r="A255" t="n">
        <v>43</v>
      </c>
      <c r="B255" t="n">
        <v>2</v>
      </c>
      <c r="C255" t="inlineStr">
        <is>
          <t>GT_CT07.txt</t>
        </is>
      </c>
      <c r="D255" s="3" t="inlineStr">
        <is>
          <t>Pertemuan 7: Algoritme — Notasi Algoritme</t>
        </is>
      </c>
      <c r="E255" t="n">
        <v>0.7739</v>
      </c>
      <c r="F255" t="inlineStr">
        <is>
          <t>✓</t>
        </is>
      </c>
      <c r="G255" t="inlineStr">
        <is>
          <t>✓</t>
        </is>
      </c>
      <c r="H255" s="3" t="inlineStr">
        <is>
          <t>an nilai alas dengan tinggi, lalu hasilnya dibagi dua.  2. Pseudocode: Pseudocode adalah cara informal untuk menuliskan algoritme atau rancangan program komputer. Tujuan utama pseudocode adalah untuk mendapatkan ide seca</t>
        </is>
      </c>
    </row>
    <row r="256">
      <c r="A256" t="n">
        <v>43</v>
      </c>
      <c r="B256" t="n">
        <v>3</v>
      </c>
      <c r="C256" t="inlineStr">
        <is>
          <t>GT_DETAIL_PT11_Perulangan.txt</t>
        </is>
      </c>
      <c r="D256" s="3" t="inlineStr">
        <is>
          <t>Pertemuan 11: Struktur Kontrol — Perulangan</t>
        </is>
      </c>
      <c r="E256" t="n">
        <v>0.7727000000000001</v>
      </c>
      <c r="F256" t="inlineStr">
        <is>
          <t>✓</t>
        </is>
      </c>
      <c r="G256" t="inlineStr">
        <is>
          <t>✓</t>
        </is>
      </c>
      <c r="H256" s="3" t="inlineStr">
        <is>
          <t>selalu dijalankan MINIMAL SATU KALI  F. PERULANGAN BERSARANG (NESTED LOOP)  Konsep: perulangan di dalam perulangan. - Setiap 1 iterasi luar → dalam menyelesaikan SEMUA iterasinya - Total iterasi = iterasi_luar × iterasi_</t>
        </is>
      </c>
    </row>
    <row r="257">
      <c r="A257" t="n">
        <v>43</v>
      </c>
      <c r="B257" t="n">
        <v>4</v>
      </c>
      <c r="C257" t="inlineStr">
        <is>
          <t>GT_DETAIL_PT10_Percabangan.txt</t>
        </is>
      </c>
      <c r="D257" s="3" t="inlineStr">
        <is>
          <t>Pertemuan 10: Struktur Kontrol — Percabangan</t>
        </is>
      </c>
      <c r="E257" t="n">
        <v>0.7665999999999999</v>
      </c>
      <c r="F257" t="inlineStr">
        <is>
          <t>✓</t>
        </is>
      </c>
      <c r="G257" t="inlineStr">
        <is>
          <t>✓</t>
        </is>
      </c>
      <c r="H257" s="3" t="inlineStr">
        <is>
          <t>------------ CONTOH SOAL DAN PEMBAHASAN ----------------------------------------------------------------  [SOAL 1 — Maks 2 Bilangan] Tuliskan pseudocode untuk menentukan bilangan terbesar dari dua bilangan a dan b!  JAWA</t>
        </is>
      </c>
    </row>
    <row r="258">
      <c r="A258" t="n">
        <v>43</v>
      </c>
      <c r="B258" t="n">
        <v>5</v>
      </c>
      <c r="C258" t="inlineStr">
        <is>
          <t>GT_SUBTOPIK_05_Pseudocode_Algoritme.txt</t>
        </is>
      </c>
      <c r="D258" s="3" t="inlineStr">
        <is>
          <t>Subtopik: Pseudocode dan Notasi Algoritme</t>
        </is>
      </c>
      <c r="E258" t="n">
        <v>0.7584</v>
      </c>
      <c r="F258" t="inlineStr">
        <is>
          <t>✓</t>
        </is>
      </c>
      <c r="G258" t="inlineStr">
        <is>
          <t>✓</t>
        </is>
      </c>
      <c r="H258" s="3" t="inlineStr">
        <is>
          <t>)   : eksponensial (brute force kombinasi)  ---------------------------------------------------------------- CONTOH SOAL DAN PEMBAHASAN ----------------------------------------------------------------  [SOAL 1 — Pseudoco</t>
        </is>
      </c>
    </row>
    <row r="259">
      <c r="A259" t="n">
        <v>43</v>
      </c>
      <c r="B259" t="n">
        <v>6</v>
      </c>
      <c r="C259" t="inlineStr">
        <is>
          <t>GT_CT10.txt</t>
        </is>
      </c>
      <c r="D259" s="3" t="inlineStr">
        <is>
          <t>Pertemuan 10: Struktur Kontrol — Percabangan</t>
        </is>
      </c>
      <c r="E259" t="n">
        <v>0.7558</v>
      </c>
      <c r="F259" t="inlineStr">
        <is>
          <t>✓</t>
        </is>
      </c>
      <c r="G259" t="inlineStr">
        <is>
          <t>✓</t>
        </is>
      </c>
      <c r="H259" s="3" t="inlineStr">
        <is>
          <t xml:space="preserve">n (Loop): digunakan ketika algoritme perlu mengulang pelaksanaan instruksi tertentu sampai suatu kondisi yang ditetapkan terpenuhi.  Pertemuan ini berfokus pada pembahasan struktur kontrol percabangan secara mendalam.   </t>
        </is>
      </c>
    </row>
    <row r="260">
      <c r="A260" t="n">
        <v>44</v>
      </c>
      <c r="B260" t="n">
        <v>1</v>
      </c>
      <c r="C260" t="inlineStr">
        <is>
          <t>GT_DETAIL_PT11_Perulangan.txt</t>
        </is>
      </c>
      <c r="D260" s="3" t="inlineStr">
        <is>
          <t>Pertemuan 11: Struktur Kontrol — Perulangan</t>
        </is>
      </c>
      <c r="E260" t="n">
        <v>0.8250999999999999</v>
      </c>
      <c r="F260" t="inlineStr">
        <is>
          <t>✓</t>
        </is>
      </c>
      <c r="G260" t="inlineStr">
        <is>
          <t>✓</t>
        </is>
      </c>
      <c r="H260" s="3" t="inlineStr">
        <is>
          <t>selalu dijalankan MINIMAL SATU KALI  F. PERULANGAN BERSARANG (NESTED LOOP)  Konsep: perulangan di dalam perulangan. - Setiap 1 iterasi luar → dalam menyelesaikan SEMUA iterasinya - Total iterasi = iterasi_luar × iterasi_</t>
        </is>
      </c>
    </row>
    <row r="261">
      <c r="A261" t="n">
        <v>44</v>
      </c>
      <c r="B261" t="n">
        <v>2</v>
      </c>
      <c r="C261" t="inlineStr">
        <is>
          <t>GT_SUBTOPIK_14_Kompleksitas_BigO.txt</t>
        </is>
      </c>
      <c r="D261" s="3" t="inlineStr">
        <is>
          <t>Subtopik: Kompleksitas Algoritme (Big-O Notation)</t>
        </is>
      </c>
      <c r="E261" t="n">
        <v>0.8109</v>
      </c>
      <c r="F261" t="inlineStr">
        <is>
          <t>✓</t>
        </is>
      </c>
      <c r="G261" t="inlineStr">
        <is>
          <t>✓</t>
        </is>
      </c>
      <c r="H261" s="3" t="inlineStr">
        <is>
          <t>l yang terbesar: O(n^2 + n) = O(n^2)   3. Kalikan loop bersarang: O(n) dalam O(n) = O(n^2)  ---------------------------------------------------------------- CONTOH SOAL DAN PEMBAHASAN ------------------------------------</t>
        </is>
      </c>
    </row>
    <row r="262">
      <c r="A262" t="n">
        <v>44</v>
      </c>
      <c r="B262" t="n">
        <v>3</v>
      </c>
      <c r="C262" t="inlineStr">
        <is>
          <t>GT_CT10.txt</t>
        </is>
      </c>
      <c r="D262" s="3" t="inlineStr">
        <is>
          <t>Pertemuan 10: Struktur Kontrol — Percabangan</t>
        </is>
      </c>
      <c r="E262" t="n">
        <v>0.7786999999999999</v>
      </c>
      <c r="F262" t="inlineStr">
        <is>
          <t>✓</t>
        </is>
      </c>
      <c r="G262" t="inlineStr">
        <is>
          <t>✓</t>
        </is>
      </c>
      <c r="H262" s="3" t="inlineStr">
        <is>
          <t xml:space="preserve">an:  Bentuk 1 — Bersarang Biasa (nested if di dalam if): Kondisi kedua diperiksa hanya jika kondisi pertama bernilai benar.     if (kondisi-1) then         if (kondisi-2) then             instruksi-1         else        </t>
        </is>
      </c>
    </row>
    <row r="263">
      <c r="A263" t="n">
        <v>44</v>
      </c>
      <c r="B263" t="n">
        <v>4</v>
      </c>
      <c r="C263" t="inlineStr">
        <is>
          <t>GT_SUBTOPIK_14_Kompleksitas_BigO.txt</t>
        </is>
      </c>
      <c r="D263" s="3" t="inlineStr">
        <is>
          <t>Subtopik: Kompleksitas Algoritme (Big-O Notation)</t>
        </is>
      </c>
      <c r="E263" t="n">
        <v>0.7764</v>
      </c>
      <c r="F263" t="inlineStr">
        <is>
          <t>✓</t>
        </is>
      </c>
      <c r="G263" t="inlineStr">
        <is>
          <t>✓</t>
        </is>
      </c>
      <c r="H263" s="3" t="inlineStr">
        <is>
          <t>ngan ke array, lalu hitung rata-rata c) Fibonacci rekursif fib(n) d) Fibonacci iteratif dengan dua variabel  JAWABAN: a) O(1) space -- hanya butuh 2 variabel (sum dan count), tidak peduli berapa besar n  b) O(n) space --</t>
        </is>
      </c>
    </row>
    <row r="264">
      <c r="A264" t="n">
        <v>44</v>
      </c>
      <c r="B264" t="n">
        <v>5</v>
      </c>
      <c r="C264" t="inlineStr">
        <is>
          <t>GT_CT10.txt</t>
        </is>
      </c>
      <c r="D264" s="3" t="inlineStr">
        <is>
          <t>Pertemuan 10: Struktur Kontrol — Percabangan</t>
        </is>
      </c>
      <c r="E264" t="n">
        <v>0.7746</v>
      </c>
      <c r="F264" t="inlineStr">
        <is>
          <t>✓</t>
        </is>
      </c>
      <c r="G264" t="inlineStr">
        <is>
          <t>✓</t>
        </is>
      </c>
      <c r="H264" s="3" t="inlineStr">
        <is>
          <t xml:space="preserve">n (Loop): digunakan ketika algoritme perlu mengulang pelaksanaan instruksi tertentu sampai suatu kondisi yang ditetapkan terpenuhi.  Pertemuan ini berfokus pada pembahasan struktur kontrol percabangan secara mendalam.   </t>
        </is>
      </c>
    </row>
    <row r="265">
      <c r="A265" t="n">
        <v>44</v>
      </c>
      <c r="B265" t="n">
        <v>6</v>
      </c>
      <c r="C265" t="inlineStr">
        <is>
          <t>GT_SUBTOPIK_03_Pola_Bilangan_Deret.txt</t>
        </is>
      </c>
      <c r="D265" s="3" t="inlineStr">
        <is>
          <t>Subtopik: Pattern Recognition — Pola Bilangan dan Deret Matematis</t>
        </is>
      </c>
      <c r="E265" t="n">
        <v>0.77</v>
      </c>
      <c r="F265" t="inlineStr">
        <is>
          <t>✓</t>
        </is>
      </c>
      <c r="G265" t="inlineStr">
        <is>
          <t>✓</t>
        </is>
      </c>
      <c r="H265" s="3" t="inlineStr">
        <is>
          <t xml:space="preserve">Pola 3: 13 titik (ditambah 8) Pola 4: 25 titik (ditambah 12)  JAWABAN: Selisih antar pola: 4, 8, 12, ... → bertambah 4 setiap langkah Selisih ke-5: 16 Pola ke-5: 25 + 16 = 41  Formula: an = 2n² - 2n + 1 Verifikasi: n=5: </t>
        </is>
      </c>
    </row>
    <row r="266">
      <c r="A266" t="n">
        <v>45</v>
      </c>
      <c r="B266" t="n">
        <v>1</v>
      </c>
      <c r="C266" t="inlineStr">
        <is>
          <t>GT_CT12.txt</t>
        </is>
      </c>
      <c r="D266" s="3" t="inlineStr">
        <is>
          <t>Pertemuan 12: Fungsi</t>
        </is>
      </c>
      <c r="E266" t="n">
        <v>0.7788</v>
      </c>
      <c r="F266" t="inlineStr">
        <is>
          <t>✓</t>
        </is>
      </c>
      <c r="G266" t="inlineStr">
        <is>
          <t>✓</t>
        </is>
      </c>
      <c r="H266" s="3" t="inlineStr">
        <is>
          <t xml:space="preserve">lah penggunaan fungsi. Dengan fungsi, kode dapat digunakan kembali tanpa ditulis ulang (reusable), blok kode diberi nama sehingga mudah dipanggil kapan pun dibutuhkan, dan perubahan logika cukup dilakukan di satu tempat </t>
        </is>
      </c>
    </row>
    <row r="267">
      <c r="A267" t="n">
        <v>45</v>
      </c>
      <c r="B267" t="n">
        <v>2</v>
      </c>
      <c r="C267" t="inlineStr">
        <is>
          <t>GT_CT07.txt</t>
        </is>
      </c>
      <c r="D267" s="3" t="inlineStr">
        <is>
          <t>Pertemuan 7: Algoritme — Notasi Algoritme</t>
        </is>
      </c>
      <c r="E267" t="n">
        <v>0.7624</v>
      </c>
      <c r="F267" t="inlineStr">
        <is>
          <t>✓</t>
        </is>
      </c>
      <c r="G267" t="inlineStr">
        <is>
          <t>✓</t>
        </is>
      </c>
      <c r="H267" s="3" t="inlineStr">
        <is>
          <t>an nilai alas dengan tinggi, lalu hasilnya dibagi dua.  2. Pseudocode: Pseudocode adalah cara informal untuk menuliskan algoritme atau rancangan program komputer. Tujuan utama pseudocode adalah untuk mendapatkan ide seca</t>
        </is>
      </c>
    </row>
    <row r="268">
      <c r="A268" t="n">
        <v>45</v>
      </c>
      <c r="B268" t="n">
        <v>3</v>
      </c>
      <c r="C268" t="inlineStr">
        <is>
          <t>GT_DETAIL_PT12_Fungsi.txt</t>
        </is>
      </c>
      <c r="D268" s="3" t="inlineStr">
        <is>
          <t>Pertemuan 12: Fungsi</t>
        </is>
      </c>
      <c r="E268" t="n">
        <v>0.7408</v>
      </c>
      <c r="F268" t="inlineStr">
        <is>
          <t>✓</t>
        </is>
      </c>
      <c r="G268" t="inlineStr">
        <is>
          <t>✓</t>
        </is>
      </c>
      <c r="H268" s="3" t="inlineStr">
        <is>
          <t>EDUR vs. FUNGSI  Prosedur: - Blok kode yang melakukan sesuatu tanpa mengembalikan nilai - Contoh: print(), prosedur meowing() yang langsung print - Tidak ada return type / return type void  Fungsi: - Blok kode yang mengh</t>
        </is>
      </c>
    </row>
    <row r="269">
      <c r="A269" t="n">
        <v>45</v>
      </c>
      <c r="B269" t="n">
        <v>4</v>
      </c>
      <c r="C269" t="inlineStr">
        <is>
          <t>GT_CT12.txt</t>
        </is>
      </c>
      <c r="D269" s="3" t="inlineStr">
        <is>
          <t>Pertemuan 12: Fungsi</t>
        </is>
      </c>
      <c r="E269" t="n">
        <v>0.7375</v>
      </c>
      <c r="F269" t="inlineStr">
        <is>
          <t>✓</t>
        </is>
      </c>
      <c r="G269" t="inlineStr">
        <is>
          <t>✓</t>
        </is>
      </c>
      <c r="H269" s="3" t="inlineStr">
        <is>
          <t>alam format namaVariabel:tipe_data. Apabila terdapat lebih dari satu parameter, digunakan tanda koma sebagai pemisah. 3. Tipe Hasil atau Return Type (: int): tipe data dari output yang akan dihasilkan dan dikembalikan ol</t>
        </is>
      </c>
    </row>
    <row r="270">
      <c r="A270" t="n">
        <v>45</v>
      </c>
      <c r="B270" t="n">
        <v>5</v>
      </c>
      <c r="C270" t="inlineStr">
        <is>
          <t>GT_DETAIL_PT10_Percabangan.txt</t>
        </is>
      </c>
      <c r="D270" s="3" t="inlineStr">
        <is>
          <t>Pertemuan 10: Struktur Kontrol — Percabangan</t>
        </is>
      </c>
      <c r="E270" t="n">
        <v>0.7339</v>
      </c>
      <c r="F270" t="inlineStr">
        <is>
          <t>✓</t>
        </is>
      </c>
      <c r="G270" t="inlineStr">
        <is>
          <t>✓</t>
        </is>
      </c>
      <c r="H270" s="3" t="inlineStr">
        <is>
          <t>------------ CONTOH SOAL DAN PEMBAHASAN ----------------------------------------------------------------  [SOAL 1 — Maks 2 Bilangan] Tuliskan pseudocode untuk menentukan bilangan terbesar dari dua bilangan a dan b!  JAWA</t>
        </is>
      </c>
    </row>
    <row r="271">
      <c r="A271" t="n">
        <v>45</v>
      </c>
      <c r="B271" t="n">
        <v>6</v>
      </c>
      <c r="C271" t="inlineStr">
        <is>
          <t>GT_DETAIL_PT12_Fungsi.txt</t>
        </is>
      </c>
      <c r="D271" s="3" t="inlineStr">
        <is>
          <t>Pertemuan 12: Fungsi</t>
        </is>
      </c>
      <c r="E271" t="n">
        <v>0.7328</v>
      </c>
      <c r="F271" t="inlineStr">
        <is>
          <t>✓</t>
        </is>
      </c>
      <c r="G271" t="inlineStr">
        <is>
          <t>✓</t>
        </is>
      </c>
      <c r="H271" s="3" t="inlineStr">
        <is>
          <t xml:space="preserve"> FUNGSI SEBAGAI DEKOMPOSISI DAN ABSTRAKSI  Dekomposisi: memecah algoritme besar menjadi fungsi-fungsi kecil yang terfokus. Abstraksi: menyembunyikan kerumitan implementasi di dalam fungsi;            algoritme utama cuku</t>
        </is>
      </c>
    </row>
    <row r="272">
      <c r="A272" t="n">
        <v>46</v>
      </c>
      <c r="B272" t="n">
        <v>1</v>
      </c>
      <c r="C272" t="inlineStr">
        <is>
          <t>GT_CT07.txt</t>
        </is>
      </c>
      <c r="D272" s="3" t="inlineStr">
        <is>
          <t>Pertemuan 7: Algoritme — Notasi Algoritme</t>
        </is>
      </c>
      <c r="E272" t="n">
        <v>0.8421</v>
      </c>
      <c r="F272" t="inlineStr">
        <is>
          <t>✓</t>
        </is>
      </c>
      <c r="G272" t="inlineStr">
        <is>
          <t>✓</t>
        </is>
      </c>
      <c r="H272" s="3" t="inlineStr">
        <is>
          <t>an nilai alas dengan tinggi, lalu hasilnya dibagi dua.  2. Pseudocode: Pseudocode adalah cara informal untuk menuliskan algoritme atau rancangan program komputer. Tujuan utama pseudocode adalah untuk mendapatkan ide seca</t>
        </is>
      </c>
    </row>
    <row r="273">
      <c r="A273" t="n">
        <v>46</v>
      </c>
      <c r="B273" t="n">
        <v>2</v>
      </c>
      <c r="C273" t="inlineStr">
        <is>
          <t>GT_CT09.txt</t>
        </is>
      </c>
      <c r="D273" s="3" t="inlineStr">
        <is>
          <t>Pertemuan 9: Elemen Pseudocode — Variabel, Operator, Tipe Data, dan List</t>
        </is>
      </c>
      <c r="E273" t="n">
        <v>0.7964</v>
      </c>
      <c r="F273" t="inlineStr">
        <is>
          <t>✓</t>
        </is>
      </c>
      <c r="G273" t="inlineStr">
        <is>
          <t>✓</t>
        </is>
      </c>
      <c r="H273" s="3" t="inlineStr">
        <is>
          <t>h atau operasi yang dilakukan. 5. Struktur Kendali: mekanisme pengaturan alur eksekusi algoritme.  Pertemuan ini berfokus pada pembahasan mendalam terhadap variabel, instruksi, assignment, tipe data, dan operator sebagai</t>
        </is>
      </c>
    </row>
    <row r="274">
      <c r="A274" t="n">
        <v>46</v>
      </c>
      <c r="B274" t="n">
        <v>3</v>
      </c>
      <c r="C274" t="inlineStr">
        <is>
          <t>GT_CT09.txt</t>
        </is>
      </c>
      <c r="D274" s="3" t="inlineStr">
        <is>
          <t>Pertemuan 9: Elemen Pseudocode — Variabel, Operator, Tipe Data, dan List</t>
        </is>
      </c>
      <c r="E274" t="n">
        <v>0.7959000000000001</v>
      </c>
      <c r="F274" t="inlineStr">
        <is>
          <t>✓</t>
        </is>
      </c>
      <c r="G274" t="inlineStr">
        <is>
          <t>✓</t>
        </is>
      </c>
      <c r="H274" s="3" t="inlineStr">
        <is>
          <t>ga konsistensi dan keterbacaan algoritme. Variabel umumnya bersifat case-sensitive, artinya membedakan huruf besar dan huruf kecil (misalnya, "Data", "data", dan "DATA" diperlakukan sebagai tiga variabel yang berbeda). V</t>
        </is>
      </c>
    </row>
    <row r="275">
      <c r="A275" t="n">
        <v>46</v>
      </c>
      <c r="B275" t="n">
        <v>4</v>
      </c>
      <c r="C275" t="inlineStr">
        <is>
          <t>GT_DETAIL_PT10_Percabangan.txt</t>
        </is>
      </c>
      <c r="D275" s="3" t="inlineStr">
        <is>
          <t>Pertemuan 10: Struktur Kontrol — Percabangan</t>
        </is>
      </c>
      <c r="E275" t="n">
        <v>0.7933</v>
      </c>
      <c r="F275" t="inlineStr">
        <is>
          <t>✓</t>
        </is>
      </c>
      <c r="G275" t="inlineStr">
        <is>
          <t>✓</t>
        </is>
      </c>
      <c r="H275" s="3" t="inlineStr">
        <is>
          <t>------------ CONTOH SOAL DAN PEMBAHASAN ----------------------------------------------------------------  [SOAL 1 — Maks 2 Bilangan] Tuliskan pseudocode untuk menentukan bilangan terbesar dari dua bilangan a dan b!  JAWA</t>
        </is>
      </c>
    </row>
    <row r="276">
      <c r="A276" t="n">
        <v>46</v>
      </c>
      <c r="B276" t="n">
        <v>5</v>
      </c>
      <c r="C276" t="inlineStr">
        <is>
          <t>GT_CT10.txt</t>
        </is>
      </c>
      <c r="D276" s="3" t="inlineStr">
        <is>
          <t>Pertemuan 10: Struktur Kontrol — Percabangan</t>
        </is>
      </c>
      <c r="E276" t="n">
        <v>0.7846</v>
      </c>
      <c r="F276" t="inlineStr">
        <is>
          <t>✓</t>
        </is>
      </c>
      <c r="G276" t="inlineStr">
        <is>
          <t>✓</t>
        </is>
      </c>
      <c r="H276" s="3" t="inlineStr">
        <is>
          <t xml:space="preserve">n (Loop): digunakan ketika algoritme perlu mengulang pelaksanaan instruksi tertentu sampai suatu kondisi yang ditetapkan terpenuhi.  Pertemuan ini berfokus pada pembahasan struktur kontrol percabangan secara mendalam.   </t>
        </is>
      </c>
    </row>
    <row r="277">
      <c r="A277" t="n">
        <v>46</v>
      </c>
      <c r="B277" t="n">
        <v>6</v>
      </c>
      <c r="C277" t="inlineStr">
        <is>
          <t>GT_DETAIL_PT07_Notasi_Algoritme.txt</t>
        </is>
      </c>
      <c r="D277" s="3" t="inlineStr">
        <is>
          <t>Pertemuan 7: Algoritme — Notasi Algoritme</t>
        </is>
      </c>
      <c r="E277" t="n">
        <v>0.7756</v>
      </c>
      <c r="F277" t="inlineStr">
        <is>
          <t>✓</t>
        </is>
      </c>
      <c r="G277" t="inlineStr">
        <is>
          <t>✓</t>
        </is>
      </c>
      <c r="H277" s="3" t="inlineStr">
        <is>
          <t>perasinya linear)  c) Rata-rata n bilangan: baca semua n bilangan + 1 pembagian → O(n) [linear]  [SOAL 5 — Pseudocode: Pesan Sandi] Tuliskan pseudocode untuk MENDEKRIPSI pesan yang dienkripsi dengan tiga langkah: (1) bal</t>
        </is>
      </c>
    </row>
    <row r="278">
      <c r="A278" t="n">
        <v>47</v>
      </c>
      <c r="B278" t="n">
        <v>1</v>
      </c>
      <c r="C278" t="inlineStr">
        <is>
          <t>GT_DETAIL_PT11_Perulangan.txt</t>
        </is>
      </c>
      <c r="D278" s="3" t="inlineStr">
        <is>
          <t>Pertemuan 11: Struktur Kontrol — Perulangan</t>
        </is>
      </c>
      <c r="E278" t="n">
        <v>0.7507</v>
      </c>
      <c r="F278" t="inlineStr">
        <is>
          <t>✓</t>
        </is>
      </c>
      <c r="G278" t="inlineStr">
        <is>
          <t>✓</t>
        </is>
      </c>
      <c r="H278" s="3" t="inlineStr">
        <is>
          <t xml:space="preserve">AL 11 — DO-WHILE vs WHILE] Apa perbedaan output dari dua pseudocode berikut? Kode A:   i = 10   while i &lt; 5 do     print(i)     i = i + 1  Kode B:   i = 10   do     print(i)     i = i + 1   while i &lt; 5  JAWABAN: Kode A: </t>
        </is>
      </c>
    </row>
    <row r="279">
      <c r="A279" t="n">
        <v>47</v>
      </c>
      <c r="B279" t="n">
        <v>2</v>
      </c>
      <c r="C279" t="inlineStr">
        <is>
          <t>GT_SUBTOPIK_04_Modulo_Siklus.txt</t>
        </is>
      </c>
      <c r="D279" s="3" t="inlineStr">
        <is>
          <t>Subtopik: Pattern Recognition — Modulo dan Siklus</t>
        </is>
      </c>
      <c r="E279" t="n">
        <v>0.7423</v>
      </c>
      <c r="F279" t="inlineStr">
        <is>
          <t>✓</t>
        </is>
      </c>
      <c r="G279" t="inlineStr">
        <is>
          <t>✓</t>
        </is>
      </c>
      <c r="H279" s="3" t="inlineStr">
        <is>
          <t>1×24 = 1000 - 984 = 16 08:00 + 16 jam = 24:00 = 00:00 (tengah malam) JAWABAN: Jam 00:00 (tengah malam)  [SOAL 5 — Masalah Coklat Bebek dengan Modulo] Dengan pola deret segitiga n(n+1)/2, tuliskan pseudocode untuk mencari</t>
        </is>
      </c>
    </row>
    <row r="280">
      <c r="A280" t="n">
        <v>47</v>
      </c>
      <c r="B280" t="n">
        <v>3</v>
      </c>
      <c r="C280" t="inlineStr">
        <is>
          <t>GT_DETAIL_PT05_Pattern_Recognition.txt</t>
        </is>
      </c>
      <c r="D280" s="3" t="inlineStr">
        <is>
          <t>Pertemuan 5: Pattern Recognition (Pengenalan Pola)</t>
        </is>
      </c>
      <c r="E280" t="n">
        <v>0.7372</v>
      </c>
      <c r="F280" t="inlineStr">
        <is>
          <t>✓</t>
        </is>
      </c>
      <c r="G280" t="inlineStr">
        <is>
          <t>✓</t>
        </is>
      </c>
      <c r="H280" s="3" t="inlineStr">
        <is>
          <t>memiliki pola serupa.  D. PERBEDAAN MATHEMATICAL THINKING vs. COMPUTATIONAL THINKING  Masalah: 1 + 2 + 3 + ... + 10 = ?  Mathematical Thinking (kalkulasi bertahap): 1+2=3, 3+3=6, 6+4=10, 10+5=15, ... = 55 (10 langkah)  C</t>
        </is>
      </c>
    </row>
    <row r="281">
      <c r="A281" t="n">
        <v>47</v>
      </c>
      <c r="B281" t="n">
        <v>4</v>
      </c>
      <c r="C281" t="inlineStr">
        <is>
          <t>GT_CT10.txt</t>
        </is>
      </c>
      <c r="D281" s="3" t="inlineStr">
        <is>
          <t>Pertemuan 10: Struktur Kontrol — Percabangan</t>
        </is>
      </c>
      <c r="E281" t="n">
        <v>0.7334000000000001</v>
      </c>
      <c r="F281" t="inlineStr">
        <is>
          <t>✓</t>
        </is>
      </c>
      <c r="G281" t="inlineStr">
        <is>
          <t>✓</t>
        </is>
      </c>
      <c r="H281" s="3" t="inlineStr">
        <is>
          <t xml:space="preserve"> untuk nilai ≥ 40; dan E untuk nilai di bawah 40.  6. Latihan Memeriksa Monotonisitas: Input: tiga bilangan a, b, dan c. Output: pesan "monoton naik" jika a &lt; b &lt; c, "monoton turun" jika a &gt; b &gt; c, atau "tidak monoton" u</t>
        </is>
      </c>
    </row>
    <row r="282">
      <c r="A282" t="n">
        <v>47</v>
      </c>
      <c r="B282" t="n">
        <v>5</v>
      </c>
      <c r="C282" t="inlineStr">
        <is>
          <t>GT_CT12.txt</t>
        </is>
      </c>
      <c r="D282" s="3" t="inlineStr">
        <is>
          <t>Pertemuan 12: Fungsi</t>
        </is>
      </c>
      <c r="E282" t="n">
        <v>0.7285</v>
      </c>
      <c r="F282" t="inlineStr">
        <is>
          <t>✓</t>
        </is>
      </c>
      <c r="G282" t="inlineStr">
        <is>
          <t>✓</t>
        </is>
      </c>
      <c r="H282" s="3" t="inlineStr">
        <is>
          <t>eowing('Spot', '10') → ERROR, tipe data salah ('10' adalah string, sementara parameter berat bertipe integer).   ---------------------------------------------------------------- [MATERI 5: Fungsi sebagai Implementasi Dek</t>
        </is>
      </c>
    </row>
    <row r="283">
      <c r="A283" t="n">
        <v>47</v>
      </c>
      <c r="B283" t="n">
        <v>6</v>
      </c>
      <c r="C283" t="inlineStr">
        <is>
          <t>GT_CT07.txt</t>
        </is>
      </c>
      <c r="D283" s="3" t="inlineStr">
        <is>
          <t>Pertemuan 7: Algoritme — Notasi Algoritme</t>
        </is>
      </c>
      <c r="E283" t="n">
        <v>0.7227</v>
      </c>
      <c r="F283" t="inlineStr">
        <is>
          <t>✓</t>
        </is>
      </c>
      <c r="G283" t="inlineStr">
        <is>
          <t>✓</t>
        </is>
      </c>
      <c r="H283" s="3" t="inlineStr">
        <is>
          <t xml:space="preserve"> dan 20 seharusnya menghasilkan output 4; Algoritme Coklat Bebek dengan input 15 (jumlah coklat) seharusnya menghasilkan output 6 (nomor bebek pertama yang tidak mendapat coklat).  Selain validitas, efisiensi algoritme j</t>
        </is>
      </c>
    </row>
    <row r="284">
      <c r="A284" t="n">
        <v>48</v>
      </c>
      <c r="B284" t="n">
        <v>1</v>
      </c>
      <c r="C284" t="inlineStr">
        <is>
          <t>GT_CT12.txt</t>
        </is>
      </c>
      <c r="D284" s="3" t="inlineStr">
        <is>
          <t>Pertemuan 12: Fungsi</t>
        </is>
      </c>
      <c r="E284" t="n">
        <v>0.7539</v>
      </c>
      <c r="F284" t="inlineStr">
        <is>
          <t>✓</t>
        </is>
      </c>
      <c r="G284" t="inlineStr">
        <is>
          <t>✓</t>
        </is>
      </c>
      <c r="H284" s="3" t="inlineStr">
        <is>
          <t xml:space="preserve">lah penggunaan fungsi. Dengan fungsi, kode dapat digunakan kembali tanpa ditulis ulang (reusable), blok kode diberi nama sehingga mudah dipanggil kapan pun dibutuhkan, dan perubahan logika cukup dilakukan di satu tempat </t>
        </is>
      </c>
    </row>
    <row r="285">
      <c r="A285" t="n">
        <v>48</v>
      </c>
      <c r="B285" t="n">
        <v>2</v>
      </c>
      <c r="C285" t="inlineStr">
        <is>
          <t>GT_DETAIL_PT12_Fungsi.txt</t>
        </is>
      </c>
      <c r="D285" s="3" t="inlineStr">
        <is>
          <t>Pertemuan 12: Fungsi</t>
        </is>
      </c>
      <c r="E285" t="n">
        <v>0.7244</v>
      </c>
      <c r="F285" t="inlineStr">
        <is>
          <t>✓</t>
        </is>
      </c>
      <c r="G285" t="inlineStr">
        <is>
          <t>✓</t>
        </is>
      </c>
      <c r="H285" s="3" t="inlineStr">
        <is>
          <t xml:space="preserve"> FUNGSI SEBAGAI DEKOMPOSISI DAN ABSTRAKSI  Dekomposisi: memecah algoritme besar menjadi fungsi-fungsi kecil yang terfokus. Abstraksi: menyembunyikan kerumitan implementasi di dalam fungsi;            algoritme utama cuku</t>
        </is>
      </c>
    </row>
    <row r="286">
      <c r="A286" t="n">
        <v>48</v>
      </c>
      <c r="B286" t="n">
        <v>3</v>
      </c>
      <c r="C286" t="inlineStr">
        <is>
          <t>GT_CT05.txt</t>
        </is>
      </c>
      <c r="D286" s="3" t="inlineStr">
        <is>
          <t>Pertemuan 5: Pattern Recognition (Pengenalan Pola)</t>
        </is>
      </c>
      <c r="E286" t="n">
        <v>0.6944</v>
      </c>
      <c r="F286" t="inlineStr">
        <is>
          <t>✓</t>
        </is>
      </c>
      <c r="G286" t="inlineStr">
        <is>
          <t>✓</t>
        </is>
      </c>
      <c r="H286" s="3" t="inlineStr">
        <is>
          <t xml:space="preserve"> memanggang, waktu penambahan masing-masing bahan, dan peralatan yang diperlukan. Setelah memahami cara memanggang satu jenis kue, seseorang dapat segera melihat bahwa memanggang kue jenis lain tidak jauh berbeda, karena</t>
        </is>
      </c>
    </row>
    <row r="287">
      <c r="A287" t="n">
        <v>48</v>
      </c>
      <c r="B287" t="n">
        <v>4</v>
      </c>
      <c r="C287" t="inlineStr">
        <is>
          <t>GT_CT12.txt</t>
        </is>
      </c>
      <c r="D287" s="3" t="inlineStr">
        <is>
          <t>Pertemuan 12: Fungsi</t>
        </is>
      </c>
      <c r="E287" t="n">
        <v>0.6919</v>
      </c>
      <c r="F287" t="inlineStr">
        <is>
          <t>✓</t>
        </is>
      </c>
      <c r="G287" t="inlineStr">
        <is>
          <t>✓</t>
        </is>
      </c>
      <c r="H287" s="3" t="inlineStr">
        <is>
          <t>alam format namaVariabel:tipe_data. Apabila terdapat lebih dari satu parameter, digunakan tanda koma sebagai pemisah. 3. Tipe Hasil atau Return Type (: int): tipe data dari output yang akan dihasilkan dan dikembalikan ol</t>
        </is>
      </c>
    </row>
    <row r="288">
      <c r="A288" t="n">
        <v>48</v>
      </c>
      <c r="B288" t="n">
        <v>5</v>
      </c>
      <c r="C288" t="inlineStr">
        <is>
          <t>GT_CT03.txt</t>
        </is>
      </c>
      <c r="D288" s="3" t="inlineStr">
        <is>
          <t>Pertemuan 3: Problem Solving — Dekomposisi</t>
        </is>
      </c>
      <c r="E288" t="n">
        <v>0.6918</v>
      </c>
      <c r="F288" t="inlineStr">
        <is>
          <t>✓</t>
        </is>
      </c>
      <c r="G288" t="inlineStr">
        <is>
          <t>✓</t>
        </is>
      </c>
      <c r="H288" s="3" t="inlineStr">
        <is>
          <t>pertama yang krusial adalah mengidentifikasi goal atau tujuan utama dari masalah tersebut, kemudian menentukan bagaimana masalah itu dapat didekomposisi menjadi sub-masalah yang lebih kecil.  Sebagai contoh latihan, pada</t>
        </is>
      </c>
    </row>
    <row r="289">
      <c r="A289" t="n">
        <v>48</v>
      </c>
      <c r="B289" t="n">
        <v>6</v>
      </c>
      <c r="C289" t="inlineStr">
        <is>
          <t>GT_CT09.txt</t>
        </is>
      </c>
      <c r="D289" s="3" t="inlineStr">
        <is>
          <t>Pertemuan 9: Elemen Pseudocode — Variabel, Operator, Tipe Data, dan List</t>
        </is>
      </c>
      <c r="E289" t="n">
        <v>0.6893</v>
      </c>
      <c r="F289" t="inlineStr">
        <is>
          <t>✓</t>
        </is>
      </c>
      <c r="G289" t="inlineStr">
        <is>
          <t>✓</t>
        </is>
      </c>
      <c r="H289" s="3" t="inlineStr">
        <is>
          <t>ama dengan (==), tidak sama dengan (!=), lebih besar dari (&gt;), lebih kecil dari (&lt;), lebih besar atau sama dengan (&gt;=), dan lebih kecil atau sama dengan (&lt;=).  4. Logical Operator (Operator Logika): Digunakan untuk mengg</t>
        </is>
      </c>
    </row>
    <row r="290">
      <c r="A290" t="n">
        <v>49</v>
      </c>
      <c r="B290" t="n">
        <v>1</v>
      </c>
      <c r="C290" t="inlineStr">
        <is>
          <t>GT_CT12.txt</t>
        </is>
      </c>
      <c r="D290" s="3" t="inlineStr">
        <is>
          <t>Pertemuan 12: Fungsi</t>
        </is>
      </c>
      <c r="E290" t="n">
        <v>0.7439</v>
      </c>
      <c r="F290" t="inlineStr">
        <is>
          <t>✓</t>
        </is>
      </c>
      <c r="G290" t="inlineStr">
        <is>
          <t>✓</t>
        </is>
      </c>
      <c r="H290" s="3" t="inlineStr">
        <is>
          <t>eowing('Spot', '10') → ERROR, tipe data salah ('10' adalah string, sementara parameter berat bertipe integer).   ---------------------------------------------------------------- [MATERI 5: Fungsi sebagai Implementasi Dek</t>
        </is>
      </c>
    </row>
    <row r="291">
      <c r="A291" t="n">
        <v>49</v>
      </c>
      <c r="B291" t="n">
        <v>2</v>
      </c>
      <c r="C291" t="inlineStr">
        <is>
          <t>GT_DETAIL_PT12_Fungsi.txt</t>
        </is>
      </c>
      <c r="D291" s="3" t="inlineStr">
        <is>
          <t>Pertemuan 12: Fungsi</t>
        </is>
      </c>
      <c r="E291" t="n">
        <v>0.7176</v>
      </c>
      <c r="F291" t="inlineStr">
        <is>
          <t>✓</t>
        </is>
      </c>
      <c r="G291" t="inlineStr">
        <is>
          <t>✓</t>
        </is>
      </c>
      <c r="H291" s="3" t="inlineStr">
        <is>
          <t>EDUR vs. FUNGSI  Prosedur: - Blok kode yang melakukan sesuatu tanpa mengembalikan nilai - Contoh: print(), prosedur meowing() yang langsung print - Tidak ada return type / return type void  Fungsi: - Blok kode yang mengh</t>
        </is>
      </c>
    </row>
    <row r="292">
      <c r="A292" t="n">
        <v>49</v>
      </c>
      <c r="B292" t="n">
        <v>3</v>
      </c>
      <c r="C292" t="inlineStr">
        <is>
          <t>GT_SUBTOPIK_02_Abstraksi_Formulasi.txt</t>
        </is>
      </c>
      <c r="D292" s="3" t="inlineStr">
        <is>
          <t>Subtopik: Abstraksi — Formulasi Problem (Problem/Goal/Batasan/Data)</t>
        </is>
      </c>
      <c r="E292" t="n">
        <v>0.7159</v>
      </c>
      <c r="F292" t="inlineStr">
        <is>
          <t>✓</t>
        </is>
      </c>
      <c r="G292" t="inlineStr">
        <is>
          <t>✓</t>
        </is>
      </c>
      <c r="H292" s="3" t="inlineStr">
        <is>
          <t>ara dua MK jika ada konflik. Masalah menjadi: cari jumlah warna minimum untuk mewarnai node agar tidak ada dua node terhubung punya warna sama (chromatic number).  [SOAL 6 — Abstraksi vs Symptom] Identifikasi mana ROOT C</t>
        </is>
      </c>
    </row>
    <row r="293">
      <c r="A293" t="n">
        <v>49</v>
      </c>
      <c r="B293" t="n">
        <v>4</v>
      </c>
      <c r="C293" t="inlineStr">
        <is>
          <t>GT_SUBTOPIK_02_Abstraksi_Formulasi.txt</t>
        </is>
      </c>
      <c r="D293" s="3" t="inlineStr">
        <is>
          <t>Subtopik: Abstraksi — Formulasi Problem (Problem/Goal/Batasan/Data)</t>
        </is>
      </c>
      <c r="E293" t="n">
        <v>0.7144</v>
      </c>
      <c r="F293" t="inlineStr">
        <is>
          <t>✓</t>
        </is>
      </c>
      <c r="G293" t="inlineStr">
        <is>
          <t>✓</t>
        </is>
      </c>
      <c r="H293" s="3" t="inlineStr">
        <is>
          <t xml:space="preserve"> aus, atau printer tidak dibersihkan secara berkala.    Abstraksi: fokus pada frekuensi dan kondisi saat macet →    apakah selalu dengan kertas tertentu? Setelah sekian lembar?  [SOAL 7 — Abstraksi Data] Diberikan datase</t>
        </is>
      </c>
    </row>
    <row r="294">
      <c r="A294" t="n">
        <v>49</v>
      </c>
      <c r="B294" t="n">
        <v>5</v>
      </c>
      <c r="C294" t="inlineStr">
        <is>
          <t>GT_DETAIL_PT12_Fungsi.txt</t>
        </is>
      </c>
      <c r="D294" s="3" t="inlineStr">
        <is>
          <t>Pertemuan 12: Fungsi</t>
        </is>
      </c>
      <c r="E294" t="n">
        <v>0.7128</v>
      </c>
      <c r="F294" t="inlineStr">
        <is>
          <t>✓</t>
        </is>
      </c>
      <c r="G294" t="inlineStr">
        <is>
          <t>✓</t>
        </is>
      </c>
      <c r="H294" s="3" t="inlineStr">
        <is>
          <t xml:space="preserve"> FUNGSI SEBAGAI DEKOMPOSISI DAN ABSTRAKSI  Dekomposisi: memecah algoritme besar menjadi fungsi-fungsi kecil yang terfokus. Abstraksi: menyembunyikan kerumitan implementasi di dalam fungsi;            algoritme utama cuku</t>
        </is>
      </c>
    </row>
    <row r="295">
      <c r="A295" t="n">
        <v>49</v>
      </c>
      <c r="B295" t="n">
        <v>6</v>
      </c>
      <c r="C295" t="inlineStr">
        <is>
          <t>GT_DETAIL_PT12_Fungsi.txt</t>
        </is>
      </c>
      <c r="D295" s="3" t="inlineStr">
        <is>
          <t>Pertemuan 12: Fungsi</t>
        </is>
      </c>
      <c r="E295" t="n">
        <v>0.7115</v>
      </c>
      <c r="F295" t="inlineStr">
        <is>
          <t>✓</t>
        </is>
      </c>
      <c r="G295" t="inlineStr">
        <is>
          <t>✓</t>
        </is>
      </c>
      <c r="H295" s="3" t="inlineStr">
        <is>
          <t>nghitung luas persegi panjang!  JAWABAN:   function luasPersegiPanjang(panjang: int, lebar: int) : int     return panjang * lebar    // Pemanggilan:   L = luasPersegiPanjang(8, 5)  // L = 40  [SOAL 2 — Fungsi dengan Kond</t>
        </is>
      </c>
    </row>
    <row r="296">
      <c r="A296" t="n">
        <v>50</v>
      </c>
      <c r="B296" t="n">
        <v>1</v>
      </c>
      <c r="C296" t="inlineStr">
        <is>
          <t>GT_DETAIL_PT04_Abstraksi.txt</t>
        </is>
      </c>
      <c r="D296" s="3" t="inlineStr">
        <is>
          <t>Pertemuan 4: Problem Solving — Abstraksi</t>
        </is>
      </c>
      <c r="E296" t="n">
        <v>0.7081</v>
      </c>
      <c r="F296" t="inlineStr">
        <is>
          <t>✓</t>
        </is>
      </c>
      <c r="G296" t="inlineStr">
        <is>
          <t>✓</t>
        </is>
      </c>
      <c r="H296" s="3" t="inlineStr">
        <is>
          <t xml:space="preserve">    Batasan   : robot hanya bisa bergerak ke kanan atau ke atas    Data      : peta petak dengan jumlah permen (0–3) di setiap petak  ---------------------------------------------------------------- CONTOH SOAL DAN PEMBA</t>
        </is>
      </c>
    </row>
    <row r="297">
      <c r="A297" t="n">
        <v>50</v>
      </c>
      <c r="B297" t="n">
        <v>2</v>
      </c>
      <c r="C297" t="inlineStr">
        <is>
          <t>GT_SUBTOPIK_11_Rekursi.txt</t>
        </is>
      </c>
      <c r="D297" s="3" t="inlineStr">
        <is>
          <t>Subtopik: Rekursi (Recursion)</t>
        </is>
      </c>
      <c r="E297" t="n">
        <v>0.703</v>
      </c>
      <c r="F297" t="inlineStr">
        <is>
          <t>✓</t>
        </is>
      </c>
      <c r="G297" t="inlineStr">
        <is>
          <t>✓</t>
        </is>
      </c>
      <c r="H297" s="3">
        <f>=============================================================== GROUND TRUTH SUBTOPIK -- KOM2102 COMPUTATIONAL THINKING Subtopik: Rekursi (Recursion) ================================================================  KON</f>
        <v/>
      </c>
    </row>
    <row r="298">
      <c r="A298" t="n">
        <v>50</v>
      </c>
      <c r="B298" t="n">
        <v>3</v>
      </c>
      <c r="C298" t="inlineStr">
        <is>
          <t>GT_SUBTOPIK_04_Modulo_Siklus.txt</t>
        </is>
      </c>
      <c r="D298" s="3" t="inlineStr">
        <is>
          <t>Subtopik: Pattern Recognition — Modulo dan Siklus</t>
        </is>
      </c>
      <c r="E298" t="n">
        <v>0.6997</v>
      </c>
      <c r="F298" t="inlineStr">
        <is>
          <t>✓</t>
        </is>
      </c>
      <c r="G298" t="inlineStr">
        <is>
          <t>✓</t>
        </is>
      </c>
      <c r="H298" s="3" t="inlineStr">
        <is>
          <t>1×24 = 1000 - 984 = 16 08:00 + 16 jam = 24:00 = 00:00 (tengah malam) JAWABAN: Jam 00:00 (tengah malam)  [SOAL 5 — Masalah Coklat Bebek dengan Modulo] Dengan pola deret segitiga n(n+1)/2, tuliskan pseudocode untuk mencari</t>
        </is>
      </c>
    </row>
    <row r="299">
      <c r="A299" t="n">
        <v>50</v>
      </c>
      <c r="B299" t="n">
        <v>4</v>
      </c>
      <c r="C299" t="inlineStr">
        <is>
          <t>GT_CT04.txt</t>
        </is>
      </c>
      <c r="D299" s="3" t="inlineStr">
        <is>
          <t>Pertemuan 4: Problem Solving — Abstraction</t>
        </is>
      </c>
      <c r="E299" t="n">
        <v>0.6815</v>
      </c>
      <c r="F299" t="inlineStr">
        <is>
          <t>✓</t>
        </is>
      </c>
      <c r="G299" t="inlineStr">
        <is>
          <t>✓</t>
        </is>
      </c>
      <c r="H299" s="3" t="inlineStr">
        <is>
          <t>iharapkan — yaitu apa yang tampak atau dirasakan. Sementara itu, Problem atau akar persoalan adalah sesuatu yang menyalah dan menyebabkan gejala tersebut muncul. Pertanyaan kunci dalam mengidentifikasi problem adalah "Wh</t>
        </is>
      </c>
    </row>
    <row r="300">
      <c r="A300" t="n">
        <v>50</v>
      </c>
      <c r="B300" t="n">
        <v>5</v>
      </c>
      <c r="C300" t="inlineStr">
        <is>
          <t>GT_SUBTOPIK_10_Fungsi_Modularitas.txt</t>
        </is>
      </c>
      <c r="D300" s="3" t="inlineStr">
        <is>
          <t>Subtopik: Fungsi -- Definisi, Parameter, dan Modularitas</t>
        </is>
      </c>
      <c r="E300" t="n">
        <v>0.6802</v>
      </c>
      <c r="F300" t="inlineStr">
        <is>
          <t>✓</t>
        </is>
      </c>
      <c r="G300" t="inlineStr">
        <is>
          <t>✓</t>
        </is>
      </c>
      <c r="H300" s="3" t="inlineStr">
        <is>
          <t xml:space="preserve">hui: function hitung(a: int, b: float, c: string) : string Identifikasi error: a) hitung(5, 3.14, "ok")     -&gt; VALID b) hitung("5", 3.14, "ok")  -&gt; ERROR: tipe param 1 salah (string bukan int) c) hitung(5, 3.14)         </t>
        </is>
      </c>
    </row>
    <row r="301">
      <c r="A301" t="n">
        <v>50</v>
      </c>
      <c r="B301" t="n">
        <v>6</v>
      </c>
      <c r="C301" t="inlineStr">
        <is>
          <t>GT_DETAIL_PT06_Block_Programming.txt</t>
        </is>
      </c>
      <c r="D301" s="3" t="inlineStr">
        <is>
          <t>Pertemuan 6: Pengenalan Algoritme &amp; Block Programming</t>
        </is>
      </c>
      <c r="E301" t="n">
        <v>0.6731</v>
      </c>
      <c r="F301" t="inlineStr">
        <is>
          <t>✓</t>
        </is>
      </c>
      <c r="G301" t="inlineStr">
        <is>
          <t>✓</t>
        </is>
      </c>
      <c r="H301" s="3" t="inlineStr">
        <is>
          <t>nkan komputer untuk melakukan tugas tertentu. Bahasa pemrograman: Python, Java, C++, JavaScript, dll.  Tantangan belajar pemrograman: 1. Memahami sintaks bahasa pemrograman 2. Membangun logika berpikir algoritmik 3. Kema</t>
        </is>
      </c>
    </row>
    <row r="302">
      <c r="A302" t="n">
        <v>51</v>
      </c>
      <c r="B302" t="n">
        <v>1</v>
      </c>
      <c r="C302" t="inlineStr">
        <is>
          <t>GT_CT13.txt</t>
        </is>
      </c>
      <c r="D302" s="3" t="inlineStr">
        <is>
          <t>Pertemuan 13: Pengenalan Struktur Data</t>
        </is>
      </c>
      <c r="E302" t="n">
        <v>0.777</v>
      </c>
      <c r="F302" t="inlineStr">
        <is>
          <t>✓</t>
        </is>
      </c>
      <c r="G302" t="inlineStr">
        <is>
          <t>✓</t>
        </is>
      </c>
      <c r="H302" s="3" t="inlineStr">
        <is>
          <t>teratas, selama stack masih berisi data (tidak kosong). Data yang dikeluarkan melalui operasi pop sekaligus dihapus dari stack sehingga jumlah data yang tersimpan berkurang.  Simulasi rangkaian instruksi: push 5 → push 7</t>
        </is>
      </c>
    </row>
    <row r="303">
      <c r="A303" t="n">
        <v>51</v>
      </c>
      <c r="B303" t="n">
        <v>2</v>
      </c>
      <c r="C303" t="inlineStr">
        <is>
          <t>GT_SUBTOPIK_12_Stack_Queue.txt</t>
        </is>
      </c>
      <c r="D303" s="3" t="inlineStr">
        <is>
          <t>Subtopik: Stack dan Queue -- Operasi, Simulasi, dan Penerapan</t>
        </is>
      </c>
      <c r="E303" t="n">
        <v>0.7547</v>
      </c>
      <c r="F303" t="inlineStr">
        <is>
          <t>✓</t>
        </is>
      </c>
      <c r="G303" t="inlineStr">
        <is>
          <t>✓</t>
        </is>
      </c>
      <c r="H303" s="3" t="inlineStr">
        <is>
          <t>pop ( (cocok), EOF -&gt; stack=[(] tidak kosong    -&gt; TIDAK VALID  c) "{[}]":    push {, push [, } -&gt; pop [ -&gt; [ tidak pasangan } -&gt; TIDAK VALID  d) "((()))":    push(, push(, push(, ) pop( cocok, ) pop( cocok, ) pop( cocok</t>
        </is>
      </c>
    </row>
    <row r="304">
      <c r="A304" t="n">
        <v>51</v>
      </c>
      <c r="B304" t="n">
        <v>3</v>
      </c>
      <c r="C304" t="inlineStr">
        <is>
          <t>GT_CT13.txt</t>
        </is>
      </c>
      <c r="D304" s="3" t="inlineStr">
        <is>
          <t>Pertemuan 13: Pengenalan Struktur Data</t>
        </is>
      </c>
      <c r="E304" t="n">
        <v>0.7472</v>
      </c>
      <c r="F304" t="inlineStr">
        <is>
          <t>✓</t>
        </is>
      </c>
      <c r="G304" t="inlineStr">
        <is>
          <t>✓</t>
        </is>
      </c>
      <c r="H304" s="3" t="inlineStr">
        <is>
          <t>ai urutan kedatangannya. - Sistem kecerdasan buatan dalam permainan catur yang merepresentasikan berbagai kemungkinan langkah ke depan: struktur data yang paling tepat adalah Tree, karena setiap kemungkinan langkah berca</t>
        </is>
      </c>
    </row>
    <row r="305">
      <c r="A305" t="n">
        <v>51</v>
      </c>
      <c r="B305" t="n">
        <v>4</v>
      </c>
      <c r="C305" t="inlineStr">
        <is>
          <t>GT_DETAIL_PT13_Struktur_Data.txt</t>
        </is>
      </c>
      <c r="D305" s="3" t="inlineStr">
        <is>
          <t>Pertemuan 13: Pengenalan Struktur Data</t>
        </is>
      </c>
      <c r="E305" t="n">
        <v>0.737</v>
      </c>
      <c r="F305" t="inlineStr">
        <is>
          <t>✓</t>
        </is>
      </c>
      <c r="G305" t="inlineStr">
        <is>
          <t>✓</t>
        </is>
      </c>
      <c r="H305" s="3" t="inlineStr">
        <is>
          <t>pek      | STACK (LIFO)      | QUEUE (FIFO) -----------|-------------------|------------------ Prinsip    | Last In First Out | First In First Out Tambah data| push (ke atas)    | enqueue (ke belakang) Ambil data | pop (</t>
        </is>
      </c>
    </row>
    <row r="306">
      <c r="A306" t="n">
        <v>51</v>
      </c>
      <c r="B306" t="n">
        <v>5</v>
      </c>
      <c r="C306" t="inlineStr">
        <is>
          <t>GT_SUBTOPIK_02_Abstraksi_Formulasi.txt</t>
        </is>
      </c>
      <c r="D306" s="3" t="inlineStr">
        <is>
          <t>Subtopik: Abstraksi — Formulasi Problem (Problem/Goal/Batasan/Data)</t>
        </is>
      </c>
      <c r="E306" t="n">
        <v>0.7272999999999999</v>
      </c>
      <c r="F306" t="inlineStr">
        <is>
          <t>✓</t>
        </is>
      </c>
      <c r="G306" t="inlineStr">
        <is>
          <t>✓</t>
        </is>
      </c>
      <c r="H306" s="3" t="inlineStr">
        <is>
          <t xml:space="preserve"> aus, atau printer tidak dibersihkan secara berkala.    Abstraksi: fokus pada frekuensi dan kondisi saat macet →    apakah selalu dengan kertas tertentu? Setelah sekian lembar?  [SOAL 7 — Abstraksi Data] Diberikan datase</t>
        </is>
      </c>
    </row>
    <row r="307">
      <c r="A307" t="n">
        <v>51</v>
      </c>
      <c r="B307" t="n">
        <v>6</v>
      </c>
      <c r="C307" t="inlineStr">
        <is>
          <t>GT_DETAIL_PT01_Pendahuluan.txt</t>
        </is>
      </c>
      <c r="D307" s="3" t="inlineStr">
        <is>
          <t>Pertemuan 1: Pendahuluan &amp; Kontrak Perkuliahan</t>
        </is>
      </c>
      <c r="E307" t="n">
        <v>0.7151</v>
      </c>
      <c r="F307" t="inlineStr">
        <is>
          <t>✓</t>
        </is>
      </c>
      <c r="G307" t="inlineStr">
        <is>
          <t>✓</t>
        </is>
      </c>
      <c r="H307" s="3" t="inlineStr">
        <is>
          <t>n      : Fokus hanya pada informasi penting: nama mata kuliah, jumlah SKS, jadwal                      kuliah tetap, dan preferensi waktu belajar. Mengabaikan detail seperti                      konten setiap mata kuliah</t>
        </is>
      </c>
    </row>
    <row r="308">
      <c r="A308" t="n">
        <v>52</v>
      </c>
      <c r="B308" t="n">
        <v>1</v>
      </c>
      <c r="C308" t="inlineStr">
        <is>
          <t>GT_SUBTOPIK_03_Pola_Bilangan_Deret.txt</t>
        </is>
      </c>
      <c r="D308" s="3" t="inlineStr">
        <is>
          <t>Subtopik: Pattern Recognition — Pola Bilangan dan Deret Matematis</t>
        </is>
      </c>
      <c r="E308" t="n">
        <v>0.742</v>
      </c>
      <c r="F308" t="inlineStr">
        <is>
          <t>✓</t>
        </is>
      </c>
      <c r="G308" t="inlineStr">
        <is>
          <t>✓</t>
        </is>
      </c>
      <c r="H308" s="3" t="inlineStr">
        <is>
          <t>0 coklat. Bebek nomor berapa yang pertama tidak mendapat coklat?  JAWABAN: Pola: jumlah komulatif s/d bebek ke-n = n(n+1)/2 Cari n terbesar sehingga n(n+1)/2 ≤ 500:   n=31: 31×32/2 = 496 ≤ 500 ✓   n=32: 32×33/2 = 528 &gt; 5</t>
        </is>
      </c>
    </row>
    <row r="309">
      <c r="A309" t="n">
        <v>52</v>
      </c>
      <c r="B309" t="n">
        <v>2</v>
      </c>
      <c r="C309" t="inlineStr">
        <is>
          <t>GT_CT10.txt</t>
        </is>
      </c>
      <c r="D309" s="3" t="inlineStr">
        <is>
          <t>Pertemuan 10: Struktur Kontrol — Percabangan</t>
        </is>
      </c>
      <c r="E309" t="n">
        <v>0.7304</v>
      </c>
      <c r="F309" t="inlineStr">
        <is>
          <t>✓</t>
        </is>
      </c>
      <c r="G309" t="inlineStr">
        <is>
          <t>✓</t>
        </is>
      </c>
      <c r="H309" s="3" t="inlineStr">
        <is>
          <t xml:space="preserve"> untuk nilai ≥ 40; dan E untuk nilai di bawah 40.  6. Latihan Memeriksa Monotonisitas: Input: tiga bilangan a, b, dan c. Output: pesan "monoton naik" jika a &lt; b &lt; c, "monoton turun" jika a &gt; b &gt; c, atau "tidak monoton" u</t>
        </is>
      </c>
    </row>
    <row r="310">
      <c r="A310" t="n">
        <v>52</v>
      </c>
      <c r="B310" t="n">
        <v>3</v>
      </c>
      <c r="C310" t="inlineStr">
        <is>
          <t>GT_SUBTOPIK_04_Modulo_Siklus.txt</t>
        </is>
      </c>
      <c r="D310" s="3" t="inlineStr">
        <is>
          <t>Subtopik: Pattern Recognition — Modulo dan Siklus</t>
        </is>
      </c>
      <c r="E310" t="n">
        <v>0.7268</v>
      </c>
      <c r="F310" t="inlineStr">
        <is>
          <t>✓</t>
        </is>
      </c>
      <c r="G310" t="inlineStr">
        <is>
          <t>✓</t>
        </is>
      </c>
      <c r="H310" s="3" t="inlineStr">
        <is>
          <t>1×24 = 1000 - 984 = 16 08:00 + 16 jam = 24:00 = 00:00 (tengah malam) JAWABAN: Jam 00:00 (tengah malam)  [SOAL 5 — Masalah Coklat Bebek dengan Modulo] Dengan pola deret segitiga n(n+1)/2, tuliskan pseudocode untuk mencari</t>
        </is>
      </c>
    </row>
    <row r="311">
      <c r="A311" t="n">
        <v>52</v>
      </c>
      <c r="B311" t="n">
        <v>4</v>
      </c>
      <c r="C311" t="inlineStr">
        <is>
          <t>GT_CT01.txt</t>
        </is>
      </c>
      <c r="D311" s="3" t="inlineStr">
        <is>
          <t>Pertemuan 1: Kontrak Perkuliahan dan Pendahuluan</t>
        </is>
      </c>
      <c r="E311" t="n">
        <v>0.7197</v>
      </c>
      <c r="F311" t="inlineStr">
        <is>
          <t>✓</t>
        </is>
      </c>
      <c r="G311" t="inlineStr">
        <is>
          <t>✓</t>
        </is>
      </c>
      <c r="H311" s="3" t="inlineStr">
        <is>
          <t>ikan proyek mandiri.  Salah satu komponen tugas rutin yang diperkenalkan adalah Asah Otak, yaitu tugas terjadwal yang bersifat individu dan dirancang sebagai latihan mandiri bagi seluruh mahasiswa. Mahasiswa diwajibkan m</t>
        </is>
      </c>
    </row>
    <row r="312">
      <c r="A312" t="n">
        <v>52</v>
      </c>
      <c r="B312" t="n">
        <v>5</v>
      </c>
      <c r="C312" t="inlineStr">
        <is>
          <t>GT_CT05.txt</t>
        </is>
      </c>
      <c r="D312" s="3" t="inlineStr">
        <is>
          <t>Pertemuan 5: Pattern Recognition (Pengenalan Pola)</t>
        </is>
      </c>
      <c r="E312" t="n">
        <v>0.7171999999999999</v>
      </c>
      <c r="F312" t="inlineStr">
        <is>
          <t>✓</t>
        </is>
      </c>
      <c r="G312" t="inlineStr">
        <is>
          <t>✓</t>
        </is>
      </c>
      <c r="H312" s="3" t="inlineStr">
        <is>
          <t>g kosong. Pendekatan yang digunakan adalah terlebih dahulu melakukan abstraksi terhadap elemen-elemen visual yang relevan, kemudian mengenali pola transformasi atau urutan yang terjadi antar gambar untuk menentukan jawab</t>
        </is>
      </c>
    </row>
    <row r="313">
      <c r="A313" t="n">
        <v>52</v>
      </c>
      <c r="B313" t="n">
        <v>6</v>
      </c>
      <c r="C313" t="inlineStr">
        <is>
          <t>GT_SUBTOPIK_14_Kompleksitas_BigO.txt</t>
        </is>
      </c>
      <c r="D313" s="3" t="inlineStr">
        <is>
          <t>Subtopik: Kompleksitas Algoritme (Big-O Notation)</t>
        </is>
      </c>
      <c r="E313" t="n">
        <v>0.7156</v>
      </c>
      <c r="F313" t="inlineStr">
        <is>
          <t>✓</t>
        </is>
      </c>
      <c r="G313" t="inlineStr">
        <is>
          <t>✓</t>
        </is>
      </c>
      <c r="H313" s="3" t="inlineStr">
        <is>
          <t xml:space="preserve"> (sangat cepat)   O(n log n)  : 1.000*10 / 10^8 = 0,0001 detik (cepat)   O(n^2)      : 10^6 / 10^8 = 0,01 detik (masih oke)   O(2^n)      : 2^1000 / 10^8 = TIDAK MUNGKIN selesai (lebih besar dari umur alam semesta!)  Unt</t>
        </is>
      </c>
    </row>
    <row r="314">
      <c r="A314" t="n">
        <v>53</v>
      </c>
      <c r="B314" t="n">
        <v>1</v>
      </c>
      <c r="C314" t="inlineStr">
        <is>
          <t>GT_CT07.txt</t>
        </is>
      </c>
      <c r="D314" s="3" t="inlineStr">
        <is>
          <t>Pertemuan 7: Algoritme — Notasi Algoritme</t>
        </is>
      </c>
      <c r="E314" t="n">
        <v>0.7865</v>
      </c>
      <c r="F314" t="inlineStr">
        <is>
          <t>✓</t>
        </is>
      </c>
      <c r="G314" t="inlineStr">
        <is>
          <t>✓</t>
        </is>
      </c>
      <c r="H314" s="3" t="inlineStr">
        <is>
          <t>) dan selisih angka yang dicari (d). Output: banyaknya pasangan bilangan dengan selisih sebesar d (p). Proses: (a) Urutkan n bilangan secara menaik menjadi m1, m2, ..., mn; (b) Inisialisasi p = 0; (c) Untuk setiap i dari</t>
        </is>
      </c>
    </row>
    <row r="315">
      <c r="A315" t="n">
        <v>53</v>
      </c>
      <c r="B315" t="n">
        <v>2</v>
      </c>
      <c r="C315" t="inlineStr">
        <is>
          <t>GT_SUBTOPIK_03_Pola_Bilangan_Deret.txt</t>
        </is>
      </c>
      <c r="D315" s="3" t="inlineStr">
        <is>
          <t>Subtopik: Pattern Recognition — Pola Bilangan dan Deret Matematis</t>
        </is>
      </c>
      <c r="E315" t="n">
        <v>0.7772</v>
      </c>
      <c r="F315" t="inlineStr">
        <is>
          <t>✓</t>
        </is>
      </c>
      <c r="G315" t="inlineStr">
        <is>
          <t>✓</t>
        </is>
      </c>
      <c r="H315" s="3" t="inlineStr">
        <is>
          <t xml:space="preserve">Pola 3: 13 titik (ditambah 8) Pola 4: 25 titik (ditambah 12)  JAWABAN: Selisih antar pola: 4, 8, 12, ... → bertambah 4 setiap langkah Selisih ke-5: 16 Pola ke-5: 25 + 16 = 41  Formula: an = 2n² - 2n + 1 Verifikasi: n=5: </t>
        </is>
      </c>
    </row>
    <row r="316">
      <c r="A316" t="n">
        <v>53</v>
      </c>
      <c r="B316" t="n">
        <v>3</v>
      </c>
      <c r="C316" t="inlineStr">
        <is>
          <t>GT_SUBTOPIK_03_Pola_Bilangan_Deret.txt</t>
        </is>
      </c>
      <c r="D316" s="3" t="inlineStr">
        <is>
          <t>Subtopik: Pattern Recognition — Pola Bilangan dan Deret Matematis</t>
        </is>
      </c>
      <c r="E316" t="n">
        <v>0.775</v>
      </c>
      <c r="F316" t="inlineStr">
        <is>
          <t>✓</t>
        </is>
      </c>
      <c r="G316" t="inlineStr">
        <is>
          <t>✓</t>
        </is>
      </c>
      <c r="H316" s="3" t="inlineStr">
        <is>
          <t>drat. Coba an = n² + 1:   n=1: 1+1=2 ✓, n=2: 4+1=5 ✓, n=3: 9+1=10 ✓ Suku ke-6: 6² + 1 = 37  [SOAL 5 — Deret Fibonacci] Barisan Fibonacci: 1, 1, 2, 3, 5, 8, 13, 21, 34, ... a) Tentukan suku ke-12. b) Berapakah rasio dua s</t>
        </is>
      </c>
    </row>
    <row r="317">
      <c r="A317" t="n">
        <v>53</v>
      </c>
      <c r="B317" t="n">
        <v>4</v>
      </c>
      <c r="C317" t="inlineStr">
        <is>
          <t>GT_SUBTOPIK_14_Kompleksitas_BigO.txt</t>
        </is>
      </c>
      <c r="D317" s="3" t="inlineStr">
        <is>
          <t>Subtopik: Kompleksitas Algoritme (Big-O Notation)</t>
        </is>
      </c>
      <c r="E317" t="n">
        <v>0.7694</v>
      </c>
      <c r="F317" t="inlineStr">
        <is>
          <t>✓</t>
        </is>
      </c>
      <c r="G317" t="inlineStr">
        <is>
          <t>✓</t>
        </is>
      </c>
      <c r="H317" s="3" t="inlineStr">
        <is>
          <t xml:space="preserve"> (sangat cepat)   O(n log n)  : 1.000*10 / 10^8 = 0,0001 detik (cepat)   O(n^2)      : 10^6 / 10^8 = 0,01 detik (masih oke)   O(2^n)      : 2^1000 / 10^8 = TIDAK MUNGKIN selesai (lebih besar dari umur alam semesta!)  Unt</t>
        </is>
      </c>
    </row>
    <row r="318">
      <c r="A318" t="n">
        <v>53</v>
      </c>
      <c r="B318" t="n">
        <v>5</v>
      </c>
      <c r="C318" t="inlineStr">
        <is>
          <t>GT_DETAIL_PT05_Pattern_Recognition.txt</t>
        </is>
      </c>
      <c r="D318" s="3" t="inlineStr">
        <is>
          <t>Pertemuan 5: Pattern Recognition (Pengenalan Pola)</t>
        </is>
      </c>
      <c r="E318" t="n">
        <v>0.769</v>
      </c>
      <c r="F318" t="inlineStr">
        <is>
          <t>✓</t>
        </is>
      </c>
      <c r="G318" t="inlineStr">
        <is>
          <t>✓</t>
        </is>
      </c>
      <c r="H318" s="3" t="inlineStr">
        <is>
          <t xml:space="preserve">iliki selisih tepat 2!  JAWABAN: Urutkan terlebih dahulu: 1, 2, 4, 6, 7, 9, 10, 12, 15, 17, 18, 20  Cari pasangan dengan selisih = 2 (pengenalan pola: bandingkan elemen berurutan): - (1,3)? 3 tidak ada. - (2,4): selisih </t>
        </is>
      </c>
    </row>
    <row r="319">
      <c r="A319" t="n">
        <v>53</v>
      </c>
      <c r="B319" t="n">
        <v>6</v>
      </c>
      <c r="C319" t="inlineStr">
        <is>
          <t>GT_DETAIL_PT05_Pattern_Recognition.txt</t>
        </is>
      </c>
      <c r="D319" s="3" t="inlineStr">
        <is>
          <t>Pertemuan 5: Pattern Recognition (Pengenalan Pola)</t>
        </is>
      </c>
      <c r="E319" t="n">
        <v>0.7667</v>
      </c>
      <c r="F319" t="inlineStr">
        <is>
          <t>✓</t>
        </is>
      </c>
      <c r="G319" t="inlineStr">
        <is>
          <t>✓</t>
        </is>
      </c>
      <c r="H319" s="3" t="inlineStr">
        <is>
          <t>3=27(7), 3^4=81(1), 3^5=243(3) → siklus 4: 3,9,7,1 c) 2024 mod 4 = 0 → digit terakhir = 1  [SOAL 3 — Pola Bilangan] Temukan pola dari barisan berikut dan tentukan suku ke-10: a) 2, 5, 10, 17, 26, ... b) 1, 1, 2, 3, 5, 8,</t>
        </is>
      </c>
    </row>
    <row r="320">
      <c r="A320" t="n">
        <v>54</v>
      </c>
      <c r="B320" t="n">
        <v>1</v>
      </c>
      <c r="C320" t="inlineStr">
        <is>
          <t>GT_CT07.txt</t>
        </is>
      </c>
      <c r="D320" s="3" t="inlineStr">
        <is>
          <t>Pertemuan 7: Algoritme — Notasi Algoritme</t>
        </is>
      </c>
      <c r="E320" t="n">
        <v>0.7269</v>
      </c>
      <c r="F320" t="inlineStr">
        <is>
          <t>✓</t>
        </is>
      </c>
      <c r="G320" t="inlineStr">
        <is>
          <t>✓</t>
        </is>
      </c>
      <c r="H320" s="3" t="inlineStr">
        <is>
          <t>) dan selisih angka yang dicari (d). Output: banyaknya pasangan bilangan dengan selisih sebesar d (p). Proses: (a) Urutkan n bilangan secara menaik menjadi m1, m2, ..., mn; (b) Inisialisasi p = 0; (c) Untuk setiap i dari</t>
        </is>
      </c>
    </row>
    <row r="321">
      <c r="A321" t="n">
        <v>54</v>
      </c>
      <c r="B321" t="n">
        <v>2</v>
      </c>
      <c r="C321" t="inlineStr">
        <is>
          <t>GT_CT05.txt</t>
        </is>
      </c>
      <c r="D321" s="3" t="inlineStr">
        <is>
          <t>Pertemuan 5: Pattern Recognition (Pengenalan Pola)</t>
        </is>
      </c>
      <c r="E321" t="n">
        <v>0.7221</v>
      </c>
      <c r="F321" t="inlineStr">
        <is>
          <t>✓</t>
        </is>
      </c>
      <c r="G321" t="inlineStr">
        <is>
          <t>✓</t>
        </is>
      </c>
      <c r="H321" s="3" t="inlineStr">
        <is>
          <t>g kosong. Pendekatan yang digunakan adalah terlebih dahulu melakukan abstraksi terhadap elemen-elemen visual yang relevan, kemudian mengenali pola transformasi atau urutan yang terjadi antar gambar untuk menentukan jawab</t>
        </is>
      </c>
    </row>
    <row r="322">
      <c r="A322" t="n">
        <v>54</v>
      </c>
      <c r="B322" t="n">
        <v>3</v>
      </c>
      <c r="C322" t="inlineStr">
        <is>
          <t>GT_CT10.txt</t>
        </is>
      </c>
      <c r="D322" s="3" t="inlineStr">
        <is>
          <t>Pertemuan 10: Struktur Kontrol — Percabangan</t>
        </is>
      </c>
      <c r="E322" t="n">
        <v>0.7171999999999999</v>
      </c>
      <c r="F322" t="inlineStr">
        <is>
          <t>✓</t>
        </is>
      </c>
      <c r="G322" t="inlineStr">
        <is>
          <t>✓</t>
        </is>
      </c>
      <c r="H322" s="3" t="inlineStr">
        <is>
          <t xml:space="preserve">n (Loop): digunakan ketika algoritme perlu mengulang pelaksanaan instruksi tertentu sampai suatu kondisi yang ditetapkan terpenuhi.  Pertemuan ini berfokus pada pembahasan struktur kontrol percabangan secara mendalam.   </t>
        </is>
      </c>
    </row>
    <row r="323">
      <c r="A323" t="n">
        <v>54</v>
      </c>
      <c r="B323" t="n">
        <v>4</v>
      </c>
      <c r="C323" t="inlineStr">
        <is>
          <t>GT_SUBTOPIK_11_Rekursi.txt</t>
        </is>
      </c>
      <c r="D323" s="3" t="inlineStr">
        <is>
          <t>Subtopik: Rekursi (Recursion)</t>
        </is>
      </c>
      <c r="E323" t="n">
        <v>0.7161999999999999</v>
      </c>
      <c r="F323" t="inlineStr">
        <is>
          <t>✓</t>
        </is>
      </c>
      <c r="G323" t="inlineStr">
        <is>
          <t>✓</t>
        </is>
      </c>
      <c r="H323" s="3" t="inlineStr">
        <is>
          <t xml:space="preserve"> or n == 1) then return 1     else return n * faktorial(n - 1)  Trace faktorial(4):   faktorial(4) = 4 * faktorial(3)                = 4 * 3 * faktorial(2)                = 4 * 3 * 2 * faktorial(1)                = 4 * 3</t>
        </is>
      </c>
    </row>
    <row r="324">
      <c r="A324" t="n">
        <v>54</v>
      </c>
      <c r="B324" t="n">
        <v>5</v>
      </c>
      <c r="C324" t="inlineStr">
        <is>
          <t>GT_DETAIL_PT01_Pendahuluan.txt</t>
        </is>
      </c>
      <c r="D324" s="3" t="inlineStr">
        <is>
          <t>Pertemuan 1: Pendahuluan &amp; Kontrak Perkuliahan</t>
        </is>
      </c>
      <c r="E324" t="n">
        <v>0.7161999999999999</v>
      </c>
      <c r="F324" t="inlineStr">
        <is>
          <t>✓</t>
        </is>
      </c>
      <c r="G324" t="inlineStr">
        <is>
          <t>✓</t>
        </is>
      </c>
      <c r="H324" s="3" t="inlineStr">
        <is>
          <t xml:space="preserve">erhadap masalah — kemampuan kognitif untuk memformulasikan masalah dan solusinya secara sistematis. Belajar pemrograman adalah keterampilan teknis untuk menuliskan instruksi dalam bahasa pemrograman tertentu.  Mahasiswa </t>
        </is>
      </c>
    </row>
    <row r="325">
      <c r="A325" t="n">
        <v>54</v>
      </c>
      <c r="B325" t="n">
        <v>6</v>
      </c>
      <c r="C325" t="inlineStr">
        <is>
          <t>GT_CT03.txt</t>
        </is>
      </c>
      <c r="D325" s="3" t="inlineStr">
        <is>
          <t>Pertemuan 3: Problem Solving — Dekomposisi</t>
        </is>
      </c>
      <c r="E325" t="n">
        <v>0.7149</v>
      </c>
      <c r="F325" t="inlineStr">
        <is>
          <t>✓</t>
        </is>
      </c>
      <c r="G325" t="inlineStr">
        <is>
          <t>✓</t>
        </is>
      </c>
      <c r="H325" s="3" t="inlineStr">
        <is>
          <t xml:space="preserve"> terstruktur dan sistematis. Kata kunci dari konsep dekomposisi adalah: BREAKING BIG PROBLEMS INTO SMALLER AND EASIER TO MANAGE PROBLEMS.  Prinsip dekomposisi mengikuti pola hierarkis, di mana sebuah masalah besar (misal</t>
        </is>
      </c>
    </row>
    <row r="326">
      <c r="A326" t="n">
        <v>55</v>
      </c>
      <c r="B326" t="n">
        <v>1</v>
      </c>
      <c r="C326" t="inlineStr">
        <is>
          <t>GT_SUBTOPIK_14_Kompleksitas_BigO.txt</t>
        </is>
      </c>
      <c r="D326" s="3" t="inlineStr">
        <is>
          <t>Subtopik: Kompleksitas Algoritme (Big-O Notation)</t>
        </is>
      </c>
      <c r="E326" t="n">
        <v>0.7217</v>
      </c>
      <c r="F326" t="inlineStr">
        <is>
          <t>✓</t>
        </is>
      </c>
      <c r="G326" t="inlineStr">
        <is>
          <t>✓</t>
        </is>
      </c>
      <c r="H326" s="3" t="inlineStr">
        <is>
          <t>ngan ke array, lalu hitung rata-rata c) Fibonacci rekursif fib(n) d) Fibonacci iteratif dengan dua variabel  JAWABAN: a) O(1) space -- hanya butuh 2 variabel (sum dan count), tidak peduli berapa besar n  b) O(n) space --</t>
        </is>
      </c>
    </row>
    <row r="327">
      <c r="A327" t="n">
        <v>55</v>
      </c>
      <c r="B327" t="n">
        <v>2</v>
      </c>
      <c r="C327" t="inlineStr">
        <is>
          <t>GT_CT09.txt</t>
        </is>
      </c>
      <c r="D327" s="3" t="inlineStr">
        <is>
          <t>Pertemuan 9: Elemen Pseudocode — Variabel, Operator, Tipe Data, dan List</t>
        </is>
      </c>
      <c r="E327" t="n">
        <v>0.7137</v>
      </c>
      <c r="F327" t="inlineStr">
        <is>
          <t>✓</t>
        </is>
      </c>
      <c r="G327" t="inlineStr">
        <is>
          <t>✓</t>
        </is>
      </c>
      <c r="H327" s="3" t="inlineStr">
        <is>
          <t xml:space="preserve">kses menggunakan indeks posisinya.  Konsep list sangat berguna ketika berhadapan dengan data dalam jumlah besar yang sejenis, seperti daftar nilai ujian mahasiswa, daftar harga produk, atau daftar nama pelanggan. Dengan </t>
        </is>
      </c>
    </row>
    <row r="328">
      <c r="A328" t="n">
        <v>55</v>
      </c>
      <c r="B328" t="n">
        <v>3</v>
      </c>
      <c r="C328" t="inlineStr">
        <is>
          <t>GT_DETAIL_PT11_Perulangan.txt</t>
        </is>
      </c>
      <c r="D328" s="3" t="inlineStr">
        <is>
          <t>Pertemuan 11: Struktur Kontrol — Perulangan</t>
        </is>
      </c>
      <c r="E328" t="n">
        <v>0.6994</v>
      </c>
      <c r="F328" t="inlineStr">
        <is>
          <t>✓</t>
        </is>
      </c>
      <c r="G328" t="inlineStr">
        <is>
          <t>✓</t>
        </is>
      </c>
      <c r="H328" s="3" t="inlineStr">
        <is>
          <t>selalu dijalankan MINIMAL SATU KALI  F. PERULANGAN BERSARANG (NESTED LOOP)  Konsep: perulangan di dalam perulangan. - Setiap 1 iterasi luar → dalam menyelesaikan SEMUA iterasinya - Total iterasi = iterasi_luar × iterasi_</t>
        </is>
      </c>
    </row>
    <row r="329">
      <c r="A329" t="n">
        <v>55</v>
      </c>
      <c r="B329" t="n">
        <v>4</v>
      </c>
      <c r="C329" t="inlineStr">
        <is>
          <t>GT_CT13.txt</t>
        </is>
      </c>
      <c r="D329" s="3" t="inlineStr">
        <is>
          <t>Pertemuan 13: Pengenalan Struktur Data</t>
        </is>
      </c>
      <c r="E329" t="n">
        <v>0.6961000000000001</v>
      </c>
      <c r="F329" t="inlineStr">
        <is>
          <t>✓</t>
        </is>
      </c>
      <c r="G329" t="inlineStr">
        <is>
          <t>✓</t>
        </is>
      </c>
      <c r="H329" s="3" t="inlineStr">
        <is>
          <t>-------------------  Ground Truth:  Sebagai lawan dari stack, terdapat struktur data queue. Queue dalam istilah sehari-hari berarti antrian. Dalam sebuah antrian, urutan pemrosesan harus sesuai dengan urutan kedatangan o</t>
        </is>
      </c>
    </row>
    <row r="330">
      <c r="A330" t="n">
        <v>55</v>
      </c>
      <c r="B330" t="n">
        <v>5</v>
      </c>
      <c r="C330" t="inlineStr">
        <is>
          <t>GT_DETAIL_PT01_Pendahuluan.txt</t>
        </is>
      </c>
      <c r="D330" s="3" t="inlineStr">
        <is>
          <t>Pertemuan 1: Pendahuluan &amp; Kontrak Perkuliahan</t>
        </is>
      </c>
      <c r="E330" t="n">
        <v>0.6836</v>
      </c>
      <c r="F330" t="inlineStr">
        <is>
          <t>✓</t>
        </is>
      </c>
      <c r="G330" t="inlineStr">
        <is>
          <t>✓</t>
        </is>
      </c>
      <c r="H330" s="3" t="inlineStr">
        <is>
          <t>n      : Fokus hanya pada informasi penting: nama mata kuliah, jumlah SKS, jadwal                      kuliah tetap, dan preferensi waktu belajar. Mengabaikan detail seperti                      konten setiap mata kuliah</t>
        </is>
      </c>
    </row>
    <row r="331">
      <c r="A331" t="n">
        <v>55</v>
      </c>
      <c r="B331" t="n">
        <v>6</v>
      </c>
      <c r="C331" t="inlineStr">
        <is>
          <t>GT_SUBTOPIK_13_Graph_Tree.txt</t>
        </is>
      </c>
      <c r="D331" s="3" t="inlineStr">
        <is>
          <t>Subtopik: Graph dan Tree -- Representasi, Traversal, dan Jalur Terpendek</t>
        </is>
      </c>
      <c r="E331" t="n">
        <v>0.6771</v>
      </c>
      <c r="F331" t="inlineStr">
        <is>
          <t>✓</t>
        </is>
      </c>
      <c r="G331" t="inlineStr">
        <is>
          <t>✓</t>
        </is>
      </c>
      <c r="H331" s="3" t="inlineStr">
        <is>
          <t>-- Traversal BFS] Graph berikut (undirected): A--B, A--C, B--D, B--E, C--F, D--G  Lakukan BFS mulai dari A!  JAWABAN: Queue: [A], Visited: {A} Proses A: tetangga B,C -&gt; enqueue B,C. Queue:[B,C], Visited:{A,B,C} Proses B:</t>
        </is>
      </c>
    </row>
    <row r="332">
      <c r="A332" t="n">
        <v>56</v>
      </c>
      <c r="B332" t="n">
        <v>1</v>
      </c>
      <c r="C332" t="inlineStr">
        <is>
          <t>GT_CT09.txt</t>
        </is>
      </c>
      <c r="D332" s="3" t="inlineStr">
        <is>
          <t>Pertemuan 9: Elemen Pseudocode — Variabel, Operator, Tipe Data, dan List</t>
        </is>
      </c>
      <c r="E332" t="n">
        <v>0.7302</v>
      </c>
      <c r="F332" t="inlineStr">
        <is>
          <t>✓</t>
        </is>
      </c>
      <c r="G332" t="inlineStr">
        <is>
          <t>✓</t>
        </is>
      </c>
      <c r="H332" s="3" t="inlineStr">
        <is>
          <t xml:space="preserve">kses menggunakan indeks posisinya.  Konsep list sangat berguna ketika berhadapan dengan data dalam jumlah besar yang sejenis, seperti daftar nilai ujian mahasiswa, daftar harga produk, atau daftar nama pelanggan. Dengan </t>
        </is>
      </c>
    </row>
    <row r="333">
      <c r="A333" t="n">
        <v>56</v>
      </c>
      <c r="B333" t="n">
        <v>2</v>
      </c>
      <c r="C333" t="inlineStr">
        <is>
          <t>GT_SUBTOPIK_14_Kompleksitas_BigO.txt</t>
        </is>
      </c>
      <c r="D333" s="3" t="inlineStr">
        <is>
          <t>Subtopik: Kompleksitas Algoritme (Big-O Notation)</t>
        </is>
      </c>
      <c r="E333" t="n">
        <v>0.72</v>
      </c>
      <c r="F333" t="inlineStr">
        <is>
          <t>✓</t>
        </is>
      </c>
      <c r="G333" t="inlineStr">
        <is>
          <t>✓</t>
        </is>
      </c>
      <c r="H333" s="3" t="inlineStr">
        <is>
          <t>ngan ke array, lalu hitung rata-rata c) Fibonacci rekursif fib(n) d) Fibonacci iteratif dengan dua variabel  JAWABAN: a) O(1) space -- hanya butuh 2 variabel (sum dan count), tidak peduli berapa besar n  b) O(n) space --</t>
        </is>
      </c>
    </row>
    <row r="334">
      <c r="A334" t="n">
        <v>56</v>
      </c>
      <c r="B334" t="n">
        <v>3</v>
      </c>
      <c r="C334" t="inlineStr">
        <is>
          <t>GT_CT09.txt</t>
        </is>
      </c>
      <c r="D334" s="3" t="inlineStr">
        <is>
          <t>Pertemuan 9: Elemen Pseudocode — Variabel, Operator, Tipe Data, dan List</t>
        </is>
      </c>
      <c r="E334" t="n">
        <v>0.7186</v>
      </c>
      <c r="F334" t="inlineStr">
        <is>
          <t>✓</t>
        </is>
      </c>
      <c r="G334" t="inlineStr">
        <is>
          <t>✓</t>
        </is>
      </c>
      <c r="H334" s="3" t="inlineStr">
        <is>
          <t>ama dengan (==), tidak sama dengan (!=), lebih besar dari (&gt;), lebih kecil dari (&lt;), lebih besar atau sama dengan (&gt;=), dan lebih kecil atau sama dengan (&lt;=).  4. Logical Operator (Operator Logika): Digunakan untuk mengg</t>
        </is>
      </c>
    </row>
    <row r="335">
      <c r="A335" t="n">
        <v>56</v>
      </c>
      <c r="B335" t="n">
        <v>4</v>
      </c>
      <c r="C335" t="inlineStr">
        <is>
          <t>GT_DETAIL_PT11_Perulangan.txt</t>
        </is>
      </c>
      <c r="D335" s="3" t="inlineStr">
        <is>
          <t>Pertemuan 11: Struktur Kontrol — Perulangan</t>
        </is>
      </c>
      <c r="E335" t="n">
        <v>0.7181999999999999</v>
      </c>
      <c r="F335" t="inlineStr">
        <is>
          <t>✓</t>
        </is>
      </c>
      <c r="G335" t="inlineStr">
        <is>
          <t>✓</t>
        </is>
      </c>
      <c r="H335" s="3" t="inlineStr">
        <is>
          <t>selalu dijalankan MINIMAL SATU KALI  F. PERULANGAN BERSARANG (NESTED LOOP)  Konsep: perulangan di dalam perulangan. - Setiap 1 iterasi luar → dalam menyelesaikan SEMUA iterasinya - Total iterasi = iterasi_luar × iterasi_</t>
        </is>
      </c>
    </row>
    <row r="336">
      <c r="A336" t="n">
        <v>56</v>
      </c>
      <c r="B336" t="n">
        <v>5</v>
      </c>
      <c r="C336" t="inlineStr">
        <is>
          <t>GT_SUBTOPIK_14_Kompleksitas_BigO.txt</t>
        </is>
      </c>
      <c r="D336" s="3" t="inlineStr">
        <is>
          <t>Subtopik: Kompleksitas Algoritme (Big-O Notation)</t>
        </is>
      </c>
      <c r="E336" t="n">
        <v>0.701</v>
      </c>
      <c r="F336" t="inlineStr">
        <is>
          <t>✓</t>
        </is>
      </c>
      <c r="G336" t="inlineStr">
        <is>
          <t>✓</t>
        </is>
      </c>
      <c r="H336" s="3" t="inlineStr">
        <is>
          <t>l yang terbesar: O(n^2 + n) = O(n^2)   3. Kalikan loop bersarang: O(n) dalam O(n) = O(n^2)  ---------------------------------------------------------------- CONTOH SOAL DAN PEMBAHASAN ------------------------------------</t>
        </is>
      </c>
    </row>
    <row r="337">
      <c r="A337" t="n">
        <v>56</v>
      </c>
      <c r="B337" t="n">
        <v>6</v>
      </c>
      <c r="C337" t="inlineStr">
        <is>
          <t>GT_CT06.txt</t>
        </is>
      </c>
      <c r="D337" s="3" t="inlineStr">
        <is>
          <t>Pertemuan 6: Pengenalan Algoritme &amp; Block Programming</t>
        </is>
      </c>
      <c r="E337" t="n">
        <v>0.6995</v>
      </c>
      <c r="F337" t="inlineStr">
        <is>
          <t>✓</t>
        </is>
      </c>
      <c r="G337" t="inlineStr">
        <is>
          <t>✓</t>
        </is>
      </c>
      <c r="H337" s="3" t="inlineStr">
        <is>
          <t>mudah dan lebih mudah diakses, terutama bagi pemula.  Block programming adalah metode pemrograman yang menggunakan blok-blok visual berbentuk puzzle yang dapat disusun dengan cara drag and drop, sehingga relatif lebih mu</t>
        </is>
      </c>
    </row>
    <row r="338">
      <c r="A338" t="n">
        <v>57</v>
      </c>
      <c r="B338" t="n">
        <v>1</v>
      </c>
      <c r="C338" t="inlineStr">
        <is>
          <t>GT_DETAIL_PT01_Pendahuluan.txt</t>
        </is>
      </c>
      <c r="D338" s="3" t="inlineStr">
        <is>
          <t>Pertemuan 1: Pendahuluan &amp; Kontrak Perkuliahan</t>
        </is>
      </c>
      <c r="E338" t="n">
        <v>0.6855</v>
      </c>
      <c r="F338" t="inlineStr">
        <is>
          <t>✓</t>
        </is>
      </c>
      <c r="G338" t="inlineStr">
        <is>
          <t>✓</t>
        </is>
      </c>
      <c r="H338" s="3" t="inlineStr">
        <is>
          <t>n      : Fokus hanya pada informasi penting: nama mata kuliah, jumlah SKS, jadwal                      kuliah tetap, dan preferensi waktu belajar. Mengabaikan detail seperti                      konten setiap mata kuliah</t>
        </is>
      </c>
    </row>
    <row r="339">
      <c r="A339" t="n">
        <v>57</v>
      </c>
      <c r="B339" t="n">
        <v>2</v>
      </c>
      <c r="C339" t="inlineStr">
        <is>
          <t>GT_DETAIL_PT13_Struktur_Data.txt</t>
        </is>
      </c>
      <c r="D339" s="3" t="inlineStr">
        <is>
          <t>Pertemuan 13: Pengenalan Struktur Data</t>
        </is>
      </c>
      <c r="E339" t="n">
        <v>0.6805</v>
      </c>
      <c r="F339" t="inlineStr">
        <is>
          <t>✓</t>
        </is>
      </c>
      <c r="G339" t="inlineStr">
        <is>
          <t>✓</t>
        </is>
      </c>
      <c r="H339" s="3" t="inlineStr">
        <is>
          <t>fat simetris (A berteman B = B berteman A).    "Mutual friends" = node yang terhubung dengan kedua node (common neighbor).  [SOAL 4 — Validasi Kurung dengan Stack] Jelaskan bagaimana Stack digunakan untuk memvalidasi str</t>
        </is>
      </c>
    </row>
    <row r="340">
      <c r="A340" t="n">
        <v>57</v>
      </c>
      <c r="B340" t="n">
        <v>3</v>
      </c>
      <c r="C340" t="inlineStr">
        <is>
          <t>GT_DETAIL_PT13_Struktur_Data.txt</t>
        </is>
      </c>
      <c r="D340" s="3" t="inlineStr">
        <is>
          <t>Pertemuan 13: Pengenalan Struktur Data</t>
        </is>
      </c>
      <c r="E340" t="n">
        <v>0.6801</v>
      </c>
      <c r="F340" t="inlineStr">
        <is>
          <t>✓</t>
        </is>
      </c>
      <c r="G340" t="inlineStr">
        <is>
          <t>✓</t>
        </is>
      </c>
      <c r="H340" s="3" t="inlineStr">
        <is>
          <t>pek      | STACK (LIFO)      | QUEUE (FIFO) -----------|-------------------|------------------ Prinsip    | Last In First Out | First In First Out Tambah data| push (ke atas)    | enqueue (ke belakang) Ambil data | pop (</t>
        </is>
      </c>
    </row>
    <row r="341">
      <c r="A341" t="n">
        <v>57</v>
      </c>
      <c r="B341" t="n">
        <v>4</v>
      </c>
      <c r="C341" t="inlineStr">
        <is>
          <t>GT_CT13.txt</t>
        </is>
      </c>
      <c r="D341" s="3" t="inlineStr">
        <is>
          <t>Pertemuan 13: Pengenalan Struktur Data</t>
        </is>
      </c>
      <c r="E341" t="n">
        <v>0.6797</v>
      </c>
      <c r="F341" t="inlineStr">
        <is>
          <t>✓</t>
        </is>
      </c>
      <c r="G341" t="inlineStr">
        <is>
          <t>✓</t>
        </is>
      </c>
      <c r="H341" s="3" t="inlineStr">
        <is>
          <t>ai urutan kedatangannya. - Sistem kecerdasan buatan dalam permainan catur yang merepresentasikan berbagai kemungkinan langkah ke depan: struktur data yang paling tepat adalah Tree, karena setiap kemungkinan langkah berca</t>
        </is>
      </c>
    </row>
    <row r="342">
      <c r="A342" t="n">
        <v>57</v>
      </c>
      <c r="B342" t="n">
        <v>5</v>
      </c>
      <c r="C342" t="inlineStr">
        <is>
          <t>GT_SUBTOPIK_13_Graph_Tree.txt</t>
        </is>
      </c>
      <c r="D342" s="3" t="inlineStr">
        <is>
          <t>Subtopik: Graph dan Tree -- Representasi, Traversal, dan Jalur Terpendek</t>
        </is>
      </c>
      <c r="E342" t="n">
        <v>0.6737</v>
      </c>
      <c r="F342" t="inlineStr">
        <is>
          <t>✓</t>
        </is>
      </c>
      <c r="G342" t="inlineStr">
        <is>
          <t>✓</t>
        </is>
      </c>
      <c r="H342" s="3" t="inlineStr">
        <is>
          <t xml:space="preserve">kecil yang belum dikunjungi,            update jarak tetangganya jika lebih kecil via node ini   Selesai saat semua node dikunjungi atau target ditemukan  ---------------------------------------------------------------- </t>
        </is>
      </c>
    </row>
    <row r="343">
      <c r="A343" t="n">
        <v>57</v>
      </c>
      <c r="B343" t="n">
        <v>6</v>
      </c>
      <c r="C343" t="inlineStr">
        <is>
          <t>GT_CT03.txt</t>
        </is>
      </c>
      <c r="D343" s="3" t="inlineStr">
        <is>
          <t>Pertemuan 3: Problem Solving — Dekomposisi</t>
        </is>
      </c>
      <c r="E343" t="n">
        <v>0.673</v>
      </c>
      <c r="F343" t="inlineStr">
        <is>
          <t>✓</t>
        </is>
      </c>
      <c r="G343" t="inlineStr">
        <is>
          <t>✓</t>
        </is>
      </c>
      <c r="H343" s="3" t="inlineStr">
        <is>
          <t>ang harus melakukan semua hal terkait perakitan mobil sendirian. Konsep ini merepresentasikan dekomposisi tugas kompleks menjadi fungsi-fungsi yang lebih kecil dan terspesialisasi.  5. Kamera 360 Derajat (Insta360): Sebu</t>
        </is>
      </c>
    </row>
    <row r="344">
      <c r="A344" t="n">
        <v>58</v>
      </c>
      <c r="B344" t="n">
        <v>1</v>
      </c>
      <c r="C344" t="inlineStr">
        <is>
          <t>GT_CT11.txt</t>
        </is>
      </c>
      <c r="D344" s="3" t="inlineStr">
        <is>
          <t>Pertemuan 11: Algoritme — Struktur Kontrol Perulangan</t>
        </is>
      </c>
      <c r="E344" t="n">
        <v>0.7516</v>
      </c>
      <c r="F344" t="inlineStr">
        <is>
          <t>✓</t>
        </is>
      </c>
      <c r="G344" t="inlineStr">
        <is>
          <t>✓</t>
        </is>
      </c>
      <c r="H344" s="3" t="inlineStr">
        <is>
          <t>disebut perulangan luar (outer loop). Untuk setiap satu kali iterasi perulangan luar, perulangan dalam akan menyelesaikan seluruh iterasinya dari awal hingga akhir.  Contoh perulangan bersarang untuk mencetak kotak binta</t>
        </is>
      </c>
    </row>
    <row r="345">
      <c r="A345" t="n">
        <v>58</v>
      </c>
      <c r="B345" t="n">
        <v>2</v>
      </c>
      <c r="C345" t="inlineStr">
        <is>
          <t>GT_DETAIL_PT11_Perulangan.txt</t>
        </is>
      </c>
      <c r="D345" s="3" t="inlineStr">
        <is>
          <t>Pertemuan 11: Struktur Kontrol — Perulangan</t>
        </is>
      </c>
      <c r="E345" t="n">
        <v>0.7412</v>
      </c>
      <c r="F345" t="inlineStr">
        <is>
          <t>✓</t>
        </is>
      </c>
      <c r="G345" t="inlineStr">
        <is>
          <t>✓</t>
        </is>
      </c>
      <c r="H345" s="3" t="inlineStr">
        <is>
          <t>selalu dijalankan MINIMAL SATU KALI  F. PERULANGAN BERSARANG (NESTED LOOP)  Konsep: perulangan di dalam perulangan. - Setiap 1 iterasi luar → dalam menyelesaikan SEMUA iterasinya - Total iterasi = iterasi_luar × iterasi_</t>
        </is>
      </c>
    </row>
    <row r="346">
      <c r="A346" t="n">
        <v>58</v>
      </c>
      <c r="B346" t="n">
        <v>3</v>
      </c>
      <c r="C346" t="inlineStr">
        <is>
          <t>GT_DETAIL_PT07_Notasi_Algoritme.txt</t>
        </is>
      </c>
      <c r="D346" s="3" t="inlineStr">
        <is>
          <t>Pertemuan 7: Algoritme — Notasi Algoritme</t>
        </is>
      </c>
      <c r="E346" t="n">
        <v>0.738</v>
      </c>
      <c r="F346" t="inlineStr">
        <is>
          <t>✓</t>
        </is>
      </c>
      <c r="G346" t="inlineStr">
        <is>
          <t>✓</t>
        </is>
      </c>
      <c r="H346" s="3" t="inlineStr">
        <is>
          <t>rata)  [SOAL 3 — Kasus Uji Algoritme Euclidean] Jalankan Algoritme Euclidean secara manual untuk input berikut dan tunjukkan setiap langkahnya: a) FPB(56, 14) b) FPB(77, 33) c) FPB(144, 89)  JAWABAN: a) FPB(56, 14):    5</t>
        </is>
      </c>
    </row>
    <row r="347">
      <c r="A347" t="n">
        <v>58</v>
      </c>
      <c r="B347" t="n">
        <v>4</v>
      </c>
      <c r="C347" t="inlineStr">
        <is>
          <t>GT_SUBTOPIK_14_Kompleksitas_BigO.txt</t>
        </is>
      </c>
      <c r="D347" s="3" t="inlineStr">
        <is>
          <t>Subtopik: Kompleksitas Algoritme (Big-O Notation)</t>
        </is>
      </c>
      <c r="E347" t="n">
        <v>0.7326</v>
      </c>
      <c r="F347" t="inlineStr">
        <is>
          <t>✓</t>
        </is>
      </c>
      <c r="G347" t="inlineStr">
        <is>
          <t>✓</t>
        </is>
      </c>
      <c r="H347" s="3" t="inlineStr">
        <is>
          <t>l yang terbesar: O(n^2 + n) = O(n^2)   3. Kalikan loop bersarang: O(n) dalam O(n) = O(n^2)  ---------------------------------------------------------------- CONTOH SOAL DAN PEMBAHASAN ------------------------------------</t>
        </is>
      </c>
    </row>
    <row r="348">
      <c r="A348" t="n">
        <v>58</v>
      </c>
      <c r="B348" t="n">
        <v>5</v>
      </c>
      <c r="C348" t="inlineStr">
        <is>
          <t>GT_DETAIL_PT11_Perulangan.txt</t>
        </is>
      </c>
      <c r="D348" s="3" t="inlineStr">
        <is>
          <t>Pertemuan 11: Struktur Kontrol — Perulangan</t>
        </is>
      </c>
      <c r="E348" t="n">
        <v>0.721</v>
      </c>
      <c r="F348" t="inlineStr">
        <is>
          <t>✓</t>
        </is>
      </c>
      <c r="G348" t="inlineStr">
        <is>
          <t>✓</t>
        </is>
      </c>
      <c r="H348" s="3" t="inlineStr">
        <is>
          <t>an: - Kondisi dievaluasi SEBELUM body dijalankan - Jika kondisi False sejak awal → body tidak pernah dijalankan - Jika kondisi tidak pernah False → infinite loop (hindari!) - Body HARUS mengubah sesuatu yang mempengaruhi</t>
        </is>
      </c>
    </row>
    <row r="349">
      <c r="A349" t="n">
        <v>58</v>
      </c>
      <c r="B349" t="n">
        <v>6</v>
      </c>
      <c r="C349" t="inlineStr">
        <is>
          <t>GT_SUBTOPIK_14_Kompleksitas_BigO.txt</t>
        </is>
      </c>
      <c r="D349" s="3" t="inlineStr">
        <is>
          <t>Subtopik: Kompleksitas Algoritme (Big-O Notation)</t>
        </is>
      </c>
      <c r="E349" t="n">
        <v>0.7146</v>
      </c>
      <c r="F349" t="inlineStr">
        <is>
          <t>✓</t>
        </is>
      </c>
      <c r="G349" t="inlineStr">
        <is>
          <t>✓</t>
        </is>
      </c>
      <c r="H349" s="3" t="inlineStr">
        <is>
          <t>ngan ke array, lalu hitung rata-rata c) Fibonacci rekursif fib(n) d) Fibonacci iteratif dengan dua variabel  JAWABAN: a) O(1) space -- hanya butuh 2 variabel (sum dan count), tidak peduli berapa besar n  b) O(n) space --</t>
        </is>
      </c>
    </row>
    <row r="350">
      <c r="A350" t="n">
        <v>59</v>
      </c>
      <c r="B350" t="n">
        <v>1</v>
      </c>
      <c r="C350" t="inlineStr">
        <is>
          <t>GT_CT13.txt</t>
        </is>
      </c>
      <c r="D350" s="3" t="inlineStr">
        <is>
          <t>Pertemuan 13: Pengenalan Struktur Data</t>
        </is>
      </c>
      <c r="E350" t="n">
        <v>0.8183</v>
      </c>
      <c r="F350" t="inlineStr">
        <is>
          <t>✓</t>
        </is>
      </c>
      <c r="G350" t="inlineStr">
        <is>
          <t>✓</t>
        </is>
      </c>
      <c r="H350" s="3" t="inlineStr">
        <is>
          <t>teratas, selama stack masih berisi data (tidak kosong). Data yang dikeluarkan melalui operasi pop sekaligus dihapus dari stack sehingga jumlah data yang tersimpan berkurang.  Simulasi rangkaian instruksi: push 5 → push 7</t>
        </is>
      </c>
    </row>
    <row r="351">
      <c r="A351" t="n">
        <v>59</v>
      </c>
      <c r="B351" t="n">
        <v>2</v>
      </c>
      <c r="C351" t="inlineStr">
        <is>
          <t>GT_CT13.txt</t>
        </is>
      </c>
      <c r="D351" s="3" t="inlineStr">
        <is>
          <t>Pertemuan 13: Pengenalan Struktur Data</t>
        </is>
      </c>
      <c r="E351" t="n">
        <v>0.7865</v>
      </c>
      <c r="F351" t="inlineStr">
        <is>
          <t>✓</t>
        </is>
      </c>
      <c r="G351" t="inlineStr">
        <is>
          <t>✓</t>
        </is>
      </c>
      <c r="H351" s="3" t="inlineStr">
        <is>
          <t>-------------------  Ground Truth:  Sebagai lawan dari stack, terdapat struktur data queue. Queue dalam istilah sehari-hari berarti antrian. Dalam sebuah antrian, urutan pemrosesan harus sesuai dengan urutan kedatangan o</t>
        </is>
      </c>
    </row>
    <row r="352">
      <c r="A352" t="n">
        <v>59</v>
      </c>
      <c r="B352" t="n">
        <v>3</v>
      </c>
      <c r="C352" t="inlineStr">
        <is>
          <t>GT_SUBTOPIK_14_Kompleksitas_BigO.txt</t>
        </is>
      </c>
      <c r="D352" s="3" t="inlineStr">
        <is>
          <t>Subtopik: Kompleksitas Algoritme (Big-O Notation)</t>
        </is>
      </c>
      <c r="E352" t="n">
        <v>0.7843</v>
      </c>
      <c r="F352" t="inlineStr">
        <is>
          <t>✓</t>
        </is>
      </c>
      <c r="G352" t="inlineStr">
        <is>
          <t>✓</t>
        </is>
      </c>
      <c r="H352" s="3" t="inlineStr">
        <is>
          <t>ngan ke array, lalu hitung rata-rata c) Fibonacci rekursif fib(n) d) Fibonacci iteratif dengan dua variabel  JAWABAN: a) O(1) space -- hanya butuh 2 variabel (sum dan count), tidak peduli berapa besar n  b) O(n) space --</t>
        </is>
      </c>
    </row>
    <row r="353">
      <c r="A353" t="n">
        <v>59</v>
      </c>
      <c r="B353" t="n">
        <v>4</v>
      </c>
      <c r="C353" t="inlineStr">
        <is>
          <t>GT_DETAIL_PT13_Struktur_Data.txt</t>
        </is>
      </c>
      <c r="D353" s="3" t="inlineStr">
        <is>
          <t>Pertemuan 13: Pengenalan Struktur Data</t>
        </is>
      </c>
      <c r="E353" t="n">
        <v>0.7768</v>
      </c>
      <c r="F353" t="inlineStr">
        <is>
          <t>✓</t>
        </is>
      </c>
      <c r="G353" t="inlineStr">
        <is>
          <t>✓</t>
        </is>
      </c>
      <c r="H353" s="3" t="inlineStr">
        <is>
          <t>h) → Directed Graph - Butuh perhitungan jalur/biaya → Weighted Graph  ---------------------------------------------------------------- CONTOH SOAL DAN PEMBAHASAN ----------------------------------------------------------</t>
        </is>
      </c>
    </row>
    <row r="354">
      <c r="A354" t="n">
        <v>59</v>
      </c>
      <c r="B354" t="n">
        <v>5</v>
      </c>
      <c r="C354" t="inlineStr">
        <is>
          <t>GT_CT13.txt</t>
        </is>
      </c>
      <c r="D354" s="3" t="inlineStr">
        <is>
          <t>Pertemuan 13: Pengenalan Struktur Data</t>
        </is>
      </c>
      <c r="E354" t="n">
        <v>0.7742</v>
      </c>
      <c r="F354" t="inlineStr">
        <is>
          <t>✓</t>
        </is>
      </c>
      <c r="G354" t="inlineStr">
        <is>
          <t>✓</t>
        </is>
      </c>
      <c r="H354" s="3" t="inlineStr">
        <is>
          <t>entukan kemudahan dan efisiensi pengolahan.  Berbagai aplikasi komputer memerlukan struktur data yang sesuai dengan kebutuhannya. Sebagai contoh, aplikasi perkantoran seperti Microsoft Word atau Google Docs memerlukan st</t>
        </is>
      </c>
    </row>
    <row r="355">
      <c r="A355" t="n">
        <v>59</v>
      </c>
      <c r="B355" t="n">
        <v>6</v>
      </c>
      <c r="C355" t="inlineStr">
        <is>
          <t>GT_SUBTOPIK_12_Stack_Queue.txt</t>
        </is>
      </c>
      <c r="D355" s="3" t="inlineStr">
        <is>
          <t>Subtopik: Stack dan Queue -- Operasi, Simulasi, dan Penerapan</t>
        </is>
      </c>
      <c r="E355" t="n">
        <v>0.769</v>
      </c>
      <c r="F355" t="inlineStr">
        <is>
          <t>✓</t>
        </is>
      </c>
      <c r="G355" t="inlineStr">
        <is>
          <t>✓</t>
        </is>
      </c>
      <c r="H355" s="3" t="inlineStr">
        <is>
          <t xml:space="preserve">   Waktu 5: D4 selesai   Waktu 6: D5 selesai   Waktu 7: D6 selesai  D6 selesai pada waktu 7.  [SOAL 8 -- Konversi Infix ke Postfix dengan Stack] Konversikan "A + B * C" ke postfix!  Aturan:   - Baca token kiri ke kanan  </t>
        </is>
      </c>
    </row>
    <row r="356">
      <c r="A356" t="n">
        <v>60</v>
      </c>
      <c r="B356" t="n">
        <v>1</v>
      </c>
      <c r="C356" t="inlineStr">
        <is>
          <t>GT_CT13.txt</t>
        </is>
      </c>
      <c r="D356" s="3" t="inlineStr">
        <is>
          <t>Pertemuan 13: Pengenalan Struktur Data</t>
        </is>
      </c>
      <c r="E356" t="n">
        <v>0.8065</v>
      </c>
      <c r="F356" t="inlineStr">
        <is>
          <t>✓</t>
        </is>
      </c>
      <c r="G356" t="inlineStr">
        <is>
          <t>✓</t>
        </is>
      </c>
      <c r="H356" s="3" t="inlineStr">
        <is>
          <t>-------------------  Ground Truth:  Sebagai lawan dari stack, terdapat struktur data queue. Queue dalam istilah sehari-hari berarti antrian. Dalam sebuah antrian, urutan pemrosesan harus sesuai dengan urutan kedatangan o</t>
        </is>
      </c>
    </row>
    <row r="357">
      <c r="A357" t="n">
        <v>60</v>
      </c>
      <c r="B357" t="n">
        <v>2</v>
      </c>
      <c r="C357" t="inlineStr">
        <is>
          <t>GT_DETAIL_PT13_Struktur_Data.txt</t>
        </is>
      </c>
      <c r="D357" s="3" t="inlineStr">
        <is>
          <t>Pertemuan 13: Pengenalan Struktur Data</t>
        </is>
      </c>
      <c r="E357" t="n">
        <v>0.7717000000000001</v>
      </c>
      <c r="F357" t="inlineStr">
        <is>
          <t>✓</t>
        </is>
      </c>
      <c r="G357" t="inlineStr">
        <is>
          <t>✓</t>
        </is>
      </c>
      <c r="H357" s="3" t="inlineStr">
        <is>
          <t>h) → Directed Graph - Butuh perhitungan jalur/biaya → Weighted Graph  ---------------------------------------------------------------- CONTOH SOAL DAN PEMBAHASAN ----------------------------------------------------------</t>
        </is>
      </c>
    </row>
    <row r="358">
      <c r="A358" t="n">
        <v>60</v>
      </c>
      <c r="B358" t="n">
        <v>3</v>
      </c>
      <c r="C358" t="inlineStr">
        <is>
          <t>GT_DETAIL_PT13_Struktur_Data.txt</t>
        </is>
      </c>
      <c r="D358" s="3" t="inlineStr">
        <is>
          <t>Pertemuan 13: Pengenalan Struktur Data</t>
        </is>
      </c>
      <c r="E358" t="n">
        <v>0.7663</v>
      </c>
      <c r="F358" t="inlineStr">
        <is>
          <t>✓</t>
        </is>
      </c>
      <c r="G358" t="inlineStr">
        <is>
          <t>✓</t>
        </is>
      </c>
      <c r="H358" s="3" t="inlineStr">
        <is>
          <t>: C enqueue(E): queue=[D,E]  Urutan output dequeue: A, B, C Queue akhir: [D, E]  [SOAL 3 — Pemilihan Struktur Data] Tentukan struktur data yang paling tepat untuk setiap kasus berikut dan berikan alasan!  a) Sistem antri</t>
        </is>
      </c>
    </row>
    <row r="359">
      <c r="A359" t="n">
        <v>60</v>
      </c>
      <c r="B359" t="n">
        <v>4</v>
      </c>
      <c r="C359" t="inlineStr">
        <is>
          <t>GT_SUBTOPIK_12_Stack_Queue.txt</t>
        </is>
      </c>
      <c r="D359" s="3" t="inlineStr">
        <is>
          <t>Subtopik: Stack dan Queue -- Operasi, Simulasi, dan Penerapan</t>
        </is>
      </c>
      <c r="E359" t="n">
        <v>0.7607</v>
      </c>
      <c r="F359" t="inlineStr">
        <is>
          <t>✓</t>
        </is>
      </c>
      <c r="G359" t="inlineStr">
        <is>
          <t>✓</t>
        </is>
      </c>
      <c r="H359" s="3" t="inlineStr">
        <is>
          <t>sitas     queue[rear] = x   function dequeue():     front = (front + 1) mod kapasitas     return queue[front]  ---------------------------------------------------------------- CONTOH SOAL DAN PEMBAHASAN -----------------</t>
        </is>
      </c>
    </row>
    <row r="360">
      <c r="A360" t="n">
        <v>60</v>
      </c>
      <c r="B360" t="n">
        <v>5</v>
      </c>
      <c r="C360" t="inlineStr">
        <is>
          <t>GT_DETAIL_PT13_Struktur_Data.txt</t>
        </is>
      </c>
      <c r="D360" s="3" t="inlineStr">
        <is>
          <t>Pertemuan 13: Pengenalan Struktur Data</t>
        </is>
      </c>
      <c r="E360" t="n">
        <v>0.7602</v>
      </c>
      <c r="F360" t="inlineStr">
        <is>
          <t>✓</t>
        </is>
      </c>
      <c r="G360" t="inlineStr">
        <is>
          <t>✓</t>
        </is>
      </c>
      <c r="H360" s="3" t="inlineStr">
        <is>
          <t xml:space="preserve">abatan di Facebook simetris (A berteman B = B berteman A). b) DIRECTED: follow tidak simetris (A follow B tidak berarti B follow A). c) DIRECTED: jalan satu arah punya arah spesifik (A→B tidak berarti B→A bisa dilalui). </t>
        </is>
      </c>
    </row>
    <row r="361">
      <c r="A361" t="n">
        <v>60</v>
      </c>
      <c r="B361" t="n">
        <v>6</v>
      </c>
      <c r="C361" t="inlineStr">
        <is>
          <t>GT_SUBTOPIK_12_Stack_Queue.txt</t>
        </is>
      </c>
      <c r="D361" s="3" t="inlineStr">
        <is>
          <t>Subtopik: Stack dan Queue -- Operasi, Simulasi, dan Penerapan</t>
        </is>
      </c>
      <c r="E361" t="n">
        <v>0.7577</v>
      </c>
      <c r="F361" t="inlineStr">
        <is>
          <t>✓</t>
        </is>
      </c>
      <c r="G361" t="inlineStr">
        <is>
          <t>✓</t>
        </is>
      </c>
      <c r="H361" s="3" t="inlineStr">
        <is>
          <t>dequeue   : output=B, queue=[C,D,E] dequeue   : output=C, queue=[D,E] enqueue(F): queue=[D,E,F] dequeue   : output=D, queue=[E,F]  Urutan output dequeue: A, B, C, D Queue akhir: [E,F] (E di depan, F di belakang)  [SOAL 3</t>
        </is>
      </c>
    </row>
    <row r="362">
      <c r="A362" t="n">
        <v>61</v>
      </c>
      <c r="B362" t="n">
        <v>1</v>
      </c>
      <c r="C362" t="inlineStr">
        <is>
          <t>GT_CT13.txt</t>
        </is>
      </c>
      <c r="D362" s="3" t="inlineStr">
        <is>
          <t>Pertemuan 13: Pengenalan Struktur Data</t>
        </is>
      </c>
      <c r="E362" t="n">
        <v>0.7475000000000001</v>
      </c>
      <c r="F362" t="inlineStr">
        <is>
          <t>✓</t>
        </is>
      </c>
      <c r="G362" t="inlineStr">
        <is>
          <t>✓</t>
        </is>
      </c>
      <c r="H362" s="3" t="inlineStr">
        <is>
          <t>teratas, selama stack masih berisi data (tidak kosong). Data yang dikeluarkan melalui operasi pop sekaligus dihapus dari stack sehingga jumlah data yang tersimpan berkurang.  Simulasi rangkaian instruksi: push 5 → push 7</t>
        </is>
      </c>
    </row>
    <row r="363">
      <c r="A363" t="n">
        <v>61</v>
      </c>
      <c r="B363" t="n">
        <v>2</v>
      </c>
      <c r="C363" t="inlineStr">
        <is>
          <t>GT_SUBTOPIK_12_Stack_Queue.txt</t>
        </is>
      </c>
      <c r="D363" s="3" t="inlineStr">
        <is>
          <t>Subtopik: Stack dan Queue -- Operasi, Simulasi, dan Penerapan</t>
        </is>
      </c>
      <c r="E363" t="n">
        <v>0.7408</v>
      </c>
      <c r="F363" t="inlineStr">
        <is>
          <t>✓</t>
        </is>
      </c>
      <c r="G363" t="inlineStr">
        <is>
          <t>✓</t>
        </is>
      </c>
      <c r="H363" s="3" t="inlineStr">
        <is>
          <t xml:space="preserve">BERSAMA dalam satu sistem!  JAWABAN: Contoh: Sistem Pengiriman Paket Online  QUEUE digunakan untuk:   - Antrian pesanan yang masuk (order queue)   - Setiap pesanan baru di-enqueue, diproses FIFO  STACK digunakan untuk:  </t>
        </is>
      </c>
    </row>
    <row r="364">
      <c r="A364" t="n">
        <v>61</v>
      </c>
      <c r="B364" t="n">
        <v>3</v>
      </c>
      <c r="C364" t="inlineStr">
        <is>
          <t>GT_CT13.txt</t>
        </is>
      </c>
      <c r="D364" s="3" t="inlineStr">
        <is>
          <t>Pertemuan 13: Pengenalan Struktur Data</t>
        </is>
      </c>
      <c r="E364" t="n">
        <v>0.7341</v>
      </c>
      <c r="F364" t="inlineStr">
        <is>
          <t>✓</t>
        </is>
      </c>
      <c r="G364" t="inlineStr">
        <is>
          <t>✓</t>
        </is>
      </c>
      <c r="H364" s="3" t="inlineStr">
        <is>
          <t>-------------------  Ground Truth:  Sebagai lawan dari stack, terdapat struktur data queue. Queue dalam istilah sehari-hari berarti antrian. Dalam sebuah antrian, urutan pemrosesan harus sesuai dengan urutan kedatangan o</t>
        </is>
      </c>
    </row>
    <row r="365">
      <c r="A365" t="n">
        <v>61</v>
      </c>
      <c r="B365" t="n">
        <v>4</v>
      </c>
      <c r="C365" t="inlineStr">
        <is>
          <t>GT_DETAIL_PT13_Struktur_Data.txt</t>
        </is>
      </c>
      <c r="D365" s="3" t="inlineStr">
        <is>
          <t>Pertemuan 13: Pengenalan Struktur Data</t>
        </is>
      </c>
      <c r="E365" t="n">
        <v>0.726</v>
      </c>
      <c r="F365" t="inlineStr">
        <is>
          <t>✓</t>
        </is>
      </c>
      <c r="G365" t="inlineStr">
        <is>
          <t>✓</t>
        </is>
      </c>
      <c r="H365" s="3" t="inlineStr">
        <is>
          <t>: C enqueue(E): queue=[D,E]  Urutan output dequeue: A, B, C Queue akhir: [D, E]  [SOAL 3 — Pemilihan Struktur Data] Tentukan struktur data yang paling tepat untuk setiap kasus berikut dan berikan alasan!  a) Sistem antri</t>
        </is>
      </c>
    </row>
    <row r="366">
      <c r="A366" t="n">
        <v>61</v>
      </c>
      <c r="B366" t="n">
        <v>5</v>
      </c>
      <c r="C366" t="inlineStr">
        <is>
          <t>GT_CT13.txt</t>
        </is>
      </c>
      <c r="D366" s="3" t="inlineStr">
        <is>
          <t>Pertemuan 13: Pengenalan Struktur Data</t>
        </is>
      </c>
      <c r="E366" t="n">
        <v>0.7076</v>
      </c>
      <c r="F366" t="inlineStr">
        <is>
          <t>✓</t>
        </is>
      </c>
      <c r="G366" t="inlineStr">
        <is>
          <t>✓</t>
        </is>
      </c>
      <c r="H366" s="3" t="inlineStr">
        <is>
          <t>es pencetakan saat ini masih berjalan, dokumen yang baru masuk harus menunggu dalam antrian. Jika printer sudah idle (tidak sedang mencetak), printer akan melakukan dequeue untuk mendapatkan dokumen berikutnya yang perlu</t>
        </is>
      </c>
    </row>
    <row r="367">
      <c r="A367" t="n">
        <v>61</v>
      </c>
      <c r="B367" t="n">
        <v>6</v>
      </c>
      <c r="C367" t="inlineStr">
        <is>
          <t>GT_SUBTOPIK_02_Abstraksi_Formulasi.txt</t>
        </is>
      </c>
      <c r="D367" s="3" t="inlineStr">
        <is>
          <t>Subtopik: Abstraksi — Formulasi Problem (Problem/Goal/Batasan/Data)</t>
        </is>
      </c>
      <c r="E367" t="n">
        <v>0.706</v>
      </c>
      <c r="F367" t="inlineStr">
        <is>
          <t>✓</t>
        </is>
      </c>
      <c r="G367" t="inlineStr">
        <is>
          <t>✓</t>
        </is>
      </c>
      <c r="H367" s="3" t="inlineStr">
        <is>
          <t xml:space="preserve"> aus, atau printer tidak dibersihkan secara berkala.    Abstraksi: fokus pada frekuensi dan kondisi saat macet →    apakah selalu dengan kertas tertentu? Setelah sekian lembar?  [SOAL 7 — Abstraksi Data] Diberikan datase</t>
        </is>
      </c>
    </row>
    <row r="368">
      <c r="A368" t="n">
        <v>62</v>
      </c>
      <c r="B368" t="n">
        <v>1</v>
      </c>
      <c r="C368" t="inlineStr">
        <is>
          <t>GT_CT13.txt</t>
        </is>
      </c>
      <c r="D368" s="3" t="inlineStr">
        <is>
          <t>Pertemuan 13: Pengenalan Struktur Data</t>
        </is>
      </c>
      <c r="E368" t="n">
        <v>0.7699</v>
      </c>
      <c r="F368" t="inlineStr">
        <is>
          <t>✓</t>
        </is>
      </c>
      <c r="G368" t="inlineStr">
        <is>
          <t>✓</t>
        </is>
      </c>
      <c r="H368" s="3" t="inlineStr">
        <is>
          <t>teratas, selama stack masih berisi data (tidak kosong). Data yang dikeluarkan melalui operasi pop sekaligus dihapus dari stack sehingga jumlah data yang tersimpan berkurang.  Simulasi rangkaian instruksi: push 5 → push 7</t>
        </is>
      </c>
    </row>
    <row r="369">
      <c r="A369" t="n">
        <v>62</v>
      </c>
      <c r="B369" t="n">
        <v>2</v>
      </c>
      <c r="C369" t="inlineStr">
        <is>
          <t>GT_CT07.txt</t>
        </is>
      </c>
      <c r="D369" s="3" t="inlineStr">
        <is>
          <t>Pertemuan 7: Algoritme — Notasi Algoritme</t>
        </is>
      </c>
      <c r="E369" t="n">
        <v>0.7616000000000001</v>
      </c>
      <c r="F369" t="inlineStr">
        <is>
          <t>✓</t>
        </is>
      </c>
      <c r="G369" t="inlineStr">
        <is>
          <t>✓</t>
        </is>
      </c>
      <c r="H369" s="3" t="inlineStr">
        <is>
          <t>) dan selisih angka yang dicari (d). Output: banyaknya pasangan bilangan dengan selisih sebesar d (p). Proses: (a) Urutkan n bilangan secara menaik menjadi m1, m2, ..., mn; (b) Inisialisasi p = 0; (c) Untuk setiap i dari</t>
        </is>
      </c>
    </row>
    <row r="370">
      <c r="A370" t="n">
        <v>62</v>
      </c>
      <c r="B370" t="n">
        <v>3</v>
      </c>
      <c r="C370" t="inlineStr">
        <is>
          <t>GT_DETAIL_PT09_Variabel_TipeData_Operator_List.txt</t>
        </is>
      </c>
      <c r="D370" s="3" t="inlineStr">
        <is>
          <t>Pertemuan 9: Elemen Pseudocode — Variabel, Tipe Data, Operator, List</t>
        </is>
      </c>
      <c r="E370" t="n">
        <v>0.7574</v>
      </c>
      <c r="F370" t="inlineStr">
        <is>
          <t>✓</t>
        </is>
      </c>
      <c r="G370" t="inlineStr">
        <is>
          <t>✓</t>
        </is>
      </c>
      <c r="H370" s="3" t="inlineStr">
        <is>
          <t xml:space="preserve">    | "Halo", "IPB" Boolean    | Nilai kebenaran (True/False)     | True, False Character  | Satu karakter tunggal            | 'A', 'b', '3'  F. OPERATOR  1. Assignment Operator: =    Contoh: x = 5  2. Arithmetic Operat</t>
        </is>
      </c>
    </row>
    <row r="371">
      <c r="A371" t="n">
        <v>62</v>
      </c>
      <c r="B371" t="n">
        <v>4</v>
      </c>
      <c r="C371" t="inlineStr">
        <is>
          <t>GT_CT13.txt</t>
        </is>
      </c>
      <c r="D371" s="3" t="inlineStr">
        <is>
          <t>Pertemuan 13: Pengenalan Struktur Data</t>
        </is>
      </c>
      <c r="E371" t="n">
        <v>0.7464</v>
      </c>
      <c r="F371" t="inlineStr">
        <is>
          <t>✓</t>
        </is>
      </c>
      <c r="G371" t="inlineStr">
        <is>
          <t>✓</t>
        </is>
      </c>
      <c r="H371" s="3" t="inlineStr">
        <is>
          <t>ai urutan kedatangannya. - Sistem kecerdasan buatan dalam permainan catur yang merepresentasikan berbagai kemungkinan langkah ke depan: struktur data yang paling tepat adalah Tree, karena setiap kemungkinan langkah berca</t>
        </is>
      </c>
    </row>
    <row r="372">
      <c r="A372" t="n">
        <v>62</v>
      </c>
      <c r="B372" t="n">
        <v>5</v>
      </c>
      <c r="C372" t="inlineStr">
        <is>
          <t>GT_SUBTOPIK_12_Stack_Queue.txt</t>
        </is>
      </c>
      <c r="D372" s="3" t="inlineStr">
        <is>
          <t>Subtopik: Stack dan Queue -- Operasi, Simulasi, dan Penerapan</t>
        </is>
      </c>
      <c r="E372" t="n">
        <v>0.7403</v>
      </c>
      <c r="F372" t="inlineStr">
        <is>
          <t>✓</t>
        </is>
      </c>
      <c r="G372" t="inlineStr">
        <is>
          <t>✓</t>
        </is>
      </c>
      <c r="H372" s="3" t="inlineStr">
        <is>
          <t>pop ( (cocok), EOF -&gt; stack=[(] tidak kosong    -&gt; TIDAK VALID  c) "{[}]":    push {, push [, } -&gt; pop [ -&gt; [ tidak pasangan } -&gt; TIDAK VALID  d) "((()))":    push(, push(, push(, ) pop( cocok, ) pop( cocok, ) pop( cocok</t>
        </is>
      </c>
    </row>
    <row r="373">
      <c r="A373" t="n">
        <v>62</v>
      </c>
      <c r="B373" t="n">
        <v>6</v>
      </c>
      <c r="C373" t="inlineStr">
        <is>
          <t>GT_DETAIL_PT04_Abstraksi.txt</t>
        </is>
      </c>
      <c r="D373" s="3" t="inlineStr">
        <is>
          <t>Pertemuan 4: Problem Solving — Abstraksi</t>
        </is>
      </c>
      <c r="E373" t="n">
        <v>0.74</v>
      </c>
      <c r="F373" t="inlineStr">
        <is>
          <t>✓</t>
        </is>
      </c>
      <c r="G373" t="inlineStr">
        <is>
          <t>✓</t>
        </is>
      </c>
      <c r="H373" s="3" t="inlineStr">
        <is>
          <t xml:space="preserve">–6 (HOTS).  B. PROBLEM SOLVING — SYMPTOM vs. PROBLEM  Perbedaan krusial yang sering diabaikan:  SYMPTOM (Gejala): perbedaan antara fakta yang terjadi dengan hasil yang diharapkan. → Apa yang kita rasakan/amati.  PROBLEM </t>
        </is>
      </c>
    </row>
    <row r="374">
      <c r="A374" t="n">
        <v>63</v>
      </c>
      <c r="B374" t="n">
        <v>1</v>
      </c>
      <c r="C374" t="inlineStr">
        <is>
          <t>GT_CT06.txt</t>
        </is>
      </c>
      <c r="D374" s="3" t="inlineStr">
        <is>
          <t>Pertemuan 6: Pengenalan Algoritme &amp; Block Programming</t>
        </is>
      </c>
      <c r="E374" t="n">
        <v>0.7102000000000001</v>
      </c>
      <c r="F374" t="inlineStr">
        <is>
          <t>✓</t>
        </is>
      </c>
      <c r="G374" t="inlineStr">
        <is>
          <t>✓</t>
        </is>
      </c>
      <c r="H374" s="3" t="inlineStr">
        <is>
          <t>ada code.org terdiri dari empat area utama yang saling berinteraksi, yaitu:  1. Area Blok (Block Area): tempat di mana seluruh blok instruksi yang tersedia ditampilkan dan dapat dipilih oleh pengguna. 2. Area Kerja (Work</t>
        </is>
      </c>
    </row>
    <row r="375">
      <c r="A375" t="n">
        <v>63</v>
      </c>
      <c r="B375" t="n">
        <v>2</v>
      </c>
      <c r="C375" t="inlineStr">
        <is>
          <t>GT_CT01.txt</t>
        </is>
      </c>
      <c r="D375" s="3" t="inlineStr">
        <is>
          <t>Pertemuan 1: Kontrak Perkuliahan dan Pendahuluan</t>
        </is>
      </c>
      <c r="E375" t="n">
        <v>0.6844</v>
      </c>
      <c r="F375" t="inlineStr">
        <is>
          <t>✓</t>
        </is>
      </c>
      <c r="G375" t="inlineStr">
        <is>
          <t>✓</t>
        </is>
      </c>
      <c r="H375" s="3" t="inlineStr">
        <is>
          <t>gi; (3) Dekomposisi — pengertian, teori, dan penerapan dekomposisi dalam problem solving; (4) Abstraksi — definisi dan penerapan abstraction dalam problem solving; (5) Pengenalan Pola — definisi dan penerapan pattern rec</t>
        </is>
      </c>
    </row>
    <row r="376">
      <c r="A376" t="n">
        <v>63</v>
      </c>
      <c r="B376" t="n">
        <v>3</v>
      </c>
      <c r="C376" t="inlineStr">
        <is>
          <t>GT_CT07.txt</t>
        </is>
      </c>
      <c r="D376" s="3" t="inlineStr">
        <is>
          <t>Pertemuan 7: Algoritme — Notasi Algoritme</t>
        </is>
      </c>
      <c r="E376" t="n">
        <v>0.6803</v>
      </c>
      <c r="F376" t="inlineStr">
        <is>
          <t>✓</t>
        </is>
      </c>
      <c r="G376" t="inlineStr">
        <is>
          <t>✓</t>
        </is>
      </c>
      <c r="H376" s="3" t="inlineStr">
        <is>
          <t>an nilai alas dengan tinggi, lalu hasilnya dibagi dua.  2. Pseudocode: Pseudocode adalah cara informal untuk menuliskan algoritme atau rancangan program komputer. Tujuan utama pseudocode adalah untuk mendapatkan ide seca</t>
        </is>
      </c>
    </row>
    <row r="377">
      <c r="A377" t="n">
        <v>63</v>
      </c>
      <c r="B377" t="n">
        <v>4</v>
      </c>
      <c r="C377" t="inlineStr">
        <is>
          <t>GT_SUBTOPIK_14_Kompleksitas_BigO.txt</t>
        </is>
      </c>
      <c r="D377" s="3" t="inlineStr">
        <is>
          <t>Subtopik: Kompleksitas Algoritme (Big-O Notation)</t>
        </is>
      </c>
      <c r="E377" t="n">
        <v>0.6796</v>
      </c>
      <c r="F377" t="inlineStr">
        <is>
          <t>✓</t>
        </is>
      </c>
      <c r="G377" t="inlineStr">
        <is>
          <t>✓</t>
        </is>
      </c>
      <c r="H377" s="3" t="inlineStr">
        <is>
          <t>ngan ke array, lalu hitung rata-rata c) Fibonacci rekursif fib(n) d) Fibonacci iteratif dengan dua variabel  JAWABAN: a) O(1) space -- hanya butuh 2 variabel (sum dan count), tidak peduli berapa besar n  b) O(n) space --</t>
        </is>
      </c>
    </row>
    <row r="378">
      <c r="A378" t="n">
        <v>63</v>
      </c>
      <c r="B378" t="n">
        <v>5</v>
      </c>
      <c r="C378" t="inlineStr">
        <is>
          <t>GT_CT13.txt</t>
        </is>
      </c>
      <c r="D378" s="3" t="inlineStr">
        <is>
          <t>Pertemuan 13: Pengenalan Struktur Data</t>
        </is>
      </c>
      <c r="E378" t="n">
        <v>0.6755</v>
      </c>
      <c r="F378" t="inlineStr">
        <is>
          <t>✓</t>
        </is>
      </c>
      <c r="G378" t="inlineStr">
        <is>
          <t>✓</t>
        </is>
      </c>
      <c r="H378" s="3" t="inlineStr">
        <is>
          <t>teratas, selama stack masih berisi data (tidak kosong). Data yang dikeluarkan melalui operasi pop sekaligus dihapus dari stack sehingga jumlah data yang tersimpan berkurang.  Simulasi rangkaian instruksi: push 5 → push 7</t>
        </is>
      </c>
    </row>
    <row r="379">
      <c r="A379" t="n">
        <v>63</v>
      </c>
      <c r="B379" t="n">
        <v>6</v>
      </c>
      <c r="C379" t="inlineStr">
        <is>
          <t>GT_DETAIL_PT10_Percabangan.txt</t>
        </is>
      </c>
      <c r="D379" s="3" t="inlineStr">
        <is>
          <t>Pertemuan 10: Struktur Kontrol — Percabangan</t>
        </is>
      </c>
      <c r="E379" t="n">
        <v>0.6735</v>
      </c>
      <c r="F379" t="inlineStr">
        <is>
          <t>✓</t>
        </is>
      </c>
      <c r="G379" t="inlineStr">
        <is>
          <t>✓</t>
        </is>
      </c>
      <c r="H379" s="3" t="inlineStr">
        <is>
          <t>------------ CONTOH SOAL DAN PEMBAHASAN ----------------------------------------------------------------  [SOAL 1 — Maks 2 Bilangan] Tuliskan pseudocode untuk menentukan bilangan terbesar dari dua bilangan a dan b!  JAWA</t>
        </is>
      </c>
    </row>
    <row r="380">
      <c r="A380" t="n">
        <v>64</v>
      </c>
      <c r="B380" t="n">
        <v>1</v>
      </c>
      <c r="C380" t="inlineStr">
        <is>
          <t>GT_SUBTOPIK_13_Graph_Tree.txt</t>
        </is>
      </c>
      <c r="D380" s="3" t="inlineStr">
        <is>
          <t>Subtopik: Graph dan Tree -- Representasi, Traversal, dan Jalur Terpendek</t>
        </is>
      </c>
      <c r="E380" t="n">
        <v>0.7484</v>
      </c>
      <c r="F380" t="inlineStr">
        <is>
          <t>✓</t>
        </is>
      </c>
      <c r="G380" t="inlineStr">
        <is>
          <t>✓</t>
        </is>
      </c>
      <c r="H380" s="3" t="inlineStr">
        <is>
          <t>, B, D, G, E, C, F  [SOAL 6 -- Terminologi Tree] Diberikan tree berikut:          A (root)         / \        B   C       / \   \      D   E   F     /    G  Identifikasi: a) Root b) Semua leaf node c) Parent dari D d) Ch</t>
        </is>
      </c>
    </row>
    <row r="381">
      <c r="A381" t="n">
        <v>64</v>
      </c>
      <c r="B381" t="n">
        <v>2</v>
      </c>
      <c r="C381" t="inlineStr">
        <is>
          <t>GT_CT13.txt</t>
        </is>
      </c>
      <c r="D381" s="3" t="inlineStr">
        <is>
          <t>Pertemuan 13: Pengenalan Struktur Data</t>
        </is>
      </c>
      <c r="E381" t="n">
        <v>0.7352</v>
      </c>
      <c r="F381" t="inlineStr">
        <is>
          <t>✓</t>
        </is>
      </c>
      <c r="G381" t="inlineStr">
        <is>
          <t>✓</t>
        </is>
      </c>
      <c r="H381" s="3" t="inlineStr">
        <is>
          <t>l bobot terkecil (jalur terpendek) antara dua node. Dalam kehidupan sehari-hari, prinsip ini digunakan oleh aplikasi GPS dan aplikasi peta untuk mencari rute terpendek atau tercepat. Salah satu algoritme yang terkenal un</t>
        </is>
      </c>
    </row>
    <row r="382">
      <c r="A382" t="n">
        <v>64</v>
      </c>
      <c r="B382" t="n">
        <v>3</v>
      </c>
      <c r="C382" t="inlineStr">
        <is>
          <t>GT_CT13.txt</t>
        </is>
      </c>
      <c r="D382" s="3" t="inlineStr">
        <is>
          <t>Pertemuan 13: Pengenalan Struktur Data</t>
        </is>
      </c>
      <c r="E382" t="n">
        <v>0.7339</v>
      </c>
      <c r="F382" t="inlineStr">
        <is>
          <t>✓</t>
        </is>
      </c>
      <c r="G382" t="inlineStr">
        <is>
          <t>✓</t>
        </is>
      </c>
      <c r="H382" s="3" t="inlineStr">
        <is>
          <t xml:space="preserve">dangkan edge merepresentasikan adanya jalur yang menghubungkan antar lokasi tersebut. Contoh lain mencakup representasi hubungan perkenalan atau pertemanan antar orang serta hubungan antar konsep dalam ilmu pengetahuan. </t>
        </is>
      </c>
    </row>
    <row r="383">
      <c r="A383" t="n">
        <v>64</v>
      </c>
      <c r="B383" t="n">
        <v>4</v>
      </c>
      <c r="C383" t="inlineStr">
        <is>
          <t>GT_CT13.txt</t>
        </is>
      </c>
      <c r="D383" s="3" t="inlineStr">
        <is>
          <t>Pertemuan 13: Pengenalan Struktur Data</t>
        </is>
      </c>
      <c r="E383" t="n">
        <v>0.7054</v>
      </c>
      <c r="F383" t="inlineStr">
        <is>
          <t>✓</t>
        </is>
      </c>
      <c r="G383" t="inlineStr">
        <is>
          <t>✓</t>
        </is>
      </c>
      <c r="H383" s="3" t="inlineStr">
        <is>
          <t>ai urutan kedatangannya. - Sistem kecerdasan buatan dalam permainan catur yang merepresentasikan berbagai kemungkinan langkah ke depan: struktur data yang paling tepat adalah Tree, karena setiap kemungkinan langkah berca</t>
        </is>
      </c>
    </row>
    <row r="384">
      <c r="A384" t="n">
        <v>64</v>
      </c>
      <c r="B384" t="n">
        <v>5</v>
      </c>
      <c r="C384" t="inlineStr">
        <is>
          <t>GT_DETAIL_PT13_Struktur_Data.txt</t>
        </is>
      </c>
      <c r="D384" s="3" t="inlineStr">
        <is>
          <t>Pertemuan 13: Pengenalan Struktur Data</t>
        </is>
      </c>
      <c r="E384" t="n">
        <v>0.6988</v>
      </c>
      <c r="F384" t="inlineStr">
        <is>
          <t>✓</t>
        </is>
      </c>
      <c r="G384" t="inlineStr">
        <is>
          <t>✓</t>
        </is>
      </c>
      <c r="H384" s="3" t="inlineStr">
        <is>
          <t xml:space="preserve"> - Jaringan sosial (Facebook, Instagram) - Jaringan listrik dan telekomunikasi - Internet (hubungan antar server/website) - Ilmu pengetahuan (hubungan antar konsep)  E. TREE  Definisi: Bentuk KHUSUS dari graph yang TIDAK</t>
        </is>
      </c>
    </row>
    <row r="385">
      <c r="A385" t="n">
        <v>64</v>
      </c>
      <c r="B385" t="n">
        <v>6</v>
      </c>
      <c r="C385" t="inlineStr">
        <is>
          <t>GT_DETAIL_PT13_Struktur_Data.txt</t>
        </is>
      </c>
      <c r="D385" s="3" t="inlineStr">
        <is>
          <t>Pertemuan 13: Pengenalan Struktur Data</t>
        </is>
      </c>
      <c r="E385" t="n">
        <v>0.6879999999999999</v>
      </c>
      <c r="F385" t="inlineStr">
        <is>
          <t>✓</t>
        </is>
      </c>
      <c r="G385" t="inlineStr">
        <is>
          <t>✓</t>
        </is>
      </c>
      <c r="H385" s="3" t="inlineStr">
        <is>
          <t>pek      | STACK (LIFO)      | QUEUE (FIFO) -----------|-------------------|------------------ Prinsip    | Last In First Out | First In First Out Tambah data| push (ke atas)    | enqueue (ke belakang) Ambil data | pop (</t>
        </is>
      </c>
    </row>
    <row r="386">
      <c r="A386" t="n">
        <v>65</v>
      </c>
      <c r="B386" t="n">
        <v>1</v>
      </c>
      <c r="C386" t="inlineStr">
        <is>
          <t>GT_DETAIL_PT13_Struktur_Data.txt</t>
        </is>
      </c>
      <c r="D386" s="3" t="inlineStr">
        <is>
          <t>Pertemuan 13: Pengenalan Struktur Data</t>
        </is>
      </c>
      <c r="E386" t="n">
        <v>0.8055</v>
      </c>
      <c r="F386" t="inlineStr">
        <is>
          <t>✓</t>
        </is>
      </c>
      <c r="G386" t="inlineStr">
        <is>
          <t>✓</t>
        </is>
      </c>
      <c r="H386" s="3" t="inlineStr">
        <is>
          <t>D: 5, C-D: 8, C-E: 10, D-E: 2, B-E: 7  Tentukan jalur terpendek dari A ke E beserta total bobotnya!  JAWABAN: Semua jalur dari A ke E: 1. A→B→E           : 4+7 = 11 2. A→B→D→E         : 4+5+2 = 11 3. A→C→E           : 2+</t>
        </is>
      </c>
    </row>
    <row r="387">
      <c r="A387" t="n">
        <v>65</v>
      </c>
      <c r="B387" t="n">
        <v>2</v>
      </c>
      <c r="C387" t="inlineStr">
        <is>
          <t>GT_CT07.txt</t>
        </is>
      </c>
      <c r="D387" s="3" t="inlineStr">
        <is>
          <t>Pertemuan 7: Algoritme — Notasi Algoritme</t>
        </is>
      </c>
      <c r="E387" t="n">
        <v>0.7844</v>
      </c>
      <c r="F387" t="inlineStr">
        <is>
          <t>✓</t>
        </is>
      </c>
      <c r="G387" t="inlineStr">
        <is>
          <t>✓</t>
        </is>
      </c>
      <c r="H387" s="3" t="inlineStr">
        <is>
          <t>) dan selisih angka yang dicari (d). Output: banyaknya pasangan bilangan dengan selisih sebesar d (p). Proses: (a) Urutkan n bilangan secara menaik menjadi m1, m2, ..., mn; (b) Inisialisasi p = 0; (c) Untuk setiap i dari</t>
        </is>
      </c>
    </row>
    <row r="388">
      <c r="A388" t="n">
        <v>65</v>
      </c>
      <c r="B388" t="n">
        <v>3</v>
      </c>
      <c r="C388" t="inlineStr">
        <is>
          <t>GT_CT05.txt</t>
        </is>
      </c>
      <c r="D388" s="3" t="inlineStr">
        <is>
          <t>Pertemuan 5: Pattern Recognition (Pengenalan Pola)</t>
        </is>
      </c>
      <c r="E388" t="n">
        <v>0.7761</v>
      </c>
      <c r="F388" t="inlineStr">
        <is>
          <t>✓</t>
        </is>
      </c>
      <c r="G388" t="inlineStr">
        <is>
          <t>✓</t>
        </is>
      </c>
      <c r="H388" s="3" t="inlineStr">
        <is>
          <t>g kosong. Pendekatan yang digunakan adalah terlebih dahulu melakukan abstraksi terhadap elemen-elemen visual yang relevan, kemudian mengenali pola transformasi atau urutan yang terjadi antar gambar untuk menentukan jawab</t>
        </is>
      </c>
    </row>
    <row r="389">
      <c r="A389" t="n">
        <v>65</v>
      </c>
      <c r="B389" t="n">
        <v>4</v>
      </c>
      <c r="C389" t="inlineStr">
        <is>
          <t>GT_CT13.txt</t>
        </is>
      </c>
      <c r="D389" s="3" t="inlineStr">
        <is>
          <t>Pertemuan 13: Pengenalan Struktur Data</t>
        </is>
      </c>
      <c r="E389" t="n">
        <v>0.762</v>
      </c>
      <c r="F389" t="inlineStr">
        <is>
          <t>✓</t>
        </is>
      </c>
      <c r="G389" t="inlineStr">
        <is>
          <t>✓</t>
        </is>
      </c>
      <c r="H389" s="3" t="inlineStr">
        <is>
          <t>l bobot terkecil (jalur terpendek) antara dua node. Dalam kehidupan sehari-hari, prinsip ini digunakan oleh aplikasi GPS dan aplikasi peta untuk mencari rute terpendek atau tercepat. Salah satu algoritme yang terkenal un</t>
        </is>
      </c>
    </row>
    <row r="390">
      <c r="A390" t="n">
        <v>65</v>
      </c>
      <c r="B390" t="n">
        <v>5</v>
      </c>
      <c r="C390" t="inlineStr">
        <is>
          <t>GT_CT09.txt</t>
        </is>
      </c>
      <c r="D390" s="3" t="inlineStr">
        <is>
          <t>Pertemuan 9: Elemen Pseudocode — Variabel, Operator, Tipe Data, dan List</t>
        </is>
      </c>
      <c r="E390" t="n">
        <v>0.7578</v>
      </c>
      <c r="F390" t="inlineStr">
        <is>
          <t>✓</t>
        </is>
      </c>
      <c r="G390" t="inlineStr">
        <is>
          <t>✓</t>
        </is>
      </c>
      <c r="H390" s="3" t="inlineStr">
        <is>
          <t>ama dengan (==), tidak sama dengan (!=), lebih besar dari (&gt;), lebih kecil dari (&lt;), lebih besar atau sama dengan (&gt;=), dan lebih kecil atau sama dengan (&lt;=).  4. Logical Operator (Operator Logika): Digunakan untuk mengg</t>
        </is>
      </c>
    </row>
    <row r="391">
      <c r="A391" t="n">
        <v>65</v>
      </c>
      <c r="B391" t="n">
        <v>6</v>
      </c>
      <c r="C391" t="inlineStr">
        <is>
          <t>GT_SUBTOPIK_03_Pola_Bilangan_Deret.txt</t>
        </is>
      </c>
      <c r="D391" s="3" t="inlineStr">
        <is>
          <t>Subtopik: Pattern Recognition — Pola Bilangan dan Deret Matematis</t>
        </is>
      </c>
      <c r="E391" t="n">
        <v>0.7552</v>
      </c>
      <c r="F391" t="inlineStr">
        <is>
          <t>✓</t>
        </is>
      </c>
      <c r="G391" t="inlineStr">
        <is>
          <t>✓</t>
        </is>
      </c>
      <c r="H391" s="3" t="inlineStr">
        <is>
          <t>0 coklat. Bebek nomor berapa yang pertama tidak mendapat coklat?  JAWABAN: Pola: jumlah komulatif s/d bebek ke-n = n(n+1)/2 Cari n terbesar sehingga n(n+1)/2 ≤ 500:   n=31: 31×32/2 = 496 ≤ 500 ✓   n=32: 32×33/2 = 528 &gt; 5</t>
        </is>
      </c>
    </row>
    <row r="392">
      <c r="A392" t="n">
        <v>66</v>
      </c>
      <c r="B392" t="n">
        <v>1</v>
      </c>
      <c r="C392" t="inlineStr">
        <is>
          <t>GT_SUBTOPIK_13_Graph_Tree.txt</t>
        </is>
      </c>
      <c r="D392" s="3" t="inlineStr">
        <is>
          <t>Subtopik: Graph dan Tree -- Representasi, Traversal, dan Jalur Terpendek</t>
        </is>
      </c>
      <c r="E392" t="n">
        <v>0.7389</v>
      </c>
      <c r="F392" t="inlineStr">
        <is>
          <t>✓</t>
        </is>
      </c>
      <c r="G392" t="inlineStr">
        <is>
          <t>✓</t>
        </is>
      </c>
      <c r="H392" s="3" t="inlineStr">
        <is>
          <t>-- Traversal BFS] Graph berikut (undirected): A--B, A--C, B--D, B--E, C--F, D--G  Lakukan BFS mulai dari A!  JAWABAN: Queue: [A], Visited: {A} Proses A: tetangga B,C -&gt; enqueue B,C. Queue:[B,C], Visited:{A,B,C} Proses B:</t>
        </is>
      </c>
    </row>
    <row r="393">
      <c r="A393" t="n">
        <v>66</v>
      </c>
      <c r="B393" t="n">
        <v>2</v>
      </c>
      <c r="C393" t="inlineStr">
        <is>
          <t>GT_CT09.txt</t>
        </is>
      </c>
      <c r="D393" s="3" t="inlineStr">
        <is>
          <t>Pertemuan 9: Elemen Pseudocode — Variabel, Operator, Tipe Data, dan List</t>
        </is>
      </c>
      <c r="E393" t="n">
        <v>0.7376</v>
      </c>
      <c r="F393" t="inlineStr">
        <is>
          <t>✓</t>
        </is>
      </c>
      <c r="G393" t="inlineStr">
        <is>
          <t>✓</t>
        </is>
      </c>
      <c r="H393" s="3" t="inlineStr">
        <is>
          <t>ama dengan (==), tidak sama dengan (!=), lebih besar dari (&gt;), lebih kecil dari (&lt;), lebih besar atau sama dengan (&gt;=), dan lebih kecil atau sama dengan (&lt;=).  4. Logical Operator (Operator Logika): Digunakan untuk mengg</t>
        </is>
      </c>
    </row>
    <row r="394">
      <c r="A394" t="n">
        <v>66</v>
      </c>
      <c r="B394" t="n">
        <v>3</v>
      </c>
      <c r="C394" t="inlineStr">
        <is>
          <t>GT_DETAIL_PT09_Variabel_TipeData_Operator_List.txt</t>
        </is>
      </c>
      <c r="D394" s="3" t="inlineStr">
        <is>
          <t>Pertemuan 9: Elemen Pseudocode — Variabel, Tipe Data, Operator, List</t>
        </is>
      </c>
      <c r="E394" t="n">
        <v>0.7372</v>
      </c>
      <c r="F394" t="inlineStr">
        <is>
          <t>✓</t>
        </is>
      </c>
      <c r="G394" t="inlineStr">
        <is>
          <t>✓</t>
        </is>
      </c>
      <c r="H394" s="3" t="inlineStr">
        <is>
          <t xml:space="preserve">    | "Halo", "IPB" Boolean    | Nilai kebenaran (True/False)     | True, False Character  | Satu karakter tunggal            | 'A', 'b', '3'  F. OPERATOR  1. Assignment Operator: =    Contoh: x = 5  2. Arithmetic Operat</t>
        </is>
      </c>
    </row>
    <row r="395">
      <c r="A395" t="n">
        <v>66</v>
      </c>
      <c r="B395" t="n">
        <v>4</v>
      </c>
      <c r="C395" t="inlineStr">
        <is>
          <t>GT_CT13.txt</t>
        </is>
      </c>
      <c r="D395" s="3" t="inlineStr">
        <is>
          <t>Pertemuan 13: Pengenalan Struktur Data</t>
        </is>
      </c>
      <c r="E395" t="n">
        <v>0.7262</v>
      </c>
      <c r="F395" t="inlineStr">
        <is>
          <t>✓</t>
        </is>
      </c>
      <c r="G395" t="inlineStr">
        <is>
          <t>✓</t>
        </is>
      </c>
      <c r="H395" s="3" t="inlineStr">
        <is>
          <t>ai urutan kedatangannya. - Sistem kecerdasan buatan dalam permainan catur yang merepresentasikan berbagai kemungkinan langkah ke depan: struktur data yang paling tepat adalah Tree, karena setiap kemungkinan langkah berca</t>
        </is>
      </c>
    </row>
    <row r="396">
      <c r="A396" t="n">
        <v>66</v>
      </c>
      <c r="B396" t="n">
        <v>5</v>
      </c>
      <c r="C396" t="inlineStr">
        <is>
          <t>GT_CT07.txt</t>
        </is>
      </c>
      <c r="D396" s="3" t="inlineStr">
        <is>
          <t>Pertemuan 7: Algoritme — Notasi Algoritme</t>
        </is>
      </c>
      <c r="E396" t="n">
        <v>0.7257</v>
      </c>
      <c r="F396" t="inlineStr">
        <is>
          <t>✓</t>
        </is>
      </c>
      <c r="G396" t="inlineStr">
        <is>
          <t>✓</t>
        </is>
      </c>
      <c r="H396" s="3" t="inlineStr">
        <is>
          <t>) dan selisih angka yang dicari (d). Output: banyaknya pasangan bilangan dengan selisih sebesar d (p). Proses: (a) Urutkan n bilangan secara menaik menjadi m1, m2, ..., mn; (b) Inisialisasi p = 0; (c) Untuk setiap i dari</t>
        </is>
      </c>
    </row>
    <row r="397">
      <c r="A397" t="n">
        <v>66</v>
      </c>
      <c r="B397" t="n">
        <v>6</v>
      </c>
      <c r="C397" t="inlineStr">
        <is>
          <t>GT_DETAIL_PT11_Perulangan.txt</t>
        </is>
      </c>
      <c r="D397" s="3" t="inlineStr">
        <is>
          <t>Pertemuan 11: Struktur Kontrol — Perulangan</t>
        </is>
      </c>
      <c r="E397" t="n">
        <v>0.7249</v>
      </c>
      <c r="F397" t="inlineStr">
        <is>
          <t>✓</t>
        </is>
      </c>
      <c r="G397" t="inlineStr">
        <is>
          <t>✓</t>
        </is>
      </c>
      <c r="H397" s="3" t="inlineStr">
        <is>
          <t>an: - Kondisi dievaluasi SEBELUM body dijalankan - Jika kondisi False sejak awal → body tidak pernah dijalankan - Jika kondisi tidak pernah False → infinite loop (hindari!) - Body HARUS mengubah sesuatu yang mempengaruhi</t>
        </is>
      </c>
    </row>
    <row r="398">
      <c r="A398" t="n">
        <v>67</v>
      </c>
      <c r="B398" t="n">
        <v>1</v>
      </c>
      <c r="C398" t="inlineStr">
        <is>
          <t>GT_CT13.txt</t>
        </is>
      </c>
      <c r="D398" s="3" t="inlineStr">
        <is>
          <t>Pertemuan 13: Pengenalan Struktur Data</t>
        </is>
      </c>
      <c r="E398" t="n">
        <v>0.7734</v>
      </c>
      <c r="F398" t="inlineStr">
        <is>
          <t>✓</t>
        </is>
      </c>
      <c r="G398" t="inlineStr">
        <is>
          <t>✓</t>
        </is>
      </c>
      <c r="H398" s="3" t="inlineStr">
        <is>
          <t>pa pernah menulis karya ilmiah dengan siapa: Graph Tidak Berarah (undirected), karena hubungan co-authorship bersifat simetris (jika A menulis bersama B, maka B juga menulis bersama A). - Data akun follow di media sosial</t>
        </is>
      </c>
    </row>
    <row r="399">
      <c r="A399" t="n">
        <v>67</v>
      </c>
      <c r="B399" t="n">
        <v>2</v>
      </c>
      <c r="C399" t="inlineStr">
        <is>
          <t>GT_DETAIL_PT13_Struktur_Data.txt</t>
        </is>
      </c>
      <c r="D399" s="3" t="inlineStr">
        <is>
          <t>Pertemuan 13: Pengenalan Struktur Data</t>
        </is>
      </c>
      <c r="E399" t="n">
        <v>0.7706</v>
      </c>
      <c r="F399" t="inlineStr">
        <is>
          <t>✓</t>
        </is>
      </c>
      <c r="G399" t="inlineStr">
        <is>
          <t>✓</t>
        </is>
      </c>
      <c r="H399" s="3" t="inlineStr">
        <is>
          <t>pek      | STACK (LIFO)      | QUEUE (FIFO) -----------|-------------------|------------------ Prinsip    | Last In First Out | First In First Out Tambah data| push (ke atas)    | enqueue (ke belakang) Ambil data | pop (</t>
        </is>
      </c>
    </row>
    <row r="400">
      <c r="A400" t="n">
        <v>67</v>
      </c>
      <c r="B400" t="n">
        <v>3</v>
      </c>
      <c r="C400" t="inlineStr">
        <is>
          <t>GT_CT13.txt</t>
        </is>
      </c>
      <c r="D400" s="3" t="inlineStr">
        <is>
          <t>Pertemuan 13: Pengenalan Struktur Data</t>
        </is>
      </c>
      <c r="E400" t="n">
        <v>0.7445000000000001</v>
      </c>
      <c r="F400" t="inlineStr">
        <is>
          <t>✓</t>
        </is>
      </c>
      <c r="G400" t="inlineStr">
        <is>
          <t>✓</t>
        </is>
      </c>
      <c r="H400" s="3" t="inlineStr">
        <is>
          <t xml:space="preserve">dangkan edge merepresentasikan adanya jalur yang menghubungkan antar lokasi tersebut. Contoh lain mencakup representasi hubungan perkenalan atau pertemanan antar orang serta hubungan antar konsep dalam ilmu pengetahuan. </t>
        </is>
      </c>
    </row>
    <row r="401">
      <c r="A401" t="n">
        <v>67</v>
      </c>
      <c r="B401" t="n">
        <v>4</v>
      </c>
      <c r="C401" t="inlineStr">
        <is>
          <t>GT_CT13.txt</t>
        </is>
      </c>
      <c r="D401" s="3" t="inlineStr">
        <is>
          <t>Pertemuan 13: Pengenalan Struktur Data</t>
        </is>
      </c>
      <c r="E401" t="n">
        <v>0.7398</v>
      </c>
      <c r="F401" t="inlineStr">
        <is>
          <t>✓</t>
        </is>
      </c>
      <c r="G401" t="inlineStr">
        <is>
          <t>✓</t>
        </is>
      </c>
      <c r="H401" s="3" t="inlineStr">
        <is>
          <t>ai urutan kedatangannya. - Sistem kecerdasan buatan dalam permainan catur yang merepresentasikan berbagai kemungkinan langkah ke depan: struktur data yang paling tepat adalah Tree, karena setiap kemungkinan langkah berca</t>
        </is>
      </c>
    </row>
    <row r="402">
      <c r="A402" t="n">
        <v>67</v>
      </c>
      <c r="B402" t="n">
        <v>5</v>
      </c>
      <c r="C402" t="inlineStr">
        <is>
          <t>6TGI.txt</t>
        </is>
      </c>
      <c r="D402" s="3" t="inlineStr">
        <is>
          <t>Profil Kognitif 6TGI</t>
        </is>
      </c>
      <c r="E402" t="n">
        <v>0.7225</v>
      </c>
      <c r="F402" t="inlineStr">
        <is>
          <t>✓</t>
        </is>
      </c>
      <c r="G402" t="inlineStr">
        <is>
          <t>✓</t>
        </is>
      </c>
      <c r="H402" s="3" t="inlineStr">
        <is>
          <t xml:space="preserve"> untuk LLM - Fokus pada penguatan aspek CT sesuai profil ini. - Pertanyaan perlu diarahkan untuk memperdalam analisis, refleksi, dan pemecahan masalah. - Gunakan pendekatan akademik dan scaffolding kognitif. - Tipe feedb</t>
        </is>
      </c>
    </row>
    <row r="403">
      <c r="A403" t="n">
        <v>67</v>
      </c>
      <c r="B403" t="n">
        <v>6</v>
      </c>
      <c r="C403" t="inlineStr">
        <is>
          <t>5PAI.txt</t>
        </is>
      </c>
      <c r="D403" s="3" t="inlineStr">
        <is>
          <t>Profil Kognitif 5PAI</t>
        </is>
      </c>
      <c r="E403" t="n">
        <v>0.7207</v>
      </c>
      <c r="F403" t="inlineStr">
        <is>
          <t>✓</t>
        </is>
      </c>
      <c r="G403" t="inlineStr">
        <is>
          <t>✓</t>
        </is>
      </c>
      <c r="H403" s="3" t="inlineStr">
        <is>
          <t xml:space="preserve">ugesti Fokus untuk LLM - Fokus pada penguatan aspek CT sesuai profil ini. - Pertanyaan perlu diarahkan untuk memperdalam analisis, refleksi, dan pemecahan masalah. - Gunakan pendekatan akademik dan scaffolding kognitif. </t>
        </is>
      </c>
    </row>
    <row r="404">
      <c r="A404" t="n">
        <v>68</v>
      </c>
      <c r="B404" t="n">
        <v>1</v>
      </c>
      <c r="C404" t="inlineStr">
        <is>
          <t>GT_DETAIL_PT13_Struktur_Data.txt</t>
        </is>
      </c>
      <c r="D404" s="3" t="inlineStr">
        <is>
          <t>Pertemuan 13: Pengenalan Struktur Data</t>
        </is>
      </c>
      <c r="E404" t="n">
        <v>0.6695</v>
      </c>
      <c r="F404" t="inlineStr">
        <is>
          <t>✓</t>
        </is>
      </c>
      <c r="G404" t="inlineStr">
        <is>
          <t>✓</t>
        </is>
      </c>
      <c r="H404" s="3" t="inlineStr">
        <is>
          <t>pek      | STACK (LIFO)      | QUEUE (FIFO) -----------|-------------------|------------------ Prinsip    | Last In First Out | First In First Out Tambah data| push (ke atas)    | enqueue (ke belakang) Ambil data | pop (</t>
        </is>
      </c>
    </row>
    <row r="405">
      <c r="A405" t="n">
        <v>68</v>
      </c>
      <c r="B405" t="n">
        <v>2</v>
      </c>
      <c r="C405" t="inlineStr">
        <is>
          <t>GT_CT02.txt</t>
        </is>
      </c>
      <c r="D405" s="3" t="inlineStr">
        <is>
          <t>Pertemuan 2: ICT Literacy and Ethics</t>
        </is>
      </c>
      <c r="E405" t="n">
        <v>0.6689000000000001</v>
      </c>
      <c r="F405" t="inlineStr">
        <is>
          <t>✓</t>
        </is>
      </c>
      <c r="G405" t="inlineStr">
        <is>
          <t>✓</t>
        </is>
      </c>
      <c r="H405" s="3" t="inlineStr">
        <is>
          <t>g-Undang Nomor 11 Tahun 2008 tentang ITE.   ---------------------------------------------------------------- [MATERI 5: Fenomena Sosial Digital — Budaya Anonim, Internet Fraud, dan Hoax] ---------------------------------</t>
        </is>
      </c>
    </row>
    <row r="406">
      <c r="A406" t="n">
        <v>68</v>
      </c>
      <c r="B406" t="n">
        <v>3</v>
      </c>
      <c r="C406" t="inlineStr">
        <is>
          <t>GT_DETAIL_PT04_Abstraksi.txt</t>
        </is>
      </c>
      <c r="D406" s="3" t="inlineStr">
        <is>
          <t>Pertemuan 4: Problem Solving — Abstraksi</t>
        </is>
      </c>
      <c r="E406" t="n">
        <v>0.662</v>
      </c>
      <c r="F406" t="inlineStr">
        <is>
          <t>✓</t>
        </is>
      </c>
      <c r="G406" t="inlineStr">
        <is>
          <t>✓</t>
        </is>
      </c>
      <c r="H406" s="3" t="inlineStr">
        <is>
          <t xml:space="preserve">–6 (HOTS).  B. PROBLEM SOLVING — SYMPTOM vs. PROBLEM  Perbedaan krusial yang sering diabaikan:  SYMPTOM (Gejala): perbedaan antara fakta yang terjadi dengan hasil yang diharapkan. → Apa yang kita rasakan/amati.  PROBLEM </t>
        </is>
      </c>
    </row>
    <row r="407">
      <c r="A407" t="n">
        <v>68</v>
      </c>
      <c r="B407" t="n">
        <v>4</v>
      </c>
      <c r="C407" t="inlineStr">
        <is>
          <t>GT_CT01.txt</t>
        </is>
      </c>
      <c r="D407" s="3" t="inlineStr">
        <is>
          <t>Pertemuan 1: Kontrak Perkuliahan dan Pendahuluan</t>
        </is>
      </c>
      <c r="E407" t="n">
        <v>0.6556999999999999</v>
      </c>
      <c r="F407" t="inlineStr">
        <is>
          <t>✓</t>
        </is>
      </c>
      <c r="G407" t="inlineStr">
        <is>
          <t>✓</t>
        </is>
      </c>
      <c r="H407" s="3" t="inlineStr">
        <is>
          <t xml:space="preserve"> dunia komputasi yang ditandai oleh perkembangan pesat kecerdasan buatan (Artificial Intelligence/AI). Salah satu tonggak penting dalam era ini adalah kemunculan ChatGPT yang diakui sebagai game changer dalam dunia tekno</t>
        </is>
      </c>
    </row>
    <row r="408">
      <c r="A408" t="n">
        <v>68</v>
      </c>
      <c r="B408" t="n">
        <v>5</v>
      </c>
      <c r="C408" t="inlineStr">
        <is>
          <t>GT_DETAIL_PT04_Abstraksi.txt</t>
        </is>
      </c>
      <c r="D408" s="3" t="inlineStr">
        <is>
          <t>Pertemuan 4: Problem Solving — Abstraksi</t>
        </is>
      </c>
      <c r="E408" t="n">
        <v>0.6548</v>
      </c>
      <c r="F408" t="inlineStr">
        <is>
          <t>✓</t>
        </is>
      </c>
      <c r="G408" t="inlineStr">
        <is>
          <t>✓</t>
        </is>
      </c>
      <c r="H408" s="3" t="inlineStr">
        <is>
          <t xml:space="preserve">    Batasan   : robot hanya bisa bergerak ke kanan atau ke atas    Data      : peta petak dengan jumlah permen (0–3) di setiap petak  ---------------------------------------------------------------- CONTOH SOAL DAN PEMBA</t>
        </is>
      </c>
    </row>
    <row r="409">
      <c r="A409" t="n">
        <v>68</v>
      </c>
      <c r="B409" t="n">
        <v>6</v>
      </c>
      <c r="C409" t="inlineStr">
        <is>
          <t>GT_SUBTOPIK_02_Abstraksi_Formulasi.txt</t>
        </is>
      </c>
      <c r="D409" s="3" t="inlineStr">
        <is>
          <t>Subtopik: Abstraksi — Formulasi Problem (Problem/Goal/Batasan/Data)</t>
        </is>
      </c>
      <c r="E409" t="n">
        <v>0.6524</v>
      </c>
      <c r="F409" t="inlineStr">
        <is>
          <t>✓</t>
        </is>
      </c>
      <c r="G409" t="inlineStr">
        <is>
          <t>✓</t>
        </is>
      </c>
      <c r="H409" s="3" t="inlineStr">
        <is>
          <t xml:space="preserve"> aus, atau printer tidak dibersihkan secara berkala.    Abstraksi: fokus pada frekuensi dan kondisi saat macet →    apakah selalu dengan kertas tertentu? Setelah sekian lembar?  [SOAL 7 — Abstraksi Data] Diberikan datase</t>
        </is>
      </c>
    </row>
    <row r="410">
      <c r="A410" t="n">
        <v>69</v>
      </c>
      <c r="B410" t="n">
        <v>1</v>
      </c>
      <c r="C410" t="inlineStr">
        <is>
          <t>GT_SUBTOPIK_14_Kompleksitas_BigO.txt</t>
        </is>
      </c>
      <c r="D410" s="3" t="inlineStr">
        <is>
          <t>Subtopik: Kompleksitas Algoritme (Big-O Notation)</t>
        </is>
      </c>
      <c r="E410" t="n">
        <v>0.8151</v>
      </c>
      <c r="F410" t="inlineStr">
        <is>
          <t>✓</t>
        </is>
      </c>
      <c r="G410" t="inlineStr">
        <is>
          <t>✓</t>
        </is>
      </c>
      <c r="H410" s="3" t="inlineStr">
        <is>
          <t>l yang terbesar: O(n^2 + n) = O(n^2)   3. Kalikan loop bersarang: O(n) dalam O(n) = O(n^2)  ---------------------------------------------------------------- CONTOH SOAL DAN PEMBAHASAN ------------------------------------</t>
        </is>
      </c>
    </row>
    <row r="411">
      <c r="A411" t="n">
        <v>69</v>
      </c>
      <c r="B411" t="n">
        <v>2</v>
      </c>
      <c r="C411" t="inlineStr">
        <is>
          <t>GT_SUBTOPIK_09_Nested_Loop.txt</t>
        </is>
      </c>
      <c r="D411" s="3" t="inlineStr">
        <is>
          <t>Subtopik: Perulangan Bersarang (Nested Loop)</t>
        </is>
      </c>
      <c r="E411" t="n">
        <v>0.8076</v>
      </c>
      <c r="F411" t="inlineStr">
        <is>
          <t>✓</t>
        </is>
      </c>
      <c r="G411" t="inlineStr">
        <is>
          <t>✓</t>
        </is>
      </c>
      <c r="H411" s="3" t="inlineStr">
        <is>
          <t xml:space="preserve">awah (tinggi=5)] * ** *** **** *****  JAWABAN:   for i = 1 to 5 do     for j = 1 to i do       print("*", end="")     print()  [SOAL 4 -- Segitiga Terbalik (tinggi=4)] **** *** ** *  JAWABAN:   for i = 4 to 1 step -1 do </t>
        </is>
      </c>
    </row>
    <row r="412">
      <c r="A412" t="n">
        <v>69</v>
      </c>
      <c r="B412" t="n">
        <v>3</v>
      </c>
      <c r="C412" t="inlineStr">
        <is>
          <t>GT_SUBTOPIK_14_Kompleksitas_BigO.txt</t>
        </is>
      </c>
      <c r="D412" s="3" t="inlineStr">
        <is>
          <t>Subtopik: Kompleksitas Algoritme (Big-O Notation)</t>
        </is>
      </c>
      <c r="E412" t="n">
        <v>0.7796999999999999</v>
      </c>
      <c r="F412" t="inlineStr">
        <is>
          <t>✓</t>
        </is>
      </c>
      <c r="G412" t="inlineStr">
        <is>
          <t>✓</t>
        </is>
      </c>
      <c r="H412" s="3" t="inlineStr">
        <is>
          <t>o       if arr[j] &gt; arr[j+1] then swap(arr[j], arr[j+1])   maks = arr[n]  Bandingkan kompleksitas dan rekomendasikan yang lebih baik!  JAWABAN: Algoritme A: O(n) -- satu pass, n-1 perbandingan Algoritme B: O(n^2) -- bubb</t>
        </is>
      </c>
    </row>
    <row r="413">
      <c r="A413" t="n">
        <v>69</v>
      </c>
      <c r="B413" t="n">
        <v>4</v>
      </c>
      <c r="C413" t="inlineStr">
        <is>
          <t>GT_SUBTOPIK_09_Nested_Loop.txt</t>
        </is>
      </c>
      <c r="D413" s="3" t="inlineStr">
        <is>
          <t>Subtopik: Perulangan Bersarang (Nested Loop)</t>
        </is>
      </c>
      <c r="E413" t="n">
        <v>0.7677</v>
      </c>
      <c r="F413" t="inlineStr">
        <is>
          <t>✓</t>
        </is>
      </c>
      <c r="G413" t="inlineStr">
        <is>
          <t>✓</t>
        </is>
      </c>
      <c r="H413" s="3" t="inlineStr">
        <is>
          <t xml:space="preserve">  count = 0   for i = 1 to n-1 do     for j = i+1 to n do       if (nilai[i] + nilai[j] == target) then         count = count + 1   print(count)  Trace: (2,3)=5, (4,1)=5 -&gt; count=2 Kompleksitas: O(n^2)  [SOAL 9 -- Bubble</t>
        </is>
      </c>
    </row>
    <row r="414">
      <c r="A414" t="n">
        <v>69</v>
      </c>
      <c r="B414" t="n">
        <v>5</v>
      </c>
      <c r="C414" t="inlineStr">
        <is>
          <t>GT_CT10.txt</t>
        </is>
      </c>
      <c r="D414" s="3" t="inlineStr">
        <is>
          <t>Pertemuan 10: Struktur Kontrol — Percabangan</t>
        </is>
      </c>
      <c r="E414" t="n">
        <v>0.7615</v>
      </c>
      <c r="F414" t="inlineStr">
        <is>
          <t>✓</t>
        </is>
      </c>
      <c r="G414" t="inlineStr">
        <is>
          <t>✓</t>
        </is>
      </c>
      <c r="H414" s="3" t="inlineStr">
        <is>
          <t xml:space="preserve">n (Loop): digunakan ketika algoritme perlu mengulang pelaksanaan instruksi tertentu sampai suatu kondisi yang ditetapkan terpenuhi.  Pertemuan ini berfokus pada pembahasan struktur kontrol percabangan secara mendalam.   </t>
        </is>
      </c>
    </row>
    <row r="415">
      <c r="A415" t="n">
        <v>69</v>
      </c>
      <c r="B415" t="n">
        <v>6</v>
      </c>
      <c r="C415" t="inlineStr">
        <is>
          <t>GT_SUBTOPIK_14_Kompleksitas_BigO.txt</t>
        </is>
      </c>
      <c r="D415" s="3" t="inlineStr">
        <is>
          <t>Subtopik: Kompleksitas Algoritme (Big-O Notation)</t>
        </is>
      </c>
      <c r="E415" t="n">
        <v>0.7613</v>
      </c>
      <c r="F415" t="inlineStr">
        <is>
          <t>✓</t>
        </is>
      </c>
      <c r="G415" t="inlineStr">
        <is>
          <t>✓</t>
        </is>
      </c>
      <c r="H415" s="3" t="inlineStr">
        <is>
          <t xml:space="preserve"> (sangat cepat)   O(n log n)  : 1.000*10 / 10^8 = 0,0001 detik (cepat)   O(n^2)      : 10^6 / 10^8 = 0,01 detik (masih oke)   O(2^n)      : 2^1000 / 10^8 = TIDAK MUNGKIN selesai (lebih besar dari umur alam semesta!)  Unt</t>
        </is>
      </c>
    </row>
    <row r="416">
      <c r="A416" t="n">
        <v>70</v>
      </c>
      <c r="B416" t="n">
        <v>1</v>
      </c>
      <c r="C416" t="inlineStr">
        <is>
          <t>GT_SUBTOPIK_14_Kompleksitas_BigO.txt</t>
        </is>
      </c>
      <c r="D416" s="3" t="inlineStr">
        <is>
          <t>Subtopik: Kompleksitas Algoritme (Big-O Notation)</t>
        </is>
      </c>
      <c r="E416" t="n">
        <v>0.7933</v>
      </c>
      <c r="F416" t="inlineStr">
        <is>
          <t>✓</t>
        </is>
      </c>
      <c r="G416" t="inlineStr">
        <is>
          <t>✓</t>
        </is>
      </c>
      <c r="H416" s="3" t="inlineStr">
        <is>
          <t>l yang terbesar: O(n^2 + n) = O(n^2)   3. Kalikan loop bersarang: O(n) dalam O(n) = O(n^2)  ---------------------------------------------------------------- CONTOH SOAL DAN PEMBAHASAN ------------------------------------</t>
        </is>
      </c>
    </row>
    <row r="417">
      <c r="A417" t="n">
        <v>70</v>
      </c>
      <c r="B417" t="n">
        <v>2</v>
      </c>
      <c r="C417" t="inlineStr">
        <is>
          <t>GT_DETAIL_PT11_Perulangan.txt</t>
        </is>
      </c>
      <c r="D417" s="3" t="inlineStr">
        <is>
          <t>Pertemuan 11: Struktur Kontrol — Perulangan</t>
        </is>
      </c>
      <c r="E417" t="n">
        <v>0.7926</v>
      </c>
      <c r="F417" t="inlineStr">
        <is>
          <t>✓</t>
        </is>
      </c>
      <c r="G417" t="inlineStr">
        <is>
          <t>✓</t>
        </is>
      </c>
      <c r="H417" s="3" t="inlineStr">
        <is>
          <t>selalu dijalankan MINIMAL SATU KALI  F. PERULANGAN BERSARANG (NESTED LOOP)  Konsep: perulangan di dalam perulangan. - Setiap 1 iterasi luar → dalam menyelesaikan SEMUA iterasinya - Total iterasi = iterasi_luar × iterasi_</t>
        </is>
      </c>
    </row>
    <row r="418">
      <c r="A418" t="n">
        <v>70</v>
      </c>
      <c r="B418" t="n">
        <v>3</v>
      </c>
      <c r="C418" t="inlineStr">
        <is>
          <t>GT_SUBTOPIK_14_Kompleksitas_BigO.txt</t>
        </is>
      </c>
      <c r="D418" s="3" t="inlineStr">
        <is>
          <t>Subtopik: Kompleksitas Algoritme (Big-O Notation)</t>
        </is>
      </c>
      <c r="E418" t="n">
        <v>0.7742</v>
      </c>
      <c r="F418" t="inlineStr">
        <is>
          <t>✓</t>
        </is>
      </c>
      <c r="G418" t="inlineStr">
        <is>
          <t>✓</t>
        </is>
      </c>
      <c r="H418" s="3" t="inlineStr">
        <is>
          <t>ngan ke array, lalu hitung rata-rata c) Fibonacci rekursif fib(n) d) Fibonacci iteratif dengan dua variabel  JAWABAN: a) O(1) space -- hanya butuh 2 variabel (sum dan count), tidak peduli berapa besar n  b) O(n) space --</t>
        </is>
      </c>
    </row>
    <row r="419">
      <c r="A419" t="n">
        <v>70</v>
      </c>
      <c r="B419" t="n">
        <v>4</v>
      </c>
      <c r="C419" t="inlineStr">
        <is>
          <t>GT_CT10.txt</t>
        </is>
      </c>
      <c r="D419" s="3" t="inlineStr">
        <is>
          <t>Pertemuan 10: Struktur Kontrol — Percabangan</t>
        </is>
      </c>
      <c r="E419" t="n">
        <v>0.7623</v>
      </c>
      <c r="F419" t="inlineStr">
        <is>
          <t>✓</t>
        </is>
      </c>
      <c r="G419" t="inlineStr">
        <is>
          <t>✓</t>
        </is>
      </c>
      <c r="H419" s="3" t="inlineStr">
        <is>
          <t xml:space="preserve">n (Loop): digunakan ketika algoritme perlu mengulang pelaksanaan instruksi tertentu sampai suatu kondisi yang ditetapkan terpenuhi.  Pertemuan ini berfokus pada pembahasan struktur kontrol percabangan secara mendalam.   </t>
        </is>
      </c>
    </row>
    <row r="420">
      <c r="A420" t="n">
        <v>70</v>
      </c>
      <c r="B420" t="n">
        <v>5</v>
      </c>
      <c r="C420" t="inlineStr">
        <is>
          <t>GT_CT10.txt</t>
        </is>
      </c>
      <c r="D420" s="3" t="inlineStr">
        <is>
          <t>Pertemuan 10: Struktur Kontrol — Percabangan</t>
        </is>
      </c>
      <c r="E420" t="n">
        <v>0.751</v>
      </c>
      <c r="F420" t="inlineStr">
        <is>
          <t>✓</t>
        </is>
      </c>
      <c r="G420" t="inlineStr">
        <is>
          <t>✓</t>
        </is>
      </c>
      <c r="H420" s="3" t="inlineStr">
        <is>
          <t xml:space="preserve">an:  Bentuk 1 — Bersarang Biasa (nested if di dalam if): Kondisi kedua diperiksa hanya jika kondisi pertama bernilai benar.     if (kondisi-1) then         if (kondisi-2) then             instruksi-1         else        </t>
        </is>
      </c>
    </row>
    <row r="421">
      <c r="A421" t="n">
        <v>70</v>
      </c>
      <c r="B421" t="n">
        <v>6</v>
      </c>
      <c r="C421" t="inlineStr">
        <is>
          <t>GT_CT11.txt</t>
        </is>
      </c>
      <c r="D421" s="3" t="inlineStr">
        <is>
          <t>Pertemuan 11: Algoritme — Struktur Kontrol Perulangan</t>
        </is>
      </c>
      <c r="E421" t="n">
        <v>0.7419</v>
      </c>
      <c r="F421" t="inlineStr">
        <is>
          <t>✓</t>
        </is>
      </c>
      <c r="G421" t="inlineStr">
        <is>
          <t>✓</t>
        </is>
      </c>
      <c r="H421" s="3" t="inlineStr">
        <is>
          <t>disebut perulangan luar (outer loop). Untuk setiap satu kali iterasi perulangan luar, perulangan dalam akan menyelesaikan seluruh iterasinya dari awal hingga akhir.  Contoh perulangan bersarang untuk mencetak kotak binta</t>
        </is>
      </c>
    </row>
    <row r="422">
      <c r="A422" t="n">
        <v>71</v>
      </c>
      <c r="B422" t="n">
        <v>1</v>
      </c>
      <c r="C422" t="inlineStr">
        <is>
          <t>GT_SUBTOPIK_14_Kompleksitas_BigO.txt</t>
        </is>
      </c>
      <c r="D422" s="3" t="inlineStr">
        <is>
          <t>Subtopik: Kompleksitas Algoritme (Big-O Notation)</t>
        </is>
      </c>
      <c r="E422" t="n">
        <v>0.8021</v>
      </c>
      <c r="F422" t="inlineStr">
        <is>
          <t>✓</t>
        </is>
      </c>
      <c r="G422" t="inlineStr">
        <is>
          <t>✓</t>
        </is>
      </c>
      <c r="H422" s="3" t="inlineStr">
        <is>
          <t>l yang terbesar: O(n^2 + n) = O(n^2)   3. Kalikan loop bersarang: O(n) dalam O(n) = O(n^2)  ---------------------------------------------------------------- CONTOH SOAL DAN PEMBAHASAN ------------------------------------</t>
        </is>
      </c>
    </row>
    <row r="423">
      <c r="A423" t="n">
        <v>71</v>
      </c>
      <c r="B423" t="n">
        <v>2</v>
      </c>
      <c r="C423" t="inlineStr">
        <is>
          <t>GT_SUBTOPIK_05_Pseudocode_Algoritme.txt</t>
        </is>
      </c>
      <c r="D423" s="3" t="inlineStr">
        <is>
          <t>Subtopik: Pseudocode dan Notasi Algoritme</t>
        </is>
      </c>
      <c r="E423" t="n">
        <v>0.7818000000000001</v>
      </c>
      <c r="F423" t="inlineStr">
        <is>
          <t>✓</t>
        </is>
      </c>
      <c r="G423" t="inlineStr">
        <is>
          <t>✓</t>
        </is>
      </c>
      <c r="H423" s="3">
        <f> n / 2                  // pembagian integer   if (biner == "") then biner = "0"   print(biner)  Trace n=13:   13 mod 2 = 1, biner="1", n=6   6 mod 2  = 0, biner="01", n=3   3 mod 2  = 1, biner="101", n=1   1 mod 2  = 1</f>
        <v/>
      </c>
    </row>
    <row r="424">
      <c r="A424" t="n">
        <v>71</v>
      </c>
      <c r="B424" t="n">
        <v>3</v>
      </c>
      <c r="C424" t="inlineStr">
        <is>
          <t>GT_CT11.txt</t>
        </is>
      </c>
      <c r="D424" s="3" t="inlineStr">
        <is>
          <t>Pertemuan 11: Algoritme — Struktur Kontrol Perulangan</t>
        </is>
      </c>
      <c r="E424" t="n">
        <v>0.7786999999999999</v>
      </c>
      <c r="F424" t="inlineStr">
        <is>
          <t>✓</t>
        </is>
      </c>
      <c r="G424" t="inlineStr">
        <is>
          <t>✓</t>
        </is>
      </c>
      <c r="H424" s="3" t="inlineStr">
        <is>
          <t xml:space="preserve"> nilai &lt;langkah&gt; diasumsikan sebesar 1.  Kompleksitas waktu perulangan for untuk mencetak 1 hingga n adalah linear, yaitu O(n), karena jumlah operasi bertumbuh sebanding dengan nilai n.  Berikut adalah beberapa contoh pe</t>
        </is>
      </c>
    </row>
    <row r="425">
      <c r="A425" t="n">
        <v>71</v>
      </c>
      <c r="B425" t="n">
        <v>4</v>
      </c>
      <c r="C425" t="inlineStr">
        <is>
          <t>GT_SUBTOPIK_05_Pseudocode_Algoritme.txt</t>
        </is>
      </c>
      <c r="D425" s="3" t="inlineStr">
        <is>
          <t>Subtopik: Pseudocode dan Notasi Algoritme</t>
        </is>
      </c>
      <c r="E425" t="n">
        <v>0.7748</v>
      </c>
      <c r="F425" t="inlineStr">
        <is>
          <t>✓</t>
        </is>
      </c>
      <c r="G425" t="inlineStr">
        <is>
          <t>✓</t>
        </is>
      </c>
      <c r="H425" s="3" t="inlineStr">
        <is>
          <t xml:space="preserve">,12),(15,17),(18,20) → p=6  [SOAL 3 — Pseudocode: Cek Prima] Tulis pseudocode untuk mengecek apakah bilangan n prima!  JAWABAN: Input : bilangan bulat n Output: "prima" atau "bukan prima"    read(n)   if (n &lt;= 1) then   </t>
        </is>
      </c>
    </row>
    <row r="426">
      <c r="A426" t="n">
        <v>71</v>
      </c>
      <c r="B426" t="n">
        <v>5</v>
      </c>
      <c r="C426" t="inlineStr">
        <is>
          <t>GT_DETAIL_PT07_Notasi_Algoritme.txt</t>
        </is>
      </c>
      <c r="D426" s="3" t="inlineStr">
        <is>
          <t>Pertemuan 7: Algoritme — Notasi Algoritme</t>
        </is>
      </c>
      <c r="E426" t="n">
        <v>0.772</v>
      </c>
      <c r="F426" t="inlineStr">
        <is>
          <t>✓</t>
        </is>
      </c>
      <c r="G426" t="inlineStr">
        <is>
          <t>✓</t>
        </is>
      </c>
      <c r="H426" s="3" t="inlineStr">
        <is>
          <t>perasinya linear)  c) Rata-rata n bilangan: baca semua n bilangan + 1 pembagian → O(n) [linear]  [SOAL 5 — Pseudocode: Pesan Sandi] Tuliskan pseudocode untuk MENDEKRIPSI pesan yang dienkripsi dengan tiga langkah: (1) bal</t>
        </is>
      </c>
    </row>
    <row r="427">
      <c r="A427" t="n">
        <v>71</v>
      </c>
      <c r="B427" t="n">
        <v>6</v>
      </c>
      <c r="C427" t="inlineStr">
        <is>
          <t>GT_DETAIL_PT10_Percabangan.txt</t>
        </is>
      </c>
      <c r="D427" s="3" t="inlineStr">
        <is>
          <t>Pertemuan 10: Struktur Kontrol — Percabangan</t>
        </is>
      </c>
      <c r="E427" t="n">
        <v>0.772</v>
      </c>
      <c r="F427" t="inlineStr">
        <is>
          <t>✓</t>
        </is>
      </c>
      <c r="G427" t="inlineStr">
        <is>
          <t>✓</t>
        </is>
      </c>
      <c r="H427" s="3" t="inlineStr">
        <is>
          <t>------------ CONTOH SOAL DAN PEMBAHASAN ----------------------------------------------------------------  [SOAL 1 — Maks 2 Bilangan] Tuliskan pseudocode untuk menentukan bilangan terbesar dari dua bilangan a dan b!  JAWA</t>
        </is>
      </c>
    </row>
    <row r="428">
      <c r="A428" t="n">
        <v>72</v>
      </c>
      <c r="B428" t="n">
        <v>1</v>
      </c>
      <c r="C428" t="inlineStr">
        <is>
          <t>GT_SUBTOPIK_14_Kompleksitas_BigO.txt</t>
        </is>
      </c>
      <c r="D428" s="3" t="inlineStr">
        <is>
          <t>Subtopik: Kompleksitas Algoritme (Big-O Notation)</t>
        </is>
      </c>
      <c r="E428" t="n">
        <v>0.731</v>
      </c>
      <c r="F428" t="inlineStr">
        <is>
          <t>✓</t>
        </is>
      </c>
      <c r="G428" t="inlineStr">
        <is>
          <t>✓</t>
        </is>
      </c>
      <c r="H428" s="3" t="inlineStr">
        <is>
          <t xml:space="preserve"> langkah sortir  Versi C (hash set, O(n) average):   buat set kosong   for setiap x dalam arr do          // O(n)     pelengkap = target - x     if pelengkap ada di set then return True     masukkan x ke set   return Fal</t>
        </is>
      </c>
    </row>
    <row r="429">
      <c r="A429" t="n">
        <v>72</v>
      </c>
      <c r="B429" t="n">
        <v>2</v>
      </c>
      <c r="C429" t="inlineStr">
        <is>
          <t>GT_CT13.txt</t>
        </is>
      </c>
      <c r="D429" s="3" t="inlineStr">
        <is>
          <t>Pertemuan 13: Pengenalan Struktur Data</t>
        </is>
      </c>
      <c r="E429" t="n">
        <v>0.7169</v>
      </c>
      <c r="F429" t="inlineStr">
        <is>
          <t>✓</t>
        </is>
      </c>
      <c r="G429" t="inlineStr">
        <is>
          <t>✓</t>
        </is>
      </c>
      <c r="H429" s="3" t="inlineStr">
        <is>
          <t>teratas, selama stack masih berisi data (tidak kosong). Data yang dikeluarkan melalui operasi pop sekaligus dihapus dari stack sehingga jumlah data yang tersimpan berkurang.  Simulasi rangkaian instruksi: push 5 → push 7</t>
        </is>
      </c>
    </row>
    <row r="430">
      <c r="A430" t="n">
        <v>72</v>
      </c>
      <c r="B430" t="n">
        <v>3</v>
      </c>
      <c r="C430" t="inlineStr">
        <is>
          <t>GT_SUBTOPIK_14_Kompleksitas_BigO.txt</t>
        </is>
      </c>
      <c r="D430" s="3" t="inlineStr">
        <is>
          <t>Subtopik: Kompleksitas Algoritme (Big-O Notation)</t>
        </is>
      </c>
      <c r="E430" t="n">
        <v>0.6993</v>
      </c>
      <c r="F430" t="inlineStr">
        <is>
          <t>✓</t>
        </is>
      </c>
      <c r="G430" t="inlineStr">
        <is>
          <t>✓</t>
        </is>
      </c>
      <c r="H430" s="3" t="inlineStr">
        <is>
          <t>o       if arr[j] &gt; arr[j+1] then swap(arr[j], arr[j+1])   maks = arr[n]  Bandingkan kompleksitas dan rekomendasikan yang lebih baik!  JAWABAN: Algoritme A: O(n) -- satu pass, n-1 perbandingan Algoritme B: O(n^2) -- bubb</t>
        </is>
      </c>
    </row>
    <row r="431">
      <c r="A431" t="n">
        <v>72</v>
      </c>
      <c r="B431" t="n">
        <v>4</v>
      </c>
      <c r="C431" t="inlineStr">
        <is>
          <t>GT_CT13.txt</t>
        </is>
      </c>
      <c r="D431" s="3" t="inlineStr">
        <is>
          <t>Pertemuan 13: Pengenalan Struktur Data</t>
        </is>
      </c>
      <c r="E431" t="n">
        <v>0.6961000000000001</v>
      </c>
      <c r="F431" t="inlineStr">
        <is>
          <t>✓</t>
        </is>
      </c>
      <c r="G431" t="inlineStr">
        <is>
          <t>✓</t>
        </is>
      </c>
      <c r="H431" s="3" t="inlineStr">
        <is>
          <t>-------------------  Ground Truth:  Sebagai lawan dari stack, terdapat struktur data queue. Queue dalam istilah sehari-hari berarti antrian. Dalam sebuah antrian, urutan pemrosesan harus sesuai dengan urutan kedatangan o</t>
        </is>
      </c>
    </row>
    <row r="432">
      <c r="A432" t="n">
        <v>72</v>
      </c>
      <c r="B432" t="n">
        <v>5</v>
      </c>
      <c r="C432" t="inlineStr">
        <is>
          <t>GT_SUBTOPIK_14_Kompleksitas_BigO.txt</t>
        </is>
      </c>
      <c r="D432" s="3" t="inlineStr">
        <is>
          <t>Subtopik: Kompleksitas Algoritme (Big-O Notation)</t>
        </is>
      </c>
      <c r="E432" t="n">
        <v>0.6899999999999999</v>
      </c>
      <c r="F432" t="inlineStr">
        <is>
          <t>✓</t>
        </is>
      </c>
      <c r="G432" t="inlineStr">
        <is>
          <t>✓</t>
        </is>
      </c>
      <c r="H432" s="3" t="inlineStr">
        <is>
          <t>ngan ke array, lalu hitung rata-rata c) Fibonacci rekursif fib(n) d) Fibonacci iteratif dengan dua variabel  JAWABAN: a) O(1) space -- hanya butuh 2 variabel (sum dan count), tidak peduli berapa besar n  b) O(n) space --</t>
        </is>
      </c>
    </row>
    <row r="433">
      <c r="A433" t="n">
        <v>72</v>
      </c>
      <c r="B433" t="n">
        <v>6</v>
      </c>
      <c r="C433" t="inlineStr">
        <is>
          <t>GT_CT13.txt</t>
        </is>
      </c>
      <c r="D433" s="3" t="inlineStr">
        <is>
          <t>Pertemuan 13: Pengenalan Struktur Data</t>
        </is>
      </c>
      <c r="E433" t="n">
        <v>0.6838</v>
      </c>
      <c r="F433" t="inlineStr">
        <is>
          <t>✓</t>
        </is>
      </c>
      <c r="G433" t="inlineStr">
        <is>
          <t>✓</t>
        </is>
      </c>
      <c r="H433" s="3" t="inlineStr">
        <is>
          <t>entukan kemudahan dan efisiensi pengolahan.  Berbagai aplikasi komputer memerlukan struktur data yang sesuai dengan kebutuhannya. Sebagai contoh, aplikasi perkantoran seperti Microsoft Word atau Google Docs memerlukan st</t>
        </is>
      </c>
    </row>
    <row r="434">
      <c r="A434" t="n">
        <v>73</v>
      </c>
      <c r="B434" t="n">
        <v>1</v>
      </c>
      <c r="C434" t="inlineStr">
        <is>
          <t>GT_SUBTOPIK_14_Kompleksitas_BigO.txt</t>
        </is>
      </c>
      <c r="D434" s="3" t="inlineStr">
        <is>
          <t>Subtopik: Kompleksitas Algoritme (Big-O Notation)</t>
        </is>
      </c>
      <c r="E434" t="n">
        <v>0.6561</v>
      </c>
      <c r="F434" t="inlineStr">
        <is>
          <t>✓</t>
        </is>
      </c>
      <c r="G434" t="inlineStr">
        <is>
          <t>✓</t>
        </is>
      </c>
      <c r="H434" s="3" t="inlineStr">
        <is>
          <t>o       if arr[j] &gt; arr[j+1] then swap(arr[j], arr[j+1])   maks = arr[n]  Bandingkan kompleksitas dan rekomendasikan yang lebih baik!  JAWABAN: Algoritme A: O(n) -- satu pass, n-1 perbandingan Algoritme B: O(n^2) -- bubb</t>
        </is>
      </c>
    </row>
    <row r="435">
      <c r="A435" t="n">
        <v>73</v>
      </c>
      <c r="B435" t="n">
        <v>2</v>
      </c>
      <c r="C435" t="inlineStr">
        <is>
          <t>GT_CT03.txt</t>
        </is>
      </c>
      <c r="D435" s="3" t="inlineStr">
        <is>
          <t>Pertemuan 3: Problem Solving — Dekomposisi</t>
        </is>
      </c>
      <c r="E435" t="n">
        <v>0.6489</v>
      </c>
      <c r="F435" t="inlineStr">
        <is>
          <t>✓</t>
        </is>
      </c>
      <c r="G435" t="inlineStr">
        <is>
          <t>✓</t>
        </is>
      </c>
      <c r="H435" s="3" t="inlineStr">
        <is>
          <t xml:space="preserve"> terstruktur dan sistematis. Kata kunci dari konsep dekomposisi adalah: BREAKING BIG PROBLEMS INTO SMALLER AND EASIER TO MANAGE PROBLEMS.  Prinsip dekomposisi mengikuti pola hierarkis, di mana sebuah masalah besar (misal</t>
        </is>
      </c>
    </row>
    <row r="436">
      <c r="A436" t="n">
        <v>73</v>
      </c>
      <c r="B436" t="n">
        <v>3</v>
      </c>
      <c r="C436" t="inlineStr">
        <is>
          <t>GT_SUBTOPIK_14_Kompleksitas_BigO.txt</t>
        </is>
      </c>
      <c r="D436" s="3" t="inlineStr">
        <is>
          <t>Subtopik: Kompleksitas Algoritme (Big-O Notation)</t>
        </is>
      </c>
      <c r="E436" t="n">
        <v>0.6455</v>
      </c>
      <c r="F436" t="inlineStr">
        <is>
          <t>✓</t>
        </is>
      </c>
      <c r="G436" t="inlineStr">
        <is>
          <t>✓</t>
        </is>
      </c>
      <c r="H436" s="3" t="inlineStr">
        <is>
          <t>ngan ke array, lalu hitung rata-rata c) Fibonacci rekursif fib(n) d) Fibonacci iteratif dengan dua variabel  JAWABAN: a) O(1) space -- hanya butuh 2 variabel (sum dan count), tidak peduli berapa besar n  b) O(n) space --</t>
        </is>
      </c>
    </row>
    <row r="437">
      <c r="A437" t="n">
        <v>73</v>
      </c>
      <c r="B437" t="n">
        <v>4</v>
      </c>
      <c r="C437" t="inlineStr">
        <is>
          <t>GT_SUBTOPIK_04_Modulo_Siklus.txt</t>
        </is>
      </c>
      <c r="D437" s="3" t="inlineStr">
        <is>
          <t>Subtopik: Pattern Recognition — Modulo dan Siklus</t>
        </is>
      </c>
      <c r="E437" t="n">
        <v>0.6427</v>
      </c>
      <c r="F437" t="inlineStr">
        <is>
          <t>✓</t>
        </is>
      </c>
      <c r="G437" t="inlineStr">
        <is>
          <t>✓</t>
        </is>
      </c>
      <c r="H437" s="3" t="inlineStr">
        <is>
          <t>1×24 = 1000 - 984 = 16 08:00 + 16 jam = 24:00 = 00:00 (tengah malam) JAWABAN: Jam 00:00 (tengah malam)  [SOAL 5 — Masalah Coklat Bebek dengan Modulo] Dengan pola deret segitiga n(n+1)/2, tuliskan pseudocode untuk mencari</t>
        </is>
      </c>
    </row>
    <row r="438">
      <c r="A438" t="n">
        <v>73</v>
      </c>
      <c r="B438" t="n">
        <v>5</v>
      </c>
      <c r="C438" t="inlineStr">
        <is>
          <t>GT_CT01.txt</t>
        </is>
      </c>
      <c r="D438" s="3" t="inlineStr">
        <is>
          <t>Pertemuan 1: Kontrak Perkuliahan dan Pendahuluan</t>
        </is>
      </c>
      <c r="E438" t="n">
        <v>0.6363</v>
      </c>
      <c r="F438" t="inlineStr">
        <is>
          <t>✓</t>
        </is>
      </c>
      <c r="G438" t="inlineStr">
        <is>
          <t>✓</t>
        </is>
      </c>
      <c r="H438" s="3" t="inlineStr">
        <is>
          <t xml:space="preserve"> komputasi terbaru mencakup komputer yang dibuat dari neuron manusia (organoid computing) serta robot yang dilatih menggunakan AI, seperti robot DeepMind milik Google yang dilatih untuk bermain tenis meja.  Dalam konteks</t>
        </is>
      </c>
    </row>
    <row r="439">
      <c r="A439" t="n">
        <v>73</v>
      </c>
      <c r="B439" t="n">
        <v>6</v>
      </c>
      <c r="C439" t="inlineStr">
        <is>
          <t>GT_SUBTOPIK_14_Kompleksitas_BigO.txt</t>
        </is>
      </c>
      <c r="D439" s="3" t="inlineStr">
        <is>
          <t>Subtopik: Kompleksitas Algoritme (Big-O Notation)</t>
        </is>
      </c>
      <c r="E439" t="n">
        <v>0.6344</v>
      </c>
      <c r="F439" t="inlineStr">
        <is>
          <t>✓</t>
        </is>
      </c>
      <c r="G439" t="inlineStr">
        <is>
          <t>✓</t>
        </is>
      </c>
      <c r="H439" s="3" t="inlineStr">
        <is>
          <t xml:space="preserve"> langkah sortir  Versi C (hash set, O(n) average):   buat set kosong   for setiap x dalam arr do          // O(n)     pelengkap = target - x     if pelengkap ada di set then return True     masukkan x ke set   return Fal</t>
        </is>
      </c>
    </row>
    <row r="440">
      <c r="A440" t="n">
        <v>74</v>
      </c>
      <c r="B440" t="n">
        <v>1</v>
      </c>
      <c r="C440" t="inlineStr">
        <is>
          <t>GT_DETAIL_PT04_Abstraksi.txt</t>
        </is>
      </c>
      <c r="D440" s="3" t="inlineStr">
        <is>
          <t>Pertemuan 4: Problem Solving — Abstraksi</t>
        </is>
      </c>
      <c r="E440" t="n">
        <v>0.6988</v>
      </c>
      <c r="F440" t="inlineStr">
        <is>
          <t>✓</t>
        </is>
      </c>
      <c r="G440" t="inlineStr">
        <is>
          <t>✓</t>
        </is>
      </c>
      <c r="H440" s="3" t="inlineStr">
        <is>
          <t xml:space="preserve"> R(7)? R sudah → U(15) saja Lift 2: T(12) = 12 kg → 1 berang. Atau U(15) = 15 kg → 1 berang. Total terangkut: 5 berang (Lift 1: P,Q,R,S + Lift 2: T atau U). V tidak terangkut + U atau T.  [SOAL 4 — Abstraksi dalam Kehidu</t>
        </is>
      </c>
    </row>
    <row r="441">
      <c r="A441" t="n">
        <v>74</v>
      </c>
      <c r="B441" t="n">
        <v>2</v>
      </c>
      <c r="C441" t="inlineStr">
        <is>
          <t>GT_DETAIL_PT01_Pendahuluan.txt</t>
        </is>
      </c>
      <c r="D441" s="3" t="inlineStr">
        <is>
          <t>Pertemuan 1: Pendahuluan &amp; Kontrak Perkuliahan</t>
        </is>
      </c>
      <c r="E441" t="n">
        <v>0.6974</v>
      </c>
      <c r="F441" t="inlineStr">
        <is>
          <t>✓</t>
        </is>
      </c>
      <c r="G441" t="inlineStr">
        <is>
          <t>✓</t>
        </is>
      </c>
      <c r="H441" s="3" t="inlineStr">
        <is>
          <t>n      : Fokus hanya pada informasi penting: nama mata kuliah, jumlah SKS, jadwal                      kuliah tetap, dan preferensi waktu belajar. Mengabaikan detail seperti                      konten setiap mata kuliah</t>
        </is>
      </c>
    </row>
    <row r="442">
      <c r="A442" t="n">
        <v>74</v>
      </c>
      <c r="B442" t="n">
        <v>3</v>
      </c>
      <c r="C442" t="inlineStr">
        <is>
          <t>GT_DETAIL_PT13_Struktur_Data.txt</t>
        </is>
      </c>
      <c r="D442" s="3" t="inlineStr">
        <is>
          <t>Pertemuan 13: Pengenalan Struktur Data</t>
        </is>
      </c>
      <c r="E442" t="n">
        <v>0.6912</v>
      </c>
      <c r="F442" t="inlineStr">
        <is>
          <t>✓</t>
        </is>
      </c>
      <c r="G442" t="inlineStr">
        <is>
          <t>✓</t>
        </is>
      </c>
      <c r="H442" s="3" t="inlineStr">
        <is>
          <t>pek      | STACK (LIFO)      | QUEUE (FIFO) -----------|-------------------|------------------ Prinsip    | Last In First Out | First In First Out Tambah data| push (ke atas)    | enqueue (ke belakang) Ambil data | pop (</t>
        </is>
      </c>
    </row>
    <row r="443">
      <c r="A443" t="n">
        <v>74</v>
      </c>
      <c r="B443" t="n">
        <v>4</v>
      </c>
      <c r="C443" t="inlineStr">
        <is>
          <t>GT_SUBTOPIK_02_Abstraksi_Formulasi.txt</t>
        </is>
      </c>
      <c r="D443" s="3" t="inlineStr">
        <is>
          <t>Subtopik: Abstraksi — Formulasi Problem (Problem/Goal/Batasan/Data)</t>
        </is>
      </c>
      <c r="E443" t="n">
        <v>0.6899</v>
      </c>
      <c r="F443" t="inlineStr">
        <is>
          <t>✓</t>
        </is>
      </c>
      <c r="G443" t="inlineStr">
        <is>
          <t>✓</t>
        </is>
      </c>
      <c r="H443" s="3" t="inlineStr">
        <is>
          <t>Total anggaran = Rp 50 juta  YANG DIABAIKAN (bukan data relevan):   - Warna/merek item (tidak mempengaruhi produktivitas)   - Nama vendor/supplier   - Tanggal pengiriman (asumsi semua tersedia)  [SOAL 5 — Abstraksi: Jadw</t>
        </is>
      </c>
    </row>
    <row r="444">
      <c r="A444" t="n">
        <v>74</v>
      </c>
      <c r="B444" t="n">
        <v>5</v>
      </c>
      <c r="C444" t="inlineStr">
        <is>
          <t>GT_SUBTOPIK_01_Dekomposisi_Optimasi.txt</t>
        </is>
      </c>
      <c r="D444" s="3" t="inlineStr">
        <is>
          <t>Subtopik: Dekomposisi — Optimasi dan Pemecahan Masalah Terstruktur</t>
        </is>
      </c>
      <c r="E444" t="n">
        <v>0.6898</v>
      </c>
      <c r="F444" t="inlineStr">
        <is>
          <t>✓</t>
        </is>
      </c>
      <c r="G444" t="inlineStr">
        <is>
          <t>✓</t>
        </is>
      </c>
      <c r="H444" s="3" t="inlineStr">
        <is>
          <t>11=28 ✗   P(4)+Q(6)+R(7) = 17, tambah S(9)? 17+9=26 ✗   P(4)+Q(6)+R(7) = 17 (+8 sisa) → tidak ada paket 7 atau 8, coba...   P(4)+Q(6)+S(9) = 19, tambah T? 19+11=30 ✗; R? 19+7=26 ✗   P(4)+Q(6) = 10, +R(7)=17, +T(11)? 28 ✗</t>
        </is>
      </c>
    </row>
    <row r="445">
      <c r="A445" t="n">
        <v>74</v>
      </c>
      <c r="B445" t="n">
        <v>6</v>
      </c>
      <c r="C445" t="inlineStr">
        <is>
          <t>GT_CT07.txt</t>
        </is>
      </c>
      <c r="D445" s="3" t="inlineStr">
        <is>
          <t>Pertemuan 7: Algoritme — Notasi Algoritme</t>
        </is>
      </c>
      <c r="E445" t="n">
        <v>0.6881</v>
      </c>
      <c r="F445" t="inlineStr">
        <is>
          <t>✓</t>
        </is>
      </c>
      <c r="G445" t="inlineStr">
        <is>
          <t>✓</t>
        </is>
      </c>
      <c r="H445" s="3" t="inlineStr">
        <is>
          <t>) dan selisih angka yang dicari (d). Output: banyaknya pasangan bilangan dengan selisih sebesar d (p). Proses: (a) Urutkan n bilangan secara menaik menjadi m1, m2, ..., mn; (b) Inisialisasi p = 0; (c) Untuk setiap i dari</t>
        </is>
      </c>
    </row>
    <row r="446">
      <c r="A446" t="n">
        <v>75</v>
      </c>
      <c r="B446" t="n">
        <v>1</v>
      </c>
      <c r="C446" t="inlineStr">
        <is>
          <t>GT_SUBTOPIK_04_Modulo_Siklus.txt</t>
        </is>
      </c>
      <c r="D446" s="3" t="inlineStr">
        <is>
          <t>Subtopik: Pattern Recognition — Modulo dan Siklus</t>
        </is>
      </c>
      <c r="E446" t="n">
        <v>0.7608</v>
      </c>
      <c r="F446" t="inlineStr">
        <is>
          <t>✓</t>
        </is>
      </c>
      <c r="G446" t="inlineStr">
        <is>
          <t>✓</t>
        </is>
      </c>
      <c r="H446" s="3" t="inlineStr">
        <is>
          <t>1×24 = 1000 - 984 = 16 08:00 + 16 jam = 24:00 = 00:00 (tengah malam) JAWABAN: Jam 00:00 (tengah malam)  [SOAL 5 — Masalah Coklat Bebek dengan Modulo] Dengan pola deret segitiga n(n+1)/2, tuliskan pseudocode untuk mencari</t>
        </is>
      </c>
    </row>
    <row r="447">
      <c r="A447" t="n">
        <v>75</v>
      </c>
      <c r="B447" t="n">
        <v>2</v>
      </c>
      <c r="C447" t="inlineStr">
        <is>
          <t>GT_CT09.txt</t>
        </is>
      </c>
      <c r="D447" s="3" t="inlineStr">
        <is>
          <t>Pertemuan 9: Elemen Pseudocode — Variabel, Operator, Tipe Data, dan List</t>
        </is>
      </c>
      <c r="E447" t="n">
        <v>0.7453</v>
      </c>
      <c r="F447" t="inlineStr">
        <is>
          <t>✓</t>
        </is>
      </c>
      <c r="G447" t="inlineStr">
        <is>
          <t>✓</t>
        </is>
      </c>
      <c r="H447" s="3" t="inlineStr">
        <is>
          <t>ama dengan (==), tidak sama dengan (!=), lebih besar dari (&gt;), lebih kecil dari (&lt;), lebih besar atau sama dengan (&gt;=), dan lebih kecil atau sama dengan (&lt;=).  4. Logical Operator (Operator Logika): Digunakan untuk mengg</t>
        </is>
      </c>
    </row>
    <row r="448">
      <c r="A448" t="n">
        <v>75</v>
      </c>
      <c r="B448" t="n">
        <v>3</v>
      </c>
      <c r="C448" t="inlineStr">
        <is>
          <t>GT_DETAIL_PT05_Pattern_Recognition.txt</t>
        </is>
      </c>
      <c r="D448" s="3" t="inlineStr">
        <is>
          <t>Pertemuan 5: Pattern Recognition (Pengenalan Pola)</t>
        </is>
      </c>
      <c r="E448" t="n">
        <v>0.745</v>
      </c>
      <c r="F448" t="inlineStr">
        <is>
          <t>✓</t>
        </is>
      </c>
      <c r="G448" t="inlineStr">
        <is>
          <t>✓</t>
        </is>
      </c>
      <c r="H448" s="3" t="inlineStr">
        <is>
          <t>3=27(7), 3^4=81(1), 3^5=243(3) → siklus 4: 3,9,7,1 c) 2024 mod 4 = 0 → digit terakhir = 1  [SOAL 3 — Pola Bilangan] Temukan pola dari barisan berikut dan tentukan suku ke-10: a) 2, 5, 10, 17, 26, ... b) 1, 1, 2, 3, 5, 8,</t>
        </is>
      </c>
    </row>
    <row r="449">
      <c r="A449" t="n">
        <v>75</v>
      </c>
      <c r="B449" t="n">
        <v>4</v>
      </c>
      <c r="C449" t="inlineStr">
        <is>
          <t>GT_CT09.txt</t>
        </is>
      </c>
      <c r="D449" s="3" t="inlineStr">
        <is>
          <t>Pertemuan 9: Elemen Pseudocode — Variabel, Operator, Tipe Data, dan List</t>
        </is>
      </c>
      <c r="E449" t="n">
        <v>0.7374000000000001</v>
      </c>
      <c r="F449" t="inlineStr">
        <is>
          <t>✓</t>
        </is>
      </c>
      <c r="G449" t="inlineStr">
        <is>
          <t>✓</t>
        </is>
      </c>
      <c r="H449" s="3" t="inlineStr">
        <is>
          <t>ga konsistensi dan keterbacaan algoritme. Variabel umumnya bersifat case-sensitive, artinya membedakan huruf besar dan huruf kecil (misalnya, "Data", "data", dan "DATA" diperlakukan sebagai tiga variabel yang berbeda). V</t>
        </is>
      </c>
    </row>
    <row r="450">
      <c r="A450" t="n">
        <v>75</v>
      </c>
      <c r="B450" t="n">
        <v>5</v>
      </c>
      <c r="C450" t="inlineStr">
        <is>
          <t>GT_SUBTOPIK_01_Dekomposisi_Optimasi.txt</t>
        </is>
      </c>
      <c r="D450" s="3" t="inlineStr">
        <is>
          <t>Subtopik: Dekomposisi — Optimasi dan Pemecahan Masalah Terstruktur</t>
        </is>
      </c>
      <c r="E450" t="n">
        <v>0.7312</v>
      </c>
      <c r="F450" t="inlineStr">
        <is>
          <t>✓</t>
        </is>
      </c>
      <c r="G450" t="inlineStr">
        <is>
          <t>✓</t>
        </is>
      </c>
      <c r="H450" s="3" t="inlineStr">
        <is>
          <t>nan+P3K = 14 kg, nilai=31 ← terbesar sejauh ini Semua 5 barang = 5+3+4+6+2=20 ✗  JAWABAN: Bawa Tenda+Sleeping bag+Makanan+P3K = 14 kg, nilai total = 31.  [SOAL 7 — Dekomposisi Masalah Pencarian] Jelaskan bagaimana dekomp</t>
        </is>
      </c>
    </row>
    <row r="451">
      <c r="A451" t="n">
        <v>75</v>
      </c>
      <c r="B451" t="n">
        <v>6</v>
      </c>
      <c r="C451" t="inlineStr">
        <is>
          <t>GT_SUBTOPIK_14_Kompleksitas_BigO.txt</t>
        </is>
      </c>
      <c r="D451" s="3" t="inlineStr">
        <is>
          <t>Subtopik: Kompleksitas Algoritme (Big-O Notation)</t>
        </is>
      </c>
      <c r="E451" t="n">
        <v>0.7304</v>
      </c>
      <c r="F451" t="inlineStr">
        <is>
          <t>✓</t>
        </is>
      </c>
      <c r="G451" t="inlineStr">
        <is>
          <t>✓</t>
        </is>
      </c>
      <c r="H451" s="3" t="inlineStr">
        <is>
          <t xml:space="preserve"> (sangat cepat)   O(n log n)  : 1.000*10 / 10^8 = 0,0001 detik (cepat)   O(n^2)      : 10^6 / 10^8 = 0,01 detik (masih oke)   O(2^n)      : 2^1000 / 10^8 = TIDAK MUNGKIN selesai (lebih besar dari umur alam semesta!)  Unt</t>
        </is>
      </c>
    </row>
    <row r="452">
      <c r="A452" t="n">
        <v>76</v>
      </c>
      <c r="B452" t="n">
        <v>1</v>
      </c>
      <c r="C452" t="inlineStr">
        <is>
          <t>GT_SUBTOPIK_11_Rekursi.txt</t>
        </is>
      </c>
      <c r="D452" s="3" t="inlineStr">
        <is>
          <t>Subtopik: Rekursi (Recursion)</t>
        </is>
      </c>
      <c r="E452" t="n">
        <v>0.7419</v>
      </c>
      <c r="F452" t="inlineStr">
        <is>
          <t>✓</t>
        </is>
      </c>
      <c r="G452" t="inlineStr">
        <is>
          <t>✓</t>
        </is>
      </c>
      <c r="H452" s="3" t="inlineStr">
        <is>
          <t xml:space="preserve">turn reverse(substring(s, 2, panjang(s))) + s[1]  Trace reverse("ABCD"):   reverse("ABCD") = reverse("BCD") + "A"                   = (reverse("CD") + "B") + "A"                   = ((reverse("D") + "C") + "B") + "A"    </t>
        </is>
      </c>
    </row>
    <row r="453">
      <c r="A453" t="n">
        <v>76</v>
      </c>
      <c r="B453" t="n">
        <v>2</v>
      </c>
      <c r="C453" t="inlineStr">
        <is>
          <t>GT_SUBTOPIK_14_Kompleksitas_BigO.txt</t>
        </is>
      </c>
      <c r="D453" s="3" t="inlineStr">
        <is>
          <t>Subtopik: Kompleksitas Algoritme (Big-O Notation)</t>
        </is>
      </c>
      <c r="E453" t="n">
        <v>0.7411</v>
      </c>
      <c r="F453" t="inlineStr">
        <is>
          <t>✓</t>
        </is>
      </c>
      <c r="G453" t="inlineStr">
        <is>
          <t>✓</t>
        </is>
      </c>
      <c r="H453" s="3" t="inlineStr">
        <is>
          <t xml:space="preserve"> (sangat cepat)   O(n log n)  : 1.000*10 / 10^8 = 0,0001 detik (cepat)   O(n^2)      : 10^6 / 10^8 = 0,01 detik (masih oke)   O(2^n)      : 2^1000 / 10^8 = TIDAK MUNGKIN selesai (lebih besar dari umur alam semesta!)  Unt</t>
        </is>
      </c>
    </row>
    <row r="454">
      <c r="A454" t="n">
        <v>76</v>
      </c>
      <c r="B454" t="n">
        <v>3</v>
      </c>
      <c r="C454" t="inlineStr">
        <is>
          <t>GT_DETAIL_PT07_Notasi_Algoritme.txt</t>
        </is>
      </c>
      <c r="D454" s="3" t="inlineStr">
        <is>
          <t>Pertemuan 7: Algoritme — Notasi Algoritme</t>
        </is>
      </c>
      <c r="E454" t="n">
        <v>0.7282999999999999</v>
      </c>
      <c r="F454" t="inlineStr">
        <is>
          <t>✓</t>
        </is>
      </c>
      <c r="G454" t="inlineStr">
        <is>
          <t>✓</t>
        </is>
      </c>
      <c r="H454" s="3" t="inlineStr">
        <is>
          <t xml:space="preserve">put. 2. Space Complexity (Kompleksitas Ruang): memori tambahan yang diperlukan.  Notasi Big-O [O()]: - O(1)    : Konstan — waktu tidak bergantung pada ukuran input - O(log n): Logaritmik — sangat efisien (contoh: binary </t>
        </is>
      </c>
    </row>
    <row r="455">
      <c r="A455" t="n">
        <v>76</v>
      </c>
      <c r="B455" t="n">
        <v>4</v>
      </c>
      <c r="C455" t="inlineStr">
        <is>
          <t>GT_SUBTOPIK_04_Modulo_Siklus.txt</t>
        </is>
      </c>
      <c r="D455" s="3" t="inlineStr">
        <is>
          <t>Subtopik: Pattern Recognition — Modulo dan Siklus</t>
        </is>
      </c>
      <c r="E455" t="n">
        <v>0.712</v>
      </c>
      <c r="F455" t="inlineStr">
        <is>
          <t>✓</t>
        </is>
      </c>
      <c r="G455" t="inlineStr">
        <is>
          <t>✓</t>
        </is>
      </c>
      <c r="H455" s="3" t="inlineStr">
        <is>
          <t>1×24 = 1000 - 984 = 16 08:00 + 16 jam = 24:00 = 00:00 (tengah malam) JAWABAN: Jam 00:00 (tengah malam)  [SOAL 5 — Masalah Coklat Bebek dengan Modulo] Dengan pola deret segitiga n(n+1)/2, tuliskan pseudocode untuk mencari</t>
        </is>
      </c>
    </row>
    <row r="456">
      <c r="A456" t="n">
        <v>76</v>
      </c>
      <c r="B456" t="n">
        <v>5</v>
      </c>
      <c r="C456" t="inlineStr">
        <is>
          <t>GT_CT09.txt</t>
        </is>
      </c>
      <c r="D456" s="3" t="inlineStr">
        <is>
          <t>Pertemuan 9: Elemen Pseudocode — Variabel, Operator, Tipe Data, dan List</t>
        </is>
      </c>
      <c r="E456" t="n">
        <v>0.7052</v>
      </c>
      <c r="F456" t="inlineStr">
        <is>
          <t>✓</t>
        </is>
      </c>
      <c r="G456" t="inlineStr">
        <is>
          <t>✓</t>
        </is>
      </c>
      <c r="H456" s="3" t="inlineStr">
        <is>
          <t>ama dengan (==), tidak sama dengan (!=), lebih besar dari (&gt;), lebih kecil dari (&lt;), lebih besar atau sama dengan (&gt;=), dan lebih kecil atau sama dengan (&lt;=).  4. Logical Operator (Operator Logika): Digunakan untuk mengg</t>
        </is>
      </c>
    </row>
    <row r="457">
      <c r="A457" t="n">
        <v>76</v>
      </c>
      <c r="B457" t="n">
        <v>6</v>
      </c>
      <c r="C457" t="inlineStr">
        <is>
          <t>GT_SUBTOPIK_05_Pseudocode_Algoritme.txt</t>
        </is>
      </c>
      <c r="D457" s="3" t="inlineStr">
        <is>
          <t>Subtopik: Pseudocode dan Notasi Algoritme</t>
        </is>
      </c>
      <c r="E457" t="n">
        <v>0.704</v>
      </c>
      <c r="F457" t="inlineStr">
        <is>
          <t>✓</t>
        </is>
      </c>
      <c r="G457" t="inlineStr">
        <is>
          <t>✓</t>
        </is>
      </c>
      <c r="H457" s="3" t="inlineStr">
        <is>
          <t>)   : eksponensial (brute force kombinasi)  ---------------------------------------------------------------- CONTOH SOAL DAN PEMBAHASAN ----------------------------------------------------------------  [SOAL 1 — Pseudoco</t>
        </is>
      </c>
    </row>
    <row r="458">
      <c r="A458" t="n">
        <v>77</v>
      </c>
      <c r="B458" t="n">
        <v>1</v>
      </c>
      <c r="C458" t="inlineStr">
        <is>
          <t>GT_SUBTOPIK_14_Kompleksitas_BigO.txt</t>
        </is>
      </c>
      <c r="D458" s="3" t="inlineStr">
        <is>
          <t>Subtopik: Kompleksitas Algoritme (Big-O Notation)</t>
        </is>
      </c>
      <c r="E458" t="n">
        <v>0.7659</v>
      </c>
      <c r="F458" t="inlineStr">
        <is>
          <t>✓</t>
        </is>
      </c>
      <c r="G458" t="inlineStr">
        <is>
          <t>✓</t>
        </is>
      </c>
      <c r="H458" s="3" t="inlineStr">
        <is>
          <t>o       if arr[j] &gt; arr[j+1] then swap(arr[j], arr[j+1])   maks = arr[n]  Bandingkan kompleksitas dan rekomendasikan yang lebih baik!  JAWABAN: Algoritme A: O(n) -- satu pass, n-1 perbandingan Algoritme B: O(n^2) -- bubb</t>
        </is>
      </c>
    </row>
    <row r="459">
      <c r="A459" t="n">
        <v>77</v>
      </c>
      <c r="B459" t="n">
        <v>2</v>
      </c>
      <c r="C459" t="inlineStr">
        <is>
          <t>GT_SUBTOPIK_14_Kompleksitas_BigO.txt</t>
        </is>
      </c>
      <c r="D459" s="3" t="inlineStr">
        <is>
          <t>Subtopik: Kompleksitas Algoritme (Big-O Notation)</t>
        </is>
      </c>
      <c r="E459" t="n">
        <v>0.7378</v>
      </c>
      <c r="F459" t="inlineStr">
        <is>
          <t>✓</t>
        </is>
      </c>
      <c r="G459" t="inlineStr">
        <is>
          <t>✓</t>
        </is>
      </c>
      <c r="H459" s="3" t="inlineStr">
        <is>
          <t xml:space="preserve"> langkah sortir  Versi C (hash set, O(n) average):   buat set kosong   for setiap x dalam arr do          // O(n)     pelengkap = target - x     if pelengkap ada di set then return True     masukkan x ke set   return Fal</t>
        </is>
      </c>
    </row>
    <row r="460">
      <c r="A460" t="n">
        <v>77</v>
      </c>
      <c r="B460" t="n">
        <v>3</v>
      </c>
      <c r="C460" t="inlineStr">
        <is>
          <t>GT_DETAIL_PT07_Notasi_Algoritme.txt</t>
        </is>
      </c>
      <c r="D460" s="3" t="inlineStr">
        <is>
          <t>Pertemuan 7: Algoritme — Notasi Algoritme</t>
        </is>
      </c>
      <c r="E460" t="n">
        <v>0.7215</v>
      </c>
      <c r="F460" t="inlineStr">
        <is>
          <t>✓</t>
        </is>
      </c>
      <c r="G460" t="inlineStr">
        <is>
          <t>✓</t>
        </is>
      </c>
      <c r="H460" s="3" t="inlineStr">
        <is>
          <t xml:space="preserve">put. 2. Space Complexity (Kompleksitas Ruang): memori tambahan yang diperlukan.  Notasi Big-O [O()]: - O(1)    : Konstan — waktu tidak bergantung pada ukuran input - O(log n): Logaritmik — sangat efisien (contoh: binary </t>
        </is>
      </c>
    </row>
    <row r="461">
      <c r="A461" t="n">
        <v>77</v>
      </c>
      <c r="B461" t="n">
        <v>4</v>
      </c>
      <c r="C461" t="inlineStr">
        <is>
          <t>GT_SUBTOPIK_14_Kompleksitas_BigO.txt</t>
        </is>
      </c>
      <c r="D461" s="3" t="inlineStr">
        <is>
          <t>Subtopik: Kompleksitas Algoritme (Big-O Notation)</t>
        </is>
      </c>
      <c r="E461" t="n">
        <v>0.72</v>
      </c>
      <c r="F461" t="inlineStr">
        <is>
          <t>✓</t>
        </is>
      </c>
      <c r="G461" t="inlineStr">
        <is>
          <t>✓</t>
        </is>
      </c>
      <c r="H461" s="3" t="inlineStr">
        <is>
          <t>ngan ke array, lalu hitung rata-rata c) Fibonacci rekursif fib(n) d) Fibonacci iteratif dengan dua variabel  JAWABAN: a) O(1) space -- hanya butuh 2 variabel (sum dan count), tidak peduli berapa besar n  b) O(n) space --</t>
        </is>
      </c>
    </row>
    <row r="462">
      <c r="A462" t="n">
        <v>77</v>
      </c>
      <c r="B462" t="n">
        <v>5</v>
      </c>
      <c r="C462" t="inlineStr">
        <is>
          <t>GT_CT13.txt</t>
        </is>
      </c>
      <c r="D462" s="3" t="inlineStr">
        <is>
          <t>Pertemuan 13: Pengenalan Struktur Data</t>
        </is>
      </c>
      <c r="E462" t="n">
        <v>0.7176</v>
      </c>
      <c r="F462" t="inlineStr">
        <is>
          <t>✓</t>
        </is>
      </c>
      <c r="G462" t="inlineStr">
        <is>
          <t>✓</t>
        </is>
      </c>
      <c r="H462" s="3" t="inlineStr">
        <is>
          <t>teratas, selama stack masih berisi data (tidak kosong). Data yang dikeluarkan melalui operasi pop sekaligus dihapus dari stack sehingga jumlah data yang tersimpan berkurang.  Simulasi rangkaian instruksi: push 5 → push 7</t>
        </is>
      </c>
    </row>
    <row r="463">
      <c r="A463" t="n">
        <v>77</v>
      </c>
      <c r="B463" t="n">
        <v>6</v>
      </c>
      <c r="C463" t="inlineStr">
        <is>
          <t>GT_SUBTOPIK_14_Kompleksitas_BigO.txt</t>
        </is>
      </c>
      <c r="D463" s="3" t="inlineStr">
        <is>
          <t>Subtopik: Kompleksitas Algoritme (Big-O Notation)</t>
        </is>
      </c>
      <c r="E463" t="n">
        <v>0.7149</v>
      </c>
      <c r="F463" t="inlineStr">
        <is>
          <t>✓</t>
        </is>
      </c>
      <c r="G463" t="inlineStr">
        <is>
          <t>✓</t>
        </is>
      </c>
      <c r="H463" s="3" t="inlineStr">
        <is>
          <t xml:space="preserve"> (sangat cepat)   O(n log n)  : 1.000*10 / 10^8 = 0,0001 detik (cepat)   O(n^2)      : 10^6 / 10^8 = 0,01 detik (masih oke)   O(2^n)      : 2^1000 / 10^8 = TIDAK MUNGKIN selesai (lebih besar dari umur alam semesta!)  Unt</t>
        </is>
      </c>
    </row>
    <row r="464">
      <c r="A464" t="n">
        <v>78</v>
      </c>
      <c r="B464" t="n">
        <v>1</v>
      </c>
      <c r="C464" t="inlineStr">
        <is>
          <t>GT_SUBTOPIK_14_Kompleksitas_BigO.txt</t>
        </is>
      </c>
      <c r="D464" s="3" t="inlineStr">
        <is>
          <t>Subtopik: Kompleksitas Algoritme (Big-O Notation)</t>
        </is>
      </c>
      <c r="E464" t="n">
        <v>0.7951</v>
      </c>
      <c r="F464" t="inlineStr">
        <is>
          <t>✓</t>
        </is>
      </c>
      <c r="G464" t="inlineStr">
        <is>
          <t>✓</t>
        </is>
      </c>
      <c r="H464" s="3" t="inlineStr">
        <is>
          <t xml:space="preserve"> langkah sortir  Versi C (hash set, O(n) average):   buat set kosong   for setiap x dalam arr do          // O(n)     pelengkap = target - x     if pelengkap ada di set then return True     masukkan x ke set   return Fal</t>
        </is>
      </c>
    </row>
    <row r="465">
      <c r="A465" t="n">
        <v>78</v>
      </c>
      <c r="B465" t="n">
        <v>2</v>
      </c>
      <c r="C465" t="inlineStr">
        <is>
          <t>GT_SUBTOPIK_14_Kompleksitas_BigO.txt</t>
        </is>
      </c>
      <c r="D465" s="3" t="inlineStr">
        <is>
          <t>Subtopik: Kompleksitas Algoritme (Big-O Notation)</t>
        </is>
      </c>
      <c r="E465" t="n">
        <v>0.758</v>
      </c>
      <c r="F465" t="inlineStr">
        <is>
          <t>✓</t>
        </is>
      </c>
      <c r="G465" t="inlineStr">
        <is>
          <t>✓</t>
        </is>
      </c>
      <c r="H465" s="3" t="inlineStr">
        <is>
          <t xml:space="preserve"> (sangat cepat)   O(n log n)  : 1.000*10 / 10^8 = 0,0001 detik (cepat)   O(n^2)      : 10^6 / 10^8 = 0,01 detik (masih oke)   O(2^n)      : 2^1000 / 10^8 = TIDAK MUNGKIN selesai (lebih besar dari umur alam semesta!)  Unt</t>
        </is>
      </c>
    </row>
    <row r="466">
      <c r="A466" t="n">
        <v>78</v>
      </c>
      <c r="B466" t="n">
        <v>3</v>
      </c>
      <c r="C466" t="inlineStr">
        <is>
          <t>GT_SUBTOPIK_14_Kompleksitas_BigO.txt</t>
        </is>
      </c>
      <c r="D466" s="3" t="inlineStr">
        <is>
          <t>Subtopik: Kompleksitas Algoritme (Big-O Notation)</t>
        </is>
      </c>
      <c r="E466" t="n">
        <v>0.7514</v>
      </c>
      <c r="F466" t="inlineStr">
        <is>
          <t>✓</t>
        </is>
      </c>
      <c r="G466" t="inlineStr">
        <is>
          <t>✓</t>
        </is>
      </c>
      <c r="H466" s="3" t="inlineStr">
        <is>
          <t>o       if arr[j] &gt; arr[j+1] then swap(arr[j], arr[j+1])   maks = arr[n]  Bandingkan kompleksitas dan rekomendasikan yang lebih baik!  JAWABAN: Algoritme A: O(n) -- satu pass, n-1 perbandingan Algoritme B: O(n^2) -- bubb</t>
        </is>
      </c>
    </row>
    <row r="467">
      <c r="A467" t="n">
        <v>78</v>
      </c>
      <c r="B467" t="n">
        <v>4</v>
      </c>
      <c r="C467" t="inlineStr">
        <is>
          <t>GT_SUBTOPIK_14_Kompleksitas_BigO.txt</t>
        </is>
      </c>
      <c r="D467" s="3" t="inlineStr">
        <is>
          <t>Subtopik: Kompleksitas Algoritme (Big-O Notation)</t>
        </is>
      </c>
      <c r="E467" t="n">
        <v>0.7267</v>
      </c>
      <c r="F467" t="inlineStr">
        <is>
          <t>✓</t>
        </is>
      </c>
      <c r="G467" t="inlineStr">
        <is>
          <t>✓</t>
        </is>
      </c>
      <c r="H467" s="3">
        <f>=============================================================== GROUND TRUTH SUBTOPIK -- KOM2102 COMPUTATIONAL THINKING Subtopik: Kompleksitas Algoritme (Big-O Notation) =================================================</f>
        <v/>
      </c>
    </row>
    <row r="468">
      <c r="A468" t="n">
        <v>78</v>
      </c>
      <c r="B468" t="n">
        <v>5</v>
      </c>
      <c r="C468" t="inlineStr">
        <is>
          <t>GT_SUBTOPIK_09_Nested_Loop.txt</t>
        </is>
      </c>
      <c r="D468" s="3" t="inlineStr">
        <is>
          <t>Subtopik: Perulangan Bersarang (Nested Loop)</t>
        </is>
      </c>
      <c r="E468" t="n">
        <v>0.7228</v>
      </c>
      <c r="F468" t="inlineStr">
        <is>
          <t>✓</t>
        </is>
      </c>
      <c r="G468" t="inlineStr">
        <is>
          <t>✓</t>
        </is>
      </c>
      <c r="H468" s="3" t="inlineStr">
        <is>
          <t xml:space="preserve">  count = 0   for i = 1 to n-1 do     for j = i+1 to n do       if (nilai[i] + nilai[j] == target) then         count = count + 1   print(count)  Trace: (2,3)=5, (4,1)=5 -&gt; count=2 Kompleksitas: O(n^2)  [SOAL 9 -- Bubble</t>
        </is>
      </c>
    </row>
    <row r="469">
      <c r="A469" t="n">
        <v>78</v>
      </c>
      <c r="B469" t="n">
        <v>6</v>
      </c>
      <c r="C469" t="inlineStr">
        <is>
          <t>GT_SUBTOPIK_14_Kompleksitas_BigO.txt</t>
        </is>
      </c>
      <c r="D469" s="3" t="inlineStr">
        <is>
          <t>Subtopik: Kompleksitas Algoritme (Big-O Notation)</t>
        </is>
      </c>
      <c r="E469" t="n">
        <v>0.7167</v>
      </c>
      <c r="F469" t="inlineStr">
        <is>
          <t>✓</t>
        </is>
      </c>
      <c r="G469" t="inlineStr">
        <is>
          <t>✓</t>
        </is>
      </c>
      <c r="H469" s="3" t="inlineStr">
        <is>
          <t>ngan ke array, lalu hitung rata-rata c) Fibonacci rekursif fib(n) d) Fibonacci iteratif dengan dua variabel  JAWABAN: a) O(1) space -- hanya butuh 2 variabel (sum dan count), tidak peduli berapa besar n  b) O(n) space --</t>
        </is>
      </c>
    </row>
    <row r="470">
      <c r="A470" t="n">
        <v>79</v>
      </c>
      <c r="B470" t="n">
        <v>1</v>
      </c>
      <c r="C470" t="inlineStr">
        <is>
          <t>GT_SUBTOPIK_14_Kompleksitas_BigO.txt</t>
        </is>
      </c>
      <c r="D470" s="3" t="inlineStr">
        <is>
          <t>Subtopik: Kompleksitas Algoritme (Big-O Notation)</t>
        </is>
      </c>
      <c r="E470" t="n">
        <v>0.719</v>
      </c>
      <c r="F470" t="inlineStr">
        <is>
          <t>✓</t>
        </is>
      </c>
      <c r="G470" t="inlineStr">
        <is>
          <t>✓</t>
        </is>
      </c>
      <c r="H470" s="3" t="inlineStr">
        <is>
          <t xml:space="preserve"> (sangat cepat)   O(n log n)  : 1.000*10 / 10^8 = 0,0001 detik (cepat)   O(n^2)      : 10^6 / 10^8 = 0,01 detik (masih oke)   O(2^n)      : 2^1000 / 10^8 = TIDAK MUNGKIN selesai (lebih besar dari umur alam semesta!)  Unt</t>
        </is>
      </c>
    </row>
    <row r="471">
      <c r="A471" t="n">
        <v>79</v>
      </c>
      <c r="B471" t="n">
        <v>2</v>
      </c>
      <c r="C471" t="inlineStr">
        <is>
          <t>GT_DETAIL_PT07_Notasi_Algoritme.txt</t>
        </is>
      </c>
      <c r="D471" s="3" t="inlineStr">
        <is>
          <t>Pertemuan 7: Algoritme — Notasi Algoritme</t>
        </is>
      </c>
      <c r="E471" t="n">
        <v>0.7106</v>
      </c>
      <c r="F471" t="inlineStr">
        <is>
          <t>✓</t>
        </is>
      </c>
      <c r="G471" t="inlineStr">
        <is>
          <t>✓</t>
        </is>
      </c>
      <c r="H471" s="3" t="inlineStr">
        <is>
          <t xml:space="preserve">put. 2. Space Complexity (Kompleksitas Ruang): memori tambahan yang diperlukan.  Notasi Big-O [O()]: - O(1)    : Konstan — waktu tidak bergantung pada ukuran input - O(log n): Logaritmik — sangat efisien (contoh: binary </t>
        </is>
      </c>
    </row>
    <row r="472">
      <c r="A472" t="n">
        <v>79</v>
      </c>
      <c r="B472" t="n">
        <v>3</v>
      </c>
      <c r="C472" t="inlineStr">
        <is>
          <t>GT_DETAIL_PT07_Notasi_Algoritme.txt</t>
        </is>
      </c>
      <c r="D472" s="3" t="inlineStr">
        <is>
          <t>Pertemuan 7: Algoritme — Notasi Algoritme</t>
        </is>
      </c>
      <c r="E472" t="n">
        <v>0.7045</v>
      </c>
      <c r="F472" t="inlineStr">
        <is>
          <t>✓</t>
        </is>
      </c>
      <c r="G472" t="inlineStr">
        <is>
          <t>✓</t>
        </is>
      </c>
      <c r="H472" s="3" t="inlineStr">
        <is>
          <t>perasinya linear)  c) Rata-rata n bilangan: baca semua n bilangan + 1 pembagian → O(n) [linear]  [SOAL 5 — Pseudocode: Pesan Sandi] Tuliskan pseudocode untuk MENDEKRIPSI pesan yang dienkripsi dengan tiga langkah: (1) bal</t>
        </is>
      </c>
    </row>
    <row r="473">
      <c r="A473" t="n">
        <v>79</v>
      </c>
      <c r="B473" t="n">
        <v>4</v>
      </c>
      <c r="C473" t="inlineStr">
        <is>
          <t>GT_SUBTOPIK_05_Pseudocode_Algoritme.txt</t>
        </is>
      </c>
      <c r="D473" s="3" t="inlineStr">
        <is>
          <t>Subtopik: Pseudocode dan Notasi Algoritme</t>
        </is>
      </c>
      <c r="E473" t="n">
        <v>0.6989</v>
      </c>
      <c r="F473" t="inlineStr">
        <is>
          <t>✓</t>
        </is>
      </c>
      <c r="G473" t="inlineStr">
        <is>
          <t>✓</t>
        </is>
      </c>
      <c r="H473" s="3" t="inlineStr">
        <is>
          <t>)   : eksponensial (brute force kombinasi)  ---------------------------------------------------------------- CONTOH SOAL DAN PEMBAHASAN ----------------------------------------------------------------  [SOAL 1 — Pseudoco</t>
        </is>
      </c>
    </row>
    <row r="474">
      <c r="A474" t="n">
        <v>79</v>
      </c>
      <c r="B474" t="n">
        <v>5</v>
      </c>
      <c r="C474" t="inlineStr">
        <is>
          <t>GT_SUBTOPIK_11_Rekursi.txt</t>
        </is>
      </c>
      <c r="D474" s="3" t="inlineStr">
        <is>
          <t>Subtopik: Rekursi (Recursion)</t>
        </is>
      </c>
      <c r="E474" t="n">
        <v>0.6981000000000001</v>
      </c>
      <c r="F474" t="inlineStr">
        <is>
          <t>✓</t>
        </is>
      </c>
      <c r="G474" t="inlineStr">
        <is>
          <t>✓</t>
        </is>
      </c>
      <c r="H474" s="3" t="inlineStr">
        <is>
          <t xml:space="preserve">turn reverse(substring(s, 2, panjang(s))) + s[1]  Trace reverse("ABCD"):   reverse("ABCD") = reverse("BCD") + "A"                   = (reverse("CD") + "B") + "A"                   = ((reverse("D") + "C") + "B") + "A"    </t>
        </is>
      </c>
    </row>
    <row r="475">
      <c r="A475" t="n">
        <v>79</v>
      </c>
      <c r="B475" t="n">
        <v>6</v>
      </c>
      <c r="C475" t="inlineStr">
        <is>
          <t>GT_CT09.txt</t>
        </is>
      </c>
      <c r="D475" s="3" t="inlineStr">
        <is>
          <t>Pertemuan 9: Elemen Pseudocode — Variabel, Operator, Tipe Data, dan List</t>
        </is>
      </c>
      <c r="E475" t="n">
        <v>0.6871</v>
      </c>
      <c r="F475" t="inlineStr">
        <is>
          <t>✓</t>
        </is>
      </c>
      <c r="G475" t="inlineStr">
        <is>
          <t>✓</t>
        </is>
      </c>
      <c r="H475" s="3" t="inlineStr">
        <is>
          <t>ama dengan (==), tidak sama dengan (!=), lebih besar dari (&gt;), lebih kecil dari (&lt;), lebih besar atau sama dengan (&gt;=), dan lebih kecil atau sama dengan (&lt;=).  4. Logical Operator (Operator Logika): Digunakan untuk mengg</t>
        </is>
      </c>
    </row>
    <row r="476">
      <c r="A476" t="n">
        <v>80</v>
      </c>
      <c r="B476" t="n">
        <v>1</v>
      </c>
      <c r="C476" t="inlineStr">
        <is>
          <t>GT_CT03.txt</t>
        </is>
      </c>
      <c r="D476" s="3" t="inlineStr">
        <is>
          <t>Pertemuan 3: Problem Solving — Dekomposisi</t>
        </is>
      </c>
      <c r="E476" t="n">
        <v>0.8187</v>
      </c>
      <c r="F476" t="inlineStr">
        <is>
          <t>✓</t>
        </is>
      </c>
      <c r="G476" t="inlineStr">
        <is>
          <t>✓</t>
        </is>
      </c>
      <c r="H476" s="3" t="inlineStr">
        <is>
          <t xml:space="preserve"> terstruktur dan sistematis. Kata kunci dari konsep dekomposisi adalah: BREAKING BIG PROBLEMS INTO SMALLER AND EASIER TO MANAGE PROBLEMS.  Prinsip dekomposisi mengikuti pola hierarkis, di mana sebuah masalah besar (misal</t>
        </is>
      </c>
    </row>
    <row r="477">
      <c r="A477" t="n">
        <v>80</v>
      </c>
      <c r="B477" t="n">
        <v>2</v>
      </c>
      <c r="C477" t="inlineStr">
        <is>
          <t>GT_CT01.txt</t>
        </is>
      </c>
      <c r="D477" s="3" t="inlineStr">
        <is>
          <t>Pertemuan 1: Kontrak Perkuliahan dan Pendahuluan</t>
        </is>
      </c>
      <c r="E477" t="n">
        <v>0.7959000000000001</v>
      </c>
      <c r="F477" t="inlineStr">
        <is>
          <t>✓</t>
        </is>
      </c>
      <c r="G477" t="inlineStr">
        <is>
          <t>✓</t>
        </is>
      </c>
      <c r="H477" s="3" t="inlineStr">
        <is>
          <t>emecah masalah besar menjadi submasalah yang lebih kecil dan mudah ditangani (dekomposisi).  Berdasarkan ketentuan beban SKS, setiap mahasiswa diperkirakan menghabiskan total 340 menit atau sekitar 5 jam 40 menit per min</t>
        </is>
      </c>
    </row>
    <row r="478">
      <c r="A478" t="n">
        <v>80</v>
      </c>
      <c r="B478" t="n">
        <v>3</v>
      </c>
      <c r="C478" t="inlineStr">
        <is>
          <t>GT_CT09.txt</t>
        </is>
      </c>
      <c r="D478" s="3" t="inlineStr">
        <is>
          <t>Pertemuan 9: Elemen Pseudocode — Variabel, Operator, Tipe Data, dan List</t>
        </is>
      </c>
      <c r="E478" t="n">
        <v>0.7617</v>
      </c>
      <c r="F478" t="inlineStr">
        <is>
          <t>✓</t>
        </is>
      </c>
      <c r="G478" t="inlineStr">
        <is>
          <t>✓</t>
        </is>
      </c>
      <c r="H478" s="3" t="inlineStr">
        <is>
          <t>data yang menentukan jenis nilai yang dapat ditampung serta operasi apa yang dapat dilakukan terhadapnya. Terdapat beberapa tipe data dasar yang umum digunakan dalam algoritme dan pemrograman, antara lain:  1. Integer (B</t>
        </is>
      </c>
    </row>
    <row r="479">
      <c r="A479" t="n">
        <v>80</v>
      </c>
      <c r="B479" t="n">
        <v>4</v>
      </c>
      <c r="C479" t="inlineStr">
        <is>
          <t>GT_CT13.txt</t>
        </is>
      </c>
      <c r="D479" s="3" t="inlineStr">
        <is>
          <t>Pertemuan 13: Pengenalan Struktur Data</t>
        </is>
      </c>
      <c r="E479" t="n">
        <v>0.7473</v>
      </c>
      <c r="F479" t="inlineStr">
        <is>
          <t>✓</t>
        </is>
      </c>
      <c r="G479" t="inlineStr">
        <is>
          <t>✓</t>
        </is>
      </c>
      <c r="H479" s="3" t="inlineStr">
        <is>
          <t>ai urutan kedatangannya. - Sistem kecerdasan buatan dalam permainan catur yang merepresentasikan berbagai kemungkinan langkah ke depan: struktur data yang paling tepat adalah Tree, karena setiap kemungkinan langkah berca</t>
        </is>
      </c>
    </row>
    <row r="480">
      <c r="A480" t="n">
        <v>80</v>
      </c>
      <c r="B480" t="n">
        <v>5</v>
      </c>
      <c r="C480" t="inlineStr">
        <is>
          <t>GT_CT03.txt</t>
        </is>
      </c>
      <c r="D480" s="3" t="inlineStr">
        <is>
          <t>Pertemuan 3: Problem Solving — Dekomposisi</t>
        </is>
      </c>
      <c r="E480" t="n">
        <v>0.7405</v>
      </c>
      <c r="F480" t="inlineStr">
        <is>
          <t>✓</t>
        </is>
      </c>
      <c r="G480" t="inlineStr">
        <is>
          <t>✓</t>
        </is>
      </c>
      <c r="H480" s="3" t="inlineStr">
        <is>
          <t>pertama yang krusial adalah mengidentifikasi goal atau tujuan utama dari masalah tersebut, kemudian menentukan bagaimana masalah itu dapat didekomposisi menjadi sub-masalah yang lebih kecil.  Sebagai contoh latihan, pada</t>
        </is>
      </c>
    </row>
    <row r="481">
      <c r="A481" t="n">
        <v>80</v>
      </c>
      <c r="B481" t="n">
        <v>6</v>
      </c>
      <c r="C481" t="inlineStr">
        <is>
          <t>GT_DETAIL_PT01_Pendahuluan.txt</t>
        </is>
      </c>
      <c r="D481" s="3" t="inlineStr">
        <is>
          <t>Pertemuan 1: Pendahuluan &amp; Kontrak Perkuliahan</t>
        </is>
      </c>
      <c r="E481" t="n">
        <v>0.7383</v>
      </c>
      <c r="F481" t="inlineStr">
        <is>
          <t>✓</t>
        </is>
      </c>
      <c r="G481" t="inlineStr">
        <is>
          <t>✓</t>
        </is>
      </c>
      <c r="H481" s="3" t="inlineStr">
        <is>
          <t>n      : Fokus hanya pada informasi penting: nama mata kuliah, jumlah SKS, jadwal                      kuliah tetap, dan preferensi waktu belajar. Mengabaikan detail seperti                      konten setiap mata kuliah</t>
        </is>
      </c>
    </row>
    <row r="482">
      <c r="A482" t="n">
        <v>81</v>
      </c>
      <c r="B482" t="n">
        <v>1</v>
      </c>
      <c r="C482" t="inlineStr">
        <is>
          <t>GT_CT13.txt</t>
        </is>
      </c>
      <c r="D482" s="3" t="inlineStr">
        <is>
          <t>Pertemuan 13: Pengenalan Struktur Data</t>
        </is>
      </c>
      <c r="E482" t="n">
        <v>0.7946</v>
      </c>
      <c r="F482" t="inlineStr">
        <is>
          <t>✓</t>
        </is>
      </c>
      <c r="G482" t="inlineStr">
        <is>
          <t>✓</t>
        </is>
      </c>
      <c r="H482" s="3" t="inlineStr">
        <is>
          <t>entukan kemudahan dan efisiensi pengolahan.  Berbagai aplikasi komputer memerlukan struktur data yang sesuai dengan kebutuhannya. Sebagai contoh, aplikasi perkantoran seperti Microsoft Word atau Google Docs memerlukan st</t>
        </is>
      </c>
    </row>
    <row r="483">
      <c r="A483" t="n">
        <v>81</v>
      </c>
      <c r="B483" t="n">
        <v>2</v>
      </c>
      <c r="C483" t="inlineStr">
        <is>
          <t>GT_CT13.txt</t>
        </is>
      </c>
      <c r="D483" s="3" t="inlineStr">
        <is>
          <t>Pertemuan 13: Pengenalan Struktur Data</t>
        </is>
      </c>
      <c r="E483" t="n">
        <v>0.786</v>
      </c>
      <c r="F483" t="inlineStr">
        <is>
          <t>✓</t>
        </is>
      </c>
      <c r="G483" t="inlineStr">
        <is>
          <t>✓</t>
        </is>
      </c>
      <c r="H483" s="3" t="inlineStr">
        <is>
          <t>teratas, selama stack masih berisi data (tidak kosong). Data yang dikeluarkan melalui operasi pop sekaligus dihapus dari stack sehingga jumlah data yang tersimpan berkurang.  Simulasi rangkaian instruksi: push 5 → push 7</t>
        </is>
      </c>
    </row>
    <row r="484">
      <c r="A484" t="n">
        <v>81</v>
      </c>
      <c r="B484" t="n">
        <v>3</v>
      </c>
      <c r="C484" t="inlineStr">
        <is>
          <t>GT_CT13.txt</t>
        </is>
      </c>
      <c r="D484" s="3" t="inlineStr">
        <is>
          <t>Pertemuan 13: Pengenalan Struktur Data</t>
        </is>
      </c>
      <c r="E484" t="n">
        <v>0.7724</v>
      </c>
      <c r="F484" t="inlineStr">
        <is>
          <t>✓</t>
        </is>
      </c>
      <c r="G484" t="inlineStr">
        <is>
          <t>✓</t>
        </is>
      </c>
      <c r="H484" s="3" t="inlineStr">
        <is>
          <t>-------------------  Ground Truth:  Sebagai lawan dari stack, terdapat struktur data queue. Queue dalam istilah sehari-hari berarti antrian. Dalam sebuah antrian, urutan pemrosesan harus sesuai dengan urutan kedatangan o</t>
        </is>
      </c>
    </row>
    <row r="485">
      <c r="A485" t="n">
        <v>81</v>
      </c>
      <c r="B485" t="n">
        <v>4</v>
      </c>
      <c r="C485" t="inlineStr">
        <is>
          <t>GT_SUBTOPIK_14_Kompleksitas_BigO.txt</t>
        </is>
      </c>
      <c r="D485" s="3" t="inlineStr">
        <is>
          <t>Subtopik: Kompleksitas Algoritme (Big-O Notation)</t>
        </is>
      </c>
      <c r="E485" t="n">
        <v>0.7393</v>
      </c>
      <c r="F485" t="inlineStr">
        <is>
          <t>✓</t>
        </is>
      </c>
      <c r="G485" t="inlineStr">
        <is>
          <t>✓</t>
        </is>
      </c>
      <c r="H485" s="3" t="inlineStr">
        <is>
          <t>ngan ke array, lalu hitung rata-rata c) Fibonacci rekursif fib(n) d) Fibonacci iteratif dengan dua variabel  JAWABAN: a) O(1) space -- hanya butuh 2 variabel (sum dan count), tidak peduli berapa besar n  b) O(n) space --</t>
        </is>
      </c>
    </row>
    <row r="486">
      <c r="A486" t="n">
        <v>81</v>
      </c>
      <c r="B486" t="n">
        <v>5</v>
      </c>
      <c r="C486" t="inlineStr">
        <is>
          <t>GT_CT13.txt</t>
        </is>
      </c>
      <c r="D486" s="3" t="inlineStr">
        <is>
          <t>Pertemuan 13: Pengenalan Struktur Data</t>
        </is>
      </c>
      <c r="E486" t="n">
        <v>0.7375</v>
      </c>
      <c r="F486" t="inlineStr">
        <is>
          <t>✓</t>
        </is>
      </c>
      <c r="G486" t="inlineStr">
        <is>
          <t>✓</t>
        </is>
      </c>
      <c r="H486" s="3" t="inlineStr">
        <is>
          <t>ai urutan kedatangannya. - Sistem kecerdasan buatan dalam permainan catur yang merepresentasikan berbagai kemungkinan langkah ke depan: struktur data yang paling tepat adalah Tree, karena setiap kemungkinan langkah berca</t>
        </is>
      </c>
    </row>
    <row r="487">
      <c r="A487" t="n">
        <v>81</v>
      </c>
      <c r="B487" t="n">
        <v>6</v>
      </c>
      <c r="C487" t="inlineStr">
        <is>
          <t>GT_CT13.txt</t>
        </is>
      </c>
      <c r="D487" s="3" t="inlineStr">
        <is>
          <t>Pertemuan 13: Pengenalan Struktur Data</t>
        </is>
      </c>
      <c r="E487" t="n">
        <v>0.7351</v>
      </c>
      <c r="F487" t="inlineStr">
        <is>
          <t>✓</t>
        </is>
      </c>
      <c r="G487" t="inlineStr">
        <is>
          <t>✓</t>
        </is>
      </c>
      <c r="H487" s="3" t="inlineStr">
        <is>
          <t>es pencetakan saat ini masih berjalan, dokumen yang baru masuk harus menunggu dalam antrian. Jika printer sudah idle (tidak sedang mencetak), printer akan melakukan dequeue untuk mendapatkan dokumen berikutnya yang perlu</t>
        </is>
      </c>
    </row>
    <row r="488">
      <c r="A488" t="n">
        <v>82</v>
      </c>
      <c r="B488" t="n">
        <v>1</v>
      </c>
      <c r="C488" t="inlineStr">
        <is>
          <t>GT_CT10.txt</t>
        </is>
      </c>
      <c r="D488" s="3" t="inlineStr">
        <is>
          <t>Pertemuan 10: Struktur Kontrol — Percabangan</t>
        </is>
      </c>
      <c r="E488" t="n">
        <v>0.7481</v>
      </c>
      <c r="F488" t="inlineStr">
        <is>
          <t>✓</t>
        </is>
      </c>
      <c r="G488" t="inlineStr">
        <is>
          <t>✓</t>
        </is>
      </c>
      <c r="H488" s="3" t="inlineStr">
        <is>
          <t xml:space="preserve">n (Loop): digunakan ketika algoritme perlu mengulang pelaksanaan instruksi tertentu sampai suatu kondisi yang ditetapkan terpenuhi.  Pertemuan ini berfokus pada pembahasan struktur kontrol percabangan secara mendalam.   </t>
        </is>
      </c>
    </row>
    <row r="489">
      <c r="A489" t="n">
        <v>82</v>
      </c>
      <c r="B489" t="n">
        <v>2</v>
      </c>
      <c r="C489" t="inlineStr">
        <is>
          <t>GT_DETAIL_PT11_Perulangan.txt</t>
        </is>
      </c>
      <c r="D489" s="3" t="inlineStr">
        <is>
          <t>Pertemuan 11: Struktur Kontrol — Perulangan</t>
        </is>
      </c>
      <c r="E489" t="n">
        <v>0.7467</v>
      </c>
      <c r="F489" t="inlineStr">
        <is>
          <t>✓</t>
        </is>
      </c>
      <c r="G489" t="inlineStr">
        <is>
          <t>✓</t>
        </is>
      </c>
      <c r="H489" s="3" t="inlineStr">
        <is>
          <t>selalu dijalankan MINIMAL SATU KALI  F. PERULANGAN BERSARANG (NESTED LOOP)  Konsep: perulangan di dalam perulangan. - Setiap 1 iterasi luar → dalam menyelesaikan SEMUA iterasinya - Total iterasi = iterasi_luar × iterasi_</t>
        </is>
      </c>
    </row>
    <row r="490">
      <c r="A490" t="n">
        <v>82</v>
      </c>
      <c r="B490" t="n">
        <v>3</v>
      </c>
      <c r="C490" t="inlineStr">
        <is>
          <t>GT_SUBTOPIK_14_Kompleksitas_BigO.txt</t>
        </is>
      </c>
      <c r="D490" s="3" t="inlineStr">
        <is>
          <t>Subtopik: Kompleksitas Algoritme (Big-O Notation)</t>
        </is>
      </c>
      <c r="E490" t="n">
        <v>0.74</v>
      </c>
      <c r="F490" t="inlineStr">
        <is>
          <t>✓</t>
        </is>
      </c>
      <c r="G490" t="inlineStr">
        <is>
          <t>✓</t>
        </is>
      </c>
      <c r="H490" s="3" t="inlineStr">
        <is>
          <t>l yang terbesar: O(n^2 + n) = O(n^2)   3. Kalikan loop bersarang: O(n) dalam O(n) = O(n^2)  ---------------------------------------------------------------- CONTOH SOAL DAN PEMBAHASAN ------------------------------------</t>
        </is>
      </c>
    </row>
    <row r="491">
      <c r="A491" t="n">
        <v>82</v>
      </c>
      <c r="B491" t="n">
        <v>4</v>
      </c>
      <c r="C491" t="inlineStr">
        <is>
          <t>GT_DETAIL_PT07_Notasi_Algoritme.txt</t>
        </is>
      </c>
      <c r="D491" s="3" t="inlineStr">
        <is>
          <t>Pertemuan 7: Algoritme — Notasi Algoritme</t>
        </is>
      </c>
      <c r="E491" t="n">
        <v>0.7278</v>
      </c>
      <c r="F491" t="inlineStr">
        <is>
          <t>✓</t>
        </is>
      </c>
      <c r="G491" t="inlineStr">
        <is>
          <t>✓</t>
        </is>
      </c>
      <c r="H491" s="3" t="inlineStr">
        <is>
          <t>perasinya linear)  c) Rata-rata n bilangan: baca semua n bilangan + 1 pembagian → O(n) [linear]  [SOAL 5 — Pseudocode: Pesan Sandi] Tuliskan pseudocode untuk MENDEKRIPSI pesan yang dienkripsi dengan tiga langkah: (1) bal</t>
        </is>
      </c>
    </row>
    <row r="492">
      <c r="A492" t="n">
        <v>82</v>
      </c>
      <c r="B492" t="n">
        <v>5</v>
      </c>
      <c r="C492" t="inlineStr">
        <is>
          <t>GT_DETAIL_PT01_Pendahuluan.txt</t>
        </is>
      </c>
      <c r="D492" s="3" t="inlineStr">
        <is>
          <t>Pertemuan 1: Pendahuluan &amp; Kontrak Perkuliahan</t>
        </is>
      </c>
      <c r="E492" t="n">
        <v>0.7262</v>
      </c>
      <c r="F492" t="inlineStr">
        <is>
          <t>✓</t>
        </is>
      </c>
      <c r="G492" t="inlineStr">
        <is>
          <t>✓</t>
        </is>
      </c>
      <c r="H492" s="3" t="inlineStr">
        <is>
          <t>n      : Fokus hanya pada informasi penting: nama mata kuliah, jumlah SKS, jadwal                      kuliah tetap, dan preferensi waktu belajar. Mengabaikan detail seperti                      konten setiap mata kuliah</t>
        </is>
      </c>
    </row>
    <row r="493">
      <c r="A493" t="n">
        <v>82</v>
      </c>
      <c r="B493" t="n">
        <v>6</v>
      </c>
      <c r="C493" t="inlineStr">
        <is>
          <t>GT_CT07.txt</t>
        </is>
      </c>
      <c r="D493" s="3" t="inlineStr">
        <is>
          <t>Pertemuan 7: Algoritme — Notasi Algoritme</t>
        </is>
      </c>
      <c r="E493" t="n">
        <v>0.7255</v>
      </c>
      <c r="F493" t="inlineStr">
        <is>
          <t>✓</t>
        </is>
      </c>
      <c r="G493" t="inlineStr">
        <is>
          <t>✓</t>
        </is>
      </c>
      <c r="H493" s="3" t="inlineStr">
        <is>
          <t>) dan selisih angka yang dicari (d). Output: banyaknya pasangan bilangan dengan selisih sebesar d (p). Proses: (a) Urutkan n bilangan secara menaik menjadi m1, m2, ..., mn; (b) Inisialisasi p = 0; (c) Untuk setiap i dari</t>
        </is>
      </c>
    </row>
    <row r="494">
      <c r="A494" t="n">
        <v>83</v>
      </c>
      <c r="B494" t="n">
        <v>1</v>
      </c>
      <c r="C494" t="inlineStr">
        <is>
          <t>GT_CT04.txt</t>
        </is>
      </c>
      <c r="D494" s="3" t="inlineStr">
        <is>
          <t>Pertemuan 4: Problem Solving — Abstraction</t>
        </is>
      </c>
      <c r="E494" t="n">
        <v>0.7758</v>
      </c>
      <c r="F494" t="inlineStr">
        <is>
          <t>✓</t>
        </is>
      </c>
      <c r="G494" t="inlineStr">
        <is>
          <t>✓</t>
        </is>
      </c>
      <c r="H494" s="3" t="inlineStr">
        <is>
          <t>dari empat elemen inti berpikir komputasional. Abstraksi didefinisikan sebagai kemampuan untuk fokus pada hal-hal yang penting, mengidentifikasi dan memusatkan perhatian pada detail yang relevan, serta mengabaikan hal-ha</t>
        </is>
      </c>
    </row>
    <row r="495">
      <c r="A495" t="n">
        <v>83</v>
      </c>
      <c r="B495" t="n">
        <v>2</v>
      </c>
      <c r="C495" t="inlineStr">
        <is>
          <t>GT_DETAIL_PT04_Abstraksi.txt</t>
        </is>
      </c>
      <c r="D495" s="3" t="inlineStr">
        <is>
          <t>Pertemuan 4: Problem Solving — Abstraksi</t>
        </is>
      </c>
      <c r="E495" t="n">
        <v>0.7682</v>
      </c>
      <c r="F495" t="inlineStr">
        <is>
          <t>✓</t>
        </is>
      </c>
      <c r="G495" t="inlineStr">
        <is>
          <t>✓</t>
        </is>
      </c>
      <c r="H495" s="3" t="inlineStr">
        <is>
          <t>the important details and leaving out irrelevant distractions." (Fokus pada detail penting dan mengabaikan hal yang tidak relevan.)  PENTING: Abstraksi BUKAN membuang bagian yang tidak penting, melainkan HANYA memberi pr</t>
        </is>
      </c>
    </row>
    <row r="496">
      <c r="A496" t="n">
        <v>83</v>
      </c>
      <c r="B496" t="n">
        <v>3</v>
      </c>
      <c r="C496" t="inlineStr">
        <is>
          <t>GT_CT04.txt</t>
        </is>
      </c>
      <c r="D496" s="3" t="inlineStr">
        <is>
          <t>Pertemuan 4: Problem Solving — Abstraction</t>
        </is>
      </c>
      <c r="E496" t="n">
        <v>0.7516</v>
      </c>
      <c r="F496" t="inlineStr">
        <is>
          <t>✓</t>
        </is>
      </c>
      <c r="G496" t="inlineStr">
        <is>
          <t>✓</t>
        </is>
      </c>
      <c r="H496" s="3" t="inlineStr">
        <is>
          <t>Ground Truth:  Dalam penerapan abstraksi pada problem solving, setiap persoalan perlu dianalisis secara saksama dengan mengidentifikasi empat komponen utama, yaitu: (1) apa problemnya (root cause/akar masalah), (2) apa g</t>
        </is>
      </c>
    </row>
    <row r="497">
      <c r="A497" t="n">
        <v>83</v>
      </c>
      <c r="B497" t="n">
        <v>4</v>
      </c>
      <c r="C497" t="inlineStr">
        <is>
          <t>GT_DETAIL_PT01_Pendahuluan.txt</t>
        </is>
      </c>
      <c r="D497" s="3" t="inlineStr">
        <is>
          <t>Pertemuan 1: Pendahuluan &amp; Kontrak Perkuliahan</t>
        </is>
      </c>
      <c r="E497" t="n">
        <v>0.7373</v>
      </c>
      <c r="F497" t="inlineStr">
        <is>
          <t>✓</t>
        </is>
      </c>
      <c r="G497" t="inlineStr">
        <is>
          <t>✓</t>
        </is>
      </c>
      <c r="H497" s="3" t="inlineStr">
        <is>
          <t>n      : Fokus hanya pada informasi penting: nama mata kuliah, jumlah SKS, jadwal                      kuliah tetap, dan preferensi waktu belajar. Mengabaikan detail seperti                      konten setiap mata kuliah</t>
        </is>
      </c>
    </row>
    <row r="498">
      <c r="A498" t="n">
        <v>83</v>
      </c>
      <c r="B498" t="n">
        <v>5</v>
      </c>
      <c r="C498" t="inlineStr">
        <is>
          <t>GT_DETAIL_PT04_Abstraksi.txt</t>
        </is>
      </c>
      <c r="D498" s="3" t="inlineStr">
        <is>
          <t>Pertemuan 4: Problem Solving — Abstraksi</t>
        </is>
      </c>
      <c r="E498" t="n">
        <v>0.7339</v>
      </c>
      <c r="F498" t="inlineStr">
        <is>
          <t>✓</t>
        </is>
      </c>
      <c r="G498" t="inlineStr">
        <is>
          <t>✓</t>
        </is>
      </c>
      <c r="H498" s="3" t="inlineStr">
        <is>
          <t>erja dimulai.  [SOAL 2 — Komponen Abstraksi] Lakukan abstraksi terhadap persoalan berikut dengan mengidentifikasi problem, goal, batasan, dan data: "Sebuah toko online ingin menentukan harga diskon optimal untuk menghabi</t>
        </is>
      </c>
    </row>
    <row r="499">
      <c r="A499" t="n">
        <v>83</v>
      </c>
      <c r="B499" t="n">
        <v>6</v>
      </c>
      <c r="C499" t="inlineStr">
        <is>
          <t>GT_CT04.txt</t>
        </is>
      </c>
      <c r="D499" s="3" t="inlineStr">
        <is>
          <t>Pertemuan 4: Problem Solving — Abstraction</t>
        </is>
      </c>
      <c r="E499" t="n">
        <v>0.7313</v>
      </c>
      <c r="F499" t="inlineStr">
        <is>
          <t>✓</t>
        </is>
      </c>
      <c r="G499" t="inlineStr">
        <is>
          <t>✓</t>
        </is>
      </c>
      <c r="H499" s="3" t="inlineStr">
        <is>
          <t>informasi yang relevan dan penting bagi pengguna, seperti nama jalan, bangunan utama, dan rute, dengan mengabaikan detail visual yang tidak diperlukan untuk navigasi.  Abstraksi juga ditemukan di berbagai bidang kehidupa</t>
        </is>
      </c>
    </row>
    <row r="500">
      <c r="A500" t="n">
        <v>84</v>
      </c>
      <c r="B500" t="n">
        <v>1</v>
      </c>
      <c r="C500" t="inlineStr">
        <is>
          <t>GT_CT03.txt</t>
        </is>
      </c>
      <c r="D500" s="3" t="inlineStr">
        <is>
          <t>Pertemuan 3: Problem Solving — Dekomposisi</t>
        </is>
      </c>
      <c r="E500" t="n">
        <v>0.7351</v>
      </c>
      <c r="F500" t="inlineStr">
        <is>
          <t>✓</t>
        </is>
      </c>
      <c r="G500" t="inlineStr">
        <is>
          <t>✓</t>
        </is>
      </c>
      <c r="H500" s="3" t="inlineStr">
        <is>
          <t>pertama yang krusial adalah mengidentifikasi goal atau tujuan utama dari masalah tersebut, kemudian menentukan bagaimana masalah itu dapat didekomposisi menjadi sub-masalah yang lebih kecil.  Sebagai contoh latihan, pada</t>
        </is>
      </c>
    </row>
    <row r="501">
      <c r="A501" t="n">
        <v>84</v>
      </c>
      <c r="B501" t="n">
        <v>2</v>
      </c>
      <c r="C501" t="inlineStr">
        <is>
          <t>GT_CT05.txt</t>
        </is>
      </c>
      <c r="D501" s="3" t="inlineStr">
        <is>
          <t>Pertemuan 5: Pattern Recognition (Pengenalan Pola)</t>
        </is>
      </c>
      <c r="E501" t="n">
        <v>0.7274</v>
      </c>
      <c r="F501" t="inlineStr">
        <is>
          <t>✓</t>
        </is>
      </c>
      <c r="G501" t="inlineStr">
        <is>
          <t>✓</t>
        </is>
      </c>
      <c r="H501" s="3" t="inlineStr">
        <is>
          <t>an matematis biasa akan menjumlahkan secara bertahap satu per satu. Namun dengan pendekatan berpikir komputasional melalui pengenalan pola, ditemukan bahwa penjumlahan bilangan di ujung kiri dan kanan selalu menghasilkan</t>
        </is>
      </c>
    </row>
    <row r="502">
      <c r="A502" t="n">
        <v>84</v>
      </c>
      <c r="B502" t="n">
        <v>3</v>
      </c>
      <c r="C502" t="inlineStr">
        <is>
          <t>GT_CT07.txt</t>
        </is>
      </c>
      <c r="D502" s="3" t="inlineStr">
        <is>
          <t>Pertemuan 7: Algoritme — Notasi Algoritme</t>
        </is>
      </c>
      <c r="E502" t="n">
        <v>0.7252</v>
      </c>
      <c r="F502" t="inlineStr">
        <is>
          <t>✓</t>
        </is>
      </c>
      <c r="G502" t="inlineStr">
        <is>
          <t>✓</t>
        </is>
      </c>
      <c r="H502" s="3" t="inlineStr">
        <is>
          <t>) dan selisih angka yang dicari (d). Output: banyaknya pasangan bilangan dengan selisih sebesar d (p). Proses: (a) Urutkan n bilangan secara menaik menjadi m1, m2, ..., mn; (b) Inisialisasi p = 0; (c) Untuk setiap i dari</t>
        </is>
      </c>
    </row>
    <row r="503">
      <c r="A503" t="n">
        <v>84</v>
      </c>
      <c r="B503" t="n">
        <v>4</v>
      </c>
      <c r="C503" t="inlineStr">
        <is>
          <t>GT_SUBTOPIK_02_Abstraksi_Formulasi.txt</t>
        </is>
      </c>
      <c r="D503" s="3" t="inlineStr">
        <is>
          <t>Subtopik: Abstraksi — Formulasi Problem (Problem/Goal/Batasan/Data)</t>
        </is>
      </c>
      <c r="E503" t="n">
        <v>0.7251</v>
      </c>
      <c r="F503" t="inlineStr">
        <is>
          <t>✓</t>
        </is>
      </c>
      <c r="G503" t="inlineStr">
        <is>
          <t>✓</t>
        </is>
      </c>
      <c r="H503" s="3" t="inlineStr">
        <is>
          <t>Total anggaran = Rp 50 juta  YANG DIABAIKAN (bukan data relevan):   - Warna/merek item (tidak mempengaruhi produktivitas)   - Nama vendor/supplier   - Tanggal pengiriman (asumsi semua tersedia)  [SOAL 5 — Abstraksi: Jadw</t>
        </is>
      </c>
    </row>
    <row r="504">
      <c r="A504" t="n">
        <v>84</v>
      </c>
      <c r="B504" t="n">
        <v>5</v>
      </c>
      <c r="C504" t="inlineStr">
        <is>
          <t>GT_DETAIL_PT09_Variabel_TipeData_Operator_List.txt</t>
        </is>
      </c>
      <c r="D504" s="3" t="inlineStr">
        <is>
          <t>Pertemuan 9: Elemen Pseudocode — Variabel, Tipe Data, Operator, List</t>
        </is>
      </c>
      <c r="E504" t="n">
        <v>0.7224</v>
      </c>
      <c r="F504" t="inlineStr">
        <is>
          <t>✓</t>
        </is>
      </c>
      <c r="G504" t="inlineStr">
        <is>
          <t>✓</t>
        </is>
      </c>
      <c r="H504" s="3" t="inlineStr">
        <is>
          <t xml:space="preserve"> T = F | F AND F = F     Tabel kebenaran OR:    T OR T = T | T OR F = T | F OR T = T | F OR F = F     NOT: NOT T = F | NOT F = T  5. Is Operator: memeriksa tipe atau identitas suatu nilai/objek.  G. LIST (ARRAY / SEQUENC</t>
        </is>
      </c>
    </row>
    <row r="505">
      <c r="A505" t="n">
        <v>84</v>
      </c>
      <c r="B505" t="n">
        <v>6</v>
      </c>
      <c r="C505" t="inlineStr">
        <is>
          <t>GT_CT13.txt</t>
        </is>
      </c>
      <c r="D505" s="3" t="inlineStr">
        <is>
          <t>Pertemuan 13: Pengenalan Struktur Data</t>
        </is>
      </c>
      <c r="E505" t="n">
        <v>0.7215</v>
      </c>
      <c r="F505" t="inlineStr">
        <is>
          <t>✓</t>
        </is>
      </c>
      <c r="G505" t="inlineStr">
        <is>
          <t>✓</t>
        </is>
      </c>
      <c r="H505" s="3" t="inlineStr">
        <is>
          <t>ai urutan kedatangannya. - Sistem kecerdasan buatan dalam permainan catur yang merepresentasikan berbagai kemungkinan langkah ke depan: struktur data yang paling tepat adalah Tree, karena setiap kemungkinan langkah berca</t>
        </is>
      </c>
    </row>
    <row r="506">
      <c r="A506" t="n">
        <v>85</v>
      </c>
      <c r="B506" t="n">
        <v>1</v>
      </c>
      <c r="C506" t="inlineStr">
        <is>
          <t>GT_DETAIL_PT11_Perulangan.txt</t>
        </is>
      </c>
      <c r="D506" s="3" t="inlineStr">
        <is>
          <t>Pertemuan 11: Struktur Kontrol — Perulangan</t>
        </is>
      </c>
      <c r="E506" t="n">
        <v>0.7291</v>
      </c>
      <c r="F506" t="inlineStr">
        <is>
          <t>✓</t>
        </is>
      </c>
      <c r="G506" t="inlineStr">
        <is>
          <t>✓</t>
        </is>
      </c>
      <c r="H506" s="3" t="inlineStr">
        <is>
          <t>an: - Kondisi dievaluasi SEBELUM body dijalankan - Jika kondisi False sejak awal → body tidak pernah dijalankan - Jika kondisi tidak pernah False → infinite loop (hindari!) - Body HARUS mengubah sesuatu yang mempengaruhi</t>
        </is>
      </c>
    </row>
    <row r="507">
      <c r="A507" t="n">
        <v>85</v>
      </c>
      <c r="B507" t="n">
        <v>2</v>
      </c>
      <c r="C507" t="inlineStr">
        <is>
          <t>GT_CT11.txt</t>
        </is>
      </c>
      <c r="D507" s="3" t="inlineStr">
        <is>
          <t>Pertemuan 11: Algoritme — Struktur Kontrol Perulangan</t>
        </is>
      </c>
      <c r="E507" t="n">
        <v>0.7245</v>
      </c>
      <c r="F507" t="inlineStr">
        <is>
          <t>✓</t>
        </is>
      </c>
      <c r="G507" t="inlineStr">
        <is>
          <t>✓</t>
        </is>
      </c>
      <c r="H507" s="3" t="inlineStr">
        <is>
          <t>disebut perulangan luar (outer loop). Untuk setiap satu kali iterasi perulangan luar, perulangan dalam akan menyelesaikan seluruh iterasinya dari awal hingga akhir.  Contoh perulangan bersarang untuk mencetak kotak binta</t>
        </is>
      </c>
    </row>
    <row r="508">
      <c r="A508" t="n">
        <v>85</v>
      </c>
      <c r="B508" t="n">
        <v>3</v>
      </c>
      <c r="C508" t="inlineStr">
        <is>
          <t>GT_DETAIL_PT07_Notasi_Algoritme.txt</t>
        </is>
      </c>
      <c r="D508" s="3" t="inlineStr">
        <is>
          <t>Pertemuan 7: Algoritme — Notasi Algoritme</t>
        </is>
      </c>
      <c r="E508" t="n">
        <v>0.7231</v>
      </c>
      <c r="F508" t="inlineStr">
        <is>
          <t>✓</t>
        </is>
      </c>
      <c r="G508" t="inlineStr">
        <is>
          <t>✓</t>
        </is>
      </c>
      <c r="H508" s="3" t="inlineStr">
        <is>
          <t>perasinya linear)  c) Rata-rata n bilangan: baca semua n bilangan + 1 pembagian → O(n) [linear]  [SOAL 5 — Pseudocode: Pesan Sandi] Tuliskan pseudocode untuk MENDEKRIPSI pesan yang dienkripsi dengan tiga langkah: (1) bal</t>
        </is>
      </c>
    </row>
    <row r="509">
      <c r="A509" t="n">
        <v>85</v>
      </c>
      <c r="B509" t="n">
        <v>4</v>
      </c>
      <c r="C509" t="inlineStr">
        <is>
          <t>GT_CT11.txt</t>
        </is>
      </c>
      <c r="D509" s="3" t="inlineStr">
        <is>
          <t>Pertemuan 11: Algoritme — Struktur Kontrol Perulangan</t>
        </is>
      </c>
      <c r="E509" t="n">
        <v>0.7189</v>
      </c>
      <c r="F509" t="inlineStr">
        <is>
          <t>✓</t>
        </is>
      </c>
      <c r="G509" t="inlineStr">
        <is>
          <t>✓</t>
        </is>
      </c>
      <c r="H509" s="3" t="inlineStr">
        <is>
          <t xml:space="preserve"> nilai &lt;langkah&gt; diasumsikan sebesar 1.  Kompleksitas waktu perulangan for untuk mencetak 1 hingga n adalah linear, yaitu O(n), karena jumlah operasi bertumbuh sebanding dengan nilai n.  Berikut adalah beberapa contoh pe</t>
        </is>
      </c>
    </row>
    <row r="510">
      <c r="A510" t="n">
        <v>85</v>
      </c>
      <c r="B510" t="n">
        <v>5</v>
      </c>
      <c r="C510" t="inlineStr">
        <is>
          <t>GT_DETAIL_PT11_Perulangan.txt</t>
        </is>
      </c>
      <c r="D510" s="3" t="inlineStr">
        <is>
          <t>Pertemuan 11: Struktur Kontrol — Perulangan</t>
        </is>
      </c>
      <c r="E510" t="n">
        <v>0.7149</v>
      </c>
      <c r="F510" t="inlineStr">
        <is>
          <t>✓</t>
        </is>
      </c>
      <c r="G510" t="inlineStr">
        <is>
          <t>✓</t>
        </is>
      </c>
      <c r="H510" s="3" t="inlineStr">
        <is>
          <t>selalu dijalankan MINIMAL SATU KALI  F. PERULANGAN BERSARANG (NESTED LOOP)  Konsep: perulangan di dalam perulangan. - Setiap 1 iterasi luar → dalam menyelesaikan SEMUA iterasinya - Total iterasi = iterasi_luar × iterasi_</t>
        </is>
      </c>
    </row>
    <row r="511">
      <c r="A511" t="n">
        <v>85</v>
      </c>
      <c r="B511" t="n">
        <v>6</v>
      </c>
      <c r="C511" t="inlineStr">
        <is>
          <t>GT_CT12.txt</t>
        </is>
      </c>
      <c r="D511" s="3" t="inlineStr">
        <is>
          <t>Pertemuan 12: Fungsi</t>
        </is>
      </c>
      <c r="E511" t="n">
        <v>0.7135</v>
      </c>
      <c r="F511" t="inlineStr">
        <is>
          <t>✓</t>
        </is>
      </c>
      <c r="G511" t="inlineStr">
        <is>
          <t>✓</t>
        </is>
      </c>
      <c r="H511" s="3" t="inlineStr">
        <is>
          <t>-------------------------------  Ground Truth:  Dalam konteks algoritme dan pemrograman, terdapat perbedaan mendasar antara dua jenis blok kode yang dapat diberi nama dan dipanggil kembali, yaitu prosedur dan fungsi.  Pr</t>
        </is>
      </c>
    </row>
    <row r="512">
      <c r="A512" t="n">
        <v>86</v>
      </c>
      <c r="B512" t="n">
        <v>1</v>
      </c>
      <c r="C512" t="inlineStr">
        <is>
          <t>GT_DETAIL_PT12_Fungsi.txt</t>
        </is>
      </c>
      <c r="D512" s="3" t="inlineStr">
        <is>
          <t>Pertemuan 12: Fungsi</t>
        </is>
      </c>
      <c r="E512" t="n">
        <v>0.709</v>
      </c>
      <c r="F512" t="inlineStr">
        <is>
          <t>✓</t>
        </is>
      </c>
      <c r="G512" t="inlineStr">
        <is>
          <t>✓</t>
        </is>
      </c>
      <c r="H512" s="3" t="inlineStr">
        <is>
          <t>L 8 — Desain Fungsi Lengkap] Buat program yang membaca N bilangan bulat, lalu untuk setiap bilangan: - Jika bilangan prima: cetak "[bilangan] adalah PRIMA" - Jika bukan prima: cetak "[bilangan] BUKAN prima" Gunakan fungs</t>
        </is>
      </c>
    </row>
    <row r="513">
      <c r="A513" t="n">
        <v>86</v>
      </c>
      <c r="B513" t="n">
        <v>2</v>
      </c>
      <c r="C513" t="inlineStr">
        <is>
          <t>GT_CT11.txt</t>
        </is>
      </c>
      <c r="D513" s="3" t="inlineStr">
        <is>
          <t>Pertemuan 11: Algoritme — Struktur Kontrol Perulangan</t>
        </is>
      </c>
      <c r="E513" t="n">
        <v>0.6875</v>
      </c>
      <c r="F513" t="inlineStr">
        <is>
          <t>✓</t>
        </is>
      </c>
      <c r="G513" t="inlineStr">
        <is>
          <t>✓</t>
        </is>
      </c>
      <c r="H513" s="3" t="inlineStr">
        <is>
          <t xml:space="preserve"> nilai &lt;langkah&gt; diasumsikan sebesar 1.  Kompleksitas waktu perulangan for untuk mencetak 1 hingga n adalah linear, yaitu O(n), karena jumlah operasi bertumbuh sebanding dengan nilai n.  Berikut adalah beberapa contoh pe</t>
        </is>
      </c>
    </row>
    <row r="514">
      <c r="A514" t="n">
        <v>86</v>
      </c>
      <c r="B514" t="n">
        <v>3</v>
      </c>
      <c r="C514" t="inlineStr">
        <is>
          <t>GT_SUBTOPIK_02_Abstraksi_Formulasi.txt</t>
        </is>
      </c>
      <c r="D514" s="3" t="inlineStr">
        <is>
          <t>Subtopik: Abstraksi — Formulasi Problem (Problem/Goal/Batasan/Data)</t>
        </is>
      </c>
      <c r="E514" t="n">
        <v>0.6849</v>
      </c>
      <c r="F514" t="inlineStr">
        <is>
          <t>✓</t>
        </is>
      </c>
      <c r="G514" t="inlineStr">
        <is>
          <t>✓</t>
        </is>
      </c>
      <c r="H514" s="3" t="inlineStr">
        <is>
          <t>bisa bergerak ke KANAN atau ke ATAS (tidak bisa balik/diagonal)   - Harus mulai dari S dan berakhir di F   - Semua permen di petak yang dilalui otomatis diambil DATA     :   - Grid dengan dimensi tertentu   - Jumlah perm</t>
        </is>
      </c>
    </row>
    <row r="515">
      <c r="A515" t="n">
        <v>86</v>
      </c>
      <c r="B515" t="n">
        <v>4</v>
      </c>
      <c r="C515" t="inlineStr">
        <is>
          <t>GT_DETAIL_PT07_Notasi_Algoritme.txt</t>
        </is>
      </c>
      <c r="D515" s="3" t="inlineStr">
        <is>
          <t>Pertemuan 7: Algoritme — Notasi Algoritme</t>
        </is>
      </c>
      <c r="E515" t="n">
        <v>0.6797</v>
      </c>
      <c r="F515" t="inlineStr">
        <is>
          <t>✓</t>
        </is>
      </c>
      <c r="G515" t="inlineStr">
        <is>
          <t>✓</t>
        </is>
      </c>
      <c r="H515" s="3" t="inlineStr">
        <is>
          <t>perasinya linear)  c) Rata-rata n bilangan: baca semua n bilangan + 1 pembagian → O(n) [linear]  [SOAL 5 — Pseudocode: Pesan Sandi] Tuliskan pseudocode untuk MENDEKRIPSI pesan yang dienkripsi dengan tiga langkah: (1) bal</t>
        </is>
      </c>
    </row>
    <row r="516">
      <c r="A516" t="n">
        <v>86</v>
      </c>
      <c r="B516" t="n">
        <v>5</v>
      </c>
      <c r="C516" t="inlineStr">
        <is>
          <t>GT_CT07.txt</t>
        </is>
      </c>
      <c r="D516" s="3" t="inlineStr">
        <is>
          <t>Pertemuan 7: Algoritme — Notasi Algoritme</t>
        </is>
      </c>
      <c r="E516" t="n">
        <v>0.67</v>
      </c>
      <c r="F516" t="inlineStr">
        <is>
          <t>✓</t>
        </is>
      </c>
      <c r="G516" t="inlineStr">
        <is>
          <t>✓</t>
        </is>
      </c>
      <c r="H516" s="3" t="inlineStr">
        <is>
          <t>) dan selisih angka yang dicari (d). Output: banyaknya pasangan bilangan dengan selisih sebesar d (p). Proses: (a) Urutkan n bilangan secara menaik menjadi m1, m2, ..., mn; (b) Inisialisasi p = 0; (c) Untuk setiap i dari</t>
        </is>
      </c>
    </row>
    <row r="517">
      <c r="A517" t="n">
        <v>86</v>
      </c>
      <c r="B517" t="n">
        <v>6</v>
      </c>
      <c r="C517" t="inlineStr">
        <is>
          <t>GT_CT01.txt</t>
        </is>
      </c>
      <c r="D517" s="3" t="inlineStr">
        <is>
          <t>Pertemuan 1: Kontrak Perkuliahan dan Pendahuluan</t>
        </is>
      </c>
      <c r="E517" t="n">
        <v>0.668</v>
      </c>
      <c r="F517" t="inlineStr">
        <is>
          <t>✓</t>
        </is>
      </c>
      <c r="G517" t="inlineStr">
        <is>
          <t>✓</t>
        </is>
      </c>
      <c r="H517" s="3" t="inlineStr">
        <is>
          <t>ikan proyek mandiri.  Salah satu komponen tugas rutin yang diperkenalkan adalah Asah Otak, yaitu tugas terjadwal yang bersifat individu dan dirancang sebagai latihan mandiri bagi seluruh mahasiswa. Mahasiswa diwajibkan m</t>
        </is>
      </c>
    </row>
    <row r="518">
      <c r="A518" t="n">
        <v>87</v>
      </c>
      <c r="B518" t="n">
        <v>1</v>
      </c>
      <c r="C518" t="inlineStr">
        <is>
          <t>GT_SUBTOPIK_04_Modulo_Siklus.txt</t>
        </is>
      </c>
      <c r="D518" s="3" t="inlineStr">
        <is>
          <t>Subtopik: Pattern Recognition — Modulo dan Siklus</t>
        </is>
      </c>
      <c r="E518" t="n">
        <v>0.802</v>
      </c>
      <c r="F518" t="inlineStr">
        <is>
          <t>✓</t>
        </is>
      </c>
      <c r="G518" t="inlineStr">
        <is>
          <t>✓</t>
        </is>
      </c>
      <c r="H518" s="3" t="inlineStr">
        <is>
          <t>1×24 = 1000 - 984 = 16 08:00 + 16 jam = 24:00 = 00:00 (tengah malam) JAWABAN: Jam 00:00 (tengah malam)  [SOAL 5 — Masalah Coklat Bebek dengan Modulo] Dengan pola deret segitiga n(n+1)/2, tuliskan pseudocode untuk mencari</t>
        </is>
      </c>
    </row>
    <row r="519">
      <c r="A519" t="n">
        <v>87</v>
      </c>
      <c r="B519" t="n">
        <v>2</v>
      </c>
      <c r="C519" t="inlineStr">
        <is>
          <t>GT_SUBTOPIK_05_Pseudocode_Algoritme.txt</t>
        </is>
      </c>
      <c r="D519" s="3" t="inlineStr">
        <is>
          <t>Subtopik: Pseudocode dan Notasi Algoritme</t>
        </is>
      </c>
      <c r="E519" t="n">
        <v>0.7966</v>
      </c>
      <c r="F519" t="inlineStr">
        <is>
          <t>✓</t>
        </is>
      </c>
      <c r="G519" t="inlineStr">
        <is>
          <t>✓</t>
        </is>
      </c>
      <c r="H519" s="3" t="inlineStr">
        <is>
          <t xml:space="preserve">,12),(15,17),(18,20) → p=6  [SOAL 3 — Pseudocode: Cek Prima] Tulis pseudocode untuk mengecek apakah bilangan n prima!  JAWABAN: Input : bilangan bulat n Output: "prima" atau "bukan prima"    read(n)   if (n &lt;= 1) then   </t>
        </is>
      </c>
    </row>
    <row r="520">
      <c r="A520" t="n">
        <v>87</v>
      </c>
      <c r="B520" t="n">
        <v>3</v>
      </c>
      <c r="C520" t="inlineStr">
        <is>
          <t>GT_SUBTOPIK_08_Perulangan_For_While.txt</t>
        </is>
      </c>
      <c r="D520" s="3" t="inlineStr">
        <is>
          <t>Subtopik: Perulangan — for, while, Sentinel, dan Trace</t>
        </is>
      </c>
      <c r="E520" t="n">
        <v>0.7949000000000001</v>
      </c>
      <c r="F520" t="inlineStr">
        <is>
          <t>✓</t>
        </is>
      </c>
      <c r="G520" t="inlineStr">
        <is>
          <t>✓</t>
        </is>
      </c>
      <c r="H520" s="3" t="inlineStr">
        <is>
          <t xml:space="preserve"> x=5:   5 mod 3=2 ✗   → berhenti  Output: 135, 45, 15, 5 Nilai akhir x = 5  [SOAL 5 — WHILE: Digit Terbalik] Tulis pseudocode untuk membalik digit bilangan positif n! Contoh: n=12345 → output: 54321  JAWABAN:   read(n)  </t>
        </is>
      </c>
    </row>
    <row r="521">
      <c r="A521" t="n">
        <v>87</v>
      </c>
      <c r="B521" t="n">
        <v>4</v>
      </c>
      <c r="C521" t="inlineStr">
        <is>
          <t>GT_CT07.txt</t>
        </is>
      </c>
      <c r="D521" s="3" t="inlineStr">
        <is>
          <t>Pertemuan 7: Algoritme — Notasi Algoritme</t>
        </is>
      </c>
      <c r="E521" t="n">
        <v>0.7887999999999999</v>
      </c>
      <c r="F521" t="inlineStr">
        <is>
          <t>✓</t>
        </is>
      </c>
      <c r="G521" t="inlineStr">
        <is>
          <t>✓</t>
        </is>
      </c>
      <c r="H521" s="3" t="inlineStr">
        <is>
          <t>an nilai alas dengan tinggi, lalu hasilnya dibagi dua.  2. Pseudocode: Pseudocode adalah cara informal untuk menuliskan algoritme atau rancangan program komputer. Tujuan utama pseudocode adalah untuk mendapatkan ide seca</t>
        </is>
      </c>
    </row>
    <row r="522">
      <c r="A522" t="n">
        <v>87</v>
      </c>
      <c r="B522" t="n">
        <v>5</v>
      </c>
      <c r="C522" t="inlineStr">
        <is>
          <t>GT_DETAIL_PT10_Percabangan.txt</t>
        </is>
      </c>
      <c r="D522" s="3" t="inlineStr">
        <is>
          <t>Pertemuan 10: Struktur Kontrol — Percabangan</t>
        </is>
      </c>
      <c r="E522" t="n">
        <v>0.7861</v>
      </c>
      <c r="F522" t="inlineStr">
        <is>
          <t>✓</t>
        </is>
      </c>
      <c r="G522" t="inlineStr">
        <is>
          <t>✓</t>
        </is>
      </c>
      <c r="H522" s="3" t="inlineStr">
        <is>
          <t>------------ CONTOH SOAL DAN PEMBAHASAN ----------------------------------------------------------------  [SOAL 1 — Maks 2 Bilangan] Tuliskan pseudocode untuk menentukan bilangan terbesar dari dua bilangan a dan b!  JAWA</t>
        </is>
      </c>
    </row>
    <row r="523">
      <c r="A523" t="n">
        <v>87</v>
      </c>
      <c r="B523" t="n">
        <v>6</v>
      </c>
      <c r="C523" t="inlineStr">
        <is>
          <t>GT_DETAIL_PT07_Notasi_Algoritme.txt</t>
        </is>
      </c>
      <c r="D523" s="3" t="inlineStr">
        <is>
          <t>Pertemuan 7: Algoritme — Notasi Algoritme</t>
        </is>
      </c>
      <c r="E523" t="n">
        <v>0.7836</v>
      </c>
      <c r="F523" t="inlineStr">
        <is>
          <t>✓</t>
        </is>
      </c>
      <c r="G523" t="inlineStr">
        <is>
          <t>✓</t>
        </is>
      </c>
      <c r="H523" s="3" t="inlineStr">
        <is>
          <t>perasinya linear)  c) Rata-rata n bilangan: baca semua n bilangan + 1 pembagian → O(n) [linear]  [SOAL 5 — Pseudocode: Pesan Sandi] Tuliskan pseudocode untuk MENDEKRIPSI pesan yang dienkripsi dengan tiga langkah: (1) bal</t>
        </is>
      </c>
    </row>
    <row r="524">
      <c r="A524" t="n">
        <v>88</v>
      </c>
      <c r="B524" t="n">
        <v>1</v>
      </c>
      <c r="C524" t="inlineStr">
        <is>
          <t>GT_CT11.txt</t>
        </is>
      </c>
      <c r="D524" s="3" t="inlineStr">
        <is>
          <t>Pertemuan 11: Algoritme — Struktur Kontrol Perulangan</t>
        </is>
      </c>
      <c r="E524" t="n">
        <v>0.7033</v>
      </c>
      <c r="F524" t="inlineStr">
        <is>
          <t>✓</t>
        </is>
      </c>
      <c r="G524" t="inlineStr">
        <is>
          <t>✓</t>
        </is>
      </c>
      <c r="H524" s="3" t="inlineStr">
        <is>
          <t>baris terakhir. Variasi bentuk segitiga lainnya dapat dicapai dengan mengubah logika perulangan dalam untuk mengatur posisi dan jumlah bintang pada setiap baris.   --------------------------------------------------------</t>
        </is>
      </c>
    </row>
    <row r="525">
      <c r="A525" t="n">
        <v>88</v>
      </c>
      <c r="B525" t="n">
        <v>2</v>
      </c>
      <c r="C525" t="inlineStr">
        <is>
          <t>GT_CT09.txt</t>
        </is>
      </c>
      <c r="D525" s="3" t="inlineStr">
        <is>
          <t>Pertemuan 9: Elemen Pseudocode — Variabel, Operator, Tipe Data, dan List</t>
        </is>
      </c>
      <c r="E525" t="n">
        <v>0.6991000000000001</v>
      </c>
      <c r="F525" t="inlineStr">
        <is>
          <t>✓</t>
        </is>
      </c>
      <c r="G525" t="inlineStr">
        <is>
          <t>✓</t>
        </is>
      </c>
      <c r="H525" s="3" t="inlineStr">
        <is>
          <t>data yang menentukan jenis nilai yang dapat ditampung serta operasi apa yang dapat dilakukan terhadapnya. Terdapat beberapa tipe data dasar yang umum digunakan dalam algoritme dan pemrograman, antara lain:  1. Integer (B</t>
        </is>
      </c>
    </row>
    <row r="526">
      <c r="A526" t="n">
        <v>88</v>
      </c>
      <c r="B526" t="n">
        <v>3</v>
      </c>
      <c r="C526" t="inlineStr">
        <is>
          <t>GT_DETAIL_PT04_Abstraksi.txt</t>
        </is>
      </c>
      <c r="D526" s="3" t="inlineStr">
        <is>
          <t>Pertemuan 4: Problem Solving — Abstraksi</t>
        </is>
      </c>
      <c r="E526" t="n">
        <v>0.6949</v>
      </c>
      <c r="F526" t="inlineStr">
        <is>
          <t>✓</t>
        </is>
      </c>
      <c r="G526" t="inlineStr">
        <is>
          <t>✓</t>
        </is>
      </c>
      <c r="H526" s="3" t="inlineStr">
        <is>
          <t>erja dimulai.  [SOAL 2 — Komponen Abstraksi] Lakukan abstraksi terhadap persoalan berikut dengan mengidentifikasi problem, goal, batasan, dan data: "Sebuah toko online ingin menentukan harga diskon optimal untuk menghabi</t>
        </is>
      </c>
    </row>
    <row r="527">
      <c r="A527" t="n">
        <v>88</v>
      </c>
      <c r="B527" t="n">
        <v>4</v>
      </c>
      <c r="C527" t="inlineStr">
        <is>
          <t>GT_DETAIL_PT09_Variabel_TipeData_Operator_List.txt</t>
        </is>
      </c>
      <c r="D527" s="3" t="inlineStr">
        <is>
          <t>Pertemuan 9: Elemen Pseudocode — Variabel, Tipe Data, Operator, List</t>
        </is>
      </c>
      <c r="E527" t="n">
        <v>0.6935</v>
      </c>
      <c r="F527" t="inlineStr">
        <is>
          <t>✓</t>
        </is>
      </c>
      <c r="G527" t="inlineStr">
        <is>
          <t>✓</t>
        </is>
      </c>
      <c r="H527" s="3" t="inlineStr">
        <is>
          <t xml:space="preserve"> T = F | F AND F = F     Tabel kebenaran OR:    T OR T = T | T OR F = T | F OR T = T | F OR F = F     NOT: NOT T = F | NOT F = T  5. Is Operator: memeriksa tipe atau identitas suatu nilai/objek.  G. LIST (ARRAY / SEQUENC</t>
        </is>
      </c>
    </row>
    <row r="528">
      <c r="A528" t="n">
        <v>88</v>
      </c>
      <c r="B528" t="n">
        <v>5</v>
      </c>
      <c r="C528" t="inlineStr">
        <is>
          <t>GT_CT13.txt</t>
        </is>
      </c>
      <c r="D528" s="3" t="inlineStr">
        <is>
          <t>Pertemuan 13: Pengenalan Struktur Data</t>
        </is>
      </c>
      <c r="E528" t="n">
        <v>0.6872</v>
      </c>
      <c r="F528" t="inlineStr">
        <is>
          <t>✓</t>
        </is>
      </c>
      <c r="G528" t="inlineStr">
        <is>
          <t>✓</t>
        </is>
      </c>
      <c r="H528" s="3" t="inlineStr">
        <is>
          <t>ai urutan kedatangannya. - Sistem kecerdasan buatan dalam permainan catur yang merepresentasikan berbagai kemungkinan langkah ke depan: struktur data yang paling tepat adalah Tree, karena setiap kemungkinan langkah berca</t>
        </is>
      </c>
    </row>
    <row r="529">
      <c r="A529" t="n">
        <v>88</v>
      </c>
      <c r="B529" t="n">
        <v>6</v>
      </c>
      <c r="C529" t="inlineStr">
        <is>
          <t>GT_CT07.txt</t>
        </is>
      </c>
      <c r="D529" s="3" t="inlineStr">
        <is>
          <t>Pertemuan 7: Algoritme — Notasi Algoritme</t>
        </is>
      </c>
      <c r="E529" t="n">
        <v>0.6836</v>
      </c>
      <c r="F529" t="inlineStr">
        <is>
          <t>✓</t>
        </is>
      </c>
      <c r="G529" t="inlineStr">
        <is>
          <t>✓</t>
        </is>
      </c>
      <c r="H529" s="3" t="inlineStr">
        <is>
          <t xml:space="preserve"> ukuran atau nilai data (input) yang diproses bertambah besar.   ---------------------------------------------------------------- [MATERI 4: Latihan Penulisan Algoritme] --------------------------------------------------</t>
        </is>
      </c>
    </row>
    <row r="530">
      <c r="A530" t="n">
        <v>89</v>
      </c>
      <c r="B530" t="n">
        <v>1</v>
      </c>
      <c r="C530" t="inlineStr">
        <is>
          <t>GT_SUBTOPIK_03_Pola_Bilangan_Deret.txt</t>
        </is>
      </c>
      <c r="D530" s="3" t="inlineStr">
        <is>
          <t>Subtopik: Pattern Recognition — Pola Bilangan dan Deret Matematis</t>
        </is>
      </c>
      <c r="E530" t="n">
        <v>0.7825</v>
      </c>
      <c r="F530" t="inlineStr">
        <is>
          <t>✓</t>
        </is>
      </c>
      <c r="G530" t="inlineStr">
        <is>
          <t>✓</t>
        </is>
      </c>
      <c r="H530" s="3" t="inlineStr">
        <is>
          <t>drat. Coba an = n² + 1:   n=1: 1+1=2 ✓, n=2: 4+1=5 ✓, n=3: 9+1=10 ✓ Suku ke-6: 6² + 1 = 37  [SOAL 5 — Deret Fibonacci] Barisan Fibonacci: 1, 1, 2, 3, 5, 8, 13, 21, 34, ... a) Tentukan suku ke-12. b) Berapakah rasio dua s</t>
        </is>
      </c>
    </row>
    <row r="531">
      <c r="A531" t="n">
        <v>89</v>
      </c>
      <c r="B531" t="n">
        <v>2</v>
      </c>
      <c r="C531" t="inlineStr">
        <is>
          <t>GT_SUBTOPIK_03_Pola_Bilangan_Deret.txt</t>
        </is>
      </c>
      <c r="D531" s="3" t="inlineStr">
        <is>
          <t>Subtopik: Pattern Recognition — Pola Bilangan dan Deret Matematis</t>
        </is>
      </c>
      <c r="E531" t="n">
        <v>0.7614</v>
      </c>
      <c r="F531" t="inlineStr">
        <is>
          <t>✓</t>
        </is>
      </c>
      <c r="G531" t="inlineStr">
        <is>
          <t>✓</t>
        </is>
      </c>
      <c r="H531" s="3" t="inlineStr">
        <is>
          <t xml:space="preserve">Pola 3: 13 titik (ditambah 8) Pola 4: 25 titik (ditambah 12)  JAWABAN: Selisih antar pola: 4, 8, 12, ... → bertambah 4 setiap langkah Selisih ke-5: 16 Pola ke-5: 25 + 16 = 41  Formula: an = 2n² - 2n + 1 Verifikasi: n=5: </t>
        </is>
      </c>
    </row>
    <row r="532">
      <c r="A532" t="n">
        <v>89</v>
      </c>
      <c r="B532" t="n">
        <v>3</v>
      </c>
      <c r="C532" t="inlineStr">
        <is>
          <t>GT_CT07.txt</t>
        </is>
      </c>
      <c r="D532" s="3" t="inlineStr">
        <is>
          <t>Pertemuan 7: Algoritme — Notasi Algoritme</t>
        </is>
      </c>
      <c r="E532" t="n">
        <v>0.758</v>
      </c>
      <c r="F532" t="inlineStr">
        <is>
          <t>✓</t>
        </is>
      </c>
      <c r="G532" t="inlineStr">
        <is>
          <t>✓</t>
        </is>
      </c>
      <c r="H532" s="3" t="inlineStr">
        <is>
          <t>) dan selisih angka yang dicari (d). Output: banyaknya pasangan bilangan dengan selisih sebesar d (p). Proses: (a) Urutkan n bilangan secara menaik menjadi m1, m2, ..., mn; (b) Inisialisasi p = 0; (c) Untuk setiap i dari</t>
        </is>
      </c>
    </row>
    <row r="533">
      <c r="A533" t="n">
        <v>89</v>
      </c>
      <c r="B533" t="n">
        <v>4</v>
      </c>
      <c r="C533" t="inlineStr">
        <is>
          <t>GT_SUBTOPIK_03_Pola_Bilangan_Deret.txt</t>
        </is>
      </c>
      <c r="D533" s="3" t="inlineStr">
        <is>
          <t>Subtopik: Pattern Recognition — Pola Bilangan dan Deret Matematis</t>
        </is>
      </c>
      <c r="E533" t="n">
        <v>0.7575</v>
      </c>
      <c r="F533" t="inlineStr">
        <is>
          <t>✓</t>
        </is>
      </c>
      <c r="G533" t="inlineStr">
        <is>
          <t>✓</t>
        </is>
      </c>
      <c r="H533" s="3" t="inlineStr">
        <is>
          <t>0 coklat. Bebek nomor berapa yang pertama tidak mendapat coklat?  JAWABAN: Pola: jumlah komulatif s/d bebek ke-n = n(n+1)/2 Cari n terbesar sehingga n(n+1)/2 ≤ 500:   n=31: 31×32/2 = 496 ≤ 500 ✓   n=32: 32×33/2 = 528 &gt; 5</t>
        </is>
      </c>
    </row>
    <row r="534">
      <c r="A534" t="n">
        <v>89</v>
      </c>
      <c r="B534" t="n">
        <v>5</v>
      </c>
      <c r="C534" t="inlineStr">
        <is>
          <t>GT_DETAIL_PT05_Pattern_Recognition.txt</t>
        </is>
      </c>
      <c r="D534" s="3" t="inlineStr">
        <is>
          <t>Pertemuan 5: Pattern Recognition (Pengenalan Pola)</t>
        </is>
      </c>
      <c r="E534" t="n">
        <v>0.7523</v>
      </c>
      <c r="F534" t="inlineStr">
        <is>
          <t>✓</t>
        </is>
      </c>
      <c r="G534" t="inlineStr">
        <is>
          <t>✓</t>
        </is>
      </c>
      <c r="H534" s="3" t="inlineStr">
        <is>
          <t>memiliki pola serupa.  D. PERBEDAAN MATHEMATICAL THINKING vs. COMPUTATIONAL THINKING  Masalah: 1 + 2 + 3 + ... + 10 = ?  Mathematical Thinking (kalkulasi bertahap): 1+2=3, 3+3=6, 6+4=10, 10+5=15, ... = 55 (10 langkah)  C</t>
        </is>
      </c>
    </row>
    <row r="535">
      <c r="A535" t="n">
        <v>89</v>
      </c>
      <c r="B535" t="n">
        <v>6</v>
      </c>
      <c r="C535" t="inlineStr">
        <is>
          <t>GT_SUBTOPIK_01_Dekomposisi_Optimasi.txt</t>
        </is>
      </c>
      <c r="D535" s="3" t="inlineStr">
        <is>
          <t>Subtopik: Dekomposisi — Optimasi dan Pemecahan Masalah Terstruktur</t>
        </is>
      </c>
      <c r="E535" t="n">
        <v>0.7517</v>
      </c>
      <c r="F535" t="inlineStr">
        <is>
          <t>✓</t>
        </is>
      </c>
      <c r="G535" t="inlineStr">
        <is>
          <t>✓</t>
        </is>
      </c>
      <c r="H535" s="3" t="inlineStr">
        <is>
          <t>L 5 — Dekomposisi Algoritme FPB] Dekomposisikan masalah "mencari FPB dari tiga bilangan a, b, c" menjadi sub-masalah yang lebih kecil!  JAWABAN: Dekomposisi: - Sub-masalah 1: cari FPB(a, b) → hasil1 - Sub-masalah 2: cari</t>
        </is>
      </c>
    </row>
    <row r="536">
      <c r="A536" t="n">
        <v>90</v>
      </c>
      <c r="B536" t="n">
        <v>1</v>
      </c>
      <c r="C536" t="inlineStr">
        <is>
          <t>GT_SUBTOPIK_14_Kompleksitas_BigO.txt</t>
        </is>
      </c>
      <c r="D536" s="3" t="inlineStr">
        <is>
          <t>Subtopik: Kompleksitas Algoritme (Big-O Notation)</t>
        </is>
      </c>
      <c r="E536" t="n">
        <v>0.7466</v>
      </c>
      <c r="F536" t="inlineStr">
        <is>
          <t>✓</t>
        </is>
      </c>
      <c r="G536" t="inlineStr">
        <is>
          <t>✓</t>
        </is>
      </c>
      <c r="H536" s="3" t="inlineStr">
        <is>
          <t xml:space="preserve"> langkah sortir  Versi C (hash set, O(n) average):   buat set kosong   for setiap x dalam arr do          // O(n)     pelengkap = target - x     if pelengkap ada di set then return True     masukkan x ke set   return Fal</t>
        </is>
      </c>
    </row>
    <row r="537">
      <c r="A537" t="n">
        <v>90</v>
      </c>
      <c r="B537" t="n">
        <v>2</v>
      </c>
      <c r="C537" t="inlineStr">
        <is>
          <t>GT_CT13.txt</t>
        </is>
      </c>
      <c r="D537" s="3" t="inlineStr">
        <is>
          <t>Pertemuan 13: Pengenalan Struktur Data</t>
        </is>
      </c>
      <c r="E537" t="n">
        <v>0.7344000000000001</v>
      </c>
      <c r="F537" t="inlineStr">
        <is>
          <t>✓</t>
        </is>
      </c>
      <c r="G537" t="inlineStr">
        <is>
          <t>✓</t>
        </is>
      </c>
      <c r="H537" s="3" t="inlineStr">
        <is>
          <t>teratas, selama stack masih berisi data (tidak kosong). Data yang dikeluarkan melalui operasi pop sekaligus dihapus dari stack sehingga jumlah data yang tersimpan berkurang.  Simulasi rangkaian instruksi: push 5 → push 7</t>
        </is>
      </c>
    </row>
    <row r="538">
      <c r="A538" t="n">
        <v>90</v>
      </c>
      <c r="B538" t="n">
        <v>3</v>
      </c>
      <c r="C538" t="inlineStr">
        <is>
          <t>GT_SUBTOPIK_02_Abstraksi_Formulasi.txt</t>
        </is>
      </c>
      <c r="D538" s="3" t="inlineStr">
        <is>
          <t>Subtopik: Abstraksi — Formulasi Problem (Problem/Goal/Batasan/Data)</t>
        </is>
      </c>
      <c r="E538" t="n">
        <v>0.7338</v>
      </c>
      <c r="F538" t="inlineStr">
        <is>
          <t>✓</t>
        </is>
      </c>
      <c r="G538" t="inlineStr">
        <is>
          <t>✓</t>
        </is>
      </c>
      <c r="H538" s="3" t="inlineStr">
        <is>
          <t xml:space="preserve"> aus, atau printer tidak dibersihkan secara berkala.    Abstraksi: fokus pada frekuensi dan kondisi saat macet →    apakah selalu dengan kertas tertentu? Setelah sekian lembar?  [SOAL 7 — Abstraksi Data] Diberikan datase</t>
        </is>
      </c>
    </row>
    <row r="539">
      <c r="A539" t="n">
        <v>90</v>
      </c>
      <c r="B539" t="n">
        <v>4</v>
      </c>
      <c r="C539" t="inlineStr">
        <is>
          <t>GT_DETAIL_PT07_Notasi_Algoritme.txt</t>
        </is>
      </c>
      <c r="D539" s="3" t="inlineStr">
        <is>
          <t>Pertemuan 7: Algoritme — Notasi Algoritme</t>
        </is>
      </c>
      <c r="E539" t="n">
        <v>0.7298</v>
      </c>
      <c r="F539" t="inlineStr">
        <is>
          <t>✓</t>
        </is>
      </c>
      <c r="G539" t="inlineStr">
        <is>
          <t>✓</t>
        </is>
      </c>
      <c r="H539" s="3" t="inlineStr">
        <is>
          <t xml:space="preserve">put. 2. Space Complexity (Kompleksitas Ruang): memori tambahan yang diperlukan.  Notasi Big-O [O()]: - O(1)    : Konstan — waktu tidak bergantung pada ukuran input - O(log n): Logaritmik — sangat efisien (contoh: binary </t>
        </is>
      </c>
    </row>
    <row r="540">
      <c r="A540" t="n">
        <v>90</v>
      </c>
      <c r="B540" t="n">
        <v>5</v>
      </c>
      <c r="C540" t="inlineStr">
        <is>
          <t>GT_CT13.txt</t>
        </is>
      </c>
      <c r="D540" s="3" t="inlineStr">
        <is>
          <t>Pertemuan 13: Pengenalan Struktur Data</t>
        </is>
      </c>
      <c r="E540" t="n">
        <v>0.7199</v>
      </c>
      <c r="F540" t="inlineStr">
        <is>
          <t>✓</t>
        </is>
      </c>
      <c r="G540" t="inlineStr">
        <is>
          <t>✓</t>
        </is>
      </c>
      <c r="H540" s="3" t="inlineStr">
        <is>
          <t>-------------------  Ground Truth:  Sebagai lawan dari stack, terdapat struktur data queue. Queue dalam istilah sehari-hari berarti antrian. Dalam sebuah antrian, urutan pemrosesan harus sesuai dengan urutan kedatangan o</t>
        </is>
      </c>
    </row>
    <row r="541">
      <c r="A541" t="n">
        <v>90</v>
      </c>
      <c r="B541" t="n">
        <v>6</v>
      </c>
      <c r="C541" t="inlineStr">
        <is>
          <t>GT_SUBTOPIK_14_Kompleksitas_BigO.txt</t>
        </is>
      </c>
      <c r="D541" s="3" t="inlineStr">
        <is>
          <t>Subtopik: Kompleksitas Algoritme (Big-O Notation)</t>
        </is>
      </c>
      <c r="E541" t="n">
        <v>0.719</v>
      </c>
      <c r="F541" t="inlineStr">
        <is>
          <t>✓</t>
        </is>
      </c>
      <c r="G541" t="inlineStr">
        <is>
          <t>✓</t>
        </is>
      </c>
      <c r="H541" s="3" t="inlineStr">
        <is>
          <t>o       if arr[j] &gt; arr[j+1] then swap(arr[j], arr[j+1])   maks = arr[n]  Bandingkan kompleksitas dan rekomendasikan yang lebih baik!  JAWABAN: Algoritme A: O(n) -- satu pass, n-1 perbandingan Algoritme B: O(n^2) -- bubb</t>
        </is>
      </c>
    </row>
    <row r="542">
      <c r="A542" t="n">
        <v>91</v>
      </c>
      <c r="B542" t="n">
        <v>1</v>
      </c>
      <c r="C542" t="inlineStr">
        <is>
          <t>GT_CT10.txt</t>
        </is>
      </c>
      <c r="D542" s="3" t="inlineStr">
        <is>
          <t>Pertemuan 10: Struktur Kontrol — Percabangan</t>
        </is>
      </c>
      <c r="E542" t="n">
        <v>0.7154</v>
      </c>
      <c r="F542" t="inlineStr">
        <is>
          <t>✓</t>
        </is>
      </c>
      <c r="G542" t="inlineStr">
        <is>
          <t>✓</t>
        </is>
      </c>
      <c r="H542" s="3" t="inlineStr">
        <is>
          <t xml:space="preserve">oritme Berangkat ke Kampus (versi 1):     Shower     Breakfast     if (cloudy) then         Bring umbrella         Bring jacket     Go to Campus  Bentuk 2 — Percabangan Dua Arah (if-then-else): Digunakan ketika terdapat </t>
        </is>
      </c>
    </row>
    <row r="543">
      <c r="A543" t="n">
        <v>91</v>
      </c>
      <c r="B543" t="n">
        <v>2</v>
      </c>
      <c r="C543" t="inlineStr">
        <is>
          <t>GT_CT10.txt</t>
        </is>
      </c>
      <c r="D543" s="3" t="inlineStr">
        <is>
          <t>Pertemuan 10: Struktur Kontrol — Percabangan</t>
        </is>
      </c>
      <c r="E543" t="n">
        <v>0.7153</v>
      </c>
      <c r="F543" t="inlineStr">
        <is>
          <t>✓</t>
        </is>
      </c>
      <c r="G543" t="inlineStr">
        <is>
          <t>✓</t>
        </is>
      </c>
      <c r="H543" s="3" t="inlineStr">
        <is>
          <t xml:space="preserve">an:  Bentuk 1 — Bersarang Biasa (nested if di dalam if): Kondisi kedua diperiksa hanya jika kondisi pertama bernilai benar.     if (kondisi-1) then         if (kondisi-2) then             instruksi-1         else        </t>
        </is>
      </c>
    </row>
    <row r="544">
      <c r="A544" t="n">
        <v>91</v>
      </c>
      <c r="B544" t="n">
        <v>3</v>
      </c>
      <c r="C544" t="inlineStr">
        <is>
          <t>GT_DETAIL_PT12_Fungsi.txt</t>
        </is>
      </c>
      <c r="D544" s="3" t="inlineStr">
        <is>
          <t>Pertemuan 12: Fungsi</t>
        </is>
      </c>
      <c r="E544" t="n">
        <v>0.7143</v>
      </c>
      <c r="F544" t="inlineStr">
        <is>
          <t>✓</t>
        </is>
      </c>
      <c r="G544" t="inlineStr">
        <is>
          <t>✓</t>
        </is>
      </c>
      <c r="H544" s="3" t="inlineStr">
        <is>
          <t>nghitung luas persegi panjang!  JAWABAN:   function luasPersegiPanjang(panjang: int, lebar: int) : int     return panjang * lebar    // Pemanggilan:   L = luasPersegiPanjang(8, 5)  // L = 40  [SOAL 2 — Fungsi dengan Kond</t>
        </is>
      </c>
    </row>
    <row r="545">
      <c r="A545" t="n">
        <v>91</v>
      </c>
      <c r="B545" t="n">
        <v>4</v>
      </c>
      <c r="C545" t="inlineStr">
        <is>
          <t>GT_DETAIL_PT12_Fungsi.txt</t>
        </is>
      </c>
      <c r="D545" s="3" t="inlineStr">
        <is>
          <t>Pertemuan 12: Fungsi</t>
        </is>
      </c>
      <c r="E545" t="n">
        <v>0.7055</v>
      </c>
      <c r="F545" t="inlineStr">
        <is>
          <t>✓</t>
        </is>
      </c>
      <c r="G545" t="inlineStr">
        <is>
          <t>✓</t>
        </is>
      </c>
      <c r="H545" s="3" t="inlineStr">
        <is>
          <t>EDUR vs. FUNGSI  Prosedur: - Blok kode yang melakukan sesuatu tanpa mengembalikan nilai - Contoh: print(), prosedur meowing() yang langsung print - Tidak ada return type / return type void  Fungsi: - Blok kode yang mengh</t>
        </is>
      </c>
    </row>
    <row r="546">
      <c r="A546" t="n">
        <v>91</v>
      </c>
      <c r="B546" t="n">
        <v>5</v>
      </c>
      <c r="C546" t="inlineStr">
        <is>
          <t>GT_CT12.txt</t>
        </is>
      </c>
      <c r="D546" s="3" t="inlineStr">
        <is>
          <t>Pertemuan 12: Fungsi</t>
        </is>
      </c>
      <c r="E546" t="n">
        <v>0.7030999999999999</v>
      </c>
      <c r="F546" t="inlineStr">
        <is>
          <t>✓</t>
        </is>
      </c>
      <c r="G546" t="inlineStr">
        <is>
          <t>✓</t>
        </is>
      </c>
      <c r="H546" s="3" t="inlineStr">
        <is>
          <t>goritme utama:     procedure hitungTotalKeliling()         read(N)         totalKeliling = 0         for i = 1 to N do             read(radius)             luasLingkaran = hitungLuas(radius)             if (luasLingkaran</t>
        </is>
      </c>
    </row>
    <row r="547">
      <c r="A547" t="n">
        <v>91</v>
      </c>
      <c r="B547" t="n">
        <v>6</v>
      </c>
      <c r="C547" t="inlineStr">
        <is>
          <t>GT_DETAIL_PT12_Fungsi.txt</t>
        </is>
      </c>
      <c r="D547" s="3" t="inlineStr">
        <is>
          <t>Pertemuan 12: Fungsi</t>
        </is>
      </c>
      <c r="E547" t="n">
        <v>0.7018</v>
      </c>
      <c r="F547" t="inlineStr">
        <is>
          <t>✓</t>
        </is>
      </c>
      <c r="G547" t="inlineStr">
        <is>
          <t>✓</t>
        </is>
      </c>
      <c r="H547" s="3" t="inlineStr">
        <is>
          <t>L 8 — Desain Fungsi Lengkap] Buat program yang membaca N bilangan bulat, lalu untuk setiap bilangan: - Jika bilangan prima: cetak "[bilangan] adalah PRIMA" - Jika bukan prima: cetak "[bilangan] BUKAN prima" Gunakan fungs</t>
        </is>
      </c>
    </row>
    <row r="548">
      <c r="A548" t="n">
        <v>92</v>
      </c>
      <c r="B548" t="n">
        <v>1</v>
      </c>
      <c r="C548" t="inlineStr">
        <is>
          <t>GT_DETAIL_PT12_Fungsi.txt</t>
        </is>
      </c>
      <c r="D548" s="3" t="inlineStr">
        <is>
          <t>Pertemuan 12: Fungsi</t>
        </is>
      </c>
      <c r="E548" t="n">
        <v>0.7717000000000001</v>
      </c>
      <c r="F548" t="inlineStr">
        <is>
          <t>✓</t>
        </is>
      </c>
      <c r="G548" t="inlineStr">
        <is>
          <t>✓</t>
        </is>
      </c>
      <c r="H548" s="3">
        <f>=============================================================== GROUND TRUTH DETAIL — KOM2102 COMPUTATIONAL THINKING Pertemuan 12: Fungsi ================================================================  PENJELASAN DETA</f>
        <v/>
      </c>
    </row>
    <row r="549">
      <c r="A549" t="n">
        <v>92</v>
      </c>
      <c r="B549" t="n">
        <v>2</v>
      </c>
      <c r="C549" t="inlineStr">
        <is>
          <t>GT_DETAIL_PT07_Notasi_Algoritme.txt</t>
        </is>
      </c>
      <c r="D549" s="3" t="inlineStr">
        <is>
          <t>Pertemuan 7: Algoritme — Notasi Algoritme</t>
        </is>
      </c>
      <c r="E549" t="n">
        <v>0.7623</v>
      </c>
      <c r="F549" t="inlineStr">
        <is>
          <t>✓</t>
        </is>
      </c>
      <c r="G549" t="inlineStr">
        <is>
          <t>✓</t>
        </is>
      </c>
      <c r="H549" s="3">
        <f>=============================================================== GROUND TRUTH DETAIL — KOM2102 COMPUTATIONAL THINKING Pertemuan 7: Algoritme — Notasi Algoritme ============================================================</f>
        <v/>
      </c>
    </row>
    <row r="550">
      <c r="A550" t="n">
        <v>92</v>
      </c>
      <c r="B550" t="n">
        <v>3</v>
      </c>
      <c r="C550" t="inlineStr">
        <is>
          <t>GT_SUBTOPIK_11_Rekursi.txt</t>
        </is>
      </c>
      <c r="D550" s="3" t="inlineStr">
        <is>
          <t>Subtopik: Rekursi (Recursion)</t>
        </is>
      </c>
      <c r="E550" t="n">
        <v>0.7613</v>
      </c>
      <c r="F550" t="inlineStr">
        <is>
          <t>✓</t>
        </is>
      </c>
      <c r="G550" t="inlineStr">
        <is>
          <t>✓</t>
        </is>
      </c>
      <c r="H550" s="3">
        <f>=============================================================== GROUND TRUTH SUBTOPIK -- KOM2102 COMPUTATIONAL THINKING Subtopik: Rekursi (Recursion) ================================================================  KON</f>
        <v/>
      </c>
    </row>
    <row r="551">
      <c r="A551" t="n">
        <v>92</v>
      </c>
      <c r="B551" t="n">
        <v>4</v>
      </c>
      <c r="C551" t="inlineStr">
        <is>
          <t>GT_SUBTOPIK_02_Abstraksi_Formulasi.txt</t>
        </is>
      </c>
      <c r="D551" s="3" t="inlineStr">
        <is>
          <t>Subtopik: Abstraksi — Formulasi Problem (Problem/Goal/Batasan/Data)</t>
        </is>
      </c>
      <c r="E551" t="n">
        <v>0.76</v>
      </c>
      <c r="F551" t="inlineStr">
        <is>
          <t>✓</t>
        </is>
      </c>
      <c r="G551" t="inlineStr">
        <is>
          <t>✓</t>
        </is>
      </c>
      <c r="H551" s="3">
        <f>=============================================================== GROUND TRUTH SUBTOPIK — KOM2102 COMPUTATIONAL THINKING Subtopik: Abstraksi — Formulasi Problem (Problem/Goal/Batasan/Data) ================================</f>
        <v/>
      </c>
    </row>
    <row r="552">
      <c r="A552" t="n">
        <v>92</v>
      </c>
      <c r="B552" t="n">
        <v>5</v>
      </c>
      <c r="C552" t="inlineStr">
        <is>
          <t>GT_SUBTOPIK_05_Pseudocode_Algoritme.txt</t>
        </is>
      </c>
      <c r="D552" s="3" t="inlineStr">
        <is>
          <t>Subtopik: Pseudocode dan Notasi Algoritme</t>
        </is>
      </c>
      <c r="E552" t="n">
        <v>0.7598</v>
      </c>
      <c r="F552" t="inlineStr">
        <is>
          <t>✓</t>
        </is>
      </c>
      <c r="G552" t="inlineStr">
        <is>
          <t>✓</t>
        </is>
      </c>
      <c r="H552" s="3">
        <f>=============================================================== GROUND TRUTH SUBTOPIK — KOM2102 COMPUTATIONAL THINKING Subtopik: Pseudocode dan Notasi Algoritme ==========================================================</f>
        <v/>
      </c>
    </row>
    <row r="553">
      <c r="A553" t="n">
        <v>92</v>
      </c>
      <c r="B553" t="n">
        <v>6</v>
      </c>
      <c r="C553" t="inlineStr">
        <is>
          <t>GT_SUBTOPIK_14_Kompleksitas_BigO.txt</t>
        </is>
      </c>
      <c r="D553" s="3" t="inlineStr">
        <is>
          <t>Subtopik: Kompleksitas Algoritme (Big-O Notation)</t>
        </is>
      </c>
      <c r="E553" t="n">
        <v>0.758</v>
      </c>
      <c r="F553" t="inlineStr">
        <is>
          <t>✓</t>
        </is>
      </c>
      <c r="G553" t="inlineStr">
        <is>
          <t>✓</t>
        </is>
      </c>
      <c r="H553" s="3">
        <f>=============================================================== GROUND TRUTH SUBTOPIK -- KOM2102 COMPUTATIONAL THINKING Subtopik: Kompleksitas Algoritme (Big-O Notation) =================================================</f>
        <v/>
      </c>
    </row>
    <row r="554">
      <c r="A554" t="n">
        <v>93</v>
      </c>
      <c r="B554" t="n">
        <v>1</v>
      </c>
      <c r="C554" t="inlineStr">
        <is>
          <t>GT_DETAIL_PT11_Perulangan.txt</t>
        </is>
      </c>
      <c r="D554" s="3" t="inlineStr">
        <is>
          <t>Pertemuan 11: Struktur Kontrol — Perulangan</t>
        </is>
      </c>
      <c r="E554" t="n">
        <v>0.7621</v>
      </c>
      <c r="F554" t="inlineStr">
        <is>
          <t>✓</t>
        </is>
      </c>
      <c r="G554" t="inlineStr">
        <is>
          <t>✓</t>
        </is>
      </c>
      <c r="H554" s="3" t="inlineStr">
        <is>
          <t>an: - Kondisi dievaluasi SEBELUM body dijalankan - Jika kondisi False sejak awal → body tidak pernah dijalankan - Jika kondisi tidak pernah False → infinite loop (hindari!) - Body HARUS mengubah sesuatu yang mempengaruhi</t>
        </is>
      </c>
    </row>
    <row r="555">
      <c r="A555" t="n">
        <v>93</v>
      </c>
      <c r="B555" t="n">
        <v>2</v>
      </c>
      <c r="C555" t="inlineStr">
        <is>
          <t>GT_CT11.txt</t>
        </is>
      </c>
      <c r="D555" s="3" t="inlineStr">
        <is>
          <t>Pertemuan 11: Algoritme — Struktur Kontrol Perulangan</t>
        </is>
      </c>
      <c r="E555" t="n">
        <v>0.7291</v>
      </c>
      <c r="F555" t="inlineStr">
        <is>
          <t>✓</t>
        </is>
      </c>
      <c r="G555" t="inlineStr">
        <is>
          <t>✓</t>
        </is>
      </c>
      <c r="H555" s="3" t="inlineStr">
        <is>
          <t>disebut perulangan luar (outer loop). Untuk setiap satu kali iterasi perulangan luar, perulangan dalam akan menyelesaikan seluruh iterasinya dari awal hingga akhir.  Contoh perulangan bersarang untuk mencetak kotak binta</t>
        </is>
      </c>
    </row>
    <row r="556">
      <c r="A556" t="n">
        <v>93</v>
      </c>
      <c r="B556" t="n">
        <v>3</v>
      </c>
      <c r="C556" t="inlineStr">
        <is>
          <t>GT_DETAIL_PT11_Perulangan.txt</t>
        </is>
      </c>
      <c r="D556" s="3" t="inlineStr">
        <is>
          <t>Pertemuan 11: Struktur Kontrol — Perulangan</t>
        </is>
      </c>
      <c r="E556" t="n">
        <v>0.7241</v>
      </c>
      <c r="F556" t="inlineStr">
        <is>
          <t>✓</t>
        </is>
      </c>
      <c r="G556" t="inlineStr">
        <is>
          <t>✓</t>
        </is>
      </c>
      <c r="H556" s="3" t="inlineStr">
        <is>
          <t>selalu dijalankan MINIMAL SATU KALI  F. PERULANGAN BERSARANG (NESTED LOOP)  Konsep: perulangan di dalam perulangan. - Setiap 1 iterasi luar → dalam menyelesaikan SEMUA iterasinya - Total iterasi = iterasi_luar × iterasi_</t>
        </is>
      </c>
    </row>
    <row r="557">
      <c r="A557" t="n">
        <v>93</v>
      </c>
      <c r="B557" t="n">
        <v>4</v>
      </c>
      <c r="C557" t="inlineStr">
        <is>
          <t>GT_SUBTOPIK_14_Kompleksitas_BigO.txt</t>
        </is>
      </c>
      <c r="D557" s="3" t="inlineStr">
        <is>
          <t>Subtopik: Kompleksitas Algoritme (Big-O Notation)</t>
        </is>
      </c>
      <c r="E557" t="n">
        <v>0.7115</v>
      </c>
      <c r="F557" t="inlineStr">
        <is>
          <t>✓</t>
        </is>
      </c>
      <c r="G557" t="inlineStr">
        <is>
          <t>✓</t>
        </is>
      </c>
      <c r="H557" s="3" t="inlineStr">
        <is>
          <t>l yang terbesar: O(n^2 + n) = O(n^2)   3. Kalikan loop bersarang: O(n) dalam O(n) = O(n^2)  ---------------------------------------------------------------- CONTOH SOAL DAN PEMBAHASAN ------------------------------------</t>
        </is>
      </c>
    </row>
    <row r="558">
      <c r="A558" t="n">
        <v>93</v>
      </c>
      <c r="B558" t="n">
        <v>5</v>
      </c>
      <c r="C558" t="inlineStr">
        <is>
          <t>GT_CT10.txt</t>
        </is>
      </c>
      <c r="D558" s="3" t="inlineStr">
        <is>
          <t>Pertemuan 10: Struktur Kontrol — Percabangan</t>
        </is>
      </c>
      <c r="E558" t="n">
        <v>0.6951000000000001</v>
      </c>
      <c r="F558" t="inlineStr">
        <is>
          <t>✓</t>
        </is>
      </c>
      <c r="G558" t="inlineStr">
        <is>
          <t>✓</t>
        </is>
      </c>
      <c r="H558" s="3" t="inlineStr">
        <is>
          <t xml:space="preserve">oritme Berangkat ke Kampus (versi 1):     Shower     Breakfast     if (cloudy) then         Bring umbrella         Bring jacket     Go to Campus  Bentuk 2 — Percabangan Dua Arah (if-then-else): Digunakan ketika terdapat </t>
        </is>
      </c>
    </row>
    <row r="559">
      <c r="A559" t="n">
        <v>93</v>
      </c>
      <c r="B559" t="n">
        <v>6</v>
      </c>
      <c r="C559" t="inlineStr">
        <is>
          <t>GT_CT11.txt</t>
        </is>
      </c>
      <c r="D559" s="3" t="inlineStr">
        <is>
          <t>Pertemuan 11: Algoritme — Struktur Kontrol Perulangan</t>
        </is>
      </c>
      <c r="E559" t="n">
        <v>0.6939</v>
      </c>
      <c r="F559" t="inlineStr">
        <is>
          <t>✓</t>
        </is>
      </c>
      <c r="G559" t="inlineStr">
        <is>
          <t>✓</t>
        </is>
      </c>
      <c r="H559" s="3" t="inlineStr">
        <is>
          <t xml:space="preserve"> nilai &lt;langkah&gt; diasumsikan sebesar 1.  Kompleksitas waktu perulangan for untuk mencetak 1 hingga n adalah linear, yaitu O(n), karena jumlah operasi bertumbuh sebanding dengan nilai n.  Berikut adalah beberapa contoh pe</t>
        </is>
      </c>
    </row>
    <row r="560">
      <c r="A560" t="n">
        <v>94</v>
      </c>
      <c r="B560" t="n">
        <v>1</v>
      </c>
      <c r="C560" t="inlineStr">
        <is>
          <t>GT_SUBTOPIK_11_Rekursi.txt</t>
        </is>
      </c>
      <c r="D560" s="3" t="inlineStr">
        <is>
          <t>Subtopik: Rekursi (Recursion)</t>
        </is>
      </c>
      <c r="E560" t="n">
        <v>0.8496</v>
      </c>
      <c r="F560" t="inlineStr">
        <is>
          <t>✓</t>
        </is>
      </c>
      <c r="G560" t="inlineStr">
        <is>
          <t>✓</t>
        </is>
      </c>
      <c r="H560" s="3" t="inlineStr">
        <is>
          <t xml:space="preserve"> or n == 1) then return 1     else return n * faktorial(n - 1)  Trace faktorial(4):   faktorial(4) = 4 * faktorial(3)                = 4 * 3 * faktorial(2)                = 4 * 3 * 2 * faktorial(1)                = 4 * 3</t>
        </is>
      </c>
    </row>
    <row r="561">
      <c r="A561" t="n">
        <v>94</v>
      </c>
      <c r="B561" t="n">
        <v>2</v>
      </c>
      <c r="C561" t="inlineStr">
        <is>
          <t>GT_SUBTOPIK_11_Rekursi.txt</t>
        </is>
      </c>
      <c r="D561" s="3" t="inlineStr">
        <is>
          <t>Subtopik: Rekursi (Recursion)</t>
        </is>
      </c>
      <c r="E561" t="n">
        <v>0.8156</v>
      </c>
      <c r="F561" t="inlineStr">
        <is>
          <t>✓</t>
        </is>
      </c>
      <c r="G561" t="inlineStr">
        <is>
          <t>✓</t>
        </is>
      </c>
      <c r="H561" s="3" t="inlineStr">
        <is>
          <t>en return 0     else return n + sumTo(n - 1)  Trace sumTo(4):   sumTo(4) = 4 + sumTo(3)            = 4 + 3 + sumTo(2)            = 4 + 3 + 2 + sumTo(1)            = 4 + 3 + 2 + 1 + sumTo(0)            = 4 + 3 + 2 + 1 + 0</t>
        </is>
      </c>
    </row>
    <row r="562">
      <c r="A562" t="n">
        <v>94</v>
      </c>
      <c r="B562" t="n">
        <v>3</v>
      </c>
      <c r="C562" t="inlineStr">
        <is>
          <t>GT_DETAIL_PT12_Fungsi.txt</t>
        </is>
      </c>
      <c r="D562" s="3" t="inlineStr">
        <is>
          <t>Pertemuan 12: Fungsi</t>
        </is>
      </c>
      <c r="E562" t="n">
        <v>0.8025</v>
      </c>
      <c r="F562" t="inlineStr">
        <is>
          <t>✓</t>
        </is>
      </c>
      <c r="G562" t="inlineStr">
        <is>
          <t>✓</t>
        </is>
      </c>
      <c r="H562" s="3" t="inlineStr">
        <is>
          <t>L 8 — Desain Fungsi Lengkap] Buat program yang membaca N bilangan bulat, lalu untuk setiap bilangan: - Jika bilangan prima: cetak "[bilangan] adalah PRIMA" - Jika bukan prima: cetak "[bilangan] BUKAN prima" Gunakan fungs</t>
        </is>
      </c>
    </row>
    <row r="563">
      <c r="A563" t="n">
        <v>94</v>
      </c>
      <c r="B563" t="n">
        <v>4</v>
      </c>
      <c r="C563" t="inlineStr">
        <is>
          <t>GT_SUBTOPIK_11_Rekursi.txt</t>
        </is>
      </c>
      <c r="D563" s="3" t="inlineStr">
        <is>
          <t>Subtopik: Rekursi (Recursion)</t>
        </is>
      </c>
      <c r="E563" t="n">
        <v>0.7796999999999999</v>
      </c>
      <c r="F563" t="inlineStr">
        <is>
          <t>✓</t>
        </is>
      </c>
      <c r="G563" t="inlineStr">
        <is>
          <t>✓</t>
        </is>
      </c>
      <c r="H563" s="3" t="inlineStr">
        <is>
          <t>O(log n)  [SOAL 7 -- Tower of Hanoi] 3 tiang (A, B, C), n piringan di tiang A (terkecil di atas). Pindahkan semua ke C menggunakan B sebagai tiang bantu. Aturan: tidak boleh menaruh piringan besar di atas kecil.  JAWABAN</t>
        </is>
      </c>
    </row>
    <row r="564">
      <c r="A564" t="n">
        <v>94</v>
      </c>
      <c r="B564" t="n">
        <v>5</v>
      </c>
      <c r="C564" t="inlineStr">
        <is>
          <t>GT_DETAIL_PT12_Fungsi.txt</t>
        </is>
      </c>
      <c r="D564" s="3" t="inlineStr">
        <is>
          <t>Pertemuan 12: Fungsi</t>
        </is>
      </c>
      <c r="E564" t="n">
        <v>0.7632</v>
      </c>
      <c r="F564" t="inlineStr">
        <is>
          <t>✓</t>
        </is>
      </c>
      <c r="G564" t="inlineStr">
        <is>
          <t>✓</t>
        </is>
      </c>
      <c r="H564" s="3" t="inlineStr">
        <is>
          <t xml:space="preserve">ction hitungLuas(r: float) : float     return 3.14 * r * r    function hitungKeliling(r: float) : float     return 2 * 3.14 * r    procedure hitungTotalKeliling()     read(N)     totalKeliling = 0     for i = 1 to N do  </t>
        </is>
      </c>
    </row>
    <row r="565">
      <c r="A565" t="n">
        <v>94</v>
      </c>
      <c r="B565" t="n">
        <v>6</v>
      </c>
      <c r="C565" t="inlineStr">
        <is>
          <t>GT_SUBTOPIK_14_Kompleksitas_BigO.txt</t>
        </is>
      </c>
      <c r="D565" s="3" t="inlineStr">
        <is>
          <t>Subtopik: Kompleksitas Algoritme (Big-O Notation)</t>
        </is>
      </c>
      <c r="E565" t="n">
        <v>0.7625999999999999</v>
      </c>
      <c r="F565" t="inlineStr">
        <is>
          <t>✓</t>
        </is>
      </c>
      <c r="G565" t="inlineStr">
        <is>
          <t>✓</t>
        </is>
      </c>
      <c r="H565" s="3" t="inlineStr">
        <is>
          <t xml:space="preserve"> (sangat cepat)   O(n log n)  : 1.000*10 / 10^8 = 0,0001 detik (cepat)   O(n^2)      : 10^6 / 10^8 = 0,01 detik (masih oke)   O(2^n)      : 2^1000 / 10^8 = TIDAK MUNGKIN selesai (lebih besar dari umur alam semesta!)  Unt</t>
        </is>
      </c>
    </row>
    <row r="566">
      <c r="A566" t="n">
        <v>95</v>
      </c>
      <c r="B566" t="n">
        <v>1</v>
      </c>
      <c r="C566" t="inlineStr">
        <is>
          <t>GT_DETAIL_PT10_Percabangan.txt</t>
        </is>
      </c>
      <c r="D566" s="3" t="inlineStr">
        <is>
          <t>Pertemuan 10: Struktur Kontrol — Percabangan</t>
        </is>
      </c>
      <c r="E566" t="n">
        <v>0.8245</v>
      </c>
      <c r="F566" t="inlineStr">
        <is>
          <t>✓</t>
        </is>
      </c>
      <c r="G566" t="inlineStr">
        <is>
          <t>✓</t>
        </is>
      </c>
      <c r="H566" s="3" t="inlineStr">
        <is>
          <t>------------ CONTOH SOAL DAN PEMBAHASAN ----------------------------------------------------------------  [SOAL 1 — Maks 2 Bilangan] Tuliskan pseudocode untuk menentukan bilangan terbesar dari dua bilangan a dan b!  JAWA</t>
        </is>
      </c>
    </row>
    <row r="567">
      <c r="A567" t="n">
        <v>95</v>
      </c>
      <c r="B567" t="n">
        <v>2</v>
      </c>
      <c r="C567" t="inlineStr">
        <is>
          <t>GT_CT07.txt</t>
        </is>
      </c>
      <c r="D567" s="3" t="inlineStr">
        <is>
          <t>Pertemuan 7: Algoritme — Notasi Algoritme</t>
        </is>
      </c>
      <c r="E567" t="n">
        <v>0.8022</v>
      </c>
      <c r="F567" t="inlineStr">
        <is>
          <t>✓</t>
        </is>
      </c>
      <c r="G567" t="inlineStr">
        <is>
          <t>✓</t>
        </is>
      </c>
      <c r="H567" s="3" t="inlineStr">
        <is>
          <t>an nilai alas dengan tinggi, lalu hasilnya dibagi dua.  2. Pseudocode: Pseudocode adalah cara informal untuk menuliskan algoritme atau rancangan program komputer. Tujuan utama pseudocode adalah untuk mendapatkan ide seca</t>
        </is>
      </c>
    </row>
    <row r="568">
      <c r="A568" t="n">
        <v>95</v>
      </c>
      <c r="B568" t="n">
        <v>3</v>
      </c>
      <c r="C568" t="inlineStr">
        <is>
          <t>GT_DETAIL_PT07_Notasi_Algoritme.txt</t>
        </is>
      </c>
      <c r="D568" s="3" t="inlineStr">
        <is>
          <t>Pertemuan 7: Algoritme — Notasi Algoritme</t>
        </is>
      </c>
      <c r="E568" t="n">
        <v>0.7965</v>
      </c>
      <c r="F568" t="inlineStr">
        <is>
          <t>✓</t>
        </is>
      </c>
      <c r="G568" t="inlineStr">
        <is>
          <t>✓</t>
        </is>
      </c>
      <c r="H568" s="3" t="inlineStr">
        <is>
          <t>perasinya linear)  c) Rata-rata n bilangan: baca semua n bilangan + 1 pembagian → O(n) [linear]  [SOAL 5 — Pseudocode: Pesan Sandi] Tuliskan pseudocode untuk MENDEKRIPSI pesan yang dienkripsi dengan tiga langkah: (1) bal</t>
        </is>
      </c>
    </row>
    <row r="569">
      <c r="A569" t="n">
        <v>95</v>
      </c>
      <c r="B569" t="n">
        <v>4</v>
      </c>
      <c r="C569" t="inlineStr">
        <is>
          <t>GT_CT09.txt</t>
        </is>
      </c>
      <c r="D569" s="3" t="inlineStr">
        <is>
          <t>Pertemuan 9: Elemen Pseudocode — Variabel, Operator, Tipe Data, dan List</t>
        </is>
      </c>
      <c r="E569" t="n">
        <v>0.782</v>
      </c>
      <c r="F569" t="inlineStr">
        <is>
          <t>✓</t>
        </is>
      </c>
      <c r="G569" t="inlineStr">
        <is>
          <t>✓</t>
        </is>
      </c>
      <c r="H569" s="3" t="inlineStr">
        <is>
          <t>h atau operasi yang dilakukan. 5. Struktur Kendali: mekanisme pengaturan alur eksekusi algoritme.  Pertemuan ini berfokus pada pembahasan mendalam terhadap variabel, instruksi, assignment, tipe data, dan operator sebagai</t>
        </is>
      </c>
    </row>
    <row r="570">
      <c r="A570" t="n">
        <v>95</v>
      </c>
      <c r="B570" t="n">
        <v>5</v>
      </c>
      <c r="C570" t="inlineStr">
        <is>
          <t>GT_SUBTOPIK_05_Pseudocode_Algoritme.txt</t>
        </is>
      </c>
      <c r="D570" s="3" t="inlineStr">
        <is>
          <t>Subtopik: Pseudocode dan Notasi Algoritme</t>
        </is>
      </c>
      <c r="E570" t="n">
        <v>0.7759</v>
      </c>
      <c r="F570" t="inlineStr">
        <is>
          <t>✓</t>
        </is>
      </c>
      <c r="G570" t="inlineStr">
        <is>
          <t>✓</t>
        </is>
      </c>
      <c r="H570" s="3" t="inlineStr">
        <is>
          <t xml:space="preserve">,12),(15,17),(18,20) → p=6  [SOAL 3 — Pseudocode: Cek Prima] Tulis pseudocode untuk mengecek apakah bilangan n prima!  JAWABAN: Input : bilangan bulat n Output: "prima" atau "bukan prima"    read(n)   if (n &lt;= 1) then   </t>
        </is>
      </c>
    </row>
    <row r="571">
      <c r="A571" t="n">
        <v>95</v>
      </c>
      <c r="B571" t="n">
        <v>6</v>
      </c>
      <c r="C571" t="inlineStr">
        <is>
          <t>GT_CT11.txt</t>
        </is>
      </c>
      <c r="D571" s="3" t="inlineStr">
        <is>
          <t>Pertemuan 11: Algoritme — Struktur Kontrol Perulangan</t>
        </is>
      </c>
      <c r="E571" t="n">
        <v>0.7733</v>
      </c>
      <c r="F571" t="inlineStr">
        <is>
          <t>✓</t>
        </is>
      </c>
      <c r="G571" t="inlineStr">
        <is>
          <t>✓</t>
        </is>
      </c>
      <c r="H571" s="3" t="inlineStr">
        <is>
          <t xml:space="preserve"> nilai &lt;langkah&gt; diasumsikan sebesar 1.  Kompleksitas waktu perulangan for untuk mencetak 1 hingga n adalah linear, yaitu O(n), karena jumlah operasi bertumbuh sebanding dengan nilai n.  Berikut adalah beberapa contoh pe</t>
        </is>
      </c>
    </row>
    <row r="572">
      <c r="A572" t="n">
        <v>96</v>
      </c>
      <c r="B572" t="n">
        <v>1</v>
      </c>
      <c r="C572" t="inlineStr">
        <is>
          <t>GT_CT12.txt</t>
        </is>
      </c>
      <c r="D572" s="3" t="inlineStr">
        <is>
          <t>Pertemuan 12: Fungsi</t>
        </is>
      </c>
      <c r="E572" t="n">
        <v>0.751</v>
      </c>
      <c r="F572" t="inlineStr">
        <is>
          <t>✓</t>
        </is>
      </c>
      <c r="G572" t="inlineStr">
        <is>
          <t>✓</t>
        </is>
      </c>
      <c r="H572" s="3" t="inlineStr">
        <is>
          <t xml:space="preserve">lah penggunaan fungsi. Dengan fungsi, kode dapat digunakan kembali tanpa ditulis ulang (reusable), blok kode diberi nama sehingga mudah dipanggil kapan pun dibutuhkan, dan perubahan logika cukup dilakukan di satu tempat </t>
        </is>
      </c>
    </row>
    <row r="573">
      <c r="A573" t="n">
        <v>96</v>
      </c>
      <c r="B573" t="n">
        <v>2</v>
      </c>
      <c r="C573" t="inlineStr">
        <is>
          <t>GT_CT12.txt</t>
        </is>
      </c>
      <c r="D573" s="3" t="inlineStr">
        <is>
          <t>Pertemuan 12: Fungsi</t>
        </is>
      </c>
      <c r="E573" t="n">
        <v>0.7472</v>
      </c>
      <c r="F573" t="inlineStr">
        <is>
          <t>✓</t>
        </is>
      </c>
      <c r="G573" t="inlineStr">
        <is>
          <t>✓</t>
        </is>
      </c>
      <c r="H573" s="3" t="inlineStr">
        <is>
          <t>alam format namaVariabel:tipe_data. Apabila terdapat lebih dari satu parameter, digunakan tanda koma sebagai pemisah. 3. Tipe Hasil atau Return Type (: int): tipe data dari output yang akan dihasilkan dan dikembalikan ol</t>
        </is>
      </c>
    </row>
    <row r="574">
      <c r="A574" t="n">
        <v>96</v>
      </c>
      <c r="B574" t="n">
        <v>3</v>
      </c>
      <c r="C574" t="inlineStr">
        <is>
          <t>GT_DETAIL_PT12_Fungsi.txt</t>
        </is>
      </c>
      <c r="D574" s="3" t="inlineStr">
        <is>
          <t>Pertemuan 12: Fungsi</t>
        </is>
      </c>
      <c r="E574" t="n">
        <v>0.7453</v>
      </c>
      <c r="F574" t="inlineStr">
        <is>
          <t>✓</t>
        </is>
      </c>
      <c r="G574" t="inlineStr">
        <is>
          <t>✓</t>
        </is>
      </c>
      <c r="H574" s="3" t="inlineStr">
        <is>
          <t xml:space="preserve"> FUNGSI SEBAGAI DEKOMPOSISI DAN ABSTRAKSI  Dekomposisi: memecah algoritme besar menjadi fungsi-fungsi kecil yang terfokus. Abstraksi: menyembunyikan kerumitan implementasi di dalam fungsi;            algoritme utama cuku</t>
        </is>
      </c>
    </row>
    <row r="575">
      <c r="A575" t="n">
        <v>96</v>
      </c>
      <c r="B575" t="n">
        <v>4</v>
      </c>
      <c r="C575" t="inlineStr">
        <is>
          <t>GT_CT12.txt</t>
        </is>
      </c>
      <c r="D575" s="3" t="inlineStr">
        <is>
          <t>Pertemuan 12: Fungsi</t>
        </is>
      </c>
      <c r="E575" t="n">
        <v>0.7322</v>
      </c>
      <c r="F575" t="inlineStr">
        <is>
          <t>✓</t>
        </is>
      </c>
      <c r="G575" t="inlineStr">
        <is>
          <t>✓</t>
        </is>
      </c>
      <c r="H575" s="3" t="inlineStr">
        <is>
          <t xml:space="preserve">ing menjadi fungsi yang mengembalikan nilai:      function getMeowSound(berat: int) : string         if berat &gt; 5 then             return('meong meong')         else             return('miaw miaw')  Cara penggunaan:     </t>
        </is>
      </c>
    </row>
    <row r="576">
      <c r="A576" t="n">
        <v>96</v>
      </c>
      <c r="B576" t="n">
        <v>5</v>
      </c>
      <c r="C576" t="inlineStr">
        <is>
          <t>GT_DETAIL_PT12_Fungsi.txt</t>
        </is>
      </c>
      <c r="D576" s="3" t="inlineStr">
        <is>
          <t>Pertemuan 12: Fungsi</t>
        </is>
      </c>
      <c r="E576" t="n">
        <v>0.7271</v>
      </c>
      <c r="F576" t="inlineStr">
        <is>
          <t>✓</t>
        </is>
      </c>
      <c r="G576" t="inlineStr">
        <is>
          <t>✓</t>
        </is>
      </c>
      <c r="H576" s="3" t="inlineStr">
        <is>
          <t>ion hitungFPB(a: int, b: int) : int → return FPB dari a dan b c) procedure inisialisasi() → set semua variabel ke 0 d) function cekPrima(n: int) : boolean → return True jika n prima  JAWABAN: a) PROSEDUR: tidak mengembal</t>
        </is>
      </c>
    </row>
    <row r="577">
      <c r="A577" t="n">
        <v>96</v>
      </c>
      <c r="B577" t="n">
        <v>6</v>
      </c>
      <c r="C577" t="inlineStr">
        <is>
          <t>GT_DETAIL_PT09_Variabel_TipeData_Operator_List.txt</t>
        </is>
      </c>
      <c r="D577" s="3" t="inlineStr">
        <is>
          <t>Pertemuan 9: Elemen Pseudocode — Variabel, Tipe Data, Operator, List</t>
        </is>
      </c>
      <c r="E577" t="n">
        <v>0.7258</v>
      </c>
      <c r="F577" t="inlineStr">
        <is>
          <t>✓</t>
        </is>
      </c>
      <c r="G577" t="inlineStr">
        <is>
          <t>✓</t>
        </is>
      </c>
      <c r="H577" s="3" t="inlineStr">
        <is>
          <t xml:space="preserve"> T = F | F AND F = F     Tabel kebenaran OR:    T OR T = T | T OR F = T | F OR T = T | F OR F = F     NOT: NOT T = F | NOT F = T  5. Is Operator: memeriksa tipe atau identitas suatu nilai/objek.  G. LIST (ARRAY / SEQUENC</t>
        </is>
      </c>
    </row>
    <row r="578">
      <c r="A578" t="n">
        <v>97</v>
      </c>
      <c r="B578" t="n">
        <v>1</v>
      </c>
      <c r="C578" t="inlineStr">
        <is>
          <t>GT_CT07.txt</t>
        </is>
      </c>
      <c r="D578" s="3" t="inlineStr">
        <is>
          <t>Pertemuan 7: Algoritme — Notasi Algoritme</t>
        </is>
      </c>
      <c r="E578" t="n">
        <v>0.7532</v>
      </c>
      <c r="F578" t="inlineStr">
        <is>
          <t>✓</t>
        </is>
      </c>
      <c r="G578" t="inlineStr">
        <is>
          <t>✓</t>
        </is>
      </c>
      <c r="H578" s="3" t="inlineStr">
        <is>
          <t>an nilai alas dengan tinggi, lalu hasilnya dibagi dua.  2. Pseudocode: Pseudocode adalah cara informal untuk menuliskan algoritme atau rancangan program komputer. Tujuan utama pseudocode adalah untuk mendapatkan ide seca</t>
        </is>
      </c>
    </row>
    <row r="579">
      <c r="A579" t="n">
        <v>97</v>
      </c>
      <c r="B579" t="n">
        <v>2</v>
      </c>
      <c r="C579" t="inlineStr">
        <is>
          <t>GT_DETAIL_PT04_Abstraksi.txt</t>
        </is>
      </c>
      <c r="D579" s="3" t="inlineStr">
        <is>
          <t>Pertemuan 4: Problem Solving — Abstraksi</t>
        </is>
      </c>
      <c r="E579" t="n">
        <v>0.749</v>
      </c>
      <c r="F579" t="inlineStr">
        <is>
          <t>✓</t>
        </is>
      </c>
      <c r="G579" t="inlineStr">
        <is>
          <t>✓</t>
        </is>
      </c>
      <c r="H579" s="3" t="inlineStr">
        <is>
          <t xml:space="preserve">    Batasan   : robot hanya bisa bergerak ke kanan atau ke atas    Data      : peta petak dengan jumlah permen (0–3) di setiap petak  ---------------------------------------------------------------- CONTOH SOAL DAN PEMBA</t>
        </is>
      </c>
    </row>
    <row r="580">
      <c r="A580" t="n">
        <v>97</v>
      </c>
      <c r="B580" t="n">
        <v>3</v>
      </c>
      <c r="C580" t="inlineStr">
        <is>
          <t>GT_DETAIL_PT10_Percabangan.txt</t>
        </is>
      </c>
      <c r="D580" s="3" t="inlineStr">
        <is>
          <t>Pertemuan 10: Struktur Kontrol — Percabangan</t>
        </is>
      </c>
      <c r="E580" t="n">
        <v>0.723</v>
      </c>
      <c r="F580" t="inlineStr">
        <is>
          <t>✓</t>
        </is>
      </c>
      <c r="G580" t="inlineStr">
        <is>
          <t>✓</t>
        </is>
      </c>
      <c r="H580" s="3" t="inlineStr">
        <is>
          <t>------------ CONTOH SOAL DAN PEMBAHASAN ----------------------------------------------------------------  [SOAL 1 — Maks 2 Bilangan] Tuliskan pseudocode untuk menentukan bilangan terbesar dari dua bilangan a dan b!  JAWA</t>
        </is>
      </c>
    </row>
    <row r="581">
      <c r="A581" t="n">
        <v>97</v>
      </c>
      <c r="B581" t="n">
        <v>4</v>
      </c>
      <c r="C581" t="inlineStr">
        <is>
          <t>GT_CT06.txt</t>
        </is>
      </c>
      <c r="D581" s="3" t="inlineStr">
        <is>
          <t>Pertemuan 6: Pengenalan Algoritme &amp; Block Programming</t>
        </is>
      </c>
      <c r="E581" t="n">
        <v>0.714</v>
      </c>
      <c r="F581" t="inlineStr">
        <is>
          <t>✓</t>
        </is>
      </c>
      <c r="G581" t="inlineStr">
        <is>
          <t>✓</t>
        </is>
      </c>
      <c r="H581" s="3" t="inlineStr">
        <is>
          <t>mudah dan lebih mudah diakses, terutama bagi pemula.  Block programming adalah metode pemrograman yang menggunakan blok-blok visual berbentuk puzzle yang dapat disusun dengan cara drag and drop, sehingga relatif lebih mu</t>
        </is>
      </c>
    </row>
    <row r="582">
      <c r="A582" t="n">
        <v>97</v>
      </c>
      <c r="B582" t="n">
        <v>5</v>
      </c>
      <c r="C582" t="inlineStr">
        <is>
          <t>GT_SUBTOPIK_05_Pseudocode_Algoritme.txt</t>
        </is>
      </c>
      <c r="D582" s="3" t="inlineStr">
        <is>
          <t>Subtopik: Pseudocode dan Notasi Algoritme</t>
        </is>
      </c>
      <c r="E582" t="n">
        <v>0.7122000000000001</v>
      </c>
      <c r="F582" t="inlineStr">
        <is>
          <t>✓</t>
        </is>
      </c>
      <c r="G582" t="inlineStr">
        <is>
          <t>✓</t>
        </is>
      </c>
      <c r="H582" s="3" t="inlineStr">
        <is>
          <t xml:space="preserve">,12),(15,17),(18,20) → p=6  [SOAL 3 — Pseudocode: Cek Prima] Tulis pseudocode untuk mengecek apakah bilangan n prima!  JAWABAN: Input : bilangan bulat n Output: "prima" atau "bukan prima"    read(n)   if (n &lt;= 1) then   </t>
        </is>
      </c>
    </row>
    <row r="583">
      <c r="A583" t="n">
        <v>97</v>
      </c>
      <c r="B583" t="n">
        <v>6</v>
      </c>
      <c r="C583" t="inlineStr">
        <is>
          <t>GT_CT09.txt</t>
        </is>
      </c>
      <c r="D583" s="3" t="inlineStr">
        <is>
          <t>Pertemuan 9: Elemen Pseudocode — Variabel, Operator, Tipe Data, dan List</t>
        </is>
      </c>
      <c r="E583" t="n">
        <v>0.7098</v>
      </c>
      <c r="F583" t="inlineStr">
        <is>
          <t>✓</t>
        </is>
      </c>
      <c r="G583" t="inlineStr">
        <is>
          <t>✓</t>
        </is>
      </c>
      <c r="H583" s="3" t="inlineStr">
        <is>
          <t>h atau operasi yang dilakukan. 5. Struktur Kendali: mekanisme pengaturan alur eksekusi algoritme.  Pertemuan ini berfokus pada pembahasan mendalam terhadap variabel, instruksi, assignment, tipe data, dan operator sebagai</t>
        </is>
      </c>
    </row>
    <row r="584">
      <c r="A584" t="n">
        <v>98</v>
      </c>
      <c r="B584" t="n">
        <v>1</v>
      </c>
      <c r="C584" t="inlineStr">
        <is>
          <t>GT_DETAIL_PT05_Pattern_Recognition.txt</t>
        </is>
      </c>
      <c r="D584" s="3" t="inlineStr">
        <is>
          <t>Pertemuan 5: Pattern Recognition (Pengenalan Pola)</t>
        </is>
      </c>
      <c r="E584" t="n">
        <v>0.7448</v>
      </c>
      <c r="F584" t="inlineStr">
        <is>
          <t>✓</t>
        </is>
      </c>
      <c r="G584" t="inlineStr">
        <is>
          <t>✓</t>
        </is>
      </c>
      <c r="H584" s="3" t="inlineStr">
        <is>
          <t xml:space="preserve">li y ayam  → hari ini 3y bebek Simulasi: Hari 1: 1 bebek   (total: 1) Hari 2: 2 ayam    (total: 3) Hari 3: 6 bebek   (total: 9) Hari 4: 12 ayam   (total: 21) Hari 5: 36 bebek  (total: 57) Pola: hari ganjil = bebek, hari </t>
        </is>
      </c>
    </row>
    <row r="585">
      <c r="A585" t="n">
        <v>98</v>
      </c>
      <c r="B585" t="n">
        <v>2</v>
      </c>
      <c r="C585" t="inlineStr">
        <is>
          <t>GT_CT05.txt</t>
        </is>
      </c>
      <c r="D585" s="3" t="inlineStr">
        <is>
          <t>Pertemuan 5: Pattern Recognition (Pengenalan Pola)</t>
        </is>
      </c>
      <c r="E585" t="n">
        <v>0.7244</v>
      </c>
      <c r="F585" t="inlineStr">
        <is>
          <t>✓</t>
        </is>
      </c>
      <c r="G585" t="inlineStr">
        <is>
          <t>✓</t>
        </is>
      </c>
      <c r="H585" s="3" t="inlineStr">
        <is>
          <t>hwa digit terakhir dari perpangkatan 2 berulang dalam siklus empat: 1, 2, 4, 8, 6, 2, 4, 8, 6, ... Pola ini dapat direpresentasikan sebagai: jika N mod 4 = 1 maka digit terakhir 2; jika N mod 4 = 2 maka digit terakhir 4;</t>
        </is>
      </c>
    </row>
    <row r="586">
      <c r="A586" t="n">
        <v>98</v>
      </c>
      <c r="B586" t="n">
        <v>3</v>
      </c>
      <c r="C586" t="inlineStr">
        <is>
          <t>GT_CT06.txt</t>
        </is>
      </c>
      <c r="D586" s="3" t="inlineStr">
        <is>
          <t>Pertemuan 6: Pengenalan Algoritme &amp; Block Programming</t>
        </is>
      </c>
      <c r="E586" t="n">
        <v>0.7221</v>
      </c>
      <c r="F586" t="inlineStr">
        <is>
          <t>✓</t>
        </is>
      </c>
      <c r="G586" t="inlineStr">
        <is>
          <t>✓</t>
        </is>
      </c>
      <c r="H586" s="3" t="inlineStr">
        <is>
          <t>a eksis dalam dunia komputasi, tetapi juga dapat ditemukan dalam kehidupan sehari-hari dalam berbagai bentuk instruksi terstruktur, seperti buku manual mesin cuci dan panduan penggunaan perangkat elektronik (misalnya App</t>
        </is>
      </c>
    </row>
    <row r="587">
      <c r="A587" t="n">
        <v>98</v>
      </c>
      <c r="B587" t="n">
        <v>4</v>
      </c>
      <c r="C587" t="inlineStr">
        <is>
          <t>GT_CT05.txt</t>
        </is>
      </c>
      <c r="D587" s="3" t="inlineStr">
        <is>
          <t>Pertemuan 5: Pattern Recognition (Pengenalan Pola)</t>
        </is>
      </c>
      <c r="E587" t="n">
        <v>0.7211</v>
      </c>
      <c r="F587" t="inlineStr">
        <is>
          <t>✓</t>
        </is>
      </c>
      <c r="G587" t="inlineStr">
        <is>
          <t>✓</t>
        </is>
      </c>
      <c r="H587" s="3" t="inlineStr">
        <is>
          <t xml:space="preserve"> memanggang, waktu penambahan masing-masing bahan, dan peralatan yang diperlukan. Setelah memahami cara memanggang satu jenis kue, seseorang dapat segera melihat bahwa memanggang kue jenis lain tidak jauh berbeda, karena</t>
        </is>
      </c>
    </row>
    <row r="588">
      <c r="A588" t="n">
        <v>98</v>
      </c>
      <c r="B588" t="n">
        <v>5</v>
      </c>
      <c r="C588" t="inlineStr">
        <is>
          <t>GT_CT01.txt</t>
        </is>
      </c>
      <c r="D588" s="3" t="inlineStr">
        <is>
          <t>Pertemuan 1: Kontrak Perkuliahan dan Pendahuluan</t>
        </is>
      </c>
      <c r="E588" t="n">
        <v>0.7203000000000001</v>
      </c>
      <c r="F588" t="inlineStr">
        <is>
          <t>✓</t>
        </is>
      </c>
      <c r="G588" t="inlineStr">
        <is>
          <t>✓</t>
        </is>
      </c>
      <c r="H588" s="3" t="inlineStr">
        <is>
          <t xml:space="preserve"> dunia komputasi yang ditandai oleh perkembangan pesat kecerdasan buatan (Artificial Intelligence/AI). Salah satu tonggak penting dalam era ini adalah kemunculan ChatGPT yang diakui sebagai game changer dalam dunia tekno</t>
        </is>
      </c>
    </row>
    <row r="589">
      <c r="A589" t="n">
        <v>98</v>
      </c>
      <c r="B589" t="n">
        <v>6</v>
      </c>
      <c r="C589" t="inlineStr">
        <is>
          <t>GT_SUBTOPIK_02_Abstraksi_Formulasi.txt</t>
        </is>
      </c>
      <c r="D589" s="3" t="inlineStr">
        <is>
          <t>Subtopik: Abstraksi — Formulasi Problem (Problem/Goal/Batasan/Data)</t>
        </is>
      </c>
      <c r="E589" t="n">
        <v>0.7194</v>
      </c>
      <c r="F589" t="inlineStr">
        <is>
          <t>✓</t>
        </is>
      </c>
      <c r="G589" t="inlineStr">
        <is>
          <t>✓</t>
        </is>
      </c>
      <c r="H589" s="3" t="inlineStr">
        <is>
          <t>ara dua MK jika ada konflik. Masalah menjadi: cari jumlah warna minimum untuk mewarnai node agar tidak ada dua node terhubung punya warna sama (chromatic number).  [SOAL 6 — Abstraksi vs Symptom] Identifikasi mana ROOT C</t>
        </is>
      </c>
    </row>
    <row r="590">
      <c r="A590" t="n">
        <v>99</v>
      </c>
      <c r="B590" t="n">
        <v>1</v>
      </c>
      <c r="C590" t="inlineStr">
        <is>
          <t>GT_CT09.txt</t>
        </is>
      </c>
      <c r="D590" s="3" t="inlineStr">
        <is>
          <t>Pertemuan 9: Elemen Pseudocode — Variabel, Operator, Tipe Data, dan List</t>
        </is>
      </c>
      <c r="E590" t="n">
        <v>0.765</v>
      </c>
      <c r="F590" t="inlineStr">
        <is>
          <t>✓</t>
        </is>
      </c>
      <c r="G590" t="inlineStr">
        <is>
          <t>✓</t>
        </is>
      </c>
      <c r="H590" s="3" t="inlineStr">
        <is>
          <t>ga konsistensi dan keterbacaan algoritme. Variabel umumnya bersifat case-sensitive, artinya membedakan huruf besar dan huruf kecil (misalnya, "Data", "data", dan "DATA" diperlakukan sebagai tiga variabel yang berbeda). V</t>
        </is>
      </c>
    </row>
    <row r="591">
      <c r="A591" t="n">
        <v>99</v>
      </c>
      <c r="B591" t="n">
        <v>2</v>
      </c>
      <c r="C591" t="inlineStr">
        <is>
          <t>GT_CT07.txt</t>
        </is>
      </c>
      <c r="D591" s="3" t="inlineStr">
        <is>
          <t>Pertemuan 7: Algoritme — Notasi Algoritme</t>
        </is>
      </c>
      <c r="E591" t="n">
        <v>0.7592</v>
      </c>
      <c r="F591" t="inlineStr">
        <is>
          <t>✓</t>
        </is>
      </c>
      <c r="G591" t="inlineStr">
        <is>
          <t>✓</t>
        </is>
      </c>
      <c r="H591" s="3" t="inlineStr">
        <is>
          <t>an nilai alas dengan tinggi, lalu hasilnya dibagi dua.  2. Pseudocode: Pseudocode adalah cara informal untuk menuliskan algoritme atau rancangan program komputer. Tujuan utama pseudocode adalah untuk mendapatkan ide seca</t>
        </is>
      </c>
    </row>
    <row r="592">
      <c r="A592" t="n">
        <v>99</v>
      </c>
      <c r="B592" t="n">
        <v>3</v>
      </c>
      <c r="C592" t="inlineStr">
        <is>
          <t>GT_DETAIL_PT10_Percabangan.txt</t>
        </is>
      </c>
      <c r="D592" s="3" t="inlineStr">
        <is>
          <t>Pertemuan 10: Struktur Kontrol — Percabangan</t>
        </is>
      </c>
      <c r="E592" t="n">
        <v>0.7531</v>
      </c>
      <c r="F592" t="inlineStr">
        <is>
          <t>✓</t>
        </is>
      </c>
      <c r="G592" t="inlineStr">
        <is>
          <t>✓</t>
        </is>
      </c>
      <c r="H592" s="3" t="inlineStr">
        <is>
          <t>------------ CONTOH SOAL DAN PEMBAHASAN ----------------------------------------------------------------  [SOAL 1 — Maks 2 Bilangan] Tuliskan pseudocode untuk menentukan bilangan terbesar dari dua bilangan a dan b!  JAWA</t>
        </is>
      </c>
    </row>
    <row r="593">
      <c r="A593" t="n">
        <v>99</v>
      </c>
      <c r="B593" t="n">
        <v>4</v>
      </c>
      <c r="C593" t="inlineStr">
        <is>
          <t>GT_CT10.txt</t>
        </is>
      </c>
      <c r="D593" s="3" t="inlineStr">
        <is>
          <t>Pertemuan 10: Struktur Kontrol — Percabangan</t>
        </is>
      </c>
      <c r="E593" t="n">
        <v>0.7345</v>
      </c>
      <c r="F593" t="inlineStr">
        <is>
          <t>✓</t>
        </is>
      </c>
      <c r="G593" t="inlineStr">
        <is>
          <t>✓</t>
        </is>
      </c>
      <c r="H593" s="3" t="inlineStr">
        <is>
          <t xml:space="preserve">n (Loop): digunakan ketika algoritme perlu mengulang pelaksanaan instruksi tertentu sampai suatu kondisi yang ditetapkan terpenuhi.  Pertemuan ini berfokus pada pembahasan struktur kontrol percabangan secara mendalam.   </t>
        </is>
      </c>
    </row>
    <row r="594">
      <c r="A594" t="n">
        <v>99</v>
      </c>
      <c r="B594" t="n">
        <v>5</v>
      </c>
      <c r="C594" t="inlineStr">
        <is>
          <t>GT_SUBTOPIK_05_Pseudocode_Algoritme.txt</t>
        </is>
      </c>
      <c r="D594" s="3" t="inlineStr">
        <is>
          <t>Subtopik: Pseudocode dan Notasi Algoritme</t>
        </is>
      </c>
      <c r="E594" t="n">
        <v>0.7274</v>
      </c>
      <c r="F594" t="inlineStr">
        <is>
          <t>✓</t>
        </is>
      </c>
      <c r="G594" t="inlineStr">
        <is>
          <t>✓</t>
        </is>
      </c>
      <c r="H594" s="3" t="inlineStr">
        <is>
          <t xml:space="preserve">,12),(15,17),(18,20) → p=6  [SOAL 3 — Pseudocode: Cek Prima] Tulis pseudocode untuk mengecek apakah bilangan n prima!  JAWABAN: Input : bilangan bulat n Output: "prima" atau "bukan prima"    read(n)   if (n &lt;= 1) then   </t>
        </is>
      </c>
    </row>
    <row r="595">
      <c r="A595" t="n">
        <v>99</v>
      </c>
      <c r="B595" t="n">
        <v>6</v>
      </c>
      <c r="C595" t="inlineStr">
        <is>
          <t>GT_DETAIL_PT07_Notasi_Algoritme.txt</t>
        </is>
      </c>
      <c r="D595" s="3" t="inlineStr">
        <is>
          <t>Pertemuan 7: Algoritme — Notasi Algoritme</t>
        </is>
      </c>
      <c r="E595" t="n">
        <v>0.7272</v>
      </c>
      <c r="F595" t="inlineStr">
        <is>
          <t>✓</t>
        </is>
      </c>
      <c r="G595" t="inlineStr">
        <is>
          <t>✓</t>
        </is>
      </c>
      <c r="H595" s="3" t="inlineStr">
        <is>
          <t>perasinya linear)  c) Rata-rata n bilangan: baca semua n bilangan + 1 pembagian → O(n) [linear]  [SOAL 5 — Pseudocode: Pesan Sandi] Tuliskan pseudocode untuk MENDEKRIPSI pesan yang dienkripsi dengan tiga langkah: (1) bal</t>
        </is>
      </c>
    </row>
    <row r="596">
      <c r="A596" t="n">
        <v>100</v>
      </c>
      <c r="B596" t="n">
        <v>1</v>
      </c>
      <c r="C596" t="inlineStr">
        <is>
          <t>GT_CT13.txt</t>
        </is>
      </c>
      <c r="D596" s="3" t="inlineStr">
        <is>
          <t>Pertemuan 13: Pengenalan Struktur Data</t>
        </is>
      </c>
      <c r="E596" t="n">
        <v>0.6898</v>
      </c>
      <c r="F596" t="inlineStr">
        <is>
          <t>✓</t>
        </is>
      </c>
      <c r="G596" t="inlineStr">
        <is>
          <t>✓</t>
        </is>
      </c>
      <c r="H596" s="3" t="inlineStr">
        <is>
          <t>ai urutan kedatangannya. - Sistem kecerdasan buatan dalam permainan catur yang merepresentasikan berbagai kemungkinan langkah ke depan: struktur data yang paling tepat adalah Tree, karena setiap kemungkinan langkah berca</t>
        </is>
      </c>
    </row>
    <row r="597">
      <c r="A597" t="n">
        <v>100</v>
      </c>
      <c r="B597" t="n">
        <v>2</v>
      </c>
      <c r="C597" t="inlineStr">
        <is>
          <t>GT_SUBTOPIK_13_Graph_Tree.txt</t>
        </is>
      </c>
      <c r="D597" s="3" t="inlineStr">
        <is>
          <t>Subtopik: Graph dan Tree -- Representasi, Traversal, dan Jalur Terpendek</t>
        </is>
      </c>
      <c r="E597" t="n">
        <v>0.6784</v>
      </c>
      <c r="F597" t="inlineStr">
        <is>
          <t>✓</t>
        </is>
      </c>
      <c r="G597" t="inlineStr">
        <is>
          <t>✓</t>
        </is>
      </c>
      <c r="H597" s="3" t="inlineStr">
        <is>
          <t>, B, D, G, E, C, F  [SOAL 6 -- Terminologi Tree] Diberikan tree berikut:          A (root)         / \        B   C       / \   \      D   E   F     /    G  Identifikasi: a) Root b) Semua leaf node c) Parent dari D d) Ch</t>
        </is>
      </c>
    </row>
    <row r="598">
      <c r="A598" t="n">
        <v>100</v>
      </c>
      <c r="B598" t="n">
        <v>3</v>
      </c>
      <c r="C598" t="inlineStr">
        <is>
          <t>GT_CT13.txt</t>
        </is>
      </c>
      <c r="D598" s="3" t="inlineStr">
        <is>
          <t>Pertemuan 13: Pengenalan Struktur Data</t>
        </is>
      </c>
      <c r="E598" t="n">
        <v>0.6728</v>
      </c>
      <c r="F598" t="inlineStr">
        <is>
          <t>✓</t>
        </is>
      </c>
      <c r="G598" t="inlineStr">
        <is>
          <t>✓</t>
        </is>
      </c>
      <c r="H598" s="3" t="inlineStr">
        <is>
          <t xml:space="preserve">dangkan edge merepresentasikan adanya jalur yang menghubungkan antar lokasi tersebut. Contoh lain mencakup representasi hubungan perkenalan atau pertemanan antar orang serta hubungan antar konsep dalam ilmu pengetahuan. </t>
        </is>
      </c>
    </row>
    <row r="599">
      <c r="A599" t="n">
        <v>100</v>
      </c>
      <c r="B599" t="n">
        <v>4</v>
      </c>
      <c r="C599" t="inlineStr">
        <is>
          <t>GT_SUBTOPIK_14_Kompleksitas_BigO.txt</t>
        </is>
      </c>
      <c r="D599" s="3" t="inlineStr">
        <is>
          <t>Subtopik: Kompleksitas Algoritme (Big-O Notation)</t>
        </is>
      </c>
      <c r="E599" t="n">
        <v>0.6698</v>
      </c>
      <c r="F599" t="inlineStr">
        <is>
          <t>✓</t>
        </is>
      </c>
      <c r="G599" t="inlineStr">
        <is>
          <t>✓</t>
        </is>
      </c>
      <c r="H599" s="3" t="inlineStr">
        <is>
          <t>ngan ke array, lalu hitung rata-rata c) Fibonacci rekursif fib(n) d) Fibonacci iteratif dengan dua variabel  JAWABAN: a) O(1) space -- hanya butuh 2 variabel (sum dan count), tidak peduli berapa besar n  b) O(n) space --</t>
        </is>
      </c>
    </row>
    <row r="600">
      <c r="A600" t="n">
        <v>100</v>
      </c>
      <c r="B600" t="n">
        <v>5</v>
      </c>
      <c r="C600" t="inlineStr">
        <is>
          <t>GT_CT07.txt</t>
        </is>
      </c>
      <c r="D600" s="3" t="inlineStr">
        <is>
          <t>Pertemuan 7: Algoritme — Notasi Algoritme</t>
        </is>
      </c>
      <c r="E600" t="n">
        <v>0.6693</v>
      </c>
      <c r="F600" t="inlineStr">
        <is>
          <t>✓</t>
        </is>
      </c>
      <c r="G600" t="inlineStr">
        <is>
          <t>✓</t>
        </is>
      </c>
      <c r="H600" s="3" t="inlineStr">
        <is>
          <t>) dan selisih angka yang dicari (d). Output: banyaknya pasangan bilangan dengan selisih sebesar d (p). Proses: (a) Urutkan n bilangan secara menaik menjadi m1, m2, ..., mn; (b) Inisialisasi p = 0; (c) Untuk setiap i dari</t>
        </is>
      </c>
    </row>
    <row r="601">
      <c r="A601" t="n">
        <v>100</v>
      </c>
      <c r="B601" t="n">
        <v>6</v>
      </c>
      <c r="C601" t="inlineStr">
        <is>
          <t>GT_CT04.txt</t>
        </is>
      </c>
      <c r="D601" s="3" t="inlineStr">
        <is>
          <t>Pertemuan 4: Problem Solving — Abstraction</t>
        </is>
      </c>
      <c r="E601" t="n">
        <v>0.6682</v>
      </c>
      <c r="F601" t="inlineStr">
        <is>
          <t>✓</t>
        </is>
      </c>
      <c r="G601" t="inlineStr">
        <is>
          <t>✓</t>
        </is>
      </c>
      <c r="H601" s="3" t="inlineStr">
        <is>
          <t>informasi yang relevan dan penting bagi pengguna, seperti nama jalan, bangunan utama, dan rute, dengan mengabaikan detail visual yang tidak diperlukan untuk navigasi.  Abstraksi juga ditemukan di berbagai bidang kehidupa</t>
        </is>
      </c>
    </row>
    <row r="602">
      <c r="A602" t="n">
        <v>101</v>
      </c>
      <c r="B602" t="n">
        <v>1</v>
      </c>
      <c r="C602" t="inlineStr">
        <is>
          <t>GT_DETAIL_PT05_Pattern_Recognition.txt</t>
        </is>
      </c>
      <c r="D602" s="3" t="inlineStr">
        <is>
          <t>Pertemuan 5: Pattern Recognition (Pengenalan Pola)</t>
        </is>
      </c>
      <c r="E602" t="n">
        <v>0.8297</v>
      </c>
      <c r="F602" t="inlineStr">
        <is>
          <t>✓</t>
        </is>
      </c>
      <c r="G602" t="inlineStr">
        <is>
          <t>✓</t>
        </is>
      </c>
      <c r="H602" s="3" t="inlineStr">
        <is>
          <t>3=27(7), 3^4=81(1), 3^5=243(3) → siklus 4: 3,9,7,1 c) 2024 mod 4 = 0 → digit terakhir = 1  [SOAL 3 — Pola Bilangan] Temukan pola dari barisan berikut dan tentukan suku ke-10: a) 2, 5, 10, 17, 26, ... b) 1, 1, 2, 3, 5, 8,</t>
        </is>
      </c>
    </row>
    <row r="603">
      <c r="A603" t="n">
        <v>101</v>
      </c>
      <c r="B603" t="n">
        <v>2</v>
      </c>
      <c r="C603" t="inlineStr">
        <is>
          <t>GT_SUBTOPIK_04_Modulo_Siklus.txt</t>
        </is>
      </c>
      <c r="D603" s="3" t="inlineStr">
        <is>
          <t>Subtopik: Pattern Recognition — Modulo dan Siklus</t>
        </is>
      </c>
      <c r="E603" t="n">
        <v>0.8091</v>
      </c>
      <c r="F603" t="inlineStr">
        <is>
          <t>✓</t>
        </is>
      </c>
      <c r="G603" t="inlineStr">
        <is>
          <t>✓</t>
        </is>
      </c>
      <c r="H603" s="3" t="inlineStr">
        <is>
          <t>1×24 = 1000 - 984 = 16 08:00 + 16 jam = 24:00 = 00:00 (tengah malam) JAWABAN: Jam 00:00 (tengah malam)  [SOAL 5 — Masalah Coklat Bebek dengan Modulo] Dengan pola deret segitiga n(n+1)/2, tuliskan pseudocode untuk mencari</t>
        </is>
      </c>
    </row>
    <row r="604">
      <c r="A604" t="n">
        <v>101</v>
      </c>
      <c r="B604" t="n">
        <v>3</v>
      </c>
      <c r="C604" t="inlineStr">
        <is>
          <t>GT_DETAIL_PT05_Pattern_Recognition.txt</t>
        </is>
      </c>
      <c r="D604" s="3" t="inlineStr">
        <is>
          <t>Pertemuan 5: Pattern Recognition (Pengenalan Pola)</t>
        </is>
      </c>
      <c r="E604" t="n">
        <v>0.8087</v>
      </c>
      <c r="F604" t="inlineStr">
        <is>
          <t>✓</t>
        </is>
      </c>
      <c r="G604" t="inlineStr">
        <is>
          <t>✓</t>
        </is>
      </c>
      <c r="H604" s="3" t="inlineStr">
        <is>
          <t>memiliki pola serupa.  D. PERBEDAAN MATHEMATICAL THINKING vs. COMPUTATIONAL THINKING  Masalah: 1 + 2 + 3 + ... + 10 = ?  Mathematical Thinking (kalkulasi bertahap): 1+2=3, 3+3=6, 6+4=10, 10+5=15, ... = 55 (10 langkah)  C</t>
        </is>
      </c>
    </row>
    <row r="605">
      <c r="A605" t="n">
        <v>101</v>
      </c>
      <c r="B605" t="n">
        <v>4</v>
      </c>
      <c r="C605" t="inlineStr">
        <is>
          <t>GT_SUBTOPIK_04_Modulo_Siklus.txt</t>
        </is>
      </c>
      <c r="D605" s="3" t="inlineStr">
        <is>
          <t>Subtopik: Pattern Recognition — Modulo dan Siklus</t>
        </is>
      </c>
      <c r="E605" t="n">
        <v>0.7936</v>
      </c>
      <c r="F605" t="inlineStr">
        <is>
          <t>✓</t>
        </is>
      </c>
      <c r="G605" t="inlineStr">
        <is>
          <t>✓</t>
        </is>
      </c>
      <c r="H605" s="3" t="inlineStr">
        <is>
          <t xml:space="preserve"> ... → SIKLUS 4  Tabel:   n mod 4 = 1 → digit terakhir = 2   n mod 4 = 2 → digit terakhir = 4   n mod 4 = 3 → digit terakhir = 8   n mod 4 = 0 → digit terakhir = 6  2003 mod 4 = 3 → digit terakhir 2^2003 = 8  [SOAL 2 — D</t>
        </is>
      </c>
    </row>
    <row r="606">
      <c r="A606" t="n">
        <v>101</v>
      </c>
      <c r="B606" t="n">
        <v>5</v>
      </c>
      <c r="C606" t="inlineStr">
        <is>
          <t>GT_CT05.txt</t>
        </is>
      </c>
      <c r="D606" s="3" t="inlineStr">
        <is>
          <t>Pertemuan 5: Pattern Recognition (Pengenalan Pola)</t>
        </is>
      </c>
      <c r="E606" t="n">
        <v>0.7933</v>
      </c>
      <c r="F606" t="inlineStr">
        <is>
          <t>✓</t>
        </is>
      </c>
      <c r="G606" t="inlineStr">
        <is>
          <t>✓</t>
        </is>
      </c>
      <c r="H606" s="3" t="inlineStr">
        <is>
          <t>hwa digit terakhir dari perpangkatan 2 berulang dalam siklus empat: 1, 2, 4, 8, 6, 2, 4, 8, 6, ... Pola ini dapat direpresentasikan sebagai: jika N mod 4 = 1 maka digit terakhir 2; jika N mod 4 = 2 maka digit terakhir 4;</t>
        </is>
      </c>
    </row>
    <row r="607">
      <c r="A607" t="n">
        <v>101</v>
      </c>
      <c r="B607" t="n">
        <v>6</v>
      </c>
      <c r="C607" t="inlineStr">
        <is>
          <t>GT_SUBTOPIK_04_Modulo_Siklus.txt</t>
        </is>
      </c>
      <c r="D607" s="3" t="inlineStr">
        <is>
          <t>Subtopik: Pattern Recognition — Modulo dan Siklus</t>
        </is>
      </c>
      <c r="E607" t="n">
        <v>0.779</v>
      </c>
      <c r="F607" t="inlineStr">
        <is>
          <t>✓</t>
        </is>
      </c>
      <c r="G607" t="inlineStr">
        <is>
          <t>✓</t>
        </is>
      </c>
      <c r="H607" s="3">
        <f>=============================================================== GROUND TRUTH SUBTOPIK — KOM2102 COMPUTATIONAL THINKING Subtopik: Pattern Recognition — Modulo dan Siklus ==================================================</f>
        <v/>
      </c>
    </row>
    <row r="608">
      <c r="A608" t="n">
        <v>102</v>
      </c>
      <c r="B608" t="n">
        <v>1</v>
      </c>
      <c r="C608" t="inlineStr">
        <is>
          <t>GT_SUBTOPIK_14_Kompleksitas_BigO.txt</t>
        </is>
      </c>
      <c r="D608" s="3" t="inlineStr">
        <is>
          <t>Subtopik: Kompleksitas Algoritme (Big-O Notation)</t>
        </is>
      </c>
      <c r="E608" t="n">
        <v>0.7731</v>
      </c>
      <c r="F608" t="inlineStr">
        <is>
          <t>✓</t>
        </is>
      </c>
      <c r="G608" t="inlineStr">
        <is>
          <t>✓</t>
        </is>
      </c>
      <c r="H608" s="3" t="inlineStr">
        <is>
          <t xml:space="preserve"> (sangat cepat)   O(n log n)  : 1.000*10 / 10^8 = 0,0001 detik (cepat)   O(n^2)      : 10^6 / 10^8 = 0,01 detik (masih oke)   O(2^n)      : 2^1000 / 10^8 = TIDAK MUNGKIN selesai (lebih besar dari umur alam semesta!)  Unt</t>
        </is>
      </c>
    </row>
    <row r="609">
      <c r="A609" t="n">
        <v>102</v>
      </c>
      <c r="B609" t="n">
        <v>2</v>
      </c>
      <c r="C609" t="inlineStr">
        <is>
          <t>GT_DETAIL_PT07_Notasi_Algoritme.txt</t>
        </is>
      </c>
      <c r="D609" s="3" t="inlineStr">
        <is>
          <t>Pertemuan 7: Algoritme — Notasi Algoritme</t>
        </is>
      </c>
      <c r="E609" t="n">
        <v>0.7378</v>
      </c>
      <c r="F609" t="inlineStr">
        <is>
          <t>✓</t>
        </is>
      </c>
      <c r="G609" t="inlineStr">
        <is>
          <t>✓</t>
        </is>
      </c>
      <c r="H609" s="3" t="inlineStr">
        <is>
          <t>perasinya linear)  c) Rata-rata n bilangan: baca semua n bilangan + 1 pembagian → O(n) [linear]  [SOAL 5 — Pseudocode: Pesan Sandi] Tuliskan pseudocode untuk MENDEKRIPSI pesan yang dienkripsi dengan tiga langkah: (1) bal</t>
        </is>
      </c>
    </row>
    <row r="610">
      <c r="A610" t="n">
        <v>102</v>
      </c>
      <c r="B610" t="n">
        <v>3</v>
      </c>
      <c r="C610" t="inlineStr">
        <is>
          <t>GT_DETAIL_PT07_Notasi_Algoritme.txt</t>
        </is>
      </c>
      <c r="D610" s="3" t="inlineStr">
        <is>
          <t>Pertemuan 7: Algoritme — Notasi Algoritme</t>
        </is>
      </c>
      <c r="E610" t="n">
        <v>0.737</v>
      </c>
      <c r="F610" t="inlineStr">
        <is>
          <t>✓</t>
        </is>
      </c>
      <c r="G610" t="inlineStr">
        <is>
          <t>✓</t>
        </is>
      </c>
      <c r="H610" s="3" t="inlineStr">
        <is>
          <t xml:space="preserve">put. 2. Space Complexity (Kompleksitas Ruang): memori tambahan yang diperlukan.  Notasi Big-O [O()]: - O(1)    : Konstan — waktu tidak bergantung pada ukuran input - O(log n): Logaritmik — sangat efisien (contoh: binary </t>
        </is>
      </c>
    </row>
    <row r="611">
      <c r="A611" t="n">
        <v>102</v>
      </c>
      <c r="B611" t="n">
        <v>4</v>
      </c>
      <c r="C611" t="inlineStr">
        <is>
          <t>GT_SUBTOPIK_11_Rekursi.txt</t>
        </is>
      </c>
      <c r="D611" s="3" t="inlineStr">
        <is>
          <t>Subtopik: Rekursi (Recursion)</t>
        </is>
      </c>
      <c r="E611" t="n">
        <v>0.7343</v>
      </c>
      <c r="F611" t="inlineStr">
        <is>
          <t>✓</t>
        </is>
      </c>
      <c r="G611" t="inlineStr">
        <is>
          <t>✓</t>
        </is>
      </c>
      <c r="H611" s="3" t="inlineStr">
        <is>
          <t xml:space="preserve">turn reverse(substring(s, 2, panjang(s))) + s[1]  Trace reverse("ABCD"):   reverse("ABCD") = reverse("BCD") + "A"                   = (reverse("CD") + "B") + "A"                   = ((reverse("D") + "C") + "B") + "A"    </t>
        </is>
      </c>
    </row>
    <row r="612">
      <c r="A612" t="n">
        <v>102</v>
      </c>
      <c r="B612" t="n">
        <v>5</v>
      </c>
      <c r="C612" t="inlineStr">
        <is>
          <t>GT_SUBTOPIK_14_Kompleksitas_BigO.txt</t>
        </is>
      </c>
      <c r="D612" s="3" t="inlineStr">
        <is>
          <t>Subtopik: Kompleksitas Algoritme (Big-O Notation)</t>
        </is>
      </c>
      <c r="E612" t="n">
        <v>0.732</v>
      </c>
      <c r="F612" t="inlineStr">
        <is>
          <t>✓</t>
        </is>
      </c>
      <c r="G612" t="inlineStr">
        <is>
          <t>✓</t>
        </is>
      </c>
      <c r="H612" s="3">
        <f>=============================================================== GROUND TRUTH SUBTOPIK -- KOM2102 COMPUTATIONAL THINKING Subtopik: Kompleksitas Algoritme (Big-O Notation) =================================================</f>
        <v/>
      </c>
    </row>
    <row r="613">
      <c r="A613" t="n">
        <v>102</v>
      </c>
      <c r="B613" t="n">
        <v>6</v>
      </c>
      <c r="C613" t="inlineStr">
        <is>
          <t>GT_SUBTOPIK_05_Pseudocode_Algoritme.txt</t>
        </is>
      </c>
      <c r="D613" s="3" t="inlineStr">
        <is>
          <t>Subtopik: Pseudocode dan Notasi Algoritme</t>
        </is>
      </c>
      <c r="E613" t="n">
        <v>0.7292</v>
      </c>
      <c r="F613" t="inlineStr">
        <is>
          <t>✓</t>
        </is>
      </c>
      <c r="G613" t="inlineStr">
        <is>
          <t>✓</t>
        </is>
      </c>
      <c r="H613" s="3">
        <f> n / 2                  // pembagian integer   if (biner == "") then biner = "0"   print(biner)  Trace n=13:   13 mod 2 = 1, biner="1", n=6   6 mod 2  = 0, biner="01", n=3   3 mod 2  = 1, biner="101", n=1   1 mod 2  = 1</f>
        <v/>
      </c>
    </row>
    <row r="614">
      <c r="A614" t="n">
        <v>103</v>
      </c>
      <c r="B614" t="n">
        <v>1</v>
      </c>
      <c r="C614" t="inlineStr">
        <is>
          <t>GT_CT05.txt</t>
        </is>
      </c>
      <c r="D614" s="3" t="inlineStr">
        <is>
          <t>Pertemuan 5: Pattern Recognition (Pengenalan Pola)</t>
        </is>
      </c>
      <c r="E614" t="n">
        <v>0.7282999999999999</v>
      </c>
      <c r="F614" t="inlineStr">
        <is>
          <t>✓</t>
        </is>
      </c>
      <c r="G614" t="inlineStr">
        <is>
          <t>✓</t>
        </is>
      </c>
      <c r="H614" s="3" t="inlineStr">
        <is>
          <t xml:space="preserve"> memanggang, waktu penambahan masing-masing bahan, dan peralatan yang diperlukan. Setelah memahami cara memanggang satu jenis kue, seseorang dapat segera melihat bahwa memanggang kue jenis lain tidak jauh berbeda, karena</t>
        </is>
      </c>
    </row>
    <row r="615">
      <c r="A615" t="n">
        <v>103</v>
      </c>
      <c r="B615" t="n">
        <v>2</v>
      </c>
      <c r="C615" t="inlineStr">
        <is>
          <t>GT_CT12.txt</t>
        </is>
      </c>
      <c r="D615" s="3" t="inlineStr">
        <is>
          <t>Pertemuan 12: Fungsi</t>
        </is>
      </c>
      <c r="E615" t="n">
        <v>0.7242</v>
      </c>
      <c r="F615" t="inlineStr">
        <is>
          <t>✓</t>
        </is>
      </c>
      <c r="G615" t="inlineStr">
        <is>
          <t>✓</t>
        </is>
      </c>
      <c r="H615" s="3" t="inlineStr">
        <is>
          <t xml:space="preserve">lah penggunaan fungsi. Dengan fungsi, kode dapat digunakan kembali tanpa ditulis ulang (reusable), blok kode diberi nama sehingga mudah dipanggil kapan pun dibutuhkan, dan perubahan logika cukup dilakukan di satu tempat </t>
        </is>
      </c>
    </row>
    <row r="616">
      <c r="A616" t="n">
        <v>103</v>
      </c>
      <c r="B616" t="n">
        <v>3</v>
      </c>
      <c r="C616" t="inlineStr">
        <is>
          <t>GT_SUBTOPIK_11_Rekursi.txt</t>
        </is>
      </c>
      <c r="D616" s="3" t="inlineStr">
        <is>
          <t>Subtopik: Rekursi (Recursion)</t>
        </is>
      </c>
      <c r="E616" t="n">
        <v>0.7026</v>
      </c>
      <c r="F616" t="inlineStr">
        <is>
          <t>✓</t>
        </is>
      </c>
      <c r="G616" t="inlineStr">
        <is>
          <t>✓</t>
        </is>
      </c>
      <c r="H616" s="3">
        <f>=============================================================== GROUND TRUTH SUBTOPIK -- KOM2102 COMPUTATIONAL THINKING Subtopik: Rekursi (Recursion) ================================================================  KON</f>
        <v/>
      </c>
    </row>
    <row r="617">
      <c r="A617" t="n">
        <v>103</v>
      </c>
      <c r="B617" t="n">
        <v>4</v>
      </c>
      <c r="C617" t="inlineStr">
        <is>
          <t>GT_CT07.txt</t>
        </is>
      </c>
      <c r="D617" s="3" t="inlineStr">
        <is>
          <t>Pertemuan 7: Algoritme — Notasi Algoritme</t>
        </is>
      </c>
      <c r="E617" t="n">
        <v>0.701</v>
      </c>
      <c r="F617" t="inlineStr">
        <is>
          <t>✓</t>
        </is>
      </c>
      <c r="G617" t="inlineStr">
        <is>
          <t>✓</t>
        </is>
      </c>
      <c r="H617" s="3" t="inlineStr">
        <is>
          <t>) dan selisih angka yang dicari (d). Output: banyaknya pasangan bilangan dengan selisih sebesar d (p). Proses: (a) Urutkan n bilangan secara menaik menjadi m1, m2, ..., mn; (b) Inisialisasi p = 0; (c) Untuk setiap i dari</t>
        </is>
      </c>
    </row>
    <row r="618">
      <c r="A618" t="n">
        <v>103</v>
      </c>
      <c r="B618" t="n">
        <v>5</v>
      </c>
      <c r="C618" t="inlineStr">
        <is>
          <t>GT_DETAIL_PT12_Fungsi.txt</t>
        </is>
      </c>
      <c r="D618" s="3" t="inlineStr">
        <is>
          <t>Pertemuan 12: Fungsi</t>
        </is>
      </c>
      <c r="E618" t="n">
        <v>0.6933</v>
      </c>
      <c r="F618" t="inlineStr">
        <is>
          <t>✓</t>
        </is>
      </c>
      <c r="G618" t="inlineStr">
        <is>
          <t>✓</t>
        </is>
      </c>
      <c r="H618" s="3" t="inlineStr">
        <is>
          <t xml:space="preserve"> FUNGSI SEBAGAI DEKOMPOSISI DAN ABSTRAKSI  Dekomposisi: memecah algoritme besar menjadi fungsi-fungsi kecil yang terfokus. Abstraksi: menyembunyikan kerumitan implementasi di dalam fungsi;            algoritme utama cuku</t>
        </is>
      </c>
    </row>
    <row r="619">
      <c r="A619" t="n">
        <v>103</v>
      </c>
      <c r="B619" t="n">
        <v>6</v>
      </c>
      <c r="C619" t="inlineStr">
        <is>
          <t>GT_CT12.txt</t>
        </is>
      </c>
      <c r="D619" s="3" t="inlineStr">
        <is>
          <t>Pertemuan 12: Fungsi</t>
        </is>
      </c>
      <c r="E619" t="n">
        <v>0.6927</v>
      </c>
      <c r="F619" t="inlineStr">
        <is>
          <t>✓</t>
        </is>
      </c>
      <c r="G619" t="inlineStr">
        <is>
          <t>✓</t>
        </is>
      </c>
      <c r="H619" s="3" t="inlineStr">
        <is>
          <t>-------------------------------  Ground Truth:  Dalam konteks algoritme dan pemrograman, terdapat perbedaan mendasar antara dua jenis blok kode yang dapat diberi nama dan dipanggil kembali, yaitu prosedur dan fungsi.  Pr</t>
        </is>
      </c>
    </row>
    <row r="620">
      <c r="A620" t="n">
        <v>104</v>
      </c>
      <c r="B620" t="n">
        <v>1</v>
      </c>
      <c r="C620" t="inlineStr">
        <is>
          <t>GT_DETAIL_PT05_Pattern_Recognition.txt</t>
        </is>
      </c>
      <c r="D620" s="3" t="inlineStr">
        <is>
          <t>Pertemuan 5: Pattern Recognition (Pengenalan Pola)</t>
        </is>
      </c>
      <c r="E620" t="n">
        <v>0.771</v>
      </c>
      <c r="F620" t="inlineStr">
        <is>
          <t>✓</t>
        </is>
      </c>
      <c r="G620" t="inlineStr">
        <is>
          <t>✓</t>
        </is>
      </c>
      <c r="H620" s="3" t="inlineStr">
        <is>
          <t xml:space="preserve">iliki selisih tepat 2!  JAWABAN: Urutkan terlebih dahulu: 1, 2, 4, 6, 7, 9, 10, 12, 15, 17, 18, 20  Cari pasangan dengan selisih = 2 (pengenalan pola: bandingkan elemen berurutan): - (1,3)? 3 tidak ada. - (2,4): selisih </t>
        </is>
      </c>
    </row>
    <row r="621">
      <c r="A621" t="n">
        <v>104</v>
      </c>
      <c r="B621" t="n">
        <v>2</v>
      </c>
      <c r="C621" t="inlineStr">
        <is>
          <t>GT_DETAIL_PT04_Abstraksi.txt</t>
        </is>
      </c>
      <c r="D621" s="3" t="inlineStr">
        <is>
          <t>Pertemuan 4: Problem Solving — Abstraksi</t>
        </is>
      </c>
      <c r="E621" t="n">
        <v>0.7655</v>
      </c>
      <c r="F621" t="inlineStr">
        <is>
          <t>✓</t>
        </is>
      </c>
      <c r="G621" t="inlineStr">
        <is>
          <t>✓</t>
        </is>
      </c>
      <c r="H621" s="3" t="inlineStr">
        <is>
          <t xml:space="preserve">2  1 (F di pojok kanan atas)  Berapa maksimum permen yang bisa dikumpulkan Robot Candy?  JAWABAN: Semua jalur dari S (baris1,kol1) ke F (baris3,kol3) — panjang 4 langkah (2R, 2U):  Jalur 1: S→R→R→U→U (kol: 1→2→3, baris: </t>
        </is>
      </c>
    </row>
    <row r="622">
      <c r="A622" t="n">
        <v>104</v>
      </c>
      <c r="B622" t="n">
        <v>3</v>
      </c>
      <c r="C622" t="inlineStr">
        <is>
          <t>GT_SUBTOPIK_03_Pola_Bilangan_Deret.txt</t>
        </is>
      </c>
      <c r="D622" s="3" t="inlineStr">
        <is>
          <t>Subtopik: Pattern Recognition — Pola Bilangan dan Deret Matematis</t>
        </is>
      </c>
      <c r="E622" t="n">
        <v>0.7588</v>
      </c>
      <c r="F622" t="inlineStr">
        <is>
          <t>✓</t>
        </is>
      </c>
      <c r="G622" t="inlineStr">
        <is>
          <t>✓</t>
        </is>
      </c>
      <c r="H622" s="3" t="inlineStr">
        <is>
          <t xml:space="preserve">Pola 3: 13 titik (ditambah 8) Pola 4: 25 titik (ditambah 12)  JAWABAN: Selisih antar pola: 4, 8, 12, ... → bertambah 4 setiap langkah Selisih ke-5: 16 Pola ke-5: 25 + 16 = 41  Formula: an = 2n² - 2n + 1 Verifikasi: n=5: </t>
        </is>
      </c>
    </row>
    <row r="623">
      <c r="A623" t="n">
        <v>104</v>
      </c>
      <c r="B623" t="n">
        <v>4</v>
      </c>
      <c r="C623" t="inlineStr">
        <is>
          <t>GT_CT07.txt</t>
        </is>
      </c>
      <c r="D623" s="3" t="inlineStr">
        <is>
          <t>Pertemuan 7: Algoritme — Notasi Algoritme</t>
        </is>
      </c>
      <c r="E623" t="n">
        <v>0.7476</v>
      </c>
      <c r="F623" t="inlineStr">
        <is>
          <t>✓</t>
        </is>
      </c>
      <c r="G623" t="inlineStr">
        <is>
          <t>✓</t>
        </is>
      </c>
      <c r="H623" s="3" t="inlineStr">
        <is>
          <t>) dan selisih angka yang dicari (d). Output: banyaknya pasangan bilangan dengan selisih sebesar d (p). Proses: (a) Urutkan n bilangan secara menaik menjadi m1, m2, ..., mn; (b) Inisialisasi p = 0; (c) Untuk setiap i dari</t>
        </is>
      </c>
    </row>
    <row r="624">
      <c r="A624" t="n">
        <v>104</v>
      </c>
      <c r="B624" t="n">
        <v>5</v>
      </c>
      <c r="C624" t="inlineStr">
        <is>
          <t>GT_DETAIL_PT05_Pattern_Recognition.txt</t>
        </is>
      </c>
      <c r="D624" s="3" t="inlineStr">
        <is>
          <t>Pertemuan 5: Pattern Recognition (Pengenalan Pola)</t>
        </is>
      </c>
      <c r="E624" t="n">
        <v>0.7313</v>
      </c>
      <c r="F624" t="inlineStr">
        <is>
          <t>✓</t>
        </is>
      </c>
      <c r="G624" t="inlineStr">
        <is>
          <t>✓</t>
        </is>
      </c>
      <c r="H624" s="3" t="inlineStr">
        <is>
          <t>3=27(7), 3^4=81(1), 3^5=243(3) → siklus 4: 3,9,7,1 c) 2024 mod 4 = 0 → digit terakhir = 1  [SOAL 3 — Pola Bilangan] Temukan pola dari barisan berikut dan tentukan suku ke-10: a) 2, 5, 10, 17, 26, ... b) 1, 1, 2, 3, 5, 8,</t>
        </is>
      </c>
    </row>
    <row r="625">
      <c r="A625" t="n">
        <v>104</v>
      </c>
      <c r="B625" t="n">
        <v>6</v>
      </c>
      <c r="C625" t="inlineStr">
        <is>
          <t>GT_DETAIL_PT04_Abstraksi.txt</t>
        </is>
      </c>
      <c r="D625" s="3" t="inlineStr">
        <is>
          <t>Pertemuan 4: Problem Solving — Abstraksi</t>
        </is>
      </c>
      <c r="E625" t="n">
        <v>0.7295</v>
      </c>
      <c r="F625" t="inlineStr">
        <is>
          <t>✓</t>
        </is>
      </c>
      <c r="G625" t="inlineStr">
        <is>
          <t>✓</t>
        </is>
      </c>
      <c r="H625" s="3" t="inlineStr">
        <is>
          <t xml:space="preserve"> R(7)? R sudah → U(15) saja Lift 2: T(12) = 12 kg → 1 berang. Atau U(15) = 15 kg → 1 berang. Total terangkut: 5 berang (Lift 1: P,Q,R,S + Lift 2: T atau U). V tidak terangkut + U atau T.  [SOAL 4 — Abstraksi dalam Kehidu</t>
        </is>
      </c>
    </row>
    <row r="626">
      <c r="A626" t="n">
        <v>105</v>
      </c>
      <c r="B626" t="n">
        <v>1</v>
      </c>
      <c r="C626" t="inlineStr">
        <is>
          <t>GT_DETAIL_PT11_Perulangan.txt</t>
        </is>
      </c>
      <c r="D626" s="3" t="inlineStr">
        <is>
          <t>Pertemuan 11: Struktur Kontrol — Perulangan</t>
        </is>
      </c>
      <c r="E626" t="n">
        <v>0.7526</v>
      </c>
      <c r="F626" t="inlineStr">
        <is>
          <t>✓</t>
        </is>
      </c>
      <c r="G626" t="inlineStr">
        <is>
          <t>✓</t>
        </is>
      </c>
      <c r="H626" s="3" t="inlineStr">
        <is>
          <t>an: - Kondisi dievaluasi SEBELUM body dijalankan - Jika kondisi False sejak awal → body tidak pernah dijalankan - Jika kondisi tidak pernah False → infinite loop (hindari!) - Body HARUS mengubah sesuatu yang mempengaruhi</t>
        </is>
      </c>
    </row>
    <row r="627">
      <c r="A627" t="n">
        <v>105</v>
      </c>
      <c r="B627" t="n">
        <v>2</v>
      </c>
      <c r="C627" t="inlineStr">
        <is>
          <t>GT_CT11.txt</t>
        </is>
      </c>
      <c r="D627" s="3" t="inlineStr">
        <is>
          <t>Pertemuan 11: Algoritme — Struktur Kontrol Perulangan</t>
        </is>
      </c>
      <c r="E627" t="n">
        <v>0.7107</v>
      </c>
      <c r="F627" t="inlineStr">
        <is>
          <t>✓</t>
        </is>
      </c>
      <c r="G627" t="inlineStr">
        <is>
          <t>✓</t>
        </is>
      </c>
      <c r="H627" s="3" t="inlineStr">
        <is>
          <t>2: x = 0; for i = 1 to 10 do; print(x); x = x + 2   ---------------------------------------------------------------- [MATERI 3: Iterasi Berdasarkan Kondisi (Perulangan "while")] ------------------------------------------</t>
        </is>
      </c>
    </row>
    <row r="628">
      <c r="A628" t="n">
        <v>105</v>
      </c>
      <c r="B628" t="n">
        <v>3</v>
      </c>
      <c r="C628" t="inlineStr">
        <is>
          <t>GT_DETAIL_PT04_Abstraksi.txt</t>
        </is>
      </c>
      <c r="D628" s="3" t="inlineStr">
        <is>
          <t>Pertemuan 4: Problem Solving — Abstraksi</t>
        </is>
      </c>
      <c r="E628" t="n">
        <v>0.6964</v>
      </c>
      <c r="F628" t="inlineStr">
        <is>
          <t>✓</t>
        </is>
      </c>
      <c r="G628" t="inlineStr">
        <is>
          <t>✓</t>
        </is>
      </c>
      <c r="H628" s="3" t="inlineStr">
        <is>
          <t xml:space="preserve">    Batasan   : robot hanya bisa bergerak ke kanan atau ke atas    Data      : peta petak dengan jumlah permen (0–3) di setiap petak  ---------------------------------------------------------------- CONTOH SOAL DAN PEMBA</t>
        </is>
      </c>
    </row>
    <row r="629">
      <c r="A629" t="n">
        <v>105</v>
      </c>
      <c r="B629" t="n">
        <v>4</v>
      </c>
      <c r="C629" t="inlineStr">
        <is>
          <t>GT_SUBTOPIK_02_Abstraksi_Formulasi.txt</t>
        </is>
      </c>
      <c r="D629" s="3" t="inlineStr">
        <is>
          <t>Subtopik: Abstraksi — Formulasi Problem (Problem/Goal/Batasan/Data)</t>
        </is>
      </c>
      <c r="E629" t="n">
        <v>0.681</v>
      </c>
      <c r="F629" t="inlineStr">
        <is>
          <t>✓</t>
        </is>
      </c>
      <c r="G629" t="inlineStr">
        <is>
          <t>✓</t>
        </is>
      </c>
      <c r="H629" s="3" t="inlineStr">
        <is>
          <t>ara dua MK jika ada konflik. Masalah menjadi: cari jumlah warna minimum untuk mewarnai node agar tidak ada dua node terhubung punya warna sama (chromatic number).  [SOAL 6 — Abstraksi vs Symptom] Identifikasi mana ROOT C</t>
        </is>
      </c>
    </row>
    <row r="630">
      <c r="A630" t="n">
        <v>105</v>
      </c>
      <c r="B630" t="n">
        <v>5</v>
      </c>
      <c r="C630" t="inlineStr">
        <is>
          <t>GT_SUBTOPIK_04_Modulo_Siklus.txt</t>
        </is>
      </c>
      <c r="D630" s="3" t="inlineStr">
        <is>
          <t>Subtopik: Pattern Recognition — Modulo dan Siklus</t>
        </is>
      </c>
      <c r="E630" t="n">
        <v>0.6795</v>
      </c>
      <c r="F630" t="inlineStr">
        <is>
          <t>✓</t>
        </is>
      </c>
      <c r="G630" t="inlineStr">
        <is>
          <t>✓</t>
        </is>
      </c>
      <c r="H630" s="3" t="inlineStr">
        <is>
          <t>1×24 = 1000 - 984 = 16 08:00 + 16 jam = 24:00 = 00:00 (tengah malam) JAWABAN: Jam 00:00 (tengah malam)  [SOAL 5 — Masalah Coklat Bebek dengan Modulo] Dengan pola deret segitiga n(n+1)/2, tuliskan pseudocode untuk mencari</t>
        </is>
      </c>
    </row>
    <row r="631">
      <c r="A631" t="n">
        <v>105</v>
      </c>
      <c r="B631" t="n">
        <v>6</v>
      </c>
      <c r="C631" t="inlineStr">
        <is>
          <t>GT_SUBTOPIK_14_Kompleksitas_BigO.txt</t>
        </is>
      </c>
      <c r="D631" s="3" t="inlineStr">
        <is>
          <t>Subtopik: Kompleksitas Algoritme (Big-O Notation)</t>
        </is>
      </c>
      <c r="E631" t="n">
        <v>0.6722</v>
      </c>
      <c r="F631" t="inlineStr">
        <is>
          <t>✓</t>
        </is>
      </c>
      <c r="G631" t="inlineStr">
        <is>
          <t>✓</t>
        </is>
      </c>
      <c r="H631" s="3" t="inlineStr">
        <is>
          <t>l yang terbesar: O(n^2 + n) = O(n^2)   3. Kalikan loop bersarang: O(n) dalam O(n) = O(n^2)  ---------------------------------------------------------------- CONTOH SOAL DAN PEMBAHASAN ------------------------------------</t>
        </is>
      </c>
    </row>
    <row r="632">
      <c r="A632" t="n">
        <v>106</v>
      </c>
      <c r="B632" t="n">
        <v>1</v>
      </c>
      <c r="C632" t="inlineStr">
        <is>
          <t>GT_CT07.txt</t>
        </is>
      </c>
      <c r="D632" s="3" t="inlineStr">
        <is>
          <t>Pertemuan 7: Algoritme — Notasi Algoritme</t>
        </is>
      </c>
      <c r="E632" t="n">
        <v>0.7363</v>
      </c>
      <c r="F632" t="inlineStr">
        <is>
          <t>✓</t>
        </is>
      </c>
      <c r="G632" t="inlineStr">
        <is>
          <t>✓</t>
        </is>
      </c>
      <c r="H632" s="3" t="inlineStr">
        <is>
          <t>) dan selisih angka yang dicari (d). Output: banyaknya pasangan bilangan dengan selisih sebesar d (p). Proses: (a) Urutkan n bilangan secara menaik menjadi m1, m2, ..., mn; (b) Inisialisasi p = 0; (c) Untuk setiap i dari</t>
        </is>
      </c>
    </row>
    <row r="633">
      <c r="A633" t="n">
        <v>106</v>
      </c>
      <c r="B633" t="n">
        <v>2</v>
      </c>
      <c r="C633" t="inlineStr">
        <is>
          <t>GT_CT09.txt</t>
        </is>
      </c>
      <c r="D633" s="3" t="inlineStr">
        <is>
          <t>Pertemuan 9: Elemen Pseudocode — Variabel, Operator, Tipe Data, dan List</t>
        </is>
      </c>
      <c r="E633" t="n">
        <v>0.7213000000000001</v>
      </c>
      <c r="F633" t="inlineStr">
        <is>
          <t>✓</t>
        </is>
      </c>
      <c r="G633" t="inlineStr">
        <is>
          <t>✓</t>
        </is>
      </c>
      <c r="H633" s="3" t="inlineStr">
        <is>
          <t>ama dengan (==), tidak sama dengan (!=), lebih besar dari (&gt;), lebih kecil dari (&lt;), lebih besar atau sama dengan (&gt;=), dan lebih kecil atau sama dengan (&lt;=).  4. Logical Operator (Operator Logika): Digunakan untuk mengg</t>
        </is>
      </c>
    </row>
    <row r="634">
      <c r="A634" t="n">
        <v>106</v>
      </c>
      <c r="B634" t="n">
        <v>3</v>
      </c>
      <c r="C634" t="inlineStr">
        <is>
          <t>GT_CT05.txt</t>
        </is>
      </c>
      <c r="D634" s="3" t="inlineStr">
        <is>
          <t>Pertemuan 5: Pattern Recognition (Pengenalan Pola)</t>
        </is>
      </c>
      <c r="E634" t="n">
        <v>0.717</v>
      </c>
      <c r="F634" t="inlineStr">
        <is>
          <t>✓</t>
        </is>
      </c>
      <c r="G634" t="inlineStr">
        <is>
          <t>✓</t>
        </is>
      </c>
      <c r="H634" s="3" t="inlineStr">
        <is>
          <t>pola yang ada, dengan tujuan untuk memprediksi atau memperoleh cara cepat dalam memandang suatu persoalan. Pengenalan pola merupakan dasar untuk menyelesaikan persoalan karena dengan mengenali pola umum yang ada, seseora</t>
        </is>
      </c>
    </row>
    <row r="635">
      <c r="A635" t="n">
        <v>106</v>
      </c>
      <c r="B635" t="n">
        <v>4</v>
      </c>
      <c r="C635" t="inlineStr">
        <is>
          <t>GT_DETAIL_PT09_Variabel_TipeData_Operator_List.txt</t>
        </is>
      </c>
      <c r="D635" s="3" t="inlineStr">
        <is>
          <t>Pertemuan 9: Elemen Pseudocode — Variabel, Tipe Data, Operator, List</t>
        </is>
      </c>
      <c r="E635" t="n">
        <v>0.7029</v>
      </c>
      <c r="F635" t="inlineStr">
        <is>
          <t>✓</t>
        </is>
      </c>
      <c r="G635" t="inlineStr">
        <is>
          <t>✓</t>
        </is>
      </c>
      <c r="H635" s="3" t="inlineStr">
        <is>
          <t xml:space="preserve"> T = F | F AND F = F     Tabel kebenaran OR:    T OR T = T | T OR F = T | F OR T = T | F OR F = F     NOT: NOT T = F | NOT F = T  5. Is Operator: memeriksa tipe atau identitas suatu nilai/objek.  G. LIST (ARRAY / SEQUENC</t>
        </is>
      </c>
    </row>
    <row r="636">
      <c r="A636" t="n">
        <v>106</v>
      </c>
      <c r="B636" t="n">
        <v>5</v>
      </c>
      <c r="C636" t="inlineStr">
        <is>
          <t>GT_CT05.txt</t>
        </is>
      </c>
      <c r="D636" s="3" t="inlineStr">
        <is>
          <t>Pertemuan 5: Pattern Recognition (Pengenalan Pola)</t>
        </is>
      </c>
      <c r="E636" t="n">
        <v>0.6959</v>
      </c>
      <c r="F636" t="inlineStr">
        <is>
          <t>✓</t>
        </is>
      </c>
      <c r="G636" t="inlineStr">
        <is>
          <t>✓</t>
        </is>
      </c>
      <c r="H636" s="3" t="inlineStr">
        <is>
          <t>g kosong. Pendekatan yang digunakan adalah terlebih dahulu melakukan abstraksi terhadap elemen-elemen visual yang relevan, kemudian mengenali pola transformasi atau urutan yang terjadi antar gambar untuk menentukan jawab</t>
        </is>
      </c>
    </row>
    <row r="637">
      <c r="A637" t="n">
        <v>106</v>
      </c>
      <c r="B637" t="n">
        <v>6</v>
      </c>
      <c r="C637" t="inlineStr">
        <is>
          <t>GT_DETAIL_PT05_Pattern_Recognition.txt</t>
        </is>
      </c>
      <c r="D637" s="3" t="inlineStr">
        <is>
          <t>Pertemuan 5: Pattern Recognition (Pengenalan Pola)</t>
        </is>
      </c>
      <c r="E637" t="n">
        <v>0.6934</v>
      </c>
      <c r="F637" t="inlineStr">
        <is>
          <t>✓</t>
        </is>
      </c>
      <c r="G637" t="inlineStr">
        <is>
          <t>✓</t>
        </is>
      </c>
      <c r="H637" s="3" t="inlineStr">
        <is>
          <t>pola konstan manusia.    Warna kulit, bentuk rambut = variabel → diabaikan dalam pengenalan.  2. Wabah Penyakit: ilmuwan mencari kemiripan kasus untuk mengidentifikasi pola penyebaran.    Contoh: COVID-19 vs. Flu Spanyol</t>
        </is>
      </c>
    </row>
    <row r="638">
      <c r="A638" t="n">
        <v>107</v>
      </c>
      <c r="B638" t="n">
        <v>1</v>
      </c>
      <c r="C638" t="inlineStr">
        <is>
          <t>GT_CT07.txt</t>
        </is>
      </c>
      <c r="D638" s="3" t="inlineStr">
        <is>
          <t>Pertemuan 7: Algoritme — Notasi Algoritme</t>
        </is>
      </c>
      <c r="E638" t="n">
        <v>0.8407</v>
      </c>
      <c r="F638" t="inlineStr">
        <is>
          <t>✓</t>
        </is>
      </c>
      <c r="G638" t="inlineStr">
        <is>
          <t>✓</t>
        </is>
      </c>
      <c r="H638" s="3" t="inlineStr">
        <is>
          <t>an nilai alas dengan tinggi, lalu hasilnya dibagi dua.  2. Pseudocode: Pseudocode adalah cara informal untuk menuliskan algoritme atau rancangan program komputer. Tujuan utama pseudocode adalah untuk mendapatkan ide seca</t>
        </is>
      </c>
    </row>
    <row r="639">
      <c r="A639" t="n">
        <v>107</v>
      </c>
      <c r="B639" t="n">
        <v>2</v>
      </c>
      <c r="C639" t="inlineStr">
        <is>
          <t>GT_DETAIL_PT10_Percabangan.txt</t>
        </is>
      </c>
      <c r="D639" s="3" t="inlineStr">
        <is>
          <t>Pertemuan 10: Struktur Kontrol — Percabangan</t>
        </is>
      </c>
      <c r="E639" t="n">
        <v>0.84</v>
      </c>
      <c r="F639" t="inlineStr">
        <is>
          <t>✓</t>
        </is>
      </c>
      <c r="G639" t="inlineStr">
        <is>
          <t>✓</t>
        </is>
      </c>
      <c r="H639" s="3" t="inlineStr">
        <is>
          <t>------------ CONTOH SOAL DAN PEMBAHASAN ----------------------------------------------------------------  [SOAL 1 — Maks 2 Bilangan] Tuliskan pseudocode untuk menentukan bilangan terbesar dari dua bilangan a dan b!  JAWA</t>
        </is>
      </c>
    </row>
    <row r="640">
      <c r="A640" t="n">
        <v>107</v>
      </c>
      <c r="B640" t="n">
        <v>3</v>
      </c>
      <c r="C640" t="inlineStr">
        <is>
          <t>GT_DETAIL_PT07_Notasi_Algoritme.txt</t>
        </is>
      </c>
      <c r="D640" s="3" t="inlineStr">
        <is>
          <t>Pertemuan 7: Algoritme — Notasi Algoritme</t>
        </is>
      </c>
      <c r="E640" t="n">
        <v>0.8297</v>
      </c>
      <c r="F640" t="inlineStr">
        <is>
          <t>✓</t>
        </is>
      </c>
      <c r="G640" t="inlineStr">
        <is>
          <t>✓</t>
        </is>
      </c>
      <c r="H640" s="3" t="inlineStr">
        <is>
          <t>perasinya linear)  c) Rata-rata n bilangan: baca semua n bilangan + 1 pembagian → O(n) [linear]  [SOAL 5 — Pseudocode: Pesan Sandi] Tuliskan pseudocode untuk MENDEKRIPSI pesan yang dienkripsi dengan tiga langkah: (1) bal</t>
        </is>
      </c>
    </row>
    <row r="641">
      <c r="A641" t="n">
        <v>107</v>
      </c>
      <c r="B641" t="n">
        <v>4</v>
      </c>
      <c r="C641" t="inlineStr">
        <is>
          <t>GT_SUBTOPIK_05_Pseudocode_Algoritme.txt</t>
        </is>
      </c>
      <c r="D641" s="3" t="inlineStr">
        <is>
          <t>Subtopik: Pseudocode dan Notasi Algoritme</t>
        </is>
      </c>
      <c r="E641" t="n">
        <v>0.8248</v>
      </c>
      <c r="F641" t="inlineStr">
        <is>
          <t>✓</t>
        </is>
      </c>
      <c r="G641" t="inlineStr">
        <is>
          <t>✓</t>
        </is>
      </c>
      <c r="H641" s="3" t="inlineStr">
        <is>
          <t xml:space="preserve">,12),(15,17),(18,20) → p=6  [SOAL 3 — Pseudocode: Cek Prima] Tulis pseudocode untuk mengecek apakah bilangan n prima!  JAWABAN: Input : bilangan bulat n Output: "prima" atau "bukan prima"    read(n)   if (n &lt;= 1) then   </t>
        </is>
      </c>
    </row>
    <row r="642">
      <c r="A642" t="n">
        <v>107</v>
      </c>
      <c r="B642" t="n">
        <v>5</v>
      </c>
      <c r="C642" t="inlineStr">
        <is>
          <t>GT_CT10.txt</t>
        </is>
      </c>
      <c r="D642" s="3" t="inlineStr">
        <is>
          <t>Pertemuan 10: Struktur Kontrol — Percabangan</t>
        </is>
      </c>
      <c r="E642" t="n">
        <v>0.8145</v>
      </c>
      <c r="F642" t="inlineStr">
        <is>
          <t>✓</t>
        </is>
      </c>
      <c r="G642" t="inlineStr">
        <is>
          <t>✓</t>
        </is>
      </c>
      <c r="H642" s="3" t="inlineStr">
        <is>
          <t xml:space="preserve">n (Loop): digunakan ketika algoritme perlu mengulang pelaksanaan instruksi tertentu sampai suatu kondisi yang ditetapkan terpenuhi.  Pertemuan ini berfokus pada pembahasan struktur kontrol percabangan secara mendalam.   </t>
        </is>
      </c>
    </row>
    <row r="643">
      <c r="A643" t="n">
        <v>107</v>
      </c>
      <c r="B643" t="n">
        <v>6</v>
      </c>
      <c r="C643" t="inlineStr">
        <is>
          <t>GT_SUBTOPIK_05_Pseudocode_Algoritme.txt</t>
        </is>
      </c>
      <c r="D643" s="3" t="inlineStr">
        <is>
          <t>Subtopik: Pseudocode dan Notasi Algoritme</t>
        </is>
      </c>
      <c r="E643" t="n">
        <v>0.8078</v>
      </c>
      <c r="F643" t="inlineStr">
        <is>
          <t>✓</t>
        </is>
      </c>
      <c r="G643" t="inlineStr">
        <is>
          <t>✓</t>
        </is>
      </c>
      <c r="H643" s="3" t="inlineStr">
        <is>
          <t>)   : eksponensial (brute force kombinasi)  ---------------------------------------------------------------- CONTOH SOAL DAN PEMBAHASAN ----------------------------------------------------------------  [SOAL 1 — Pseudoco</t>
        </is>
      </c>
    </row>
    <row r="644">
      <c r="A644" t="n">
        <v>108</v>
      </c>
      <c r="B644" t="n">
        <v>1</v>
      </c>
      <c r="C644" t="inlineStr">
        <is>
          <t>GT_CT13.txt</t>
        </is>
      </c>
      <c r="D644" s="3" t="inlineStr">
        <is>
          <t>Pertemuan 13: Pengenalan Struktur Data</t>
        </is>
      </c>
      <c r="E644" t="n">
        <v>0.8149</v>
      </c>
      <c r="F644" t="inlineStr">
        <is>
          <t>✓</t>
        </is>
      </c>
      <c r="G644" t="inlineStr">
        <is>
          <t>✓</t>
        </is>
      </c>
      <c r="H644" s="3" t="inlineStr">
        <is>
          <t>entukan kemudahan dan efisiensi pengolahan.  Berbagai aplikasi komputer memerlukan struktur data yang sesuai dengan kebutuhannya. Sebagai contoh, aplikasi perkantoran seperti Microsoft Word atau Google Docs memerlukan st</t>
        </is>
      </c>
    </row>
    <row r="645">
      <c r="A645" t="n">
        <v>108</v>
      </c>
      <c r="B645" t="n">
        <v>2</v>
      </c>
      <c r="C645" t="inlineStr">
        <is>
          <t>GT_CT13.txt</t>
        </is>
      </c>
      <c r="D645" s="3" t="inlineStr">
        <is>
          <t>Pertemuan 13: Pengenalan Struktur Data</t>
        </is>
      </c>
      <c r="E645" t="n">
        <v>0.7762</v>
      </c>
      <c r="F645" t="inlineStr">
        <is>
          <t>✓</t>
        </is>
      </c>
      <c r="G645" t="inlineStr">
        <is>
          <t>✓</t>
        </is>
      </c>
      <c r="H645" s="3" t="inlineStr">
        <is>
          <t>ai urutan kedatangannya. - Sistem kecerdasan buatan dalam permainan catur yang merepresentasikan berbagai kemungkinan langkah ke depan: struktur data yang paling tepat adalah Tree, karena setiap kemungkinan langkah berca</t>
        </is>
      </c>
    </row>
    <row r="646">
      <c r="A646" t="n">
        <v>108</v>
      </c>
      <c r="B646" t="n">
        <v>3</v>
      </c>
      <c r="C646" t="inlineStr">
        <is>
          <t>GT_CT09.txt</t>
        </is>
      </c>
      <c r="D646" s="3" t="inlineStr">
        <is>
          <t>Pertemuan 9: Elemen Pseudocode — Variabel, Operator, Tipe Data, dan List</t>
        </is>
      </c>
      <c r="E646" t="n">
        <v>0.7747000000000001</v>
      </c>
      <c r="F646" t="inlineStr">
        <is>
          <t>✓</t>
        </is>
      </c>
      <c r="G646" t="inlineStr">
        <is>
          <t>✓</t>
        </is>
      </c>
      <c r="H646" s="3" t="inlineStr">
        <is>
          <t>data yang menentukan jenis nilai yang dapat ditampung serta operasi apa yang dapat dilakukan terhadapnya. Terdapat beberapa tipe data dasar yang umum digunakan dalam algoritme dan pemrograman, antara lain:  1. Integer (B</t>
        </is>
      </c>
    </row>
    <row r="647">
      <c r="A647" t="n">
        <v>108</v>
      </c>
      <c r="B647" t="n">
        <v>4</v>
      </c>
      <c r="C647" t="inlineStr">
        <is>
          <t>GT_DETAIL_PT01_Pendahuluan.txt</t>
        </is>
      </c>
      <c r="D647" s="3" t="inlineStr">
        <is>
          <t>Pertemuan 1: Pendahuluan &amp; Kontrak Perkuliahan</t>
        </is>
      </c>
      <c r="E647" t="n">
        <v>0.7655999999999999</v>
      </c>
      <c r="F647" t="inlineStr">
        <is>
          <t>✓</t>
        </is>
      </c>
      <c r="G647" t="inlineStr">
        <is>
          <t>✓</t>
        </is>
      </c>
      <c r="H647" s="3" t="inlineStr">
        <is>
          <t>n      : Fokus hanya pada informasi penting: nama mata kuliah, jumlah SKS, jadwal                      kuliah tetap, dan preferensi waktu belajar. Mengabaikan detail seperti                      konten setiap mata kuliah</t>
        </is>
      </c>
    </row>
    <row r="648">
      <c r="A648" t="n">
        <v>108</v>
      </c>
      <c r="B648" t="n">
        <v>5</v>
      </c>
      <c r="C648" t="inlineStr">
        <is>
          <t>GT_CT01.txt</t>
        </is>
      </c>
      <c r="D648" s="3" t="inlineStr">
        <is>
          <t>Pertemuan 1: Kontrak Perkuliahan dan Pendahuluan</t>
        </is>
      </c>
      <c r="E648" t="n">
        <v>0.75</v>
      </c>
      <c r="F648" t="inlineStr">
        <is>
          <t>✓</t>
        </is>
      </c>
      <c r="G648" t="inlineStr">
        <is>
          <t>✓</t>
        </is>
      </c>
      <c r="H648" s="3" t="inlineStr">
        <is>
          <t>emecah masalah besar menjadi submasalah yang lebih kecil dan mudah ditangani (dekomposisi).  Berdasarkan ketentuan beban SKS, setiap mahasiswa diperkirakan menghabiskan total 340 menit atau sekitar 5 jam 40 menit per min</t>
        </is>
      </c>
    </row>
    <row r="649">
      <c r="A649" t="n">
        <v>108</v>
      </c>
      <c r="B649" t="n">
        <v>6</v>
      </c>
      <c r="C649" t="inlineStr">
        <is>
          <t>GT_DETAIL_PT09_Variabel_TipeData_Operator_List.txt</t>
        </is>
      </c>
      <c r="D649" s="3" t="inlineStr">
        <is>
          <t>Pertemuan 9: Elemen Pseudocode — Variabel, Tipe Data, Operator, List</t>
        </is>
      </c>
      <c r="E649" t="n">
        <v>0.7456</v>
      </c>
      <c r="F649" t="inlineStr">
        <is>
          <t>✓</t>
        </is>
      </c>
      <c r="G649" t="inlineStr">
        <is>
          <t>✓</t>
        </is>
      </c>
      <c r="H649" s="3" t="inlineStr">
        <is>
          <t xml:space="preserve"> T = F | F AND F = F     Tabel kebenaran OR:    T OR T = T | T OR F = T | F OR T = T | F OR F = F     NOT: NOT T = F | NOT F = T  5. Is Operator: memeriksa tipe atau identitas suatu nilai/objek.  G. LIST (ARRAY / SEQUENC</t>
        </is>
      </c>
    </row>
    <row r="650">
      <c r="A650" t="n">
        <v>109</v>
      </c>
      <c r="B650" t="n">
        <v>1</v>
      </c>
      <c r="C650" t="inlineStr">
        <is>
          <t>GT_CT13.txt</t>
        </is>
      </c>
      <c r="D650" s="3" t="inlineStr">
        <is>
          <t>Pertemuan 13: Pengenalan Struktur Data</t>
        </is>
      </c>
      <c r="E650" t="n">
        <v>0.7519</v>
      </c>
      <c r="F650" t="inlineStr">
        <is>
          <t>✓</t>
        </is>
      </c>
      <c r="G650" t="inlineStr">
        <is>
          <t>✓</t>
        </is>
      </c>
      <c r="H650" s="3" t="inlineStr">
        <is>
          <t>ai urutan kedatangannya. - Sistem kecerdasan buatan dalam permainan catur yang merepresentasikan berbagai kemungkinan langkah ke depan: struktur data yang paling tepat adalah Tree, karena setiap kemungkinan langkah berca</t>
        </is>
      </c>
    </row>
    <row r="651">
      <c r="A651" t="n">
        <v>109</v>
      </c>
      <c r="B651" t="n">
        <v>2</v>
      </c>
      <c r="C651" t="inlineStr">
        <is>
          <t>GT_CT07.txt</t>
        </is>
      </c>
      <c r="D651" s="3" t="inlineStr">
        <is>
          <t>Pertemuan 7: Algoritme — Notasi Algoritme</t>
        </is>
      </c>
      <c r="E651" t="n">
        <v>0.7357</v>
      </c>
      <c r="F651" t="inlineStr">
        <is>
          <t>✓</t>
        </is>
      </c>
      <c r="G651" t="inlineStr">
        <is>
          <t>✓</t>
        </is>
      </c>
      <c r="H651" s="3" t="inlineStr">
        <is>
          <t>) dan selisih angka yang dicari (d). Output: banyaknya pasangan bilangan dengan selisih sebesar d (p). Proses: (a) Urutkan n bilangan secara menaik menjadi m1, m2, ..., mn; (b) Inisialisasi p = 0; (c) Untuk setiap i dari</t>
        </is>
      </c>
    </row>
    <row r="652">
      <c r="A652" t="n">
        <v>109</v>
      </c>
      <c r="B652" t="n">
        <v>3</v>
      </c>
      <c r="C652" t="inlineStr">
        <is>
          <t>GT_CT09.txt</t>
        </is>
      </c>
      <c r="D652" s="3" t="inlineStr">
        <is>
          <t>Pertemuan 9: Elemen Pseudocode — Variabel, Operator, Tipe Data, dan List</t>
        </is>
      </c>
      <c r="E652" t="n">
        <v>0.7259</v>
      </c>
      <c r="F652" t="inlineStr">
        <is>
          <t>✓</t>
        </is>
      </c>
      <c r="G652" t="inlineStr">
        <is>
          <t>✓</t>
        </is>
      </c>
      <c r="H652" s="3" t="inlineStr">
        <is>
          <t>ama dengan (==), tidak sama dengan (!=), lebih besar dari (&gt;), lebih kecil dari (&lt;), lebih besar atau sama dengan (&gt;=), dan lebih kecil atau sama dengan (&lt;=).  4. Logical Operator (Operator Logika): Digunakan untuk mengg</t>
        </is>
      </c>
    </row>
    <row r="653">
      <c r="A653" t="n">
        <v>109</v>
      </c>
      <c r="B653" t="n">
        <v>4</v>
      </c>
      <c r="C653" t="inlineStr">
        <is>
          <t>GT_DETAIL_PT04_Abstraksi.txt</t>
        </is>
      </c>
      <c r="D653" s="3" t="inlineStr">
        <is>
          <t>Pertemuan 4: Problem Solving — Abstraksi</t>
        </is>
      </c>
      <c r="E653" t="n">
        <v>0.7254</v>
      </c>
      <c r="F653" t="inlineStr">
        <is>
          <t>✓</t>
        </is>
      </c>
      <c r="G653" t="inlineStr">
        <is>
          <t>✓</t>
        </is>
      </c>
      <c r="H653" s="3" t="inlineStr">
        <is>
          <t xml:space="preserve">–6 (HOTS).  B. PROBLEM SOLVING — SYMPTOM vs. PROBLEM  Perbedaan krusial yang sering diabaikan:  SYMPTOM (Gejala): perbedaan antara fakta yang terjadi dengan hasil yang diharapkan. → Apa yang kita rasakan/amati.  PROBLEM </t>
        </is>
      </c>
    </row>
    <row r="654">
      <c r="A654" t="n">
        <v>109</v>
      </c>
      <c r="B654" t="n">
        <v>5</v>
      </c>
      <c r="C654" t="inlineStr">
        <is>
          <t>GT_CT10.txt</t>
        </is>
      </c>
      <c r="D654" s="3" t="inlineStr">
        <is>
          <t>Pertemuan 10: Struktur Kontrol — Percabangan</t>
        </is>
      </c>
      <c r="E654" t="n">
        <v>0.7146</v>
      </c>
      <c r="F654" t="inlineStr">
        <is>
          <t>✓</t>
        </is>
      </c>
      <c r="G654" t="inlineStr">
        <is>
          <t>✓</t>
        </is>
      </c>
      <c r="H654" s="3" t="inlineStr">
        <is>
          <t xml:space="preserve">n (Loop): digunakan ketika algoritme perlu mengulang pelaksanaan instruksi tertentu sampai suatu kondisi yang ditetapkan terpenuhi.  Pertemuan ini berfokus pada pembahasan struktur kontrol percabangan secara mendalam.   </t>
        </is>
      </c>
    </row>
    <row r="655">
      <c r="A655" t="n">
        <v>109</v>
      </c>
      <c r="B655" t="n">
        <v>6</v>
      </c>
      <c r="C655" t="inlineStr">
        <is>
          <t>GT_CT01.txt</t>
        </is>
      </c>
      <c r="D655" s="3" t="inlineStr">
        <is>
          <t>Pertemuan 1: Kontrak Perkuliahan dan Pendahuluan</t>
        </is>
      </c>
      <c r="E655" t="n">
        <v>0.7117</v>
      </c>
      <c r="F655" t="inlineStr">
        <is>
          <t>✓</t>
        </is>
      </c>
      <c r="G655" t="inlineStr">
        <is>
          <t>✓</t>
        </is>
      </c>
      <c r="H655" s="3" t="inlineStr">
        <is>
          <t xml:space="preserve"> dunia komputasi yang ditandai oleh perkembangan pesat kecerdasan buatan (Artificial Intelligence/AI). Salah satu tonggak penting dalam era ini adalah kemunculan ChatGPT yang diakui sebagai game changer dalam dunia tekno</t>
        </is>
      </c>
    </row>
    <row r="656">
      <c r="A656" t="n">
        <v>110</v>
      </c>
      <c r="B656" t="n">
        <v>1</v>
      </c>
      <c r="C656" t="inlineStr">
        <is>
          <t>GT_CT09.txt</t>
        </is>
      </c>
      <c r="D656" s="3" t="inlineStr">
        <is>
          <t>Pertemuan 9: Elemen Pseudocode — Variabel, Operator, Tipe Data, dan List</t>
        </is>
      </c>
      <c r="E656" t="n">
        <v>0.7739</v>
      </c>
      <c r="F656" t="inlineStr">
        <is>
          <t>✓</t>
        </is>
      </c>
      <c r="G656" t="inlineStr">
        <is>
          <t>✓</t>
        </is>
      </c>
      <c r="H656" s="3" t="inlineStr">
        <is>
          <t>data yang menentukan jenis nilai yang dapat ditampung serta operasi apa yang dapat dilakukan terhadapnya. Terdapat beberapa tipe data dasar yang umum digunakan dalam algoritme dan pemrograman, antara lain:  1. Integer (B</t>
        </is>
      </c>
    </row>
    <row r="657">
      <c r="A657" t="n">
        <v>110</v>
      </c>
      <c r="B657" t="n">
        <v>2</v>
      </c>
      <c r="C657" t="inlineStr">
        <is>
          <t>GT_CT01.txt</t>
        </is>
      </c>
      <c r="D657" s="3" t="inlineStr">
        <is>
          <t>Pertemuan 1: Kontrak Perkuliahan dan Pendahuluan</t>
        </is>
      </c>
      <c r="E657" t="n">
        <v>0.7712</v>
      </c>
      <c r="F657" t="inlineStr">
        <is>
          <t>✓</t>
        </is>
      </c>
      <c r="G657" t="inlineStr">
        <is>
          <t>✓</t>
        </is>
      </c>
      <c r="H657" s="3" t="inlineStr">
        <is>
          <t>emecah masalah besar menjadi submasalah yang lebih kecil dan mudah ditangani (dekomposisi).  Berdasarkan ketentuan beban SKS, setiap mahasiswa diperkirakan menghabiskan total 340 menit atau sekitar 5 jam 40 menit per min</t>
        </is>
      </c>
    </row>
    <row r="658">
      <c r="A658" t="n">
        <v>110</v>
      </c>
      <c r="B658" t="n">
        <v>3</v>
      </c>
      <c r="C658" t="inlineStr">
        <is>
          <t>GT_CT09.txt</t>
        </is>
      </c>
      <c r="D658" s="3" t="inlineStr">
        <is>
          <t>Pertemuan 9: Elemen Pseudocode — Variabel, Operator, Tipe Data, dan List</t>
        </is>
      </c>
      <c r="E658" t="n">
        <v>0.77</v>
      </c>
      <c r="F658" t="inlineStr">
        <is>
          <t>✓</t>
        </is>
      </c>
      <c r="G658" t="inlineStr">
        <is>
          <t>✓</t>
        </is>
      </c>
      <c r="H658" s="3" t="inlineStr">
        <is>
          <t>ga konsistensi dan keterbacaan algoritme. Variabel umumnya bersifat case-sensitive, artinya membedakan huruf besar dan huruf kecil (misalnya, "Data", "data", dan "DATA" diperlakukan sebagai tiga variabel yang berbeda). V</t>
        </is>
      </c>
    </row>
    <row r="659">
      <c r="A659" t="n">
        <v>110</v>
      </c>
      <c r="B659" t="n">
        <v>4</v>
      </c>
      <c r="C659" t="inlineStr">
        <is>
          <t>GT_CT13.txt</t>
        </is>
      </c>
      <c r="D659" s="3" t="inlineStr">
        <is>
          <t>Pertemuan 13: Pengenalan Struktur Data</t>
        </is>
      </c>
      <c r="E659" t="n">
        <v>0.768</v>
      </c>
      <c r="F659" t="inlineStr">
        <is>
          <t>✓</t>
        </is>
      </c>
      <c r="G659" t="inlineStr">
        <is>
          <t>✓</t>
        </is>
      </c>
      <c r="H659" s="3" t="inlineStr">
        <is>
          <t>ai urutan kedatangannya. - Sistem kecerdasan buatan dalam permainan catur yang merepresentasikan berbagai kemungkinan langkah ke depan: struktur data yang paling tepat adalah Tree, karena setiap kemungkinan langkah berca</t>
        </is>
      </c>
    </row>
    <row r="660">
      <c r="A660" t="n">
        <v>110</v>
      </c>
      <c r="B660" t="n">
        <v>5</v>
      </c>
      <c r="C660" t="inlineStr">
        <is>
          <t>GT_CT03.txt</t>
        </is>
      </c>
      <c r="D660" s="3" t="inlineStr">
        <is>
          <t>Pertemuan 3: Problem Solving — Dekomposisi</t>
        </is>
      </c>
      <c r="E660" t="n">
        <v>0.7575</v>
      </c>
      <c r="F660" t="inlineStr">
        <is>
          <t>✓</t>
        </is>
      </c>
      <c r="G660" t="inlineStr">
        <is>
          <t>✓</t>
        </is>
      </c>
      <c r="H660" s="3" t="inlineStr">
        <is>
          <t>sing bagian dihitung secara terpisah, kemudian hasilnya dijumlahkan untuk memperoleh luas total bangun datar tersebut.  2. Membuat Sarapan: Kegiatan membuat sarapan yang tampak sederhana sebenarnya merupakan kumpulan dar</t>
        </is>
      </c>
    </row>
    <row r="661">
      <c r="A661" t="n">
        <v>110</v>
      </c>
      <c r="B661" t="n">
        <v>6</v>
      </c>
      <c r="C661" t="inlineStr">
        <is>
          <t>GT_DETAIL_PT01_Pendahuluan.txt</t>
        </is>
      </c>
      <c r="D661" s="3" t="inlineStr">
        <is>
          <t>Pertemuan 1: Pendahuluan &amp; Kontrak Perkuliahan</t>
        </is>
      </c>
      <c r="E661" t="n">
        <v>0.7541</v>
      </c>
      <c r="F661" t="inlineStr">
        <is>
          <t>✓</t>
        </is>
      </c>
      <c r="G661" t="inlineStr">
        <is>
          <t>✓</t>
        </is>
      </c>
      <c r="H661" s="3" t="inlineStr">
        <is>
          <t>n      : Fokus hanya pada informasi penting: nama mata kuliah, jumlah SKS, jadwal                      kuliah tetap, dan preferensi waktu belajar. Mengabaikan detail seperti                      konten setiap mata kuliah</t>
        </is>
      </c>
    </row>
    <row r="662">
      <c r="A662" t="n">
        <v>111</v>
      </c>
      <c r="B662" t="n">
        <v>1</v>
      </c>
      <c r="C662" t="inlineStr">
        <is>
          <t>GT_DETAIL_PT01_Pendahuluan.txt</t>
        </is>
      </c>
      <c r="D662" s="3" t="inlineStr">
        <is>
          <t>Pertemuan 1: Pendahuluan &amp; Kontrak Perkuliahan</t>
        </is>
      </c>
      <c r="E662" t="n">
        <v>0.7211</v>
      </c>
      <c r="F662" t="inlineStr">
        <is>
          <t>✓</t>
        </is>
      </c>
      <c r="G662" t="inlineStr">
        <is>
          <t>✓</t>
        </is>
      </c>
      <c r="H662" s="3" t="inlineStr">
        <is>
          <t xml:space="preserve">ng saling terkait. - Ambiguity     : Informasi tentang dampak jangka panjang media sosial terhadap kesehatan mental                   masih kontradiktif dan sulit diinterpretasikan.  [SOAL 3 — Hitung Beban Belajar] Mata </t>
        </is>
      </c>
    </row>
    <row r="663">
      <c r="A663" t="n">
        <v>111</v>
      </c>
      <c r="B663" t="n">
        <v>2</v>
      </c>
      <c r="C663" t="inlineStr">
        <is>
          <t>GT_CT01.txt</t>
        </is>
      </c>
      <c r="D663" s="3" t="inlineStr">
        <is>
          <t>Pertemuan 1: Kontrak Perkuliahan dan Pendahuluan</t>
        </is>
      </c>
      <c r="E663" t="n">
        <v>0.7173</v>
      </c>
      <c r="F663" t="inlineStr">
        <is>
          <t>✓</t>
        </is>
      </c>
      <c r="G663" t="inlineStr">
        <is>
          <t>✓</t>
        </is>
      </c>
      <c r="H663" s="3" t="inlineStr">
        <is>
          <t>ikan proyek mandiri.  Salah satu komponen tugas rutin yang diperkenalkan adalah Asah Otak, yaitu tugas terjadwal yang bersifat individu dan dirancang sebagai latihan mandiri bagi seluruh mahasiswa. Mahasiswa diwajibkan m</t>
        </is>
      </c>
    </row>
    <row r="664">
      <c r="A664" t="n">
        <v>111</v>
      </c>
      <c r="B664" t="n">
        <v>3</v>
      </c>
      <c r="C664" t="inlineStr">
        <is>
          <t>GT_CT05.txt</t>
        </is>
      </c>
      <c r="D664" s="3" t="inlineStr">
        <is>
          <t>Pertemuan 5: Pattern Recognition (Pengenalan Pola)</t>
        </is>
      </c>
      <c r="E664" t="n">
        <v>0.7144</v>
      </c>
      <c r="F664" t="inlineStr">
        <is>
          <t>✓</t>
        </is>
      </c>
      <c r="G664" t="inlineStr">
        <is>
          <t>✓</t>
        </is>
      </c>
      <c r="H664" s="3" t="inlineStr">
        <is>
          <t xml:space="preserve"> memanggang, waktu penambahan masing-masing bahan, dan peralatan yang diperlukan. Setelah memahami cara memanggang satu jenis kue, seseorang dapat segera melihat bahwa memanggang kue jenis lain tidak jauh berbeda, karena</t>
        </is>
      </c>
    </row>
    <row r="665">
      <c r="A665" t="n">
        <v>111</v>
      </c>
      <c r="B665" t="n">
        <v>4</v>
      </c>
      <c r="C665" t="inlineStr">
        <is>
          <t>5PGI.txt</t>
        </is>
      </c>
      <c r="D665" s="3" t="inlineStr">
        <is>
          <t>Profil Kognitif 5PGI</t>
        </is>
      </c>
      <c r="E665" t="n">
        <v>0.7105</v>
      </c>
      <c r="F665" t="inlineStr">
        <is>
          <t>✓</t>
        </is>
      </c>
      <c r="G665" t="inlineStr">
        <is>
          <t>✓</t>
        </is>
      </c>
      <c r="H665" s="3" t="inlineStr">
        <is>
          <t>uatan aspek CT sesuai profil ini. - Pertanyaan perlu diarahkan untuk memperdalam analisis, refleksi, dan pemecahan masalah. - Gunakan pendekatan akademik dan scaffolding kognitif. - Tipe feedback yang disarankan: nan</t>
        </is>
      </c>
    </row>
    <row r="666">
      <c r="A666" t="n">
        <v>111</v>
      </c>
      <c r="B666" t="n">
        <v>5</v>
      </c>
      <c r="C666" t="inlineStr">
        <is>
          <t>6TAI.txt</t>
        </is>
      </c>
      <c r="D666" s="3" t="inlineStr">
        <is>
          <t>Profil Kognitif 6TAI</t>
        </is>
      </c>
      <c r="E666" t="n">
        <v>0.7079</v>
      </c>
      <c r="F666" t="inlineStr">
        <is>
          <t>✓</t>
        </is>
      </c>
      <c r="G666" t="inlineStr">
        <is>
          <t>✓</t>
        </is>
      </c>
      <c r="H666" s="3" t="inlineStr">
        <is>
          <t>nguatan aspek CT sesuai profil ini. - Pertanyaan perlu diarahkan untuk memperdalam analisis, refleksi, dan pemecahan masalah. - Gunakan pendekatan akademik dan scaffolding kognitif. - Tipe feedback yang disarankan: nan</t>
        </is>
      </c>
    </row>
    <row r="667">
      <c r="A667" t="n">
        <v>111</v>
      </c>
      <c r="B667" t="n">
        <v>6</v>
      </c>
      <c r="C667" t="inlineStr">
        <is>
          <t>5TGI.txt</t>
        </is>
      </c>
      <c r="D667" s="3" t="inlineStr">
        <is>
          <t>Profil Kognitif 5TGI</t>
        </is>
      </c>
      <c r="E667" t="n">
        <v>0.7055</v>
      </c>
      <c r="F667" t="inlineStr">
        <is>
          <t>✓</t>
        </is>
      </c>
      <c r="G667" t="inlineStr">
        <is>
          <t>✓</t>
        </is>
      </c>
      <c r="H667" s="3" t="inlineStr">
        <is>
          <t>tural. - Membutuhkan stimulus pertanyaan yang tepat agar tidak stagnan.  4. Sugesti Fokus untuk LLM - Fokus pada penguatan aspek CT sesuai profil ini. - Pertanyaan perlu diarahkan untuk memperdalam analisis, refleksi, da</t>
        </is>
      </c>
    </row>
    <row r="668">
      <c r="A668" t="n">
        <v>112</v>
      </c>
      <c r="B668" t="n">
        <v>1</v>
      </c>
      <c r="C668" t="inlineStr">
        <is>
          <t>GT_CT06.txt</t>
        </is>
      </c>
      <c r="D668" s="3" t="inlineStr">
        <is>
          <t>Pertemuan 6: Pengenalan Algoritme &amp; Block Programming</t>
        </is>
      </c>
      <c r="E668" t="n">
        <v>0.7669</v>
      </c>
      <c r="F668" t="inlineStr">
        <is>
          <t>✓</t>
        </is>
      </c>
      <c r="G668" t="inlineStr">
        <is>
          <t>✓</t>
        </is>
      </c>
      <c r="H668" s="3" t="inlineStr">
        <is>
          <t>a eksis dalam dunia komputasi, tetapi juga dapat ditemukan dalam kehidupan sehari-hari dalam berbagai bentuk instruksi terstruktur, seperti buku manual mesin cuci dan panduan penggunaan perangkat elektronik (misalnya App</t>
        </is>
      </c>
    </row>
    <row r="669">
      <c r="A669" t="n">
        <v>112</v>
      </c>
      <c r="B669" t="n">
        <v>2</v>
      </c>
      <c r="C669" t="inlineStr">
        <is>
          <t>GT_CT01.txt</t>
        </is>
      </c>
      <c r="D669" s="3" t="inlineStr">
        <is>
          <t>Pertemuan 1: Kontrak Perkuliahan dan Pendahuluan</t>
        </is>
      </c>
      <c r="E669" t="n">
        <v>0.7668</v>
      </c>
      <c r="F669" t="inlineStr">
        <is>
          <t>✓</t>
        </is>
      </c>
      <c r="G669" t="inlineStr">
        <is>
          <t>✓</t>
        </is>
      </c>
      <c r="H669" s="3" t="inlineStr">
        <is>
          <t xml:space="preserve"> dunia komputasi yang ditandai oleh perkembangan pesat kecerdasan buatan (Artificial Intelligence/AI). Salah satu tonggak penting dalam era ini adalah kemunculan ChatGPT yang diakui sebagai game changer dalam dunia tekno</t>
        </is>
      </c>
    </row>
    <row r="670">
      <c r="A670" t="n">
        <v>112</v>
      </c>
      <c r="B670" t="n">
        <v>3</v>
      </c>
      <c r="C670" t="inlineStr">
        <is>
          <t>GT_DETAIL_PT03_Dekomposisi.txt</t>
        </is>
      </c>
      <c r="D670" s="3" t="inlineStr">
        <is>
          <t>Pertemuan 3: Problem Solving — Dekomposisi</t>
        </is>
      </c>
      <c r="E670" t="n">
        <v>0.746</v>
      </c>
      <c r="F670" t="inlineStr">
        <is>
          <t>✓</t>
        </is>
      </c>
      <c r="G670" t="inlineStr">
        <is>
          <t>✓</t>
        </is>
      </c>
      <c r="H670" s="3" t="inlineStr">
        <is>
          <t xml:space="preserve">rid kanan atas (Q2): 0 0 / 0 0 → semua 0 → "0" - Sub-grid kiri bawah (Q3): 0 0 / 0 0 → semua 0 → "0" - Sub-grid kanan bawah (Q4):1 1 / 1 1 → semua 1 → "1" Hasil: (1001)  [SOAL 6 — Penjadwalan Komputer Lab] Sepuluh siswa </t>
        </is>
      </c>
    </row>
    <row r="671">
      <c r="A671" t="n">
        <v>112</v>
      </c>
      <c r="B671" t="n">
        <v>4</v>
      </c>
      <c r="C671" t="inlineStr">
        <is>
          <t>GT_SUBTOPIK_01_Dekomposisi_Optimasi.txt</t>
        </is>
      </c>
      <c r="D671" s="3" t="inlineStr">
        <is>
          <t>Subtopik: Dekomposisi — Optimasi dan Pemecahan Masalah Terstruktur</t>
        </is>
      </c>
      <c r="E671" t="n">
        <v>0.7381</v>
      </c>
      <c r="F671" t="inlineStr">
        <is>
          <t>✓</t>
        </is>
      </c>
      <c r="G671" t="inlineStr">
        <is>
          <t>✓</t>
        </is>
      </c>
      <c r="H671" s="3" t="inlineStr">
        <is>
          <t xml:space="preserve"> J4  J5  J6 Siswa1:  X   X   .   .   .   . Siswa2:  X   .   X   .   .   . Siswa3:  .   X   X   X   .   . Siswa4:  .   .   .   X   X   . Siswa5:  X   .   .   .   X   X Siswa6:  .   X   .   X   .   X Siswa7:  .   .   X   .</t>
        </is>
      </c>
    </row>
    <row r="672">
      <c r="A672" t="n">
        <v>112</v>
      </c>
      <c r="B672" t="n">
        <v>5</v>
      </c>
      <c r="C672" t="inlineStr">
        <is>
          <t>GT_DETAIL_PT01_Pendahuluan.txt</t>
        </is>
      </c>
      <c r="D672" s="3" t="inlineStr">
        <is>
          <t>Pertemuan 1: Pendahuluan &amp; Kontrak Perkuliahan</t>
        </is>
      </c>
      <c r="E672" t="n">
        <v>0.737</v>
      </c>
      <c r="F672" t="inlineStr">
        <is>
          <t>✓</t>
        </is>
      </c>
      <c r="G672" t="inlineStr">
        <is>
          <t>✓</t>
        </is>
      </c>
      <c r="H672" s="3" t="inlineStr">
        <is>
          <t>n      : Fokus hanya pada informasi penting: nama mata kuliah, jumlah SKS, jadwal                      kuliah tetap, dan preferensi waktu belajar. Mengabaikan detail seperti                      konten setiap mata kuliah</t>
        </is>
      </c>
    </row>
    <row r="673">
      <c r="A673" t="n">
        <v>112</v>
      </c>
      <c r="B673" t="n">
        <v>6</v>
      </c>
      <c r="C673" t="inlineStr">
        <is>
          <t>GT_CT03.txt</t>
        </is>
      </c>
      <c r="D673" s="3" t="inlineStr">
        <is>
          <t>Pertemuan 3: Problem Solving — Dekomposisi</t>
        </is>
      </c>
      <c r="E673" t="n">
        <v>0.733</v>
      </c>
      <c r="F673" t="inlineStr">
        <is>
          <t>✓</t>
        </is>
      </c>
      <c r="G673" t="inlineStr">
        <is>
          <t>✓</t>
        </is>
      </c>
      <c r="H673" s="3" t="inlineStr">
        <is>
          <t>ang harus melakukan semua hal terkait perakitan mobil sendirian. Konsep ini merepresentasikan dekomposisi tugas kompleks menjadi fungsi-fungsi yang lebih kecil dan terspesialisasi.  5. Kamera 360 Derajat (Insta360): Sebu</t>
        </is>
      </c>
    </row>
    <row r="674">
      <c r="A674" t="n">
        <v>113</v>
      </c>
      <c r="B674" t="n">
        <v>1</v>
      </c>
      <c r="C674" t="inlineStr">
        <is>
          <t>GT_DETAIL_PT01_Pendahuluan.txt</t>
        </is>
      </c>
      <c r="D674" s="3" t="inlineStr">
        <is>
          <t>Pertemuan 1: Pendahuluan &amp; Kontrak Perkuliahan</t>
        </is>
      </c>
      <c r="E674" t="n">
        <v>0.7081</v>
      </c>
      <c r="F674" t="inlineStr">
        <is>
          <t>✓</t>
        </is>
      </c>
      <c r="G674" t="inlineStr">
        <is>
          <t>✓</t>
        </is>
      </c>
      <c r="H674" s="3" t="inlineStr">
        <is>
          <t>n      : Fokus hanya pada informasi penting: nama mata kuliah, jumlah SKS, jadwal                      kuliah tetap, dan preferensi waktu belajar. Mengabaikan detail seperti                      konten setiap mata kuliah</t>
        </is>
      </c>
    </row>
    <row r="675">
      <c r="A675" t="n">
        <v>113</v>
      </c>
      <c r="B675" t="n">
        <v>2</v>
      </c>
      <c r="C675" t="inlineStr">
        <is>
          <t>GT_SUBTOPIK_02_Abstraksi_Formulasi.txt</t>
        </is>
      </c>
      <c r="D675" s="3" t="inlineStr">
        <is>
          <t>Subtopik: Abstraksi — Formulasi Problem (Problem/Goal/Batasan/Data)</t>
        </is>
      </c>
      <c r="E675" t="n">
        <v>0.7066</v>
      </c>
      <c r="F675" t="inlineStr">
        <is>
          <t>✓</t>
        </is>
      </c>
      <c r="G675" t="inlineStr">
        <is>
          <t>✓</t>
        </is>
      </c>
      <c r="H675" s="3" t="inlineStr">
        <is>
          <t>ara dua MK jika ada konflik. Masalah menjadi: cari jumlah warna minimum untuk mewarnai node agar tidak ada dua node terhubung punya warna sama (chromatic number).  [SOAL 6 — Abstraksi vs Symptom] Identifikasi mana ROOT C</t>
        </is>
      </c>
    </row>
    <row r="676">
      <c r="A676" t="n">
        <v>113</v>
      </c>
      <c r="B676" t="n">
        <v>3</v>
      </c>
      <c r="C676" t="inlineStr">
        <is>
          <t>GT_DETAIL_PT02_ICT_Literacy_Ethics.txt</t>
        </is>
      </c>
      <c r="D676" s="3" t="inlineStr">
        <is>
          <t>Pertemuan 2: ICT Literacy and Ethics</t>
        </is>
      </c>
      <c r="E676" t="n">
        <v>0.7049</v>
      </c>
      <c r="F676" t="inlineStr">
        <is>
          <t>✓</t>
        </is>
      </c>
      <c r="G676" t="inlineStr">
        <is>
          <t>✓</t>
        </is>
      </c>
      <c r="H676" s="3" t="inlineStr">
        <is>
          <t xml:space="preserve"> informasi pribadi orang tersebut. Undang-undang mana yang berpotensi dilanggar? Jelaskan alasannya!  JAWABAN: Dua undang-undang yang berpotensi dilanggar: 1. UU No. 27 Tahun 2022 tentang Perlindungan Data Pribadi: karen</t>
        </is>
      </c>
    </row>
    <row r="677">
      <c r="A677" t="n">
        <v>113</v>
      </c>
      <c r="B677" t="n">
        <v>4</v>
      </c>
      <c r="C677" t="inlineStr">
        <is>
          <t>GT_CT01.txt</t>
        </is>
      </c>
      <c r="D677" s="3" t="inlineStr">
        <is>
          <t>Pertemuan 1: Kontrak Perkuliahan dan Pendahuluan</t>
        </is>
      </c>
      <c r="E677" t="n">
        <v>0.6991000000000001</v>
      </c>
      <c r="F677" t="inlineStr">
        <is>
          <t>✓</t>
        </is>
      </c>
      <c r="G677" t="inlineStr">
        <is>
          <t>✓</t>
        </is>
      </c>
      <c r="H677" s="3" t="inlineStr">
        <is>
          <t xml:space="preserve"> dunia komputasi yang ditandai oleh perkembangan pesat kecerdasan buatan (Artificial Intelligence/AI). Salah satu tonggak penting dalam era ini adalah kemunculan ChatGPT yang diakui sebagai game changer dalam dunia tekno</t>
        </is>
      </c>
    </row>
    <row r="678">
      <c r="A678" t="n">
        <v>113</v>
      </c>
      <c r="B678" t="n">
        <v>5</v>
      </c>
      <c r="C678" t="inlineStr">
        <is>
          <t>GT_CT01.txt</t>
        </is>
      </c>
      <c r="D678" s="3" t="inlineStr">
        <is>
          <t>Pertemuan 1: Kontrak Perkuliahan dan Pendahuluan</t>
        </is>
      </c>
      <c r="E678" t="n">
        <v>0.6986</v>
      </c>
      <c r="F678" t="inlineStr">
        <is>
          <t>✓</t>
        </is>
      </c>
      <c r="G678" t="inlineStr">
        <is>
          <t>✓</t>
        </is>
      </c>
      <c r="H678" s="3" t="inlineStr">
        <is>
          <t>ikan proyek mandiri.  Salah satu komponen tugas rutin yang diperkenalkan adalah Asah Otak, yaitu tugas terjadwal yang bersifat individu dan dirancang sebagai latihan mandiri bagi seluruh mahasiswa. Mahasiswa diwajibkan m</t>
        </is>
      </c>
    </row>
    <row r="679">
      <c r="A679" t="n">
        <v>113</v>
      </c>
      <c r="B679" t="n">
        <v>6</v>
      </c>
      <c r="C679" t="inlineStr">
        <is>
          <t>GT_CT06.txt</t>
        </is>
      </c>
      <c r="D679" s="3" t="inlineStr">
        <is>
          <t>Pertemuan 6: Pengenalan Algoritme &amp; Block Programming</t>
        </is>
      </c>
      <c r="E679" t="n">
        <v>0.6952</v>
      </c>
      <c r="F679" t="inlineStr">
        <is>
          <t>✓</t>
        </is>
      </c>
      <c r="G679" t="inlineStr">
        <is>
          <t>✓</t>
        </is>
      </c>
      <c r="H679" s="3" t="inlineStr">
        <is>
          <t>a eksis dalam dunia komputasi, tetapi juga dapat ditemukan dalam kehidupan sehari-hari dalam berbagai bentuk instruksi terstruktur, seperti buku manual mesin cuci dan panduan penggunaan perangkat elektronik (misalnya App</t>
        </is>
      </c>
    </row>
    <row r="680">
      <c r="A680" t="n">
        <v>114</v>
      </c>
      <c r="B680" t="n">
        <v>1</v>
      </c>
      <c r="C680" t="inlineStr">
        <is>
          <t>GT_CT01.txt</t>
        </is>
      </c>
      <c r="D680" s="3" t="inlineStr">
        <is>
          <t>Pertemuan 1: Kontrak Perkuliahan dan Pendahuluan</t>
        </is>
      </c>
      <c r="E680" t="n">
        <v>0.777</v>
      </c>
      <c r="F680" t="inlineStr">
        <is>
          <t>✓</t>
        </is>
      </c>
      <c r="G680" t="inlineStr">
        <is>
          <t>✓</t>
        </is>
      </c>
      <c r="H680" s="3" t="inlineStr">
        <is>
          <t>ikan proyek mandiri.  Salah satu komponen tugas rutin yang diperkenalkan adalah Asah Otak, yaitu tugas terjadwal yang bersifat individu dan dirancang sebagai latihan mandiri bagi seluruh mahasiswa. Mahasiswa diwajibkan m</t>
        </is>
      </c>
    </row>
    <row r="681">
      <c r="A681" t="n">
        <v>114</v>
      </c>
      <c r="B681" t="n">
        <v>2</v>
      </c>
      <c r="C681" t="inlineStr">
        <is>
          <t>GT_DETAIL_PT01_Pendahuluan.txt</t>
        </is>
      </c>
      <c r="D681" s="3" t="inlineStr">
        <is>
          <t>Pertemuan 1: Pendahuluan &amp; Kontrak Perkuliahan</t>
        </is>
      </c>
      <c r="E681" t="n">
        <v>0.7438</v>
      </c>
      <c r="F681" t="inlineStr">
        <is>
          <t>✓</t>
        </is>
      </c>
      <c r="G681" t="inlineStr">
        <is>
          <t>✓</t>
        </is>
      </c>
      <c r="H681" s="3" t="inlineStr">
        <is>
          <t xml:space="preserve">            : 35% - Kuis                       : 20% - Proyek / Aktivitas Partisipatif : 10%  Konversi Huruf Mutu (aturan IPB University): - A  : NA ≥ 75 - AB : 70 ≤ NA &lt; 75 - B  : 60 ≤ NA &lt; 70 - BC : 55 ≤ NA &lt; 60 - C  :</t>
        </is>
      </c>
    </row>
    <row r="682">
      <c r="A682" t="n">
        <v>114</v>
      </c>
      <c r="B682" t="n">
        <v>3</v>
      </c>
      <c r="C682" t="inlineStr">
        <is>
          <t>GT_DETAIL_PT01_Pendahuluan.txt</t>
        </is>
      </c>
      <c r="D682" s="3" t="inlineStr">
        <is>
          <t>Pertemuan 1: Pendahuluan &amp; Kontrak Perkuliahan</t>
        </is>
      </c>
      <c r="E682" t="n">
        <v>0.7406</v>
      </c>
      <c r="F682" t="inlineStr">
        <is>
          <t>✓</t>
        </is>
      </c>
      <c r="G682" t="inlineStr">
        <is>
          <t>✓</t>
        </is>
      </c>
      <c r="H682" s="3" t="inlineStr">
        <is>
          <t xml:space="preserve">ng saling terkait. - Ambiguity     : Informasi tentang dampak jangka panjang media sosial terhadap kesehatan mental                   masih kontradiktif dan sulit diinterpretasikan.  [SOAL 3 — Hitung Beban Belajar] Mata </t>
        </is>
      </c>
    </row>
    <row r="683">
      <c r="A683" t="n">
        <v>114</v>
      </c>
      <c r="B683" t="n">
        <v>4</v>
      </c>
      <c r="C683" t="inlineStr">
        <is>
          <t>5PAI.txt</t>
        </is>
      </c>
      <c r="D683" s="3" t="inlineStr">
        <is>
          <t>Profil Kognitif 5PAI</t>
        </is>
      </c>
      <c r="E683" t="n">
        <v>0.7284</v>
      </c>
      <c r="F683" t="inlineStr">
        <is>
          <t>✓</t>
        </is>
      </c>
      <c r="G683" t="inlineStr">
        <is>
          <t>✓</t>
        </is>
      </c>
      <c r="H683" s="3" t="inlineStr">
        <is>
          <t xml:space="preserve">ugesti Fokus untuk LLM - Fokus pada penguatan aspek CT sesuai profil ini. - Pertanyaan perlu diarahkan untuk memperdalam analisis, refleksi, dan pemecahan masalah. - Gunakan pendekatan akademik dan scaffolding kognitif. </t>
        </is>
      </c>
    </row>
    <row r="684">
      <c r="A684" t="n">
        <v>114</v>
      </c>
      <c r="B684" t="n">
        <v>5</v>
      </c>
      <c r="C684" t="inlineStr">
        <is>
          <t>GT_SUBTOPIK_02_Abstraksi_Formulasi.txt</t>
        </is>
      </c>
      <c r="D684" s="3" t="inlineStr">
        <is>
          <t>Subtopik: Abstraksi — Formulasi Problem (Problem/Goal/Batasan/Data)</t>
        </is>
      </c>
      <c r="E684" t="n">
        <v>0.7264</v>
      </c>
      <c r="F684" t="inlineStr">
        <is>
          <t>✓</t>
        </is>
      </c>
      <c r="G684" t="inlineStr">
        <is>
          <t>✓</t>
        </is>
      </c>
      <c r="H684" s="3" t="inlineStr">
        <is>
          <t>ara dua MK jika ada konflik. Masalah menjadi: cari jumlah warna minimum untuk mewarnai node agar tidak ada dua node terhubung punya warna sama (chromatic number).  [SOAL 6 — Abstraksi vs Symptom] Identifikasi mana ROOT C</t>
        </is>
      </c>
    </row>
    <row r="685">
      <c r="A685" t="n">
        <v>114</v>
      </c>
      <c r="B685" t="n">
        <v>6</v>
      </c>
      <c r="C685" t="inlineStr">
        <is>
          <t>GT_CT02.txt</t>
        </is>
      </c>
      <c r="D685" s="3" t="inlineStr">
        <is>
          <t>Pertemuan 2: ICT Literacy and Ethics</t>
        </is>
      </c>
      <c r="E685" t="n">
        <v>0.7237</v>
      </c>
      <c r="F685" t="inlineStr">
        <is>
          <t>✓</t>
        </is>
      </c>
      <c r="G685" t="inlineStr">
        <is>
          <t>✓</t>
        </is>
      </c>
      <c r="H685" s="3" t="inlineStr">
        <is>
          <t>saha untuk menipu atau mengakali masyarakat agar mempercayai sesuatu yang tidak benar. Hoax dapat dikenali dari beberapa ciri khas, yaitu: judul yang bersifat provokatif dan sensasional; kredibilitas alamat situs yang me</t>
        </is>
      </c>
    </row>
    <row r="686">
      <c r="A686" t="n">
        <v>115</v>
      </c>
      <c r="B686" t="n">
        <v>1</v>
      </c>
      <c r="C686" t="inlineStr">
        <is>
          <t>GT_CT01.txt</t>
        </is>
      </c>
      <c r="D686" s="3" t="inlineStr">
        <is>
          <t>Pertemuan 1: Kontrak Perkuliahan dan Pendahuluan</t>
        </is>
      </c>
      <c r="E686" t="n">
        <v>0.7663</v>
      </c>
      <c r="F686" t="inlineStr">
        <is>
          <t>✓</t>
        </is>
      </c>
      <c r="G686" t="inlineStr">
        <is>
          <t>✓</t>
        </is>
      </c>
      <c r="H686" s="3" t="inlineStr">
        <is>
          <t xml:space="preserve"> dunia komputasi yang ditandai oleh perkembangan pesat kecerdasan buatan (Artificial Intelligence/AI). Salah satu tonggak penting dalam era ini adalah kemunculan ChatGPT yang diakui sebagai game changer dalam dunia tekno</t>
        </is>
      </c>
    </row>
    <row r="687">
      <c r="A687" t="n">
        <v>115</v>
      </c>
      <c r="B687" t="n">
        <v>2</v>
      </c>
      <c r="C687" t="inlineStr">
        <is>
          <t>GT_CT01.txt</t>
        </is>
      </c>
      <c r="D687" s="3" t="inlineStr">
        <is>
          <t>Pertemuan 1: Kontrak Perkuliahan dan Pendahuluan</t>
        </is>
      </c>
      <c r="E687" t="n">
        <v>0.7443</v>
      </c>
      <c r="F687" t="inlineStr">
        <is>
          <t>✓</t>
        </is>
      </c>
      <c r="G687" t="inlineStr">
        <is>
          <t>✓</t>
        </is>
      </c>
      <c r="H687" s="3" t="inlineStr">
        <is>
          <t xml:space="preserve"> komputasi terbaru mencakup komputer yang dibuat dari neuron manusia (organoid computing) serta robot yang dilatih menggunakan AI, seperti robot DeepMind milik Google yang dilatih untuk bermain tenis meja.  Dalam konteks</t>
        </is>
      </c>
    </row>
    <row r="688">
      <c r="A688" t="n">
        <v>115</v>
      </c>
      <c r="B688" t="n">
        <v>3</v>
      </c>
      <c r="C688" t="inlineStr">
        <is>
          <t>GT_SUBTOPIK_02_Abstraksi_Formulasi.txt</t>
        </is>
      </c>
      <c r="D688" s="3" t="inlineStr">
        <is>
          <t>Subtopik: Abstraksi — Formulasi Problem (Problem/Goal/Batasan/Data)</t>
        </is>
      </c>
      <c r="E688" t="n">
        <v>0.7395</v>
      </c>
      <c r="F688" t="inlineStr">
        <is>
          <t>✓</t>
        </is>
      </c>
      <c r="G688" t="inlineStr">
        <is>
          <t>✓</t>
        </is>
      </c>
      <c r="H688" s="3" t="inlineStr">
        <is>
          <t>ara dua MK jika ada konflik. Masalah menjadi: cari jumlah warna minimum untuk mewarnai node agar tidak ada dua node terhubung punya warna sama (chromatic number).  [SOAL 6 — Abstraksi vs Symptom] Identifikasi mana ROOT C</t>
        </is>
      </c>
    </row>
    <row r="689">
      <c r="A689" t="n">
        <v>115</v>
      </c>
      <c r="B689" t="n">
        <v>4</v>
      </c>
      <c r="C689" t="inlineStr">
        <is>
          <t>GT_CT01.txt</t>
        </is>
      </c>
      <c r="D689" s="3" t="inlineStr">
        <is>
          <t>Pertemuan 1: Kontrak Perkuliahan dan Pendahuluan</t>
        </is>
      </c>
      <c r="E689" t="n">
        <v>0.7351</v>
      </c>
      <c r="F689" t="inlineStr">
        <is>
          <t>✓</t>
        </is>
      </c>
      <c r="G689" t="inlineStr">
        <is>
          <t>✓</t>
        </is>
      </c>
      <c r="H689" s="3" t="inlineStr">
        <is>
          <t>l diakui secara luas sebagai kompetensi penting, tidak hanya bagi mereka yang tertarik pada ilmu komputer dan matematika, tetapi juga bagi setiap mahasiswa di abad ke-21. Learning outcome utama dari mata kuliah ini adala</t>
        </is>
      </c>
    </row>
    <row r="690">
      <c r="A690" t="n">
        <v>115</v>
      </c>
      <c r="B690" t="n">
        <v>5</v>
      </c>
      <c r="C690" t="inlineStr">
        <is>
          <t>GT_SUBTOPIK_02_Abstraksi_Formulasi.txt</t>
        </is>
      </c>
      <c r="D690" s="3" t="inlineStr">
        <is>
          <t>Subtopik: Abstraksi — Formulasi Problem (Problem/Goal/Batasan/Data)</t>
        </is>
      </c>
      <c r="E690" t="n">
        <v>0.7321</v>
      </c>
      <c r="F690" t="inlineStr">
        <is>
          <t>✓</t>
        </is>
      </c>
      <c r="G690" t="inlineStr">
        <is>
          <t>✓</t>
        </is>
      </c>
      <c r="H690" s="3" t="inlineStr">
        <is>
          <t>Total anggaran = Rp 50 juta  YANG DIABAIKAN (bukan data relevan):   - Warna/merek item (tidak mempengaruhi produktivitas)   - Nama vendor/supplier   - Tanggal pengiriman (asumsi semua tersedia)  [SOAL 5 — Abstraksi: Jadw</t>
        </is>
      </c>
    </row>
    <row r="691">
      <c r="A691" t="n">
        <v>115</v>
      </c>
      <c r="B691" t="n">
        <v>6</v>
      </c>
      <c r="C691" t="inlineStr">
        <is>
          <t>GT_DETAIL_PT01_Pendahuluan.txt</t>
        </is>
      </c>
      <c r="D691" s="3" t="inlineStr">
        <is>
          <t>Pertemuan 1: Pendahuluan &amp; Kontrak Perkuliahan</t>
        </is>
      </c>
      <c r="E691" t="n">
        <v>0.7277</v>
      </c>
      <c r="F691" t="inlineStr">
        <is>
          <t>✓</t>
        </is>
      </c>
      <c r="G691" t="inlineStr">
        <is>
          <t>✓</t>
        </is>
      </c>
      <c r="H691" s="3" t="inlineStr">
        <is>
          <t>n      : Fokus hanya pada informasi penting: nama mata kuliah, jumlah SKS, jadwal                      kuliah tetap, dan preferensi waktu belajar. Mengabaikan detail seperti                      konten setiap mata kuliah</t>
        </is>
      </c>
    </row>
    <row r="692">
      <c r="A692" t="n">
        <v>116</v>
      </c>
      <c r="B692" t="n">
        <v>1</v>
      </c>
      <c r="C692" t="inlineStr">
        <is>
          <t>GT_DETAIL_PT03_Dekomposisi.txt</t>
        </is>
      </c>
      <c r="D692" s="3" t="inlineStr">
        <is>
          <t>Pertemuan 3: Problem Solving — Dekomposisi</t>
        </is>
      </c>
      <c r="E692" t="n">
        <v>0.7665</v>
      </c>
      <c r="F692" t="inlineStr">
        <is>
          <t>✓</t>
        </is>
      </c>
      <c r="G692" t="inlineStr">
        <is>
          <t>✓</t>
        </is>
      </c>
      <c r="H692" s="3" t="inlineStr">
        <is>
          <t>masalah A1 + Sub-masalah A2             ↓                   ↓          Solusi A1           Solusi A2                   ↘         ↙                   Solusi A (total)  B. CONTOH PENERAPAN DEKOMPOSISI  1. Menghitung Luas B</t>
        </is>
      </c>
    </row>
    <row r="693">
      <c r="A693" t="n">
        <v>116</v>
      </c>
      <c r="B693" t="n">
        <v>2</v>
      </c>
      <c r="C693" t="inlineStr">
        <is>
          <t>GT_CT07.txt</t>
        </is>
      </c>
      <c r="D693" s="3" t="inlineStr">
        <is>
          <t>Pertemuan 7: Algoritme — Notasi Algoritme</t>
        </is>
      </c>
      <c r="E693" t="n">
        <v>0.766</v>
      </c>
      <c r="F693" t="inlineStr">
        <is>
          <t>✓</t>
        </is>
      </c>
      <c r="G693" t="inlineStr">
        <is>
          <t>✓</t>
        </is>
      </c>
      <c r="H693" s="3" t="inlineStr">
        <is>
          <t xml:space="preserve"> dan 20 seharusnya menghasilkan output 4; Algoritme Coklat Bebek dengan input 15 (jumlah coklat) seharusnya menghasilkan output 6 (nomor bebek pertama yang tidak mendapat coklat).  Selain validitas, efisiensi algoritme j</t>
        </is>
      </c>
    </row>
    <row r="694">
      <c r="A694" t="n">
        <v>116</v>
      </c>
      <c r="B694" t="n">
        <v>3</v>
      </c>
      <c r="C694" t="inlineStr">
        <is>
          <t>GT_CT01.txt</t>
        </is>
      </c>
      <c r="D694" s="3" t="inlineStr">
        <is>
          <t>Pertemuan 1: Kontrak Perkuliahan dan Pendahuluan</t>
        </is>
      </c>
      <c r="E694" t="n">
        <v>0.7614</v>
      </c>
      <c r="F694" t="inlineStr">
        <is>
          <t>✓</t>
        </is>
      </c>
      <c r="G694" t="inlineStr">
        <is>
          <t>✓</t>
        </is>
      </c>
      <c r="H694" s="3" t="inlineStr">
        <is>
          <t>emecah masalah besar menjadi submasalah yang lebih kecil dan mudah ditangani (dekomposisi).  Berdasarkan ketentuan beban SKS, setiap mahasiswa diperkirakan menghabiskan total 340 menit atau sekitar 5 jam 40 menit per min</t>
        </is>
      </c>
    </row>
    <row r="695">
      <c r="A695" t="n">
        <v>116</v>
      </c>
      <c r="B695" t="n">
        <v>4</v>
      </c>
      <c r="C695" t="inlineStr">
        <is>
          <t>GT_CT03.txt</t>
        </is>
      </c>
      <c r="D695" s="3" t="inlineStr">
        <is>
          <t>Pertemuan 3: Problem Solving — Dekomposisi</t>
        </is>
      </c>
      <c r="E695" t="n">
        <v>0.7581</v>
      </c>
      <c r="F695" t="inlineStr">
        <is>
          <t>✓</t>
        </is>
      </c>
      <c r="G695" t="inlineStr">
        <is>
          <t>✓</t>
        </is>
      </c>
      <c r="H695" s="3" t="inlineStr">
        <is>
          <t xml:space="preserve"> terstruktur dan sistematis. Kata kunci dari konsep dekomposisi adalah: BREAKING BIG PROBLEMS INTO SMALLER AND EASIER TO MANAGE PROBLEMS.  Prinsip dekomposisi mengikuti pola hierarkis, di mana sebuah masalah besar (misal</t>
        </is>
      </c>
    </row>
    <row r="696">
      <c r="A696" t="n">
        <v>116</v>
      </c>
      <c r="B696" t="n">
        <v>5</v>
      </c>
      <c r="C696" t="inlineStr">
        <is>
          <t>GT_DETAIL_PT01_Pendahuluan.txt</t>
        </is>
      </c>
      <c r="D696" s="3" t="inlineStr">
        <is>
          <t>Pertemuan 1: Pendahuluan &amp; Kontrak Perkuliahan</t>
        </is>
      </c>
      <c r="E696" t="n">
        <v>0.7512</v>
      </c>
      <c r="F696" t="inlineStr">
        <is>
          <t>✓</t>
        </is>
      </c>
      <c r="G696" t="inlineStr">
        <is>
          <t>✓</t>
        </is>
      </c>
      <c r="H696" s="3" t="inlineStr">
        <is>
          <t xml:space="preserve">erhadap masalah — kemampuan kognitif untuk memformulasikan masalah dan solusinya secara sistematis. Belajar pemrograman adalah keterampilan teknis untuk menuliskan instruksi dalam bahasa pemrograman tertentu.  Mahasiswa </t>
        </is>
      </c>
    </row>
    <row r="697">
      <c r="A697" t="n">
        <v>116</v>
      </c>
      <c r="B697" t="n">
        <v>6</v>
      </c>
      <c r="C697" t="inlineStr">
        <is>
          <t>GT_DETAIL_PT11_Perulangan.txt</t>
        </is>
      </c>
      <c r="D697" s="3" t="inlineStr">
        <is>
          <t>Pertemuan 11: Struktur Kontrol — Perulangan</t>
        </is>
      </c>
      <c r="E697" t="n">
        <v>0.7503</v>
      </c>
      <c r="F697" t="inlineStr">
        <is>
          <t>✓</t>
        </is>
      </c>
      <c r="G697" t="inlineStr">
        <is>
          <t>✓</t>
        </is>
      </c>
      <c r="H697" s="3" t="inlineStr">
        <is>
          <t>an: - Kondisi dievaluasi SEBELUM body dijalankan - Jika kondisi False sejak awal → body tidak pernah dijalankan - Jika kondisi tidak pernah False → infinite loop (hindari!) - Body HARUS mengubah sesuatu yang mempengaruhi</t>
        </is>
      </c>
    </row>
    <row r="698">
      <c r="A698" t="n">
        <v>117</v>
      </c>
      <c r="B698" t="n">
        <v>1</v>
      </c>
      <c r="C698" t="inlineStr">
        <is>
          <t>GT_CT03.txt</t>
        </is>
      </c>
      <c r="D698" s="3" t="inlineStr">
        <is>
          <t>Pertemuan 3: Problem Solving — Dekomposisi</t>
        </is>
      </c>
      <c r="E698" t="n">
        <v>0.821</v>
      </c>
      <c r="F698" t="inlineStr">
        <is>
          <t>✓</t>
        </is>
      </c>
      <c r="G698" t="inlineStr">
        <is>
          <t>✓</t>
        </is>
      </c>
      <c r="H698" s="3" t="inlineStr">
        <is>
          <t xml:space="preserve"> terstruktur dan sistematis. Kata kunci dari konsep dekomposisi adalah: BREAKING BIG PROBLEMS INTO SMALLER AND EASIER TO MANAGE PROBLEMS.  Prinsip dekomposisi mengikuti pola hierarkis, di mana sebuah masalah besar (misal</t>
        </is>
      </c>
    </row>
    <row r="699">
      <c r="A699" t="n">
        <v>117</v>
      </c>
      <c r="B699" t="n">
        <v>2</v>
      </c>
      <c r="C699" t="inlineStr">
        <is>
          <t>GT_CT01.txt</t>
        </is>
      </c>
      <c r="D699" s="3" t="inlineStr">
        <is>
          <t>Pertemuan 1: Kontrak Perkuliahan dan Pendahuluan</t>
        </is>
      </c>
      <c r="E699" t="n">
        <v>0.7984</v>
      </c>
      <c r="F699" t="inlineStr">
        <is>
          <t>✓</t>
        </is>
      </c>
      <c r="G699" t="inlineStr">
        <is>
          <t>✓</t>
        </is>
      </c>
      <c r="H699" s="3" t="inlineStr">
        <is>
          <t>emecah masalah besar menjadi submasalah yang lebih kecil dan mudah ditangani (dekomposisi).  Berdasarkan ketentuan beban SKS, setiap mahasiswa diperkirakan menghabiskan total 340 menit atau sekitar 5 jam 40 menit per min</t>
        </is>
      </c>
    </row>
    <row r="700">
      <c r="A700" t="n">
        <v>117</v>
      </c>
      <c r="B700" t="n">
        <v>3</v>
      </c>
      <c r="C700" t="inlineStr">
        <is>
          <t>GT_SUBTOPIK_02_Abstraksi_Formulasi.txt</t>
        </is>
      </c>
      <c r="D700" s="3" t="inlineStr">
        <is>
          <t>Subtopik: Abstraksi — Formulasi Problem (Problem/Goal/Batasan/Data)</t>
        </is>
      </c>
      <c r="E700" t="n">
        <v>0.7593</v>
      </c>
      <c r="F700" t="inlineStr">
        <is>
          <t>✓</t>
        </is>
      </c>
      <c r="G700" t="inlineStr">
        <is>
          <t>✓</t>
        </is>
      </c>
      <c r="H700" s="3" t="inlineStr">
        <is>
          <t xml:space="preserve"> aus, atau printer tidak dibersihkan secara berkala.    Abstraksi: fokus pada frekuensi dan kondisi saat macet →    apakah selalu dengan kertas tertentu? Setelah sekian lembar?  [SOAL 7 — Abstraksi Data] Diberikan datase</t>
        </is>
      </c>
    </row>
    <row r="701">
      <c r="A701" t="n">
        <v>117</v>
      </c>
      <c r="B701" t="n">
        <v>4</v>
      </c>
      <c r="C701" t="inlineStr">
        <is>
          <t>GT_DETAIL_PT04_Abstraksi.txt</t>
        </is>
      </c>
      <c r="D701" s="3" t="inlineStr">
        <is>
          <t>Pertemuan 4: Problem Solving — Abstraksi</t>
        </is>
      </c>
      <c r="E701" t="n">
        <v>0.756</v>
      </c>
      <c r="F701" t="inlineStr">
        <is>
          <t>✓</t>
        </is>
      </c>
      <c r="G701" t="inlineStr">
        <is>
          <t>✓</t>
        </is>
      </c>
      <c r="H701" s="3" t="inlineStr">
        <is>
          <t>erja dimulai.  [SOAL 2 — Komponen Abstraksi] Lakukan abstraksi terhadap persoalan berikut dengan mengidentifikasi problem, goal, batasan, dan data: "Sebuah toko online ingin menentukan harga diskon optimal untuk menghabi</t>
        </is>
      </c>
    </row>
    <row r="702">
      <c r="A702" t="n">
        <v>117</v>
      </c>
      <c r="B702" t="n">
        <v>5</v>
      </c>
      <c r="C702" t="inlineStr">
        <is>
          <t>GT_CT13.txt</t>
        </is>
      </c>
      <c r="D702" s="3" t="inlineStr">
        <is>
          <t>Pertemuan 13: Pengenalan Struktur Data</t>
        </is>
      </c>
      <c r="E702" t="n">
        <v>0.7554</v>
      </c>
      <c r="F702" t="inlineStr">
        <is>
          <t>✓</t>
        </is>
      </c>
      <c r="G702" t="inlineStr">
        <is>
          <t>✓</t>
        </is>
      </c>
      <c r="H702" s="3" t="inlineStr">
        <is>
          <t>ai urutan kedatangannya. - Sistem kecerdasan buatan dalam permainan catur yang merepresentasikan berbagai kemungkinan langkah ke depan: struktur data yang paling tepat adalah Tree, karena setiap kemungkinan langkah berca</t>
        </is>
      </c>
    </row>
    <row r="703">
      <c r="A703" t="n">
        <v>117</v>
      </c>
      <c r="B703" t="n">
        <v>6</v>
      </c>
      <c r="C703" t="inlineStr">
        <is>
          <t>GT_CT03.txt</t>
        </is>
      </c>
      <c r="D703" s="3" t="inlineStr">
        <is>
          <t>Pertemuan 3: Problem Solving — Dekomposisi</t>
        </is>
      </c>
      <c r="E703" t="n">
        <v>0.7538</v>
      </c>
      <c r="F703" t="inlineStr">
        <is>
          <t>✓</t>
        </is>
      </c>
      <c r="G703" t="inlineStr">
        <is>
          <t>✓</t>
        </is>
      </c>
      <c r="H703" s="3" t="inlineStr">
        <is>
          <t>pertama yang krusial adalah mengidentifikasi goal atau tujuan utama dari masalah tersebut, kemudian menentukan bagaimana masalah itu dapat didekomposisi menjadi sub-masalah yang lebih kecil.  Sebagai contoh latihan, pada</t>
        </is>
      </c>
    </row>
    <row r="704">
      <c r="A704" t="n">
        <v>118</v>
      </c>
      <c r="B704" t="n">
        <v>1</v>
      </c>
      <c r="C704" t="inlineStr">
        <is>
          <t>GT_CT03.txt</t>
        </is>
      </c>
      <c r="D704" s="3" t="inlineStr">
        <is>
          <t>Pertemuan 3: Problem Solving — Dekomposisi</t>
        </is>
      </c>
      <c r="E704" t="n">
        <v>0.8022</v>
      </c>
      <c r="F704" t="inlineStr">
        <is>
          <t>✓</t>
        </is>
      </c>
      <c r="G704" t="inlineStr">
        <is>
          <t>✓</t>
        </is>
      </c>
      <c r="H704" s="3" t="inlineStr">
        <is>
          <t xml:space="preserve"> terstruktur dan sistematis. Kata kunci dari konsep dekomposisi adalah: BREAKING BIG PROBLEMS INTO SMALLER AND EASIER TO MANAGE PROBLEMS.  Prinsip dekomposisi mengikuti pola hierarkis, di mana sebuah masalah besar (misal</t>
        </is>
      </c>
    </row>
    <row r="705">
      <c r="A705" t="n">
        <v>118</v>
      </c>
      <c r="B705" t="n">
        <v>2</v>
      </c>
      <c r="C705" t="inlineStr">
        <is>
          <t>GT_CT01.txt</t>
        </is>
      </c>
      <c r="D705" s="3" t="inlineStr">
        <is>
          <t>Pertemuan 1: Kontrak Perkuliahan dan Pendahuluan</t>
        </is>
      </c>
      <c r="E705" t="n">
        <v>0.7879</v>
      </c>
      <c r="F705" t="inlineStr">
        <is>
          <t>✓</t>
        </is>
      </c>
      <c r="G705" t="inlineStr">
        <is>
          <t>✓</t>
        </is>
      </c>
      <c r="H705" s="3" t="inlineStr">
        <is>
          <t>emecah masalah besar menjadi submasalah yang lebih kecil dan mudah ditangani (dekomposisi).  Berdasarkan ketentuan beban SKS, setiap mahasiswa diperkirakan menghabiskan total 340 menit atau sekitar 5 jam 40 menit per min</t>
        </is>
      </c>
    </row>
    <row r="706">
      <c r="A706" t="n">
        <v>118</v>
      </c>
      <c r="B706" t="n">
        <v>3</v>
      </c>
      <c r="C706" t="inlineStr">
        <is>
          <t>GT_DETAIL_PT03_Dekomposisi.txt</t>
        </is>
      </c>
      <c r="D706" s="3" t="inlineStr">
        <is>
          <t>Pertemuan 3: Problem Solving — Dekomposisi</t>
        </is>
      </c>
      <c r="E706" t="n">
        <v>0.7592</v>
      </c>
      <c r="F706" t="inlineStr">
        <is>
          <t>✓</t>
        </is>
      </c>
      <c r="G706" t="inlineStr">
        <is>
          <t>✓</t>
        </is>
      </c>
      <c r="H706" s="3" t="inlineStr">
        <is>
          <t>kin dilakukan    sekaligus, melainkan didekomposisi: fondasi → struktur → atap → finishing. 2. Memungkinkan paralelisasi: Sub-masalah dapat dikerjakan secara bersamaan oleh tim    berbeda. Contoh: proyek software besar d</t>
        </is>
      </c>
    </row>
    <row r="707">
      <c r="A707" t="n">
        <v>118</v>
      </c>
      <c r="B707" t="n">
        <v>4</v>
      </c>
      <c r="C707" t="inlineStr">
        <is>
          <t>GT_CT03.txt</t>
        </is>
      </c>
      <c r="D707" s="3" t="inlineStr">
        <is>
          <t>Pertemuan 3: Problem Solving — Dekomposisi</t>
        </is>
      </c>
      <c r="E707" t="n">
        <v>0.7383</v>
      </c>
      <c r="F707" t="inlineStr">
        <is>
          <t>✓</t>
        </is>
      </c>
      <c r="G707" t="inlineStr">
        <is>
          <t>✓</t>
        </is>
      </c>
      <c r="H707" s="3" t="inlineStr">
        <is>
          <t>pertama yang krusial adalah mengidentifikasi goal atau tujuan utama dari masalah tersebut, kemudian menentukan bagaimana masalah itu dapat didekomposisi menjadi sub-masalah yang lebih kecil.  Sebagai contoh latihan, pada</t>
        </is>
      </c>
    </row>
    <row r="708">
      <c r="A708" t="n">
        <v>118</v>
      </c>
      <c r="B708" t="n">
        <v>5</v>
      </c>
      <c r="C708" t="inlineStr">
        <is>
          <t>GT_CT03.txt</t>
        </is>
      </c>
      <c r="D708" s="3" t="inlineStr">
        <is>
          <t>Pertemuan 3: Problem Solving — Dekomposisi</t>
        </is>
      </c>
      <c r="E708" t="n">
        <v>0.734</v>
      </c>
      <c r="F708" t="inlineStr">
        <is>
          <t>✓</t>
        </is>
      </c>
      <c r="G708" t="inlineStr">
        <is>
          <t>✓</t>
        </is>
      </c>
      <c r="H708" s="3" t="inlineStr">
        <is>
          <t>ang harus melakukan semua hal terkait perakitan mobil sendirian. Konsep ini merepresentasikan dekomposisi tugas kompleks menjadi fungsi-fungsi yang lebih kecil dan terspesialisasi.  5. Kamera 360 Derajat (Insta360): Sebu</t>
        </is>
      </c>
    </row>
    <row r="709">
      <c r="A709" t="n">
        <v>118</v>
      </c>
      <c r="B709" t="n">
        <v>6</v>
      </c>
      <c r="C709" t="inlineStr">
        <is>
          <t>GT_CT01.txt</t>
        </is>
      </c>
      <c r="D709" s="3" t="inlineStr">
        <is>
          <t>Pertemuan 1: Kontrak Perkuliahan dan Pendahuluan</t>
        </is>
      </c>
      <c r="E709" t="n">
        <v>0.7252</v>
      </c>
      <c r="F709" t="inlineStr">
        <is>
          <t>✓</t>
        </is>
      </c>
      <c r="G709" t="inlineStr">
        <is>
          <t>✓</t>
        </is>
      </c>
      <c r="H709" s="3" t="inlineStr">
        <is>
          <t xml:space="preserve"> dunia komputasi yang ditandai oleh perkembangan pesat kecerdasan buatan (Artificial Intelligence/AI). Salah satu tonggak penting dalam era ini adalah kemunculan ChatGPT yang diakui sebagai game changer dalam dunia tekno</t>
        </is>
      </c>
    </row>
    <row r="710">
      <c r="A710" t="n">
        <v>119</v>
      </c>
      <c r="B710" t="n">
        <v>1</v>
      </c>
      <c r="C710" t="inlineStr">
        <is>
          <t>GT_CT03.txt</t>
        </is>
      </c>
      <c r="D710" s="3" t="inlineStr">
        <is>
          <t>Pertemuan 3: Problem Solving — Dekomposisi</t>
        </is>
      </c>
      <c r="E710" t="n">
        <v>0.7866</v>
      </c>
      <c r="F710" t="inlineStr">
        <is>
          <t>✓</t>
        </is>
      </c>
      <c r="G710" t="inlineStr">
        <is>
          <t>✓</t>
        </is>
      </c>
      <c r="H710" s="3" t="inlineStr">
        <is>
          <t>pertama yang krusial adalah mengidentifikasi goal atau tujuan utama dari masalah tersebut, kemudian menentukan bagaimana masalah itu dapat didekomposisi menjadi sub-masalah yang lebih kecil.  Sebagai contoh latihan, pada</t>
        </is>
      </c>
    </row>
    <row r="711">
      <c r="A711" t="n">
        <v>119</v>
      </c>
      <c r="B711" t="n">
        <v>2</v>
      </c>
      <c r="C711" t="inlineStr">
        <is>
          <t>GT_CT04.txt</t>
        </is>
      </c>
      <c r="D711" s="3" t="inlineStr">
        <is>
          <t>Pertemuan 4: Problem Solving — Abstraction</t>
        </is>
      </c>
      <c r="E711" t="n">
        <v>0.7288</v>
      </c>
      <c r="F711" t="inlineStr">
        <is>
          <t>✓</t>
        </is>
      </c>
      <c r="G711" t="inlineStr">
        <is>
          <t>✓</t>
        </is>
      </c>
      <c r="H711" s="3" t="inlineStr">
        <is>
          <t>Ground Truth:  Dalam penerapan abstraksi pada problem solving, setiap persoalan perlu dianalisis secara saksama dengan mengidentifikasi empat komponen utama, yaitu: (1) apa problemnya (root cause/akar masalah), (2) apa g</t>
        </is>
      </c>
    </row>
    <row r="712">
      <c r="A712" t="n">
        <v>119</v>
      </c>
      <c r="B712" t="n">
        <v>3</v>
      </c>
      <c r="C712" t="inlineStr">
        <is>
          <t>GT_CT07.txt</t>
        </is>
      </c>
      <c r="D712" s="3" t="inlineStr">
        <is>
          <t>Pertemuan 7: Algoritme — Notasi Algoritme</t>
        </is>
      </c>
      <c r="E712" t="n">
        <v>0.7187</v>
      </c>
      <c r="F712" t="inlineStr">
        <is>
          <t>✓</t>
        </is>
      </c>
      <c r="G712" t="inlineStr">
        <is>
          <t>✓</t>
        </is>
      </c>
      <c r="H712" s="3" t="inlineStr">
        <is>
          <t>) dan selisih angka yang dicari (d). Output: banyaknya pasangan bilangan dengan selisih sebesar d (p). Proses: (a) Urutkan n bilangan secara menaik menjadi m1, m2, ..., mn; (b) Inisialisasi p = 0; (c) Untuk setiap i dari</t>
        </is>
      </c>
    </row>
    <row r="713">
      <c r="A713" t="n">
        <v>119</v>
      </c>
      <c r="B713" t="n">
        <v>4</v>
      </c>
      <c r="C713" t="inlineStr">
        <is>
          <t>GT_DETAIL_PT04_Abstraksi.txt</t>
        </is>
      </c>
      <c r="D713" s="3" t="inlineStr">
        <is>
          <t>Pertemuan 4: Problem Solving — Abstraksi</t>
        </is>
      </c>
      <c r="E713" t="n">
        <v>0.7063</v>
      </c>
      <c r="F713" t="inlineStr">
        <is>
          <t>✓</t>
        </is>
      </c>
      <c r="G713" t="inlineStr">
        <is>
          <t>✓</t>
        </is>
      </c>
      <c r="H713" s="3" t="inlineStr">
        <is>
          <t>erja dimulai.  [SOAL 2 — Komponen Abstraksi] Lakukan abstraksi terhadap persoalan berikut dengan mengidentifikasi problem, goal, batasan, dan data: "Sebuah toko online ingin menentukan harga diskon optimal untuk menghabi</t>
        </is>
      </c>
    </row>
    <row r="714">
      <c r="A714" t="n">
        <v>119</v>
      </c>
      <c r="B714" t="n">
        <v>5</v>
      </c>
      <c r="C714" t="inlineStr">
        <is>
          <t>GT_CT09.txt</t>
        </is>
      </c>
      <c r="D714" s="3" t="inlineStr">
        <is>
          <t>Pertemuan 9: Elemen Pseudocode — Variabel, Operator, Tipe Data, dan List</t>
        </is>
      </c>
      <c r="E714" t="n">
        <v>0.6969</v>
      </c>
      <c r="F714" t="inlineStr">
        <is>
          <t>✓</t>
        </is>
      </c>
      <c r="G714" t="inlineStr">
        <is>
          <t>✓</t>
        </is>
      </c>
      <c r="H714" s="3" t="inlineStr">
        <is>
          <t>ama dengan (==), tidak sama dengan (!=), lebih besar dari (&gt;), lebih kecil dari (&lt;), lebih besar atau sama dengan (&gt;=), dan lebih kecil atau sama dengan (&lt;=).  4. Logical Operator (Operator Logika): Digunakan untuk mengg</t>
        </is>
      </c>
    </row>
    <row r="715">
      <c r="A715" t="n">
        <v>119</v>
      </c>
      <c r="B715" t="n">
        <v>6</v>
      </c>
      <c r="C715" t="inlineStr">
        <is>
          <t>GT_CT04.txt</t>
        </is>
      </c>
      <c r="D715" s="3" t="inlineStr">
        <is>
          <t>Pertemuan 4: Problem Solving — Abstraction</t>
        </is>
      </c>
      <c r="E715" t="n">
        <v>0.694</v>
      </c>
      <c r="F715" t="inlineStr">
        <is>
          <t>✓</t>
        </is>
      </c>
      <c r="G715" t="inlineStr">
        <is>
          <t>✓</t>
        </is>
      </c>
      <c r="H715" s="3" t="inlineStr">
        <is>
          <t>tau di sebelah atas posisi saat ini. Abstraksi terhadap persoalan ini mengidentifikasi bahwa: problem-nya adalah menentukan jalur optimal; goal-nya adalah memaksimalkan jumlah permen yang dikumpulkan; batasannya adalah a</t>
        </is>
      </c>
    </row>
    <row r="716">
      <c r="A716" t="n">
        <v>120</v>
      </c>
      <c r="B716" t="n">
        <v>1</v>
      </c>
      <c r="C716" t="inlineStr">
        <is>
          <t>GT_SUBTOPIK_02_Abstraksi_Formulasi.txt</t>
        </is>
      </c>
      <c r="D716" s="3" t="inlineStr">
        <is>
          <t>Subtopik: Abstraksi — Formulasi Problem (Problem/Goal/Batasan/Data)</t>
        </is>
      </c>
      <c r="E716" t="n">
        <v>0.8637</v>
      </c>
      <c r="F716" t="inlineStr">
        <is>
          <t>✓</t>
        </is>
      </c>
      <c r="G716" t="inlineStr">
        <is>
          <t>✓</t>
        </is>
      </c>
      <c r="H716" s="3" t="inlineStr">
        <is>
          <t>— Abstraksi: Berang-Berang dan Lift] Lakukan abstraksi penuh terhadap masalah berikut: "2 lift di BeaverHQ, kapasitas masing-masing 30 kg. 9 berang dengan berat berbeda (A:2, B:3, C:5, D:8, E:9, F:9, G:12, H:12, I:22 kg)</t>
        </is>
      </c>
    </row>
    <row r="717">
      <c r="A717" t="n">
        <v>120</v>
      </c>
      <c r="B717" t="n">
        <v>2</v>
      </c>
      <c r="C717" t="inlineStr">
        <is>
          <t>GT_CT04.txt</t>
        </is>
      </c>
      <c r="D717" s="3" t="inlineStr">
        <is>
          <t>Pertemuan 4: Problem Solving — Abstraction</t>
        </is>
      </c>
      <c r="E717" t="n">
        <v>0.8256</v>
      </c>
      <c r="F717" t="inlineStr">
        <is>
          <t>✓</t>
        </is>
      </c>
      <c r="G717" t="inlineStr">
        <is>
          <t>✓</t>
        </is>
      </c>
      <c r="H717" s="3" t="inlineStr">
        <is>
          <t>Ground Truth:  Dalam penerapan abstraksi pada problem solving, setiap persoalan perlu dianalisis secara saksama dengan mengidentifikasi empat komponen utama, yaitu: (1) apa problemnya (root cause/akar masalah), (2) apa g</t>
        </is>
      </c>
    </row>
    <row r="718">
      <c r="A718" t="n">
        <v>120</v>
      </c>
      <c r="B718" t="n">
        <v>3</v>
      </c>
      <c r="C718" t="inlineStr">
        <is>
          <t>GT_CT04.txt</t>
        </is>
      </c>
      <c r="D718" s="3" t="inlineStr">
        <is>
          <t>Pertemuan 4: Problem Solving — Abstraction</t>
        </is>
      </c>
      <c r="E718" t="n">
        <v>0.7901</v>
      </c>
      <c r="F718" t="inlineStr">
        <is>
          <t>✓</t>
        </is>
      </c>
      <c r="G718" t="inlineStr">
        <is>
          <t>✓</t>
        </is>
      </c>
      <c r="H718" s="3" t="inlineStr">
        <is>
          <t>, dan problem sebenarnya adalah memaksimalkan jumlah berang-berang yang terangkut dalam batasan kapasitas 30 kg per lift dan dua lift tersedia.  2. Latihan Penyusup Museum: Di museum Darmaga terdapat sistem pengamanan ce</t>
        </is>
      </c>
    </row>
    <row r="719">
      <c r="A719" t="n">
        <v>120</v>
      </c>
      <c r="B719" t="n">
        <v>4</v>
      </c>
      <c r="C719" t="inlineStr">
        <is>
          <t>GT_DETAIL_PT03_Dekomposisi.txt</t>
        </is>
      </c>
      <c r="D719" s="3" t="inlineStr">
        <is>
          <t>Pertemuan 3: Problem Solving — Dekomposisi</t>
        </is>
      </c>
      <c r="E719" t="n">
        <v>0.7641</v>
      </c>
      <c r="F719" t="inlineStr">
        <is>
          <t>✓</t>
        </is>
      </c>
      <c r="G719" t="inlineStr">
        <is>
          <t>✓</t>
        </is>
      </c>
      <c r="H719" s="3" t="inlineStr">
        <is>
          <t xml:space="preserve">anya digabungkan (stitching) pada area tumpang tindih → hasil gambar 360° seamless.  6. Mencari Bilangan Terbesar dari Kumpulan Data    Dekomposisi: bagi kumpulan bilangan menjadi kelompok → cari terbesar per kelompok → </t>
        </is>
      </c>
    </row>
    <row r="720">
      <c r="A720" t="n">
        <v>120</v>
      </c>
      <c r="B720" t="n">
        <v>5</v>
      </c>
      <c r="C720" t="inlineStr">
        <is>
          <t>GT_DETAIL_PT04_Abstraksi.txt</t>
        </is>
      </c>
      <c r="D720" s="3" t="inlineStr">
        <is>
          <t>Pertemuan 4: Problem Solving — Abstraksi</t>
        </is>
      </c>
      <c r="E720" t="n">
        <v>0.7614</v>
      </c>
      <c r="F720" t="inlineStr">
        <is>
          <t>✓</t>
        </is>
      </c>
      <c r="G720" t="inlineStr">
        <is>
          <t>✓</t>
        </is>
      </c>
      <c r="H720" s="3" t="inlineStr">
        <is>
          <t>ABAN: Abstraksi: Problem : Tidak semua berang muat (total 3+5+7+10+12+15+18 = 70 kg &gt; 50 kg kapasitas) Goal    : Angkut sebanyak mungkin berang (prioritas jumlah, bukan berat) Batasan : 2 lift, masing-masing max 25 kg, 1</t>
        </is>
      </c>
    </row>
    <row r="721">
      <c r="A721" t="n">
        <v>120</v>
      </c>
      <c r="B721" t="n">
        <v>6</v>
      </c>
      <c r="C721" t="inlineStr">
        <is>
          <t>GT_SUBTOPIK_01_Dekomposisi_Optimasi.txt</t>
        </is>
      </c>
      <c r="D721" s="3" t="inlineStr">
        <is>
          <t>Subtopik: Dekomposisi — Optimasi dan Pemecahan Masalah Terstruktur</t>
        </is>
      </c>
      <c r="E721" t="n">
        <v>0.7337</v>
      </c>
      <c r="F721" t="inlineStr">
        <is>
          <t>✓</t>
        </is>
      </c>
      <c r="G721" t="inlineStr">
        <is>
          <t>✓</t>
        </is>
      </c>
      <c r="H721" s="3" t="inlineStr">
        <is>
          <t>kali perjalanan.  JAWABAN: Dekomposisi: - Sub-masalah 1: optimalkan isi Lift 1 (maks jumlah berang ≤30 kg) - Sub-masalah 2: optimalkan isi Lift 2 dari sisa berang (≤30 kg) - Sub-masalah 3: hitung total yang terangkut  St</t>
        </is>
      </c>
    </row>
    <row r="722">
      <c r="A722" t="n">
        <v>121</v>
      </c>
      <c r="B722" t="n">
        <v>1</v>
      </c>
      <c r="C722" t="inlineStr">
        <is>
          <t>GT_CT04.txt</t>
        </is>
      </c>
      <c r="D722" s="3" t="inlineStr">
        <is>
          <t>Pertemuan 4: Problem Solving — Abstraction</t>
        </is>
      </c>
      <c r="E722" t="n">
        <v>0.7396</v>
      </c>
      <c r="F722" t="inlineStr">
        <is>
          <t>✓</t>
        </is>
      </c>
      <c r="G722" t="inlineStr">
        <is>
          <t>✓</t>
        </is>
      </c>
      <c r="H722" s="3" t="inlineStr">
        <is>
          <t>dari empat elemen inti berpikir komputasional. Abstraksi didefinisikan sebagai kemampuan untuk fokus pada hal-hal yang penting, mengidentifikasi dan memusatkan perhatian pada detail yang relevan, serta mengabaikan hal-ha</t>
        </is>
      </c>
    </row>
    <row r="723">
      <c r="A723" t="n">
        <v>121</v>
      </c>
      <c r="B723" t="n">
        <v>2</v>
      </c>
      <c r="C723" t="inlineStr">
        <is>
          <t>GT_CT04.txt</t>
        </is>
      </c>
      <c r="D723" s="3" t="inlineStr">
        <is>
          <t>Pertemuan 4: Problem Solving — Abstraction</t>
        </is>
      </c>
      <c r="E723" t="n">
        <v>0.734</v>
      </c>
      <c r="F723" t="inlineStr">
        <is>
          <t>✓</t>
        </is>
      </c>
      <c r="G723" t="inlineStr">
        <is>
          <t>✓</t>
        </is>
      </c>
      <c r="H723" s="3" t="inlineStr">
        <is>
          <t>Ground Truth:  Dalam penerapan abstraksi pada problem solving, setiap persoalan perlu dianalisis secara saksama dengan mengidentifikasi empat komponen utama, yaitu: (1) apa problemnya (root cause/akar masalah), (2) apa g</t>
        </is>
      </c>
    </row>
    <row r="724">
      <c r="A724" t="n">
        <v>121</v>
      </c>
      <c r="B724" t="n">
        <v>3</v>
      </c>
      <c r="C724" t="inlineStr">
        <is>
          <t>GT_SUBTOPIK_02_Abstraksi_Formulasi.txt</t>
        </is>
      </c>
      <c r="D724" s="3" t="inlineStr">
        <is>
          <t>Subtopik: Abstraksi — Formulasi Problem (Problem/Goal/Batasan/Data)</t>
        </is>
      </c>
      <c r="E724" t="n">
        <v>0.7148</v>
      </c>
      <c r="F724" t="inlineStr">
        <is>
          <t>✓</t>
        </is>
      </c>
      <c r="G724" t="inlineStr">
        <is>
          <t>✓</t>
        </is>
      </c>
      <c r="H724" s="3" t="inlineStr">
        <is>
          <t>ara dua MK jika ada konflik. Masalah menjadi: cari jumlah warna minimum untuk mewarnai node agar tidak ada dua node terhubung punya warna sama (chromatic number).  [SOAL 6 — Abstraksi vs Symptom] Identifikasi mana ROOT C</t>
        </is>
      </c>
    </row>
    <row r="725">
      <c r="A725" t="n">
        <v>121</v>
      </c>
      <c r="B725" t="n">
        <v>4</v>
      </c>
      <c r="C725" t="inlineStr">
        <is>
          <t>GT_CT01.txt</t>
        </is>
      </c>
      <c r="D725" s="3" t="inlineStr">
        <is>
          <t>Pertemuan 1: Kontrak Perkuliahan dan Pendahuluan</t>
        </is>
      </c>
      <c r="E725" t="n">
        <v>0.7087</v>
      </c>
      <c r="F725" t="inlineStr">
        <is>
          <t>✓</t>
        </is>
      </c>
      <c r="G725" t="inlineStr">
        <is>
          <t>✓</t>
        </is>
      </c>
      <c r="H725" s="3" t="inlineStr">
        <is>
          <t xml:space="preserve"> dunia komputasi yang ditandai oleh perkembangan pesat kecerdasan buatan (Artificial Intelligence/AI). Salah satu tonggak penting dalam era ini adalah kemunculan ChatGPT yang diakui sebagai game changer dalam dunia tekno</t>
        </is>
      </c>
    </row>
    <row r="726">
      <c r="A726" t="n">
        <v>121</v>
      </c>
      <c r="B726" t="n">
        <v>5</v>
      </c>
      <c r="C726" t="inlineStr">
        <is>
          <t>GT_DETAIL_PT01_Pendahuluan.txt</t>
        </is>
      </c>
      <c r="D726" s="3" t="inlineStr">
        <is>
          <t>Pertemuan 1: Pendahuluan &amp; Kontrak Perkuliahan</t>
        </is>
      </c>
      <c r="E726" t="n">
        <v>0.7071</v>
      </c>
      <c r="F726" t="inlineStr">
        <is>
          <t>✓</t>
        </is>
      </c>
      <c r="G726" t="inlineStr">
        <is>
          <t>✓</t>
        </is>
      </c>
      <c r="H726" s="3" t="inlineStr">
        <is>
          <t>n      : Fokus hanya pada informasi penting: nama mata kuliah, jumlah SKS, jadwal                      kuliah tetap, dan preferensi waktu belajar. Mengabaikan detail seperti                      konten setiap mata kuliah</t>
        </is>
      </c>
    </row>
    <row r="727">
      <c r="A727" t="n">
        <v>121</v>
      </c>
      <c r="B727" t="n">
        <v>6</v>
      </c>
      <c r="C727" t="inlineStr">
        <is>
          <t>GT_CT07.txt</t>
        </is>
      </c>
      <c r="D727" s="3" t="inlineStr">
        <is>
          <t>Pertemuan 7: Algoritme — Notasi Algoritme</t>
        </is>
      </c>
      <c r="E727" t="n">
        <v>0.7063</v>
      </c>
      <c r="F727" t="inlineStr">
        <is>
          <t>✓</t>
        </is>
      </c>
      <c r="G727" t="inlineStr">
        <is>
          <t>✓</t>
        </is>
      </c>
      <c r="H727" s="3" t="inlineStr">
        <is>
          <t>) dan selisih angka yang dicari (d). Output: banyaknya pasangan bilangan dengan selisih sebesar d (p). Proses: (a) Urutkan n bilangan secara menaik menjadi m1, m2, ..., mn; (b) Inisialisasi p = 0; (c) Untuk setiap i dari</t>
        </is>
      </c>
    </row>
    <row r="728">
      <c r="A728" t="n">
        <v>122</v>
      </c>
      <c r="B728" t="n">
        <v>1</v>
      </c>
      <c r="C728" t="inlineStr">
        <is>
          <t>GT_DETAIL_PT05_Pattern_Recognition.txt</t>
        </is>
      </c>
      <c r="D728" s="3" t="inlineStr">
        <is>
          <t>Pertemuan 5: Pattern Recognition (Pengenalan Pola)</t>
        </is>
      </c>
      <c r="E728" t="n">
        <v>0.7575</v>
      </c>
      <c r="F728" t="inlineStr">
        <is>
          <t>✓</t>
        </is>
      </c>
      <c r="G728" t="inlineStr">
        <is>
          <t>✓</t>
        </is>
      </c>
      <c r="H728" s="3" t="inlineStr">
        <is>
          <t>3=27(7), 3^4=81(1), 3^5=243(3) → siklus 4: 3,9,7,1 c) 2024 mod 4 = 0 → digit terakhir = 1  [SOAL 3 — Pola Bilangan] Temukan pola dari barisan berikut dan tentukan suku ke-10: a) 2, 5, 10, 17, 26, ... b) 1, 1, 2, 3, 5, 8,</t>
        </is>
      </c>
    </row>
    <row r="729">
      <c r="A729" t="n">
        <v>122</v>
      </c>
      <c r="B729" t="n">
        <v>2</v>
      </c>
      <c r="C729" t="inlineStr">
        <is>
          <t>GT_DETAIL_PT05_Pattern_Recognition.txt</t>
        </is>
      </c>
      <c r="D729" s="3" t="inlineStr">
        <is>
          <t>Pertemuan 5: Pattern Recognition (Pengenalan Pola)</t>
        </is>
      </c>
      <c r="E729" t="n">
        <v>0.7524</v>
      </c>
      <c r="F729" t="inlineStr">
        <is>
          <t>✓</t>
        </is>
      </c>
      <c r="G729" t="inlineStr">
        <is>
          <t>✓</t>
        </is>
      </c>
      <c r="H729" s="3" t="inlineStr">
        <is>
          <t>memiliki pola serupa.  D. PERBEDAAN MATHEMATICAL THINKING vs. COMPUTATIONAL THINKING  Masalah: 1 + 2 + 3 + ... + 10 = ?  Mathematical Thinking (kalkulasi bertahap): 1+2=3, 3+3=6, 6+4=10, 10+5=15, ... = 55 (10 langkah)  C</t>
        </is>
      </c>
    </row>
    <row r="730">
      <c r="A730" t="n">
        <v>122</v>
      </c>
      <c r="B730" t="n">
        <v>3</v>
      </c>
      <c r="C730" t="inlineStr">
        <is>
          <t>GT_CT07.txt</t>
        </is>
      </c>
      <c r="D730" s="3" t="inlineStr">
        <is>
          <t>Pertemuan 7: Algoritme — Notasi Algoritme</t>
        </is>
      </c>
      <c r="E730" t="n">
        <v>0.7521</v>
      </c>
      <c r="F730" t="inlineStr">
        <is>
          <t>✓</t>
        </is>
      </c>
      <c r="G730" t="inlineStr">
        <is>
          <t>✓</t>
        </is>
      </c>
      <c r="H730" s="3" t="inlineStr">
        <is>
          <t>) dan selisih angka yang dicari (d). Output: banyaknya pasangan bilangan dengan selisih sebesar d (p). Proses: (a) Urutkan n bilangan secara menaik menjadi m1, m2, ..., mn; (b) Inisialisasi p = 0; (c) Untuk setiap i dari</t>
        </is>
      </c>
    </row>
    <row r="731">
      <c r="A731" t="n">
        <v>122</v>
      </c>
      <c r="B731" t="n">
        <v>4</v>
      </c>
      <c r="C731" t="inlineStr">
        <is>
          <t>GT_SUBTOPIK_03_Pola_Bilangan_Deret.txt</t>
        </is>
      </c>
      <c r="D731" s="3" t="inlineStr">
        <is>
          <t>Subtopik: Pattern Recognition — Pola Bilangan dan Deret Matematis</t>
        </is>
      </c>
      <c r="E731" t="n">
        <v>0.7328</v>
      </c>
      <c r="F731" t="inlineStr">
        <is>
          <t>✓</t>
        </is>
      </c>
      <c r="G731" t="inlineStr">
        <is>
          <t>✓</t>
        </is>
      </c>
      <c r="H731" s="3" t="inlineStr">
        <is>
          <t xml:space="preserve">Pola 3: 13 titik (ditambah 8) Pola 4: 25 titik (ditambah 12)  JAWABAN: Selisih antar pola: 4, 8, 12, ... → bertambah 4 setiap langkah Selisih ke-5: 16 Pola ke-5: 25 + 16 = 41  Formula: an = 2n² - 2n + 1 Verifikasi: n=5: </t>
        </is>
      </c>
    </row>
    <row r="732">
      <c r="A732" t="n">
        <v>122</v>
      </c>
      <c r="B732" t="n">
        <v>5</v>
      </c>
      <c r="C732" t="inlineStr">
        <is>
          <t>GT_SUBTOPIK_04_Modulo_Siklus.txt</t>
        </is>
      </c>
      <c r="D732" s="3" t="inlineStr">
        <is>
          <t>Subtopik: Pattern Recognition — Modulo dan Siklus</t>
        </is>
      </c>
      <c r="E732" t="n">
        <v>0.7314000000000001</v>
      </c>
      <c r="F732" t="inlineStr">
        <is>
          <t>✓</t>
        </is>
      </c>
      <c r="G732" t="inlineStr">
        <is>
          <t>✓</t>
        </is>
      </c>
      <c r="H732" s="3" t="inlineStr">
        <is>
          <t>1×24 = 1000 - 984 = 16 08:00 + 16 jam = 24:00 = 00:00 (tengah malam) JAWABAN: Jam 00:00 (tengah malam)  [SOAL 5 — Masalah Coklat Bebek dengan Modulo] Dengan pola deret segitiga n(n+1)/2, tuliskan pseudocode untuk mencari</t>
        </is>
      </c>
    </row>
    <row r="733">
      <c r="A733" t="n">
        <v>122</v>
      </c>
      <c r="B733" t="n">
        <v>6</v>
      </c>
      <c r="C733" t="inlineStr">
        <is>
          <t>GT_SUBTOPIK_04_Modulo_Siklus.txt</t>
        </is>
      </c>
      <c r="D733" s="3" t="inlineStr">
        <is>
          <t>Subtopik: Pattern Recognition — Modulo dan Siklus</t>
        </is>
      </c>
      <c r="E733" t="n">
        <v>0.7312</v>
      </c>
      <c r="F733" t="inlineStr">
        <is>
          <t>✓</t>
        </is>
      </c>
      <c r="G733" t="inlineStr">
        <is>
          <t>✓</t>
        </is>
      </c>
      <c r="H733" s="3" t="inlineStr">
        <is>
          <t>ggal 13.    Pola hari tanggal 13 dari setiap bulan membentuk siklus berdasarkan    panjang bulan. Dalam satu tahun non-kabisat, Jumat ke-13 muncul minimal    1 kali dan maksimal 3 kali. Rata-rata: dalam 28 tahun siklus k</t>
        </is>
      </c>
    </row>
    <row r="734">
      <c r="A734" t="n">
        <v>123</v>
      </c>
      <c r="B734" t="n">
        <v>1</v>
      </c>
      <c r="C734" t="inlineStr">
        <is>
          <t>GT_SUBTOPIK_04_Modulo_Siklus.txt</t>
        </is>
      </c>
      <c r="D734" s="3" t="inlineStr">
        <is>
          <t>Subtopik: Pattern Recognition — Modulo dan Siklus</t>
        </is>
      </c>
      <c r="E734" t="n">
        <v>0.7335</v>
      </c>
      <c r="F734" t="inlineStr">
        <is>
          <t>✓</t>
        </is>
      </c>
      <c r="G734" t="inlineStr">
        <is>
          <t>✓</t>
        </is>
      </c>
      <c r="H734" s="3" t="inlineStr">
        <is>
          <t>1×24 = 1000 - 984 = 16 08:00 + 16 jam = 24:00 = 00:00 (tengah malam) JAWABAN: Jam 00:00 (tengah malam)  [SOAL 5 — Masalah Coklat Bebek dengan Modulo] Dengan pola deret segitiga n(n+1)/2, tuliskan pseudocode untuk mencari</t>
        </is>
      </c>
    </row>
    <row r="735">
      <c r="A735" t="n">
        <v>123</v>
      </c>
      <c r="B735" t="n">
        <v>2</v>
      </c>
      <c r="C735" t="inlineStr">
        <is>
          <t>GT_CT05.txt</t>
        </is>
      </c>
      <c r="D735" s="3" t="inlineStr">
        <is>
          <t>Pertemuan 5: Pattern Recognition (Pengenalan Pola)</t>
        </is>
      </c>
      <c r="E735" t="n">
        <v>0.7242</v>
      </c>
      <c r="F735" t="inlineStr">
        <is>
          <t>✓</t>
        </is>
      </c>
      <c r="G735" t="inlineStr">
        <is>
          <t>✓</t>
        </is>
      </c>
      <c r="H735" s="3" t="inlineStr">
        <is>
          <t>g kosong. Pendekatan yang digunakan adalah terlebih dahulu melakukan abstraksi terhadap elemen-elemen visual yang relevan, kemudian mengenali pola transformasi atau urutan yang terjadi antar gambar untuk menentukan jawab</t>
        </is>
      </c>
    </row>
    <row r="736">
      <c r="A736" t="n">
        <v>123</v>
      </c>
      <c r="B736" t="n">
        <v>3</v>
      </c>
      <c r="C736" t="inlineStr">
        <is>
          <t>GT_DETAIL_PT05_Pattern_Recognition.txt</t>
        </is>
      </c>
      <c r="D736" s="3" t="inlineStr">
        <is>
          <t>Pertemuan 5: Pattern Recognition (Pengenalan Pola)</t>
        </is>
      </c>
      <c r="E736" t="n">
        <v>0.7206</v>
      </c>
      <c r="F736" t="inlineStr">
        <is>
          <t>✓</t>
        </is>
      </c>
      <c r="G736" t="inlineStr">
        <is>
          <t>✓</t>
        </is>
      </c>
      <c r="H736" s="3" t="inlineStr">
        <is>
          <t>3=27(7), 3^4=81(1), 3^5=243(3) → siklus 4: 3,9,7,1 c) 2024 mod 4 = 0 → digit terakhir = 1  [SOAL 3 — Pola Bilangan] Temukan pola dari barisan berikut dan tentukan suku ke-10: a) 2, 5, 10, 17, 26, ... b) 1, 1, 2, 3, 5, 8,</t>
        </is>
      </c>
    </row>
    <row r="737">
      <c r="A737" t="n">
        <v>123</v>
      </c>
      <c r="B737" t="n">
        <v>4</v>
      </c>
      <c r="C737" t="inlineStr">
        <is>
          <t>GT_CT13.txt</t>
        </is>
      </c>
      <c r="D737" s="3" t="inlineStr">
        <is>
          <t>Pertemuan 13: Pengenalan Struktur Data</t>
        </is>
      </c>
      <c r="E737" t="n">
        <v>0.7116</v>
      </c>
      <c r="F737" t="inlineStr">
        <is>
          <t>✓</t>
        </is>
      </c>
      <c r="G737" t="inlineStr">
        <is>
          <t>✓</t>
        </is>
      </c>
      <c r="H737" s="3" t="inlineStr">
        <is>
          <t>ai urutan kedatangannya. - Sistem kecerdasan buatan dalam permainan catur yang merepresentasikan berbagai kemungkinan langkah ke depan: struktur data yang paling tepat adalah Tree, karena setiap kemungkinan langkah berca</t>
        </is>
      </c>
    </row>
    <row r="738">
      <c r="A738" t="n">
        <v>123</v>
      </c>
      <c r="B738" t="n">
        <v>5</v>
      </c>
      <c r="C738" t="inlineStr">
        <is>
          <t>GT_CT01.txt</t>
        </is>
      </c>
      <c r="D738" s="3" t="inlineStr">
        <is>
          <t>Pertemuan 1: Kontrak Perkuliahan dan Pendahuluan</t>
        </is>
      </c>
      <c r="E738" t="n">
        <v>0.7078</v>
      </c>
      <c r="F738" t="inlineStr">
        <is>
          <t>✓</t>
        </is>
      </c>
      <c r="G738" t="inlineStr">
        <is>
          <t>✓</t>
        </is>
      </c>
      <c r="H738" s="3" t="inlineStr">
        <is>
          <t>gi; (3) Dekomposisi — pengertian, teori, dan penerapan dekomposisi dalam problem solving; (4) Abstraksi — definisi dan penerapan abstraction dalam problem solving; (5) Pengenalan Pola — definisi dan penerapan pattern rec</t>
        </is>
      </c>
    </row>
    <row r="739">
      <c r="A739" t="n">
        <v>123</v>
      </c>
      <c r="B739" t="n">
        <v>6</v>
      </c>
      <c r="C739" t="inlineStr">
        <is>
          <t>GT_DETAIL_PT01_Pendahuluan.txt</t>
        </is>
      </c>
      <c r="D739" s="3" t="inlineStr">
        <is>
          <t>Pertemuan 1: Pendahuluan &amp; Kontrak Perkuliahan</t>
        </is>
      </c>
      <c r="E739" t="n">
        <v>0.7048</v>
      </c>
      <c r="F739" t="inlineStr">
        <is>
          <t>✓</t>
        </is>
      </c>
      <c r="G739" t="inlineStr">
        <is>
          <t>✓</t>
        </is>
      </c>
      <c r="H739" s="3" t="inlineStr">
        <is>
          <t>n      : Fokus hanya pada informasi penting: nama mata kuliah, jumlah SKS, jadwal                      kuliah tetap, dan preferensi waktu belajar. Mengabaikan detail seperti                      konten setiap mata kuliah</t>
        </is>
      </c>
    </row>
    <row r="740">
      <c r="A740" t="n">
        <v>124</v>
      </c>
      <c r="B740" t="n">
        <v>1</v>
      </c>
      <c r="C740" t="inlineStr">
        <is>
          <t>GT_CT05.txt</t>
        </is>
      </c>
      <c r="D740" s="3" t="inlineStr">
        <is>
          <t>Pertemuan 5: Pattern Recognition (Pengenalan Pola)</t>
        </is>
      </c>
      <c r="E740" t="n">
        <v>0.736</v>
      </c>
      <c r="F740" t="inlineStr">
        <is>
          <t>✓</t>
        </is>
      </c>
      <c r="G740" t="inlineStr">
        <is>
          <t>✓</t>
        </is>
      </c>
      <c r="H740" s="3" t="inlineStr">
        <is>
          <t>g kosong. Pendekatan yang digunakan adalah terlebih dahulu melakukan abstraksi terhadap elemen-elemen visual yang relevan, kemudian mengenali pola transformasi atau urutan yang terjadi antar gambar untuk menentukan jawab</t>
        </is>
      </c>
    </row>
    <row r="741">
      <c r="A741" t="n">
        <v>124</v>
      </c>
      <c r="B741" t="n">
        <v>2</v>
      </c>
      <c r="C741" t="inlineStr">
        <is>
          <t>GT_CT07.txt</t>
        </is>
      </c>
      <c r="D741" s="3" t="inlineStr">
        <is>
          <t>Pertemuan 7: Algoritme — Notasi Algoritme</t>
        </is>
      </c>
      <c r="E741" t="n">
        <v>0.7272999999999999</v>
      </c>
      <c r="F741" t="inlineStr">
        <is>
          <t>✓</t>
        </is>
      </c>
      <c r="G741" t="inlineStr">
        <is>
          <t>✓</t>
        </is>
      </c>
      <c r="H741" s="3" t="inlineStr">
        <is>
          <t>mlah permen ganjil (lampu merah), ia mengambil satu permen ke dalam kantong, kemudian mengambil setengah dari sisanya ke dalam tas. Proses ini diulang sampai mesin kosong (lampu mati). Dengan urutan nyala lampu yang terc</t>
        </is>
      </c>
    </row>
    <row r="742">
      <c r="A742" t="n">
        <v>124</v>
      </c>
      <c r="B742" t="n">
        <v>3</v>
      </c>
      <c r="C742" t="inlineStr">
        <is>
          <t>GT_DETAIL_PT05_Pattern_Recognition.txt</t>
        </is>
      </c>
      <c r="D742" s="3" t="inlineStr">
        <is>
          <t>Pertemuan 5: Pattern Recognition (Pengenalan Pola)</t>
        </is>
      </c>
      <c r="E742" t="n">
        <v>0.7205</v>
      </c>
      <c r="F742" t="inlineStr">
        <is>
          <t>✓</t>
        </is>
      </c>
      <c r="G742" t="inlineStr">
        <is>
          <t>✓</t>
        </is>
      </c>
      <c r="H742" s="3" t="inlineStr">
        <is>
          <t>3=27(7), 3^4=81(1), 3^5=243(3) → siklus 4: 3,9,7,1 c) 2024 mod 4 = 0 → digit terakhir = 1  [SOAL 3 — Pola Bilangan] Temukan pola dari barisan berikut dan tentukan suku ke-10: a) 2, 5, 10, 17, 26, ... b) 1, 1, 2, 3, 5, 8,</t>
        </is>
      </c>
    </row>
    <row r="743">
      <c r="A743" t="n">
        <v>124</v>
      </c>
      <c r="B743" t="n">
        <v>4</v>
      </c>
      <c r="C743" t="inlineStr">
        <is>
          <t>GT_CT07.txt</t>
        </is>
      </c>
      <c r="D743" s="3" t="inlineStr">
        <is>
          <t>Pertemuan 7: Algoritme — Notasi Algoritme</t>
        </is>
      </c>
      <c r="E743" t="n">
        <v>0.7158</v>
      </c>
      <c r="F743" t="inlineStr">
        <is>
          <t>✓</t>
        </is>
      </c>
      <c r="G743" t="inlineStr">
        <is>
          <t>✓</t>
        </is>
      </c>
      <c r="H743" s="3" t="inlineStr">
        <is>
          <t>) dan selisih angka yang dicari (d). Output: banyaknya pasangan bilangan dengan selisih sebesar d (p). Proses: (a) Urutkan n bilangan secara menaik menjadi m1, m2, ..., mn; (b) Inisialisasi p = 0; (c) Untuk setiap i dari</t>
        </is>
      </c>
    </row>
    <row r="744">
      <c r="A744" t="n">
        <v>124</v>
      </c>
      <c r="B744" t="n">
        <v>5</v>
      </c>
      <c r="C744" t="inlineStr">
        <is>
          <t>GT_SUBTOPIK_03_Pola_Bilangan_Deret.txt</t>
        </is>
      </c>
      <c r="D744" s="3" t="inlineStr">
        <is>
          <t>Subtopik: Pattern Recognition — Pola Bilangan dan Deret Matematis</t>
        </is>
      </c>
      <c r="E744" t="n">
        <v>0.714</v>
      </c>
      <c r="F744" t="inlineStr">
        <is>
          <t>✓</t>
        </is>
      </c>
      <c r="G744" t="inlineStr">
        <is>
          <t>✓</t>
        </is>
      </c>
      <c r="H744" s="3" t="inlineStr">
        <is>
          <t>0 coklat. Bebek nomor berapa yang pertama tidak mendapat coklat?  JAWABAN: Pola: jumlah komulatif s/d bebek ke-n = n(n+1)/2 Cari n terbesar sehingga n(n+1)/2 ≤ 500:   n=31: 31×32/2 = 496 ≤ 500 ✓   n=32: 32×33/2 = 528 &gt; 5</t>
        </is>
      </c>
    </row>
    <row r="745">
      <c r="A745" t="n">
        <v>124</v>
      </c>
      <c r="B745" t="n">
        <v>6</v>
      </c>
      <c r="C745" t="inlineStr">
        <is>
          <t>GT_DETAIL_PT05_Pattern_Recognition.txt</t>
        </is>
      </c>
      <c r="D745" s="3" t="inlineStr">
        <is>
          <t>Pertemuan 5: Pattern Recognition (Pengenalan Pola)</t>
        </is>
      </c>
      <c r="E745" t="n">
        <v>0.7116</v>
      </c>
      <c r="F745" t="inlineStr">
        <is>
          <t>✓</t>
        </is>
      </c>
      <c r="G745" t="inlineStr">
        <is>
          <t>✓</t>
        </is>
      </c>
      <c r="H745" s="3" t="inlineStr">
        <is>
          <t>memiliki pola serupa.  D. PERBEDAAN MATHEMATICAL THINKING vs. COMPUTATIONAL THINKING  Masalah: 1 + 2 + 3 + ... + 10 = ?  Mathematical Thinking (kalkulasi bertahap): 1+2=3, 3+3=6, 6+4=10, 10+5=15, ... = 55 (10 langkah)  C</t>
        </is>
      </c>
    </row>
    <row r="746">
      <c r="A746" t="n">
        <v>125</v>
      </c>
      <c r="B746" t="n">
        <v>1</v>
      </c>
      <c r="C746" t="inlineStr">
        <is>
          <t>GT_SUBTOPIK_04_Modulo_Siklus.txt</t>
        </is>
      </c>
      <c r="D746" s="3" t="inlineStr">
        <is>
          <t>Subtopik: Pattern Recognition — Modulo dan Siklus</t>
        </is>
      </c>
      <c r="E746" t="n">
        <v>0.8057</v>
      </c>
      <c r="F746" t="inlineStr">
        <is>
          <t>✓</t>
        </is>
      </c>
      <c r="G746" t="inlineStr">
        <is>
          <t>✓</t>
        </is>
      </c>
      <c r="H746" s="3" t="inlineStr">
        <is>
          <t xml:space="preserve"> ... → SIKLUS 4  Tabel:   n mod 4 = 1 → digit terakhir = 2   n mod 4 = 2 → digit terakhir = 4   n mod 4 = 3 → digit terakhir = 8   n mod 4 = 0 → digit terakhir = 6  2003 mod 4 = 3 → digit terakhir 2^2003 = 8  [SOAL 2 — D</t>
        </is>
      </c>
    </row>
    <row r="747">
      <c r="A747" t="n">
        <v>125</v>
      </c>
      <c r="B747" t="n">
        <v>2</v>
      </c>
      <c r="C747" t="inlineStr">
        <is>
          <t>GT_CT05.txt</t>
        </is>
      </c>
      <c r="D747" s="3" t="inlineStr">
        <is>
          <t>Pertemuan 5: Pattern Recognition (Pengenalan Pola)</t>
        </is>
      </c>
      <c r="E747" t="n">
        <v>0.7974</v>
      </c>
      <c r="F747" t="inlineStr">
        <is>
          <t>✓</t>
        </is>
      </c>
      <c r="G747" t="inlineStr">
        <is>
          <t>✓</t>
        </is>
      </c>
      <c r="H747" s="3" t="inlineStr">
        <is>
          <t>hwa digit terakhir dari perpangkatan 2 berulang dalam siklus empat: 1, 2, 4, 8, 6, 2, 4, 8, 6, ... Pola ini dapat direpresentasikan sebagai: jika N mod 4 = 1 maka digit terakhir 2; jika N mod 4 = 2 maka digit terakhir 4;</t>
        </is>
      </c>
    </row>
    <row r="748">
      <c r="A748" t="n">
        <v>125</v>
      </c>
      <c r="B748" t="n">
        <v>3</v>
      </c>
      <c r="C748" t="inlineStr">
        <is>
          <t>GT_SUBTOPIK_04_Modulo_Siklus.txt</t>
        </is>
      </c>
      <c r="D748" s="3" t="inlineStr">
        <is>
          <t>Subtopik: Pattern Recognition — Modulo dan Siklus</t>
        </is>
      </c>
      <c r="E748" t="n">
        <v>0.7954</v>
      </c>
      <c r="F748" t="inlineStr">
        <is>
          <t>✓</t>
        </is>
      </c>
      <c r="G748" t="inlineStr">
        <is>
          <t>✓</t>
        </is>
      </c>
      <c r="H748" s="3" t="inlineStr">
        <is>
          <t>1×24 = 1000 - 984 = 16 08:00 + 16 jam = 24:00 = 00:00 (tengah malam) JAWABAN: Jam 00:00 (tengah malam)  [SOAL 5 — Masalah Coklat Bebek dengan Modulo] Dengan pola deret segitiga n(n+1)/2, tuliskan pseudocode untuk mencari</t>
        </is>
      </c>
    </row>
    <row r="749">
      <c r="A749" t="n">
        <v>125</v>
      </c>
      <c r="B749" t="n">
        <v>4</v>
      </c>
      <c r="C749" t="inlineStr">
        <is>
          <t>GT_DETAIL_PT05_Pattern_Recognition.txt</t>
        </is>
      </c>
      <c r="D749" s="3" t="inlineStr">
        <is>
          <t>Pertemuan 5: Pattern Recognition (Pengenalan Pola)</t>
        </is>
      </c>
      <c r="E749" t="n">
        <v>0.7839</v>
      </c>
      <c r="F749" t="inlineStr">
        <is>
          <t>✓</t>
        </is>
      </c>
      <c r="G749" t="inlineStr">
        <is>
          <t>✓</t>
        </is>
      </c>
      <c r="H749" s="3" t="inlineStr">
        <is>
          <t>3=27(7), 3^4=81(1), 3^5=243(3) → siklus 4: 3,9,7,1 c) 2024 mod 4 = 0 → digit terakhir = 1  [SOAL 3 — Pola Bilangan] Temukan pola dari barisan berikut dan tentukan suku ke-10: a) 2, 5, 10, 17, 26, ... b) 1, 1, 2, 3, 5, 8,</t>
        </is>
      </c>
    </row>
    <row r="750">
      <c r="A750" t="n">
        <v>125</v>
      </c>
      <c r="B750" t="n">
        <v>5</v>
      </c>
      <c r="C750" t="inlineStr">
        <is>
          <t>GT_SUBTOPIK_08_Perulangan_For_While.txt</t>
        </is>
      </c>
      <c r="D750" s="3" t="inlineStr">
        <is>
          <t>Subtopik: Perulangan — for, while, Sentinel, dan Trace</t>
        </is>
      </c>
      <c r="E750" t="n">
        <v>0.7701</v>
      </c>
      <c r="F750" t="inlineStr">
        <is>
          <t>✓</t>
        </is>
      </c>
      <c r="G750" t="inlineStr">
        <is>
          <t>✓</t>
        </is>
      </c>
      <c r="H750" s="3" t="inlineStr">
        <is>
          <t xml:space="preserve"> x=5:   5 mod 3=2 ✗   → berhenti  Output: 135, 45, 15, 5 Nilai akhir x = 5  [SOAL 5 — WHILE: Digit Terbalik] Tulis pseudocode untuk membalik digit bilangan positif n! Contoh: n=12345 → output: 54321  JAWABAN:   read(n)  </t>
        </is>
      </c>
    </row>
    <row r="751">
      <c r="A751" t="n">
        <v>125</v>
      </c>
      <c r="B751" t="n">
        <v>6</v>
      </c>
      <c r="C751" t="inlineStr">
        <is>
          <t>GT_SUBTOPIK_01_Dekomposisi_Optimasi.txt</t>
        </is>
      </c>
      <c r="D751" s="3" t="inlineStr">
        <is>
          <t>Subtopik: Dekomposisi — Optimasi dan Pemecahan Masalah Terstruktur</t>
        </is>
      </c>
      <c r="E751" t="n">
        <v>0.7623</v>
      </c>
      <c r="F751" t="inlineStr">
        <is>
          <t>✓</t>
        </is>
      </c>
      <c r="G751" t="inlineStr">
        <is>
          <t>✓</t>
        </is>
      </c>
      <c r="H751" s="3" t="inlineStr">
        <is>
          <t>nan+P3K = 14 kg, nilai=31 ← terbesar sejauh ini Semua 5 barang = 5+3+4+6+2=20 ✗  JAWABAN: Bawa Tenda+Sleeping bag+Makanan+P3K = 14 kg, nilai total = 31.  [SOAL 7 — Dekomposisi Masalah Pencarian] Jelaskan bagaimana dekomp</t>
        </is>
      </c>
    </row>
    <row r="752">
      <c r="A752" t="n">
        <v>126</v>
      </c>
      <c r="B752" t="n">
        <v>1</v>
      </c>
      <c r="C752" t="inlineStr">
        <is>
          <t>GT_SUBTOPIK_04_Modulo_Siklus.txt</t>
        </is>
      </c>
      <c r="D752" s="3" t="inlineStr">
        <is>
          <t>Subtopik: Pattern Recognition — Modulo dan Siklus</t>
        </is>
      </c>
      <c r="E752" t="n">
        <v>0.8087</v>
      </c>
      <c r="F752" t="inlineStr">
        <is>
          <t>✓</t>
        </is>
      </c>
      <c r="G752" t="inlineStr">
        <is>
          <t>✓</t>
        </is>
      </c>
      <c r="H752" s="3" t="inlineStr">
        <is>
          <t>1×24 = 1000 - 984 = 16 08:00 + 16 jam = 24:00 = 00:00 (tengah malam) JAWABAN: Jam 00:00 (tengah malam)  [SOAL 5 — Masalah Coklat Bebek dengan Modulo] Dengan pola deret segitiga n(n+1)/2, tuliskan pseudocode untuk mencari</t>
        </is>
      </c>
    </row>
    <row r="753">
      <c r="A753" t="n">
        <v>126</v>
      </c>
      <c r="B753" t="n">
        <v>2</v>
      </c>
      <c r="C753" t="inlineStr">
        <is>
          <t>GT_CT07.txt</t>
        </is>
      </c>
      <c r="D753" s="3" t="inlineStr">
        <is>
          <t>Pertemuan 7: Algoritme — Notasi Algoritme</t>
        </is>
      </c>
      <c r="E753" t="n">
        <v>0.8053</v>
      </c>
      <c r="F753" t="inlineStr">
        <is>
          <t>✓</t>
        </is>
      </c>
      <c r="G753" t="inlineStr">
        <is>
          <t>✓</t>
        </is>
      </c>
      <c r="H753" s="3" t="inlineStr">
        <is>
          <t>an nilai alas dengan tinggi, lalu hasilnya dibagi dua.  2. Pseudocode: Pseudocode adalah cara informal untuk menuliskan algoritme atau rancangan program komputer. Tujuan utama pseudocode adalah untuk mendapatkan ide seca</t>
        </is>
      </c>
    </row>
    <row r="754">
      <c r="A754" t="n">
        <v>126</v>
      </c>
      <c r="B754" t="n">
        <v>3</v>
      </c>
      <c r="C754" t="inlineStr">
        <is>
          <t>GT_DETAIL_PT10_Percabangan.txt</t>
        </is>
      </c>
      <c r="D754" s="3" t="inlineStr">
        <is>
          <t>Pertemuan 10: Struktur Kontrol — Percabangan</t>
        </is>
      </c>
      <c r="E754" t="n">
        <v>0.8043</v>
      </c>
      <c r="F754" t="inlineStr">
        <is>
          <t>✓</t>
        </is>
      </c>
      <c r="G754" t="inlineStr">
        <is>
          <t>✓</t>
        </is>
      </c>
      <c r="H754" s="3" t="inlineStr">
        <is>
          <t>------------ CONTOH SOAL DAN PEMBAHASAN ----------------------------------------------------------------  [SOAL 1 — Maks 2 Bilangan] Tuliskan pseudocode untuk menentukan bilangan terbesar dari dua bilangan a dan b!  JAWA</t>
        </is>
      </c>
    </row>
    <row r="755">
      <c r="A755" t="n">
        <v>126</v>
      </c>
      <c r="B755" t="n">
        <v>4</v>
      </c>
      <c r="C755" t="inlineStr">
        <is>
          <t>GT_DETAIL_PT07_Notasi_Algoritme.txt</t>
        </is>
      </c>
      <c r="D755" s="3" t="inlineStr">
        <is>
          <t>Pertemuan 7: Algoritme — Notasi Algoritme</t>
        </is>
      </c>
      <c r="E755" t="n">
        <v>0.8042</v>
      </c>
      <c r="F755" t="inlineStr">
        <is>
          <t>✓</t>
        </is>
      </c>
      <c r="G755" t="inlineStr">
        <is>
          <t>✓</t>
        </is>
      </c>
      <c r="H755" s="3" t="inlineStr">
        <is>
          <t>perasinya linear)  c) Rata-rata n bilangan: baca semua n bilangan + 1 pembagian → O(n) [linear]  [SOAL 5 — Pseudocode: Pesan Sandi] Tuliskan pseudocode untuk MENDEKRIPSI pesan yang dienkripsi dengan tiga langkah: (1) bal</t>
        </is>
      </c>
    </row>
    <row r="756">
      <c r="A756" t="n">
        <v>126</v>
      </c>
      <c r="B756" t="n">
        <v>5</v>
      </c>
      <c r="C756" t="inlineStr">
        <is>
          <t>GT_SUBTOPIK_05_Pseudocode_Algoritme.txt</t>
        </is>
      </c>
      <c r="D756" s="3" t="inlineStr">
        <is>
          <t>Subtopik: Pseudocode dan Notasi Algoritme</t>
        </is>
      </c>
      <c r="E756" t="n">
        <v>0.7964</v>
      </c>
      <c r="F756" t="inlineStr">
        <is>
          <t>✓</t>
        </is>
      </c>
      <c r="G756" t="inlineStr">
        <is>
          <t>✓</t>
        </is>
      </c>
      <c r="H756" s="3" t="inlineStr">
        <is>
          <t xml:space="preserve">,12),(15,17),(18,20) → p=6  [SOAL 3 — Pseudocode: Cek Prima] Tulis pseudocode untuk mengecek apakah bilangan n prima!  JAWABAN: Input : bilangan bulat n Output: "prima" atau "bukan prima"    read(n)   if (n &lt;= 1) then   </t>
        </is>
      </c>
    </row>
    <row r="757">
      <c r="A757" t="n">
        <v>126</v>
      </c>
      <c r="B757" t="n">
        <v>6</v>
      </c>
      <c r="C757" t="inlineStr">
        <is>
          <t>GT_DETAIL_PT11_Perulangan.txt</t>
        </is>
      </c>
      <c r="D757" s="3" t="inlineStr">
        <is>
          <t>Pertemuan 11: Struktur Kontrol — Perulangan</t>
        </is>
      </c>
      <c r="E757" t="n">
        <v>0.7881</v>
      </c>
      <c r="F757" t="inlineStr">
        <is>
          <t>✓</t>
        </is>
      </c>
      <c r="G757" t="inlineStr">
        <is>
          <t>✓</t>
        </is>
      </c>
      <c r="H757" s="3" t="inlineStr">
        <is>
          <t xml:space="preserve">AL 11 — DO-WHILE vs WHILE] Apa perbedaan output dari dua pseudocode berikut? Kode A:   i = 10   while i &lt; 5 do     print(i)     i = i + 1  Kode B:   i = 10   do     print(i)     i = i + 1   while i &lt; 5  JAWABAN: Kode A: </t>
        </is>
      </c>
    </row>
    <row r="758">
      <c r="A758" t="n">
        <v>127</v>
      </c>
      <c r="B758" t="n">
        <v>1</v>
      </c>
      <c r="C758" t="inlineStr">
        <is>
          <t>GT_CT07.txt</t>
        </is>
      </c>
      <c r="D758" s="3" t="inlineStr">
        <is>
          <t>Pertemuan 7: Algoritme — Notasi Algoritme</t>
        </is>
      </c>
      <c r="E758" t="n">
        <v>0.8204</v>
      </c>
      <c r="F758" t="inlineStr">
        <is>
          <t>✓</t>
        </is>
      </c>
      <c r="G758" t="inlineStr">
        <is>
          <t>✓</t>
        </is>
      </c>
      <c r="H758" s="3" t="inlineStr">
        <is>
          <t>an nilai alas dengan tinggi, lalu hasilnya dibagi dua.  2. Pseudocode: Pseudocode adalah cara informal untuk menuliskan algoritme atau rancangan program komputer. Tujuan utama pseudocode adalah untuk mendapatkan ide seca</t>
        </is>
      </c>
    </row>
    <row r="759">
      <c r="A759" t="n">
        <v>127</v>
      </c>
      <c r="B759" t="n">
        <v>2</v>
      </c>
      <c r="C759" t="inlineStr">
        <is>
          <t>GT_SUBTOPIK_04_Modulo_Siklus.txt</t>
        </is>
      </c>
      <c r="D759" s="3" t="inlineStr">
        <is>
          <t>Subtopik: Pattern Recognition — Modulo dan Siklus</t>
        </is>
      </c>
      <c r="E759" t="n">
        <v>0.8157</v>
      </c>
      <c r="F759" t="inlineStr">
        <is>
          <t>✓</t>
        </is>
      </c>
      <c r="G759" t="inlineStr">
        <is>
          <t>✓</t>
        </is>
      </c>
      <c r="H759" s="3" t="inlineStr">
        <is>
          <t>1×24 = 1000 - 984 = 16 08:00 + 16 jam = 24:00 = 00:00 (tengah malam) JAWABAN: Jam 00:00 (tengah malam)  [SOAL 5 — Masalah Coklat Bebek dengan Modulo] Dengan pola deret segitiga n(n+1)/2, tuliskan pseudocode untuk mencari</t>
        </is>
      </c>
    </row>
    <row r="760">
      <c r="A760" t="n">
        <v>127</v>
      </c>
      <c r="B760" t="n">
        <v>3</v>
      </c>
      <c r="C760" t="inlineStr">
        <is>
          <t>GT_DETAIL_PT10_Percabangan.txt</t>
        </is>
      </c>
      <c r="D760" s="3" t="inlineStr">
        <is>
          <t>Pertemuan 10: Struktur Kontrol — Percabangan</t>
        </is>
      </c>
      <c r="E760" t="n">
        <v>0.8133</v>
      </c>
      <c r="F760" t="inlineStr">
        <is>
          <t>✓</t>
        </is>
      </c>
      <c r="G760" t="inlineStr">
        <is>
          <t>✓</t>
        </is>
      </c>
      <c r="H760" s="3" t="inlineStr">
        <is>
          <t>------------ CONTOH SOAL DAN PEMBAHASAN ----------------------------------------------------------------  [SOAL 1 — Maks 2 Bilangan] Tuliskan pseudocode untuk menentukan bilangan terbesar dari dua bilangan a dan b!  JAWA</t>
        </is>
      </c>
    </row>
    <row r="761">
      <c r="A761" t="n">
        <v>127</v>
      </c>
      <c r="B761" t="n">
        <v>4</v>
      </c>
      <c r="C761" t="inlineStr">
        <is>
          <t>GT_SUBTOPIK_05_Pseudocode_Algoritme.txt</t>
        </is>
      </c>
      <c r="D761" s="3" t="inlineStr">
        <is>
          <t>Subtopik: Pseudocode dan Notasi Algoritme</t>
        </is>
      </c>
      <c r="E761" t="n">
        <v>0.8006</v>
      </c>
      <c r="F761" t="inlineStr">
        <is>
          <t>✓</t>
        </is>
      </c>
      <c r="G761" t="inlineStr">
        <is>
          <t>✓</t>
        </is>
      </c>
      <c r="H761" s="3" t="inlineStr">
        <is>
          <t xml:space="preserve">,12),(15,17),(18,20) → p=6  [SOAL 3 — Pseudocode: Cek Prima] Tulis pseudocode untuk mengecek apakah bilangan n prima!  JAWABAN: Input : bilangan bulat n Output: "prima" atau "bukan prima"    read(n)   if (n &lt;= 1) then   </t>
        </is>
      </c>
    </row>
    <row r="762">
      <c r="A762" t="n">
        <v>127</v>
      </c>
      <c r="B762" t="n">
        <v>5</v>
      </c>
      <c r="C762" t="inlineStr">
        <is>
          <t>GT_CT10.txt</t>
        </is>
      </c>
      <c r="D762" s="3" t="inlineStr">
        <is>
          <t>Pertemuan 10: Struktur Kontrol — Percabangan</t>
        </is>
      </c>
      <c r="E762" t="n">
        <v>0.7993</v>
      </c>
      <c r="F762" t="inlineStr">
        <is>
          <t>✓</t>
        </is>
      </c>
      <c r="G762" t="inlineStr">
        <is>
          <t>✓</t>
        </is>
      </c>
      <c r="H762" s="3" t="inlineStr">
        <is>
          <t xml:space="preserve">n (Loop): digunakan ketika algoritme perlu mengulang pelaksanaan instruksi tertentu sampai suatu kondisi yang ditetapkan terpenuhi.  Pertemuan ini berfokus pada pembahasan struktur kontrol percabangan secara mendalam.   </t>
        </is>
      </c>
    </row>
    <row r="763">
      <c r="A763" t="n">
        <v>127</v>
      </c>
      <c r="B763" t="n">
        <v>6</v>
      </c>
      <c r="C763" t="inlineStr">
        <is>
          <t>GT_SUBTOPIK_05_Pseudocode_Algoritme.txt</t>
        </is>
      </c>
      <c r="D763" s="3" t="inlineStr">
        <is>
          <t>Subtopik: Pseudocode dan Notasi Algoritme</t>
        </is>
      </c>
      <c r="E763" t="n">
        <v>0.7972</v>
      </c>
      <c r="F763" t="inlineStr">
        <is>
          <t>✓</t>
        </is>
      </c>
      <c r="G763" t="inlineStr">
        <is>
          <t>✓</t>
        </is>
      </c>
      <c r="H763" s="3" t="inlineStr">
        <is>
          <t>)   : eksponensial (brute force kombinasi)  ---------------------------------------------------------------- CONTOH SOAL DAN PEMBAHASAN ----------------------------------------------------------------  [SOAL 1 — Pseudoco</t>
        </is>
      </c>
    </row>
    <row r="764">
      <c r="A764" t="n">
        <v>128</v>
      </c>
      <c r="B764" t="n">
        <v>1</v>
      </c>
      <c r="C764" t="inlineStr">
        <is>
          <t>GT_DETAIL_PT10_Percabangan.txt</t>
        </is>
      </c>
      <c r="D764" s="3" t="inlineStr">
        <is>
          <t>Pertemuan 10: Struktur Kontrol — Percabangan</t>
        </is>
      </c>
      <c r="E764" t="n">
        <v>0.793</v>
      </c>
      <c r="F764" t="inlineStr">
        <is>
          <t>✓</t>
        </is>
      </c>
      <c r="G764" t="inlineStr">
        <is>
          <t>✓</t>
        </is>
      </c>
      <c r="H764" s="3" t="inlineStr">
        <is>
          <t>------------ CONTOH SOAL DAN PEMBAHASAN ----------------------------------------------------------------  [SOAL 1 — Maks 2 Bilangan] Tuliskan pseudocode untuk menentukan bilangan terbesar dari dua bilangan a dan b!  JAWA</t>
        </is>
      </c>
    </row>
    <row r="765">
      <c r="A765" t="n">
        <v>128</v>
      </c>
      <c r="B765" t="n">
        <v>2</v>
      </c>
      <c r="C765" t="inlineStr">
        <is>
          <t>GT_CT07.txt</t>
        </is>
      </c>
      <c r="D765" s="3" t="inlineStr">
        <is>
          <t>Pertemuan 7: Algoritme — Notasi Algoritme</t>
        </is>
      </c>
      <c r="E765" t="n">
        <v>0.7921</v>
      </c>
      <c r="F765" t="inlineStr">
        <is>
          <t>✓</t>
        </is>
      </c>
      <c r="G765" t="inlineStr">
        <is>
          <t>✓</t>
        </is>
      </c>
      <c r="H765" s="3" t="inlineStr">
        <is>
          <t>an nilai alas dengan tinggi, lalu hasilnya dibagi dua.  2. Pseudocode: Pseudocode adalah cara informal untuk menuliskan algoritme atau rancangan program komputer. Tujuan utama pseudocode adalah untuk mendapatkan ide seca</t>
        </is>
      </c>
    </row>
    <row r="766">
      <c r="A766" t="n">
        <v>128</v>
      </c>
      <c r="B766" t="n">
        <v>3</v>
      </c>
      <c r="C766" t="inlineStr">
        <is>
          <t>GT_DETAIL_PT07_Notasi_Algoritme.txt</t>
        </is>
      </c>
      <c r="D766" s="3" t="inlineStr">
        <is>
          <t>Pertemuan 7: Algoritme — Notasi Algoritme</t>
        </is>
      </c>
      <c r="E766" t="n">
        <v>0.7779</v>
      </c>
      <c r="F766" t="inlineStr">
        <is>
          <t>✓</t>
        </is>
      </c>
      <c r="G766" t="inlineStr">
        <is>
          <t>✓</t>
        </is>
      </c>
      <c r="H766" s="3" t="inlineStr">
        <is>
          <t>perasinya linear)  c) Rata-rata n bilangan: baca semua n bilangan + 1 pembagian → O(n) [linear]  [SOAL 5 — Pseudocode: Pesan Sandi] Tuliskan pseudocode untuk MENDEKRIPSI pesan yang dienkripsi dengan tiga langkah: (1) bal</t>
        </is>
      </c>
    </row>
    <row r="767">
      <c r="A767" t="n">
        <v>128</v>
      </c>
      <c r="B767" t="n">
        <v>4</v>
      </c>
      <c r="C767" t="inlineStr">
        <is>
          <t>GT_CT10.txt</t>
        </is>
      </c>
      <c r="D767" s="3" t="inlineStr">
        <is>
          <t>Pertemuan 10: Struktur Kontrol — Percabangan</t>
        </is>
      </c>
      <c r="E767" t="n">
        <v>0.7621</v>
      </c>
      <c r="F767" t="inlineStr">
        <is>
          <t>✓</t>
        </is>
      </c>
      <c r="G767" t="inlineStr">
        <is>
          <t>✓</t>
        </is>
      </c>
      <c r="H767" s="3" t="inlineStr">
        <is>
          <t xml:space="preserve">n (Loop): digunakan ketika algoritme perlu mengulang pelaksanaan instruksi tertentu sampai suatu kondisi yang ditetapkan terpenuhi.  Pertemuan ini berfokus pada pembahasan struktur kontrol percabangan secara mendalam.   </t>
        </is>
      </c>
    </row>
    <row r="768">
      <c r="A768" t="n">
        <v>128</v>
      </c>
      <c r="B768" t="n">
        <v>5</v>
      </c>
      <c r="C768" t="inlineStr">
        <is>
          <t>GT_DETAIL_PT11_Perulangan.txt</t>
        </is>
      </c>
      <c r="D768" s="3" t="inlineStr">
        <is>
          <t>Pertemuan 11: Struktur Kontrol — Perulangan</t>
        </is>
      </c>
      <c r="E768" t="n">
        <v>0.754</v>
      </c>
      <c r="F768" t="inlineStr">
        <is>
          <t>✓</t>
        </is>
      </c>
      <c r="G768" t="inlineStr">
        <is>
          <t>✓</t>
        </is>
      </c>
      <c r="H768" s="3" t="inlineStr">
        <is>
          <t>selalu dijalankan MINIMAL SATU KALI  F. PERULANGAN BERSARANG (NESTED LOOP)  Konsep: perulangan di dalam perulangan. - Setiap 1 iterasi luar → dalam menyelesaikan SEMUA iterasinya - Total iterasi = iterasi_luar × iterasi_</t>
        </is>
      </c>
    </row>
    <row r="769">
      <c r="A769" t="n">
        <v>128</v>
      </c>
      <c r="B769" t="n">
        <v>6</v>
      </c>
      <c r="C769" t="inlineStr">
        <is>
          <t>GT_SUBTOPIK_05_Pseudocode_Algoritme.txt</t>
        </is>
      </c>
      <c r="D769" s="3" t="inlineStr">
        <is>
          <t>Subtopik: Pseudocode dan Notasi Algoritme</t>
        </is>
      </c>
      <c r="E769" t="n">
        <v>0.752</v>
      </c>
      <c r="F769" t="inlineStr">
        <is>
          <t>✓</t>
        </is>
      </c>
      <c r="G769" t="inlineStr">
        <is>
          <t>✓</t>
        </is>
      </c>
      <c r="H769" s="3" t="inlineStr">
        <is>
          <t>)   : eksponensial (brute force kombinasi)  ---------------------------------------------------------------- CONTOH SOAL DAN PEMBAHASAN ----------------------------------------------------------------  [SOAL 1 — Pseudoco</t>
        </is>
      </c>
    </row>
    <row r="770">
      <c r="A770" t="n">
        <v>129</v>
      </c>
      <c r="B770" t="n">
        <v>1</v>
      </c>
      <c r="C770" t="inlineStr">
        <is>
          <t>GT_DETAIL_PT10_Percabangan.txt</t>
        </is>
      </c>
      <c r="D770" s="3" t="inlineStr">
        <is>
          <t>Pertemuan 10: Struktur Kontrol — Percabangan</t>
        </is>
      </c>
      <c r="E770" t="n">
        <v>0.8013</v>
      </c>
      <c r="F770" t="inlineStr">
        <is>
          <t>✓</t>
        </is>
      </c>
      <c r="G770" t="inlineStr">
        <is>
          <t>✓</t>
        </is>
      </c>
      <c r="H770" s="3" t="inlineStr">
        <is>
          <t>------------ CONTOH SOAL DAN PEMBAHASAN ----------------------------------------------------------------  [SOAL 1 — Maks 2 Bilangan] Tuliskan pseudocode untuk menentukan bilangan terbesar dari dua bilangan a dan b!  JAWA</t>
        </is>
      </c>
    </row>
    <row r="771">
      <c r="A771" t="n">
        <v>129</v>
      </c>
      <c r="B771" t="n">
        <v>2</v>
      </c>
      <c r="C771" t="inlineStr">
        <is>
          <t>GT_SUBTOPIK_05_Pseudocode_Algoritme.txt</t>
        </is>
      </c>
      <c r="D771" s="3" t="inlineStr">
        <is>
          <t>Subtopik: Pseudocode dan Notasi Algoritme</t>
        </is>
      </c>
      <c r="E771" t="n">
        <v>0.8008999999999999</v>
      </c>
      <c r="F771" t="inlineStr">
        <is>
          <t>✓</t>
        </is>
      </c>
      <c r="G771" t="inlineStr">
        <is>
          <t>✓</t>
        </is>
      </c>
      <c r="H771" s="3" t="inlineStr">
        <is>
          <t xml:space="preserve">,12),(15,17),(18,20) → p=6  [SOAL 3 — Pseudocode: Cek Prima] Tulis pseudocode untuk mengecek apakah bilangan n prima!  JAWABAN: Input : bilangan bulat n Output: "prima" atau "bukan prima"    read(n)   if (n &lt;= 1) then   </t>
        </is>
      </c>
    </row>
    <row r="772">
      <c r="A772" t="n">
        <v>129</v>
      </c>
      <c r="B772" t="n">
        <v>3</v>
      </c>
      <c r="C772" t="inlineStr">
        <is>
          <t>GT_CT07.txt</t>
        </is>
      </c>
      <c r="D772" s="3" t="inlineStr">
        <is>
          <t>Pertemuan 7: Algoritme — Notasi Algoritme</t>
        </is>
      </c>
      <c r="E772" t="n">
        <v>0.7977</v>
      </c>
      <c r="F772" t="inlineStr">
        <is>
          <t>✓</t>
        </is>
      </c>
      <c r="G772" t="inlineStr">
        <is>
          <t>✓</t>
        </is>
      </c>
      <c r="H772" s="3" t="inlineStr">
        <is>
          <t>an nilai alas dengan tinggi, lalu hasilnya dibagi dua.  2. Pseudocode: Pseudocode adalah cara informal untuk menuliskan algoritme atau rancangan program komputer. Tujuan utama pseudocode adalah untuk mendapatkan ide seca</t>
        </is>
      </c>
    </row>
    <row r="773">
      <c r="A773" t="n">
        <v>129</v>
      </c>
      <c r="B773" t="n">
        <v>4</v>
      </c>
      <c r="C773" t="inlineStr">
        <is>
          <t>GT_CT11.txt</t>
        </is>
      </c>
      <c r="D773" s="3" t="inlineStr">
        <is>
          <t>Pertemuan 11: Algoritme — Struktur Kontrol Perulangan</t>
        </is>
      </c>
      <c r="E773" t="n">
        <v>0.7921</v>
      </c>
      <c r="F773" t="inlineStr">
        <is>
          <t>✓</t>
        </is>
      </c>
      <c r="G773" t="inlineStr">
        <is>
          <t>✓</t>
        </is>
      </c>
      <c r="H773" s="3" t="inlineStr">
        <is>
          <t xml:space="preserve"> nilai &lt;langkah&gt; diasumsikan sebesar 1.  Kompleksitas waktu perulangan for untuk mencetak 1 hingga n adalah linear, yaitu O(n), karena jumlah operasi bertumbuh sebanding dengan nilai n.  Berikut adalah beberapa contoh pe</t>
        </is>
      </c>
    </row>
    <row r="774">
      <c r="A774" t="n">
        <v>129</v>
      </c>
      <c r="B774" t="n">
        <v>5</v>
      </c>
      <c r="C774" t="inlineStr">
        <is>
          <t>GT_DETAIL_PT07_Notasi_Algoritme.txt</t>
        </is>
      </c>
      <c r="D774" s="3" t="inlineStr">
        <is>
          <t>Pertemuan 7: Algoritme — Notasi Algoritme</t>
        </is>
      </c>
      <c r="E774" t="n">
        <v>0.7906</v>
      </c>
      <c r="F774" t="inlineStr">
        <is>
          <t>✓</t>
        </is>
      </c>
      <c r="G774" t="inlineStr">
        <is>
          <t>✓</t>
        </is>
      </c>
      <c r="H774" s="3" t="inlineStr">
        <is>
          <t>perasinya linear)  c) Rata-rata n bilangan: baca semua n bilangan + 1 pembagian → O(n) [linear]  [SOAL 5 — Pseudocode: Pesan Sandi] Tuliskan pseudocode untuk MENDEKRIPSI pesan yang dienkripsi dengan tiga langkah: (1) bal</t>
        </is>
      </c>
    </row>
    <row r="775">
      <c r="A775" t="n">
        <v>129</v>
      </c>
      <c r="B775" t="n">
        <v>6</v>
      </c>
      <c r="C775" t="inlineStr">
        <is>
          <t>GT_SUBTOPIK_04_Modulo_Siklus.txt</t>
        </is>
      </c>
      <c r="D775" s="3" t="inlineStr">
        <is>
          <t>Subtopik: Pattern Recognition — Modulo dan Siklus</t>
        </is>
      </c>
      <c r="E775" t="n">
        <v>0.7616000000000001</v>
      </c>
      <c r="F775" t="inlineStr">
        <is>
          <t>✓</t>
        </is>
      </c>
      <c r="G775" t="inlineStr">
        <is>
          <t>✓</t>
        </is>
      </c>
      <c r="H775" s="3" t="inlineStr">
        <is>
          <t>1×24 = 1000 - 984 = 16 08:00 + 16 jam = 24:00 = 00:00 (tengah malam) JAWABAN: Jam 00:00 (tengah malam)  [SOAL 5 — Masalah Coklat Bebek dengan Modulo] Dengan pola deret segitiga n(n+1)/2, tuliskan pseudocode untuk mencari</t>
        </is>
      </c>
    </row>
    <row r="776">
      <c r="A776" t="n">
        <v>130</v>
      </c>
      <c r="B776" t="n">
        <v>1</v>
      </c>
      <c r="C776" t="inlineStr">
        <is>
          <t>GT_SUBTOPIK_05_Pseudocode_Algoritme.txt</t>
        </is>
      </c>
      <c r="D776" s="3" t="inlineStr">
        <is>
          <t>Subtopik: Pseudocode dan Notasi Algoritme</t>
        </is>
      </c>
      <c r="E776" t="n">
        <v>0.7794</v>
      </c>
      <c r="F776" t="inlineStr">
        <is>
          <t>✓</t>
        </is>
      </c>
      <c r="G776" t="inlineStr">
        <is>
          <t>✓</t>
        </is>
      </c>
      <c r="H776" s="3" t="inlineStr">
        <is>
          <t xml:space="preserve">,12),(15,17),(18,20) → p=6  [SOAL 3 — Pseudocode: Cek Prima] Tulis pseudocode untuk mengecek apakah bilangan n prima!  JAWABAN: Input : bilangan bulat n Output: "prima" atau "bukan prima"    read(n)   if (n &lt;= 1) then   </t>
        </is>
      </c>
    </row>
    <row r="777">
      <c r="A777" t="n">
        <v>130</v>
      </c>
      <c r="B777" t="n">
        <v>2</v>
      </c>
      <c r="C777" t="inlineStr">
        <is>
          <t>GT_CT07.txt</t>
        </is>
      </c>
      <c r="D777" s="3" t="inlineStr">
        <is>
          <t>Pertemuan 7: Algoritme — Notasi Algoritme</t>
        </is>
      </c>
      <c r="E777" t="n">
        <v>0.7782</v>
      </c>
      <c r="F777" t="inlineStr">
        <is>
          <t>✓</t>
        </is>
      </c>
      <c r="G777" t="inlineStr">
        <is>
          <t>✓</t>
        </is>
      </c>
      <c r="H777" s="3" t="inlineStr">
        <is>
          <t>an nilai alas dengan tinggi, lalu hasilnya dibagi dua.  2. Pseudocode: Pseudocode adalah cara informal untuk menuliskan algoritme atau rancangan program komputer. Tujuan utama pseudocode adalah untuk mendapatkan ide seca</t>
        </is>
      </c>
    </row>
    <row r="778">
      <c r="A778" t="n">
        <v>130</v>
      </c>
      <c r="B778" t="n">
        <v>3</v>
      </c>
      <c r="C778" t="inlineStr">
        <is>
          <t>GT_DETAIL_PT07_Notasi_Algoritme.txt</t>
        </is>
      </c>
      <c r="D778" s="3" t="inlineStr">
        <is>
          <t>Pertemuan 7: Algoritme — Notasi Algoritme</t>
        </is>
      </c>
      <c r="E778" t="n">
        <v>0.7578</v>
      </c>
      <c r="F778" t="inlineStr">
        <is>
          <t>✓</t>
        </is>
      </c>
      <c r="G778" t="inlineStr">
        <is>
          <t>✓</t>
        </is>
      </c>
      <c r="H778" s="3" t="inlineStr">
        <is>
          <t>perasinya linear)  c) Rata-rata n bilangan: baca semua n bilangan + 1 pembagian → O(n) [linear]  [SOAL 5 — Pseudocode: Pesan Sandi] Tuliskan pseudocode untuk MENDEKRIPSI pesan yang dienkripsi dengan tiga langkah: (1) bal</t>
        </is>
      </c>
    </row>
    <row r="779">
      <c r="A779" t="n">
        <v>130</v>
      </c>
      <c r="B779" t="n">
        <v>4</v>
      </c>
      <c r="C779" t="inlineStr">
        <is>
          <t>GT_CT10.txt</t>
        </is>
      </c>
      <c r="D779" s="3" t="inlineStr">
        <is>
          <t>Pertemuan 10: Struktur Kontrol — Percabangan</t>
        </is>
      </c>
      <c r="E779" t="n">
        <v>0.7449</v>
      </c>
      <c r="F779" t="inlineStr">
        <is>
          <t>✓</t>
        </is>
      </c>
      <c r="G779" t="inlineStr">
        <is>
          <t>✓</t>
        </is>
      </c>
      <c r="H779" s="3" t="inlineStr">
        <is>
          <t xml:space="preserve">n (Loop): digunakan ketika algoritme perlu mengulang pelaksanaan instruksi tertentu sampai suatu kondisi yang ditetapkan terpenuhi.  Pertemuan ini berfokus pada pembahasan struktur kontrol percabangan secara mendalam.   </t>
        </is>
      </c>
    </row>
    <row r="780">
      <c r="A780" t="n">
        <v>130</v>
      </c>
      <c r="B780" t="n">
        <v>5</v>
      </c>
      <c r="C780" t="inlineStr">
        <is>
          <t>GT_SUBTOPIK_05_Pseudocode_Algoritme.txt</t>
        </is>
      </c>
      <c r="D780" s="3" t="inlineStr">
        <is>
          <t>Subtopik: Pseudocode dan Notasi Algoritme</t>
        </is>
      </c>
      <c r="E780" t="n">
        <v>0.743</v>
      </c>
      <c r="F780" t="inlineStr">
        <is>
          <t>✓</t>
        </is>
      </c>
      <c r="G780" t="inlineStr">
        <is>
          <t>✓</t>
        </is>
      </c>
      <c r="H780" s="3" t="inlineStr">
        <is>
          <t>an[i]      // Langkah 2: geser 2 ke kiri   s2 = substring(s1, 3, n) + substring(s1, 1, 2)      // Langkah 3: ganti ke huruf berikutnya (Z → A)   s3 = ""   for setiap huruf h dalam s2 do     if h == 'Z' then s3 = s3 + 'A'</t>
        </is>
      </c>
    </row>
    <row r="781">
      <c r="A781" t="n">
        <v>130</v>
      </c>
      <c r="B781" t="n">
        <v>6</v>
      </c>
      <c r="C781" t="inlineStr">
        <is>
          <t>GT_DETAIL_PT10_Percabangan.txt</t>
        </is>
      </c>
      <c r="D781" s="3" t="inlineStr">
        <is>
          <t>Pertemuan 10: Struktur Kontrol — Percabangan</t>
        </is>
      </c>
      <c r="E781" t="n">
        <v>0.7398</v>
      </c>
      <c r="F781" t="inlineStr">
        <is>
          <t>✓</t>
        </is>
      </c>
      <c r="G781" t="inlineStr">
        <is>
          <t>✓</t>
        </is>
      </c>
      <c r="H781" s="3" t="inlineStr">
        <is>
          <t>------------ CONTOH SOAL DAN PEMBAHASAN ----------------------------------------------------------------  [SOAL 1 — Maks 2 Bilangan] Tuliskan pseudocode untuk menentukan bilangan terbesar dari dua bilangan a dan b!  JAWA</t>
        </is>
      </c>
    </row>
    <row r="782">
      <c r="A782" t="n">
        <v>131</v>
      </c>
      <c r="B782" t="n">
        <v>1</v>
      </c>
      <c r="C782" t="inlineStr">
        <is>
          <t>GT_DETAIL_PT05_Pattern_Recognition.txt</t>
        </is>
      </c>
      <c r="D782" s="3" t="inlineStr">
        <is>
          <t>Pertemuan 5: Pattern Recognition (Pengenalan Pola)</t>
        </is>
      </c>
      <c r="E782" t="n">
        <v>0.7074</v>
      </c>
      <c r="F782" t="inlineStr">
        <is>
          <t>✓</t>
        </is>
      </c>
      <c r="G782" t="inlineStr">
        <is>
          <t>✓</t>
        </is>
      </c>
      <c r="H782" s="3" t="inlineStr">
        <is>
          <t>memiliki pola serupa.  D. PERBEDAAN MATHEMATICAL THINKING vs. COMPUTATIONAL THINKING  Masalah: 1 + 2 + 3 + ... + 10 = ?  Mathematical Thinking (kalkulasi bertahap): 1+2=3, 3+3=6, 6+4=10, 10+5=15, ... = 55 (10 langkah)  C</t>
        </is>
      </c>
    </row>
    <row r="783">
      <c r="A783" t="n">
        <v>131</v>
      </c>
      <c r="B783" t="n">
        <v>2</v>
      </c>
      <c r="C783" t="inlineStr">
        <is>
          <t>GT_SUBTOPIK_03_Pola_Bilangan_Deret.txt</t>
        </is>
      </c>
      <c r="D783" s="3" t="inlineStr">
        <is>
          <t>Subtopik: Pattern Recognition — Pola Bilangan dan Deret Matematis</t>
        </is>
      </c>
      <c r="E783" t="n">
        <v>0.7067</v>
      </c>
      <c r="F783" t="inlineStr">
        <is>
          <t>✓</t>
        </is>
      </c>
      <c r="G783" t="inlineStr">
        <is>
          <t>✓</t>
        </is>
      </c>
      <c r="H783" s="3" t="inlineStr">
        <is>
          <t xml:space="preserve">Pola 3: 13 titik (ditambah 8) Pola 4: 25 titik (ditambah 12)  JAWABAN: Selisih antar pola: 4, 8, 12, ... → bertambah 4 setiap langkah Selisih ke-5: 16 Pola ke-5: 25 + 16 = 41  Formula: an = 2n² - 2n + 1 Verifikasi: n=5: </t>
        </is>
      </c>
    </row>
    <row r="784">
      <c r="A784" t="n">
        <v>131</v>
      </c>
      <c r="B784" t="n">
        <v>3</v>
      </c>
      <c r="C784" t="inlineStr">
        <is>
          <t>GT_DETAIL_PT04_Abstraksi.txt</t>
        </is>
      </c>
      <c r="D784" s="3" t="inlineStr">
        <is>
          <t>Pertemuan 4: Problem Solving — Abstraksi</t>
        </is>
      </c>
      <c r="E784" t="n">
        <v>0.7015</v>
      </c>
      <c r="F784" t="inlineStr">
        <is>
          <t>✓</t>
        </is>
      </c>
      <c r="G784" t="inlineStr">
        <is>
          <t>✓</t>
        </is>
      </c>
      <c r="H784" s="3" t="inlineStr">
        <is>
          <t xml:space="preserve">2  1 (F di pojok kanan atas)  Berapa maksimum permen yang bisa dikumpulkan Robot Candy?  JAWABAN: Semua jalur dari S (baris1,kol1) ke F (baris3,kol3) — panjang 4 langkah (2R, 2U):  Jalur 1: S→R→R→U→U (kol: 1→2→3, baris: </t>
        </is>
      </c>
    </row>
    <row r="785">
      <c r="A785" t="n">
        <v>131</v>
      </c>
      <c r="B785" t="n">
        <v>4</v>
      </c>
      <c r="C785" t="inlineStr">
        <is>
          <t>GT_CT05.txt</t>
        </is>
      </c>
      <c r="D785" s="3" t="inlineStr">
        <is>
          <t>Pertemuan 5: Pattern Recognition (Pengenalan Pola)</t>
        </is>
      </c>
      <c r="E785" t="n">
        <v>0.6991000000000001</v>
      </c>
      <c r="F785" t="inlineStr">
        <is>
          <t>✓</t>
        </is>
      </c>
      <c r="G785" t="inlineStr">
        <is>
          <t>✓</t>
        </is>
      </c>
      <c r="H785" s="3" t="inlineStr">
        <is>
          <t>g kosong. Pendekatan yang digunakan adalah terlebih dahulu melakukan abstraksi terhadap elemen-elemen visual yang relevan, kemudian mengenali pola transformasi atau urutan yang terjadi antar gambar untuk menentukan jawab</t>
        </is>
      </c>
    </row>
    <row r="786">
      <c r="A786" t="n">
        <v>131</v>
      </c>
      <c r="B786" t="n">
        <v>5</v>
      </c>
      <c r="C786" t="inlineStr">
        <is>
          <t>GT_SUBTOPIK_03_Pola_Bilangan_Deret.txt</t>
        </is>
      </c>
      <c r="D786" s="3" t="inlineStr">
        <is>
          <t>Subtopik: Pattern Recognition — Pola Bilangan dan Deret Matematis</t>
        </is>
      </c>
      <c r="E786" t="n">
        <v>0.6972</v>
      </c>
      <c r="F786" t="inlineStr">
        <is>
          <t>✓</t>
        </is>
      </c>
      <c r="G786" t="inlineStr">
        <is>
          <t>✓</t>
        </is>
      </c>
      <c r="H786" s="3" t="inlineStr">
        <is>
          <t>0 coklat. Bebek nomor berapa yang pertama tidak mendapat coklat?  JAWABAN: Pola: jumlah komulatif s/d bebek ke-n = n(n+1)/2 Cari n terbesar sehingga n(n+1)/2 ≤ 500:   n=31: 31×32/2 = 496 ≤ 500 ✓   n=32: 32×33/2 = 528 &gt; 5</t>
        </is>
      </c>
    </row>
    <row r="787">
      <c r="A787" t="n">
        <v>131</v>
      </c>
      <c r="B787" t="n">
        <v>6</v>
      </c>
      <c r="C787" t="inlineStr">
        <is>
          <t>GT_DETAIL_PT05_Pattern_Recognition.txt</t>
        </is>
      </c>
      <c r="D787" s="3" t="inlineStr">
        <is>
          <t>Pertemuan 5: Pattern Recognition (Pengenalan Pola)</t>
        </is>
      </c>
      <c r="E787" t="n">
        <v>0.6965</v>
      </c>
      <c r="F787" t="inlineStr">
        <is>
          <t>✓</t>
        </is>
      </c>
      <c r="G787" t="inlineStr">
        <is>
          <t>✓</t>
        </is>
      </c>
      <c r="H787" s="3" t="inlineStr">
        <is>
          <t>3=27(7), 3^4=81(1), 3^5=243(3) → siklus 4: 3,9,7,1 c) 2024 mod 4 = 0 → digit terakhir = 1  [SOAL 3 — Pola Bilangan] Temukan pola dari barisan berikut dan tentukan suku ke-10: a) 2, 5, 10, 17, 26, ... b) 1, 1, 2, 3, 5, 8,</t>
        </is>
      </c>
    </row>
    <row r="788">
      <c r="A788" t="n">
        <v>132</v>
      </c>
      <c r="B788" t="n">
        <v>1</v>
      </c>
      <c r="C788" t="inlineStr">
        <is>
          <t>GT_CT09.txt</t>
        </is>
      </c>
      <c r="D788" s="3" t="inlineStr">
        <is>
          <t>Pertemuan 9: Elemen Pseudocode — Variabel, Operator, Tipe Data, dan List</t>
        </is>
      </c>
      <c r="E788" t="n">
        <v>0.8032</v>
      </c>
      <c r="F788" t="inlineStr">
        <is>
          <t>✓</t>
        </is>
      </c>
      <c r="G788" t="inlineStr">
        <is>
          <t>✓</t>
        </is>
      </c>
      <c r="H788" s="3" t="inlineStr">
        <is>
          <t>ama dengan (==), tidak sama dengan (!=), lebih besar dari (&gt;), lebih kecil dari (&lt;), lebih besar atau sama dengan (&gt;=), dan lebih kecil atau sama dengan (&lt;=).  4. Logical Operator (Operator Logika): Digunakan untuk mengg</t>
        </is>
      </c>
    </row>
    <row r="789">
      <c r="A789" t="n">
        <v>132</v>
      </c>
      <c r="B789" t="n">
        <v>2</v>
      </c>
      <c r="C789" t="inlineStr">
        <is>
          <t>GT_DETAIL_PT04_Abstraksi.txt</t>
        </is>
      </c>
      <c r="D789" s="3" t="inlineStr">
        <is>
          <t>Pertemuan 4: Problem Solving — Abstraksi</t>
        </is>
      </c>
      <c r="E789" t="n">
        <v>0.7374000000000001</v>
      </c>
      <c r="F789" t="inlineStr">
        <is>
          <t>✓</t>
        </is>
      </c>
      <c r="G789" t="inlineStr">
        <is>
          <t>✓</t>
        </is>
      </c>
      <c r="H789" s="3" t="inlineStr">
        <is>
          <t xml:space="preserve">–6 (HOTS).  B. PROBLEM SOLVING — SYMPTOM vs. PROBLEM  Perbedaan krusial yang sering diabaikan:  SYMPTOM (Gejala): perbedaan antara fakta yang terjadi dengan hasil yang diharapkan. → Apa yang kita rasakan/amati.  PROBLEM </t>
        </is>
      </c>
    </row>
    <row r="790">
      <c r="A790" t="n">
        <v>132</v>
      </c>
      <c r="B790" t="n">
        <v>3</v>
      </c>
      <c r="C790" t="inlineStr">
        <is>
          <t>GT_CT07.txt</t>
        </is>
      </c>
      <c r="D790" s="3" t="inlineStr">
        <is>
          <t>Pertemuan 7: Algoritme — Notasi Algoritme</t>
        </is>
      </c>
      <c r="E790" t="n">
        <v>0.7338</v>
      </c>
      <c r="F790" t="inlineStr">
        <is>
          <t>✓</t>
        </is>
      </c>
      <c r="G790" t="inlineStr">
        <is>
          <t>✓</t>
        </is>
      </c>
      <c r="H790" s="3" t="inlineStr">
        <is>
          <t>) dan selisih angka yang dicari (d). Output: banyaknya pasangan bilangan dengan selisih sebesar d (p). Proses: (a) Urutkan n bilangan secara menaik menjadi m1, m2, ..., mn; (b) Inisialisasi p = 0; (c) Untuk setiap i dari</t>
        </is>
      </c>
    </row>
    <row r="791">
      <c r="A791" t="n">
        <v>132</v>
      </c>
      <c r="B791" t="n">
        <v>4</v>
      </c>
      <c r="C791" t="inlineStr">
        <is>
          <t>GT_CT10.txt</t>
        </is>
      </c>
      <c r="D791" s="3" t="inlineStr">
        <is>
          <t>Pertemuan 10: Struktur Kontrol — Percabangan</t>
        </is>
      </c>
      <c r="E791" t="n">
        <v>0.7248</v>
      </c>
      <c r="F791" t="inlineStr">
        <is>
          <t>✓</t>
        </is>
      </c>
      <c r="G791" t="inlineStr">
        <is>
          <t>✓</t>
        </is>
      </c>
      <c r="H791" s="3" t="inlineStr">
        <is>
          <t xml:space="preserve">n (Loop): digunakan ketika algoritme perlu mengulang pelaksanaan instruksi tertentu sampai suatu kondisi yang ditetapkan terpenuhi.  Pertemuan ini berfokus pada pembahasan struktur kontrol percabangan secara mendalam.   </t>
        </is>
      </c>
    </row>
    <row r="792">
      <c r="A792" t="n">
        <v>132</v>
      </c>
      <c r="B792" t="n">
        <v>5</v>
      </c>
      <c r="C792" t="inlineStr">
        <is>
          <t>GT_SUBTOPIK_05_Pseudocode_Algoritme.txt</t>
        </is>
      </c>
      <c r="D792" s="3" t="inlineStr">
        <is>
          <t>Subtopik: Pseudocode dan Notasi Algoritme</t>
        </is>
      </c>
      <c r="E792" t="n">
        <v>0.724</v>
      </c>
      <c r="F792" t="inlineStr">
        <is>
          <t>✓</t>
        </is>
      </c>
      <c r="G792" t="inlineStr">
        <is>
          <t>✓</t>
        </is>
      </c>
      <c r="H792" s="3">
        <f>=============================================================== GROUND TRUTH SUBTOPIK — KOM2102 COMPUTATIONAL THINKING Subtopik: Pseudocode dan Notasi Algoritme ==========================================================</f>
        <v/>
      </c>
    </row>
    <row r="793">
      <c r="A793" t="n">
        <v>132</v>
      </c>
      <c r="B793" t="n">
        <v>6</v>
      </c>
      <c r="C793" t="inlineStr">
        <is>
          <t>GT_SUBTOPIK_05_Pseudocode_Algoritme.txt</t>
        </is>
      </c>
      <c r="D793" s="3" t="inlineStr">
        <is>
          <t>Subtopik: Pseudocode dan Notasi Algoritme</t>
        </is>
      </c>
      <c r="E793" t="n">
        <v>0.7234</v>
      </c>
      <c r="F793" t="inlineStr">
        <is>
          <t>✓</t>
        </is>
      </c>
      <c r="G793" t="inlineStr">
        <is>
          <t>✓</t>
        </is>
      </c>
      <c r="H793" s="3" t="inlineStr">
        <is>
          <t>)   : eksponensial (brute force kombinasi)  ---------------------------------------------------------------- CONTOH SOAL DAN PEMBAHASAN ----------------------------------------------------------------  [SOAL 1 — Pseudoco</t>
        </is>
      </c>
    </row>
    <row r="794">
      <c r="A794" t="n">
        <v>133</v>
      </c>
      <c r="B794" t="n">
        <v>1</v>
      </c>
      <c r="C794" t="inlineStr">
        <is>
          <t>GT_SUBTOPIK_08_Perulangan_For_While.txt</t>
        </is>
      </c>
      <c r="D794" s="3" t="inlineStr">
        <is>
          <t>Subtopik: Perulangan — for, while, Sentinel, dan Trace</t>
        </is>
      </c>
      <c r="E794" t="n">
        <v>0.7959000000000001</v>
      </c>
      <c r="F794" t="inlineStr">
        <is>
          <t>✓</t>
        </is>
      </c>
      <c r="G794" t="inlineStr">
        <is>
          <t>✓</t>
        </is>
      </c>
      <c r="H794" s="3" t="inlineStr">
        <is>
          <t xml:space="preserve"> x=5:   5 mod 3=2 ✗   → berhenti  Output: 135, 45, 15, 5 Nilai akhir x = 5  [SOAL 5 — WHILE: Digit Terbalik] Tulis pseudocode untuk membalik digit bilangan positif n! Contoh: n=12345 → output: 54321  JAWABAN:   read(n)  </t>
        </is>
      </c>
    </row>
    <row r="795">
      <c r="A795" t="n">
        <v>133</v>
      </c>
      <c r="B795" t="n">
        <v>2</v>
      </c>
      <c r="C795" t="inlineStr">
        <is>
          <t>GT_SUBTOPIK_04_Modulo_Siklus.txt</t>
        </is>
      </c>
      <c r="D795" s="3" t="inlineStr">
        <is>
          <t>Subtopik: Pattern Recognition — Modulo dan Siklus</t>
        </is>
      </c>
      <c r="E795" t="n">
        <v>0.7903</v>
      </c>
      <c r="F795" t="inlineStr">
        <is>
          <t>✓</t>
        </is>
      </c>
      <c r="G795" t="inlineStr">
        <is>
          <t>✓</t>
        </is>
      </c>
      <c r="H795" s="3" t="inlineStr">
        <is>
          <t>1×24 = 1000 - 984 = 16 08:00 + 16 jam = 24:00 = 00:00 (tengah malam) JAWABAN: Jam 00:00 (tengah malam)  [SOAL 5 — Masalah Coklat Bebek dengan Modulo] Dengan pola deret segitiga n(n+1)/2, tuliskan pseudocode untuk mencari</t>
        </is>
      </c>
    </row>
    <row r="796">
      <c r="A796" t="n">
        <v>133</v>
      </c>
      <c r="B796" t="n">
        <v>3</v>
      </c>
      <c r="C796" t="inlineStr">
        <is>
          <t>GT_DETAIL_PT10_Percabangan.txt</t>
        </is>
      </c>
      <c r="D796" s="3" t="inlineStr">
        <is>
          <t>Pertemuan 10: Struktur Kontrol — Percabangan</t>
        </is>
      </c>
      <c r="E796" t="n">
        <v>0.7828000000000001</v>
      </c>
      <c r="F796" t="inlineStr">
        <is>
          <t>✓</t>
        </is>
      </c>
      <c r="G796" t="inlineStr">
        <is>
          <t>✓</t>
        </is>
      </c>
      <c r="H796" s="3" t="inlineStr">
        <is>
          <t>------------ CONTOH SOAL DAN PEMBAHASAN ----------------------------------------------------------------  [SOAL 1 — Maks 2 Bilangan] Tuliskan pseudocode untuk menentukan bilangan terbesar dari dua bilangan a dan b!  JAWA</t>
        </is>
      </c>
    </row>
    <row r="797">
      <c r="A797" t="n">
        <v>133</v>
      </c>
      <c r="B797" t="n">
        <v>4</v>
      </c>
      <c r="C797" t="inlineStr">
        <is>
          <t>GT_DETAIL_PT11_Perulangan.txt</t>
        </is>
      </c>
      <c r="D797" s="3" t="inlineStr">
        <is>
          <t>Pertemuan 11: Struktur Kontrol — Perulangan</t>
        </is>
      </c>
      <c r="E797" t="n">
        <v>0.7816</v>
      </c>
      <c r="F797" t="inlineStr">
        <is>
          <t>✓</t>
        </is>
      </c>
      <c r="G797" t="inlineStr">
        <is>
          <t>✓</t>
        </is>
      </c>
      <c r="H797" s="3" t="inlineStr">
        <is>
          <t xml:space="preserve">AL 11 — DO-WHILE vs WHILE] Apa perbedaan output dari dua pseudocode berikut? Kode A:   i = 10   while i &lt; 5 do     print(i)     i = i + 1  Kode B:   i = 10   do     print(i)     i = i + 1   while i &lt; 5  JAWABAN: Kode A: </t>
        </is>
      </c>
    </row>
    <row r="798">
      <c r="A798" t="n">
        <v>133</v>
      </c>
      <c r="B798" t="n">
        <v>5</v>
      </c>
      <c r="C798" t="inlineStr">
        <is>
          <t>GT_SUBTOPIK_05_Pseudocode_Algoritme.txt</t>
        </is>
      </c>
      <c r="D798" s="3" t="inlineStr">
        <is>
          <t>Subtopik: Pseudocode dan Notasi Algoritme</t>
        </is>
      </c>
      <c r="E798" t="n">
        <v>0.7799</v>
      </c>
      <c r="F798" t="inlineStr">
        <is>
          <t>✓</t>
        </is>
      </c>
      <c r="G798" t="inlineStr">
        <is>
          <t>✓</t>
        </is>
      </c>
      <c r="H798" s="3" t="inlineStr">
        <is>
          <t xml:space="preserve">,12),(15,17),(18,20) → p=6  [SOAL 3 — Pseudocode: Cek Prima] Tulis pseudocode untuk mengecek apakah bilangan n prima!  JAWABAN: Input : bilangan bulat n Output: "prima" atau "bukan prima"    read(n)   if (n &lt;= 1) then   </t>
        </is>
      </c>
    </row>
    <row r="799">
      <c r="A799" t="n">
        <v>133</v>
      </c>
      <c r="B799" t="n">
        <v>6</v>
      </c>
      <c r="C799" t="inlineStr">
        <is>
          <t>GT_DETAIL_PT07_Notasi_Algoritme.txt</t>
        </is>
      </c>
      <c r="D799" s="3" t="inlineStr">
        <is>
          <t>Pertemuan 7: Algoritme — Notasi Algoritme</t>
        </is>
      </c>
      <c r="E799" t="n">
        <v>0.7781</v>
      </c>
      <c r="F799" t="inlineStr">
        <is>
          <t>✓</t>
        </is>
      </c>
      <c r="G799" t="inlineStr">
        <is>
          <t>✓</t>
        </is>
      </c>
      <c r="H799" s="3" t="inlineStr">
        <is>
          <t>perasinya linear)  c) Rata-rata n bilangan: baca semua n bilangan + 1 pembagian → O(n) [linear]  [SOAL 5 — Pseudocode: Pesan Sandi] Tuliskan pseudocode untuk MENDEKRIPSI pesan yang dienkripsi dengan tiga langkah: (1) bal</t>
        </is>
      </c>
    </row>
    <row r="800">
      <c r="A800" t="n">
        <v>134</v>
      </c>
      <c r="B800" t="n">
        <v>1</v>
      </c>
      <c r="C800" t="inlineStr">
        <is>
          <t>GT_SUBTOPIK_07_Percabangan_Trace.txt</t>
        </is>
      </c>
      <c r="D800" s="3" t="inlineStr">
        <is>
          <t>Subtopik: Percabangan — Analisis Kasus dan Trace Kode</t>
        </is>
      </c>
      <c r="E800" t="n">
        <v>0.8331</v>
      </c>
      <c r="F800" t="inlineStr">
        <is>
          <t>✓</t>
        </is>
      </c>
      <c r="G800" t="inlineStr">
        <is>
          <t>✓</t>
        </is>
      </c>
      <c r="H800" s="3" t="inlineStr">
        <is>
          <t>rint("z")   else     print("y")  JAWABAN: Awal: x=6, y=3, z=9 Kondisi 1: x &gt; y → 6 &gt; 3 → True → x = 6-3 = 3 State: x=3, y=3, z=9  Kondisi 2: z &gt; x → 9 &gt; 3 → True → z = 9-3 = 6 State: x=3, y=3, z=6  Kondisi 3: x &gt; z → 3 &gt;</t>
        </is>
      </c>
    </row>
    <row r="801">
      <c r="A801" t="n">
        <v>134</v>
      </c>
      <c r="B801" t="n">
        <v>2</v>
      </c>
      <c r="C801" t="inlineStr">
        <is>
          <t>GT_SUBTOPIK_08_Perulangan_For_While.txt</t>
        </is>
      </c>
      <c r="D801" s="3" t="inlineStr">
        <is>
          <t>Subtopik: Perulangan — for, while, Sentinel, dan Trace</t>
        </is>
      </c>
      <c r="E801" t="n">
        <v>0.8231000000000001</v>
      </c>
      <c r="F801" t="inlineStr">
        <is>
          <t>✓</t>
        </is>
      </c>
      <c r="G801" t="inlineStr">
        <is>
          <t>✓</t>
        </is>
      </c>
      <c r="H801" s="3" t="inlineStr">
        <is>
          <t xml:space="preserve"> x=5:   5 mod 3=2 ✗   → berhenti  Output: 135, 45, 15, 5 Nilai akhir x = 5  [SOAL 5 — WHILE: Digit Terbalik] Tulis pseudocode untuk membalik digit bilangan positif n! Contoh: n=12345 → output: 54321  JAWABAN:   read(n)  </t>
        </is>
      </c>
    </row>
    <row r="802">
      <c r="A802" t="n">
        <v>134</v>
      </c>
      <c r="B802" t="n">
        <v>3</v>
      </c>
      <c r="C802" t="inlineStr">
        <is>
          <t>GT_DETAIL_PT10_Percabangan.txt</t>
        </is>
      </c>
      <c r="D802" s="3" t="inlineStr">
        <is>
          <t>Pertemuan 10: Struktur Kontrol — Percabangan</t>
        </is>
      </c>
      <c r="E802" t="n">
        <v>0.8136</v>
      </c>
      <c r="F802" t="inlineStr">
        <is>
          <t>✓</t>
        </is>
      </c>
      <c r="G802" t="inlineStr">
        <is>
          <t>✓</t>
        </is>
      </c>
      <c r="H802" s="3" t="inlineStr">
        <is>
          <t>------------ CONTOH SOAL DAN PEMBAHASAN ----------------------------------------------------------------  [SOAL 1 — Maks 2 Bilangan] Tuliskan pseudocode untuk menentukan bilangan terbesar dari dua bilangan a dan b!  JAWA</t>
        </is>
      </c>
    </row>
    <row r="803">
      <c r="A803" t="n">
        <v>134</v>
      </c>
      <c r="B803" t="n">
        <v>4</v>
      </c>
      <c r="C803" t="inlineStr">
        <is>
          <t>GT_SUBTOPIK_05_Pseudocode_Algoritme.txt</t>
        </is>
      </c>
      <c r="D803" s="3" t="inlineStr">
        <is>
          <t>Subtopik: Pseudocode dan Notasi Algoritme</t>
        </is>
      </c>
      <c r="E803" t="n">
        <v>0.8089</v>
      </c>
      <c r="F803" t="inlineStr">
        <is>
          <t>✓</t>
        </is>
      </c>
      <c r="G803" t="inlineStr">
        <is>
          <t>✓</t>
        </is>
      </c>
      <c r="H803" s="3" t="inlineStr">
        <is>
          <t xml:space="preserve">,12),(15,17),(18,20) → p=6  [SOAL 3 — Pseudocode: Cek Prima] Tulis pseudocode untuk mengecek apakah bilangan n prima!  JAWABAN: Input : bilangan bulat n Output: "prima" atau "bukan prima"    read(n)   if (n &lt;= 1) then   </t>
        </is>
      </c>
    </row>
    <row r="804">
      <c r="A804" t="n">
        <v>134</v>
      </c>
      <c r="B804" t="n">
        <v>5</v>
      </c>
      <c r="C804" t="inlineStr">
        <is>
          <t>GT_DETAIL_PT11_Perulangan.txt</t>
        </is>
      </c>
      <c r="D804" s="3" t="inlineStr">
        <is>
          <t>Pertemuan 11: Struktur Kontrol — Perulangan</t>
        </is>
      </c>
      <c r="E804" t="n">
        <v>0.8033</v>
      </c>
      <c r="F804" t="inlineStr">
        <is>
          <t>✓</t>
        </is>
      </c>
      <c r="G804" t="inlineStr">
        <is>
          <t>✓</t>
        </is>
      </c>
      <c r="H804" s="3" t="inlineStr">
        <is>
          <t xml:space="preserve">AL 11 — DO-WHILE vs WHILE] Apa perbedaan output dari dua pseudocode berikut? Kode A:   i = 10   while i &lt; 5 do     print(i)     i = i + 1  Kode B:   i = 10   do     print(i)     i = i + 1   while i &lt; 5  JAWABAN: Kode A: </t>
        </is>
      </c>
    </row>
    <row r="805">
      <c r="A805" t="n">
        <v>134</v>
      </c>
      <c r="B805" t="n">
        <v>6</v>
      </c>
      <c r="C805" t="inlineStr">
        <is>
          <t>GT_DETAIL_PT11_Perulangan.txt</t>
        </is>
      </c>
      <c r="D805" s="3" t="inlineStr">
        <is>
          <t>Pertemuan 11: Struktur Kontrol — Perulangan</t>
        </is>
      </c>
      <c r="E805" t="n">
        <v>0.8027</v>
      </c>
      <c r="F805" t="inlineStr">
        <is>
          <t>✓</t>
        </is>
      </c>
      <c r="G805" t="inlineStr">
        <is>
          <t>✓</t>
        </is>
      </c>
      <c r="H805" s="3" t="inlineStr">
        <is>
          <t>ount = count + 1     read(nilai)   if (count &gt; 0) then     print(sum / count)   else     print("Tidak ada data")  [SOAL 7 — Nested Loop: Segitiga Bintang] Cetak segitiga bintang seperti ini untuk tinggi = 4: * ** *** ***</t>
        </is>
      </c>
    </row>
    <row r="806">
      <c r="A806" t="n">
        <v>135</v>
      </c>
      <c r="B806" t="n">
        <v>1</v>
      </c>
      <c r="C806" t="inlineStr">
        <is>
          <t>GT_CT07.txt</t>
        </is>
      </c>
      <c r="D806" s="3" t="inlineStr">
        <is>
          <t>Pertemuan 7: Algoritme — Notasi Algoritme</t>
        </is>
      </c>
      <c r="E806" t="n">
        <v>0.7986</v>
      </c>
      <c r="F806" t="inlineStr">
        <is>
          <t>✓</t>
        </is>
      </c>
      <c r="G806" t="inlineStr">
        <is>
          <t>✓</t>
        </is>
      </c>
      <c r="H806" s="3" t="inlineStr">
        <is>
          <t>an nilai alas dengan tinggi, lalu hasilnya dibagi dua.  2. Pseudocode: Pseudocode adalah cara informal untuk menuliskan algoritme atau rancangan program komputer. Tujuan utama pseudocode adalah untuk mendapatkan ide seca</t>
        </is>
      </c>
    </row>
    <row r="807">
      <c r="A807" t="n">
        <v>135</v>
      </c>
      <c r="B807" t="n">
        <v>2</v>
      </c>
      <c r="C807" t="inlineStr">
        <is>
          <t>GT_DETAIL_PT10_Percabangan.txt</t>
        </is>
      </c>
      <c r="D807" s="3" t="inlineStr">
        <is>
          <t>Pertemuan 10: Struktur Kontrol — Percabangan</t>
        </is>
      </c>
      <c r="E807" t="n">
        <v>0.7884</v>
      </c>
      <c r="F807" t="inlineStr">
        <is>
          <t>✓</t>
        </is>
      </c>
      <c r="G807" t="inlineStr">
        <is>
          <t>✓</t>
        </is>
      </c>
      <c r="H807" s="3" t="inlineStr">
        <is>
          <t>------------ CONTOH SOAL DAN PEMBAHASAN ----------------------------------------------------------------  [SOAL 1 — Maks 2 Bilangan] Tuliskan pseudocode untuk menentukan bilangan terbesar dari dua bilangan a dan b!  JAWA</t>
        </is>
      </c>
    </row>
    <row r="808">
      <c r="A808" t="n">
        <v>135</v>
      </c>
      <c r="B808" t="n">
        <v>3</v>
      </c>
      <c r="C808" t="inlineStr">
        <is>
          <t>GT_DETAIL_PT07_Notasi_Algoritme.txt</t>
        </is>
      </c>
      <c r="D808" s="3" t="inlineStr">
        <is>
          <t>Pertemuan 7: Algoritme — Notasi Algoritme</t>
        </is>
      </c>
      <c r="E808" t="n">
        <v>0.7725</v>
      </c>
      <c r="F808" t="inlineStr">
        <is>
          <t>✓</t>
        </is>
      </c>
      <c r="G808" t="inlineStr">
        <is>
          <t>✓</t>
        </is>
      </c>
      <c r="H808" s="3" t="inlineStr">
        <is>
          <t>perasinya linear)  c) Rata-rata n bilangan: baca semua n bilangan + 1 pembagian → O(n) [linear]  [SOAL 5 — Pseudocode: Pesan Sandi] Tuliskan pseudocode untuk MENDEKRIPSI pesan yang dienkripsi dengan tiga langkah: (1) bal</t>
        </is>
      </c>
    </row>
    <row r="809">
      <c r="A809" t="n">
        <v>135</v>
      </c>
      <c r="B809" t="n">
        <v>4</v>
      </c>
      <c r="C809" t="inlineStr">
        <is>
          <t>GT_CT10.txt</t>
        </is>
      </c>
      <c r="D809" s="3" t="inlineStr">
        <is>
          <t>Pertemuan 10: Struktur Kontrol — Percabangan</t>
        </is>
      </c>
      <c r="E809" t="n">
        <v>0.7574</v>
      </c>
      <c r="F809" t="inlineStr">
        <is>
          <t>✓</t>
        </is>
      </c>
      <c r="G809" t="inlineStr">
        <is>
          <t>✓</t>
        </is>
      </c>
      <c r="H809" s="3" t="inlineStr">
        <is>
          <t xml:space="preserve">n (Loop): digunakan ketika algoritme perlu mengulang pelaksanaan instruksi tertentu sampai suatu kondisi yang ditetapkan terpenuhi.  Pertemuan ini berfokus pada pembahasan struktur kontrol percabangan secara mendalam.   </t>
        </is>
      </c>
    </row>
    <row r="810">
      <c r="A810" t="n">
        <v>135</v>
      </c>
      <c r="B810" t="n">
        <v>5</v>
      </c>
      <c r="C810" t="inlineStr">
        <is>
          <t>GT_DETAIL_PT11_Perulangan.txt</t>
        </is>
      </c>
      <c r="D810" s="3" t="inlineStr">
        <is>
          <t>Pertemuan 11: Struktur Kontrol — Perulangan</t>
        </is>
      </c>
      <c r="E810" t="n">
        <v>0.7573</v>
      </c>
      <c r="F810" t="inlineStr">
        <is>
          <t>✓</t>
        </is>
      </c>
      <c r="G810" t="inlineStr">
        <is>
          <t>✓</t>
        </is>
      </c>
      <c r="H810" s="3" t="inlineStr">
        <is>
          <t xml:space="preserve">AL 11 — DO-WHILE vs WHILE] Apa perbedaan output dari dua pseudocode berikut? Kode A:   i = 10   while i &lt; 5 do     print(i)     i = i + 1  Kode B:   i = 10   do     print(i)     i = i + 1   while i &lt; 5  JAWABAN: Kode A: </t>
        </is>
      </c>
    </row>
    <row r="811">
      <c r="A811" t="n">
        <v>135</v>
      </c>
      <c r="B811" t="n">
        <v>6</v>
      </c>
      <c r="C811" t="inlineStr">
        <is>
          <t>GT_SUBTOPIK_05_Pseudocode_Algoritme.txt</t>
        </is>
      </c>
      <c r="D811" s="3" t="inlineStr">
        <is>
          <t>Subtopik: Pseudocode dan Notasi Algoritme</t>
        </is>
      </c>
      <c r="E811" t="n">
        <v>0.7524999999999999</v>
      </c>
      <c r="F811" t="inlineStr">
        <is>
          <t>✓</t>
        </is>
      </c>
      <c r="G811" t="inlineStr">
        <is>
          <t>✓</t>
        </is>
      </c>
      <c r="H811" s="3" t="inlineStr">
        <is>
          <t xml:space="preserve">,12),(15,17),(18,20) → p=6  [SOAL 3 — Pseudocode: Cek Prima] Tulis pseudocode untuk mengecek apakah bilangan n prima!  JAWABAN: Input : bilangan bulat n Output: "prima" atau "bukan prima"    read(n)   if (n &lt;= 1) then   </t>
        </is>
      </c>
    </row>
    <row r="812">
      <c r="A812" t="n">
        <v>136</v>
      </c>
      <c r="B812" t="n">
        <v>1</v>
      </c>
      <c r="C812" t="inlineStr">
        <is>
          <t>GT_SUBTOPIK_07_Percabangan_Trace.txt</t>
        </is>
      </c>
      <c r="D812" s="3" t="inlineStr">
        <is>
          <t>Subtopik: Percabangan — Analisis Kasus dan Trace Kode</t>
        </is>
      </c>
      <c r="E812" t="n">
        <v>0.8477</v>
      </c>
      <c r="F812" t="inlineStr">
        <is>
          <t>✓</t>
        </is>
      </c>
      <c r="G812" t="inlineStr">
        <is>
          <t>✓</t>
        </is>
      </c>
      <c r="H812" s="3" t="inlineStr">
        <is>
          <t>a, b)   if (a &gt; b) then     selisih = a - b   else     selisih = b - a   print(selisih)  JAWABAN: Kondisi: a &gt; b → 5 &gt; 12 → False Eksekusi blok else: selisih = 12 - 5 = 7 print(7) Output: 7  [SOAL 3 — Trace Else-If: Huru</t>
        </is>
      </c>
    </row>
    <row r="813">
      <c r="A813" t="n">
        <v>136</v>
      </c>
      <c r="B813" t="n">
        <v>2</v>
      </c>
      <c r="C813" t="inlineStr">
        <is>
          <t>GT_CT10.txt</t>
        </is>
      </c>
      <c r="D813" s="3" t="inlineStr">
        <is>
          <t>Pertemuan 10: Struktur Kontrol — Percabangan</t>
        </is>
      </c>
      <c r="E813" t="n">
        <v>0.8427</v>
      </c>
      <c r="F813" t="inlineStr">
        <is>
          <t>✓</t>
        </is>
      </c>
      <c r="G813" t="inlineStr">
        <is>
          <t>✓</t>
        </is>
      </c>
      <c r="H813" s="3" t="inlineStr">
        <is>
          <t>n b. Pseudocode:     read(a, b)     if (a &gt; b) then         selisih = a - b     else         selisih = b - a     print(selisih)  3. Mencari Maksimum 3 Bilangan: Input: tiga bilangan a, b, dan c. Output: bilangan terbesar</t>
        </is>
      </c>
    </row>
    <row r="814">
      <c r="A814" t="n">
        <v>136</v>
      </c>
      <c r="B814" t="n">
        <v>3</v>
      </c>
      <c r="C814" t="inlineStr">
        <is>
          <t>GT_DETAIL_PT10_Percabangan.txt</t>
        </is>
      </c>
      <c r="D814" s="3" t="inlineStr">
        <is>
          <t>Pertemuan 10: Struktur Kontrol — Percabangan</t>
        </is>
      </c>
      <c r="E814" t="n">
        <v>0.8137</v>
      </c>
      <c r="F814" t="inlineStr">
        <is>
          <t>✓</t>
        </is>
      </c>
      <c r="G814" t="inlineStr">
        <is>
          <t>✓</t>
        </is>
      </c>
      <c r="H814" s="3" t="inlineStr">
        <is>
          <t>ode 1 (else-if):   read(a, b, c)   if (a &gt;= b and a &gt;= c) then print(a)   else if (b &gt;= c and b &gt;= a) then print(b)   else print(c)  Metode 2 (variabel bantu):   read(a, b, c)   maks = a   if (b &gt; maks) then maks = b   i</t>
        </is>
      </c>
    </row>
    <row r="815">
      <c r="A815" t="n">
        <v>136</v>
      </c>
      <c r="B815" t="n">
        <v>4</v>
      </c>
      <c r="C815" t="inlineStr">
        <is>
          <t>GT_SUBTOPIK_07_Percabangan_Trace.txt</t>
        </is>
      </c>
      <c r="D815" s="3" t="inlineStr">
        <is>
          <t>Subtopik: Percabangan — Analisis Kasus dan Trace Kode</t>
        </is>
      </c>
      <c r="E815" t="n">
        <v>0.8115</v>
      </c>
      <c r="F815" t="inlineStr">
        <is>
          <t>✓</t>
        </is>
      </c>
      <c r="G815" t="inlineStr">
        <is>
          <t>✓</t>
        </is>
      </c>
      <c r="H815" s="3" t="inlineStr">
        <is>
          <t>rint("z")   else     print("y")  JAWABAN: Awal: x=6, y=3, z=9 Kondisi 1: x &gt; y → 6 &gt; 3 → True → x = 6-3 = 3 State: x=3, y=3, z=9  Kondisi 2: z &gt; x → 9 &gt; 3 → True → z = 9-3 = 6 State: x=3, y=3, z=6  Kondisi 3: x &gt; z → 3 &gt;</t>
        </is>
      </c>
    </row>
    <row r="816">
      <c r="A816" t="n">
        <v>136</v>
      </c>
      <c r="B816" t="n">
        <v>5</v>
      </c>
      <c r="C816" t="inlineStr">
        <is>
          <t>GT_DETAIL_PT11_Perulangan.txt</t>
        </is>
      </c>
      <c r="D816" s="3" t="inlineStr">
        <is>
          <t>Pertemuan 11: Struktur Kontrol — Perulangan</t>
        </is>
      </c>
      <c r="E816" t="n">
        <v>0.7968</v>
      </c>
      <c r="F816" t="inlineStr">
        <is>
          <t>✓</t>
        </is>
      </c>
      <c r="G816" t="inlineStr">
        <is>
          <t>✓</t>
        </is>
      </c>
      <c r="H816" s="3" t="inlineStr">
        <is>
          <t>ount = count + 1     read(nilai)   if (count &gt; 0) then     print(sum / count)   else     print("Tidak ada data")  [SOAL 7 — Nested Loop: Segitiga Bintang] Cetak segitiga bintang seperti ini untuk tinggi = 4: * ** *** ***</t>
        </is>
      </c>
    </row>
    <row r="817">
      <c r="A817" t="n">
        <v>136</v>
      </c>
      <c r="B817" t="n">
        <v>6</v>
      </c>
      <c r="C817" t="inlineStr">
        <is>
          <t>GT_CT10.txt</t>
        </is>
      </c>
      <c r="D817" s="3" t="inlineStr">
        <is>
          <t>Pertemuan 10: Struktur Kontrol — Percabangan</t>
        </is>
      </c>
      <c r="E817" t="n">
        <v>0.7963</v>
      </c>
      <c r="F817" t="inlineStr">
        <is>
          <t>✓</t>
        </is>
      </c>
      <c r="G817" t="inlineStr">
        <is>
          <t>✓</t>
        </is>
      </c>
      <c r="H817" s="3" t="inlineStr">
        <is>
          <t xml:space="preserve">an:  Bentuk 1 — Bersarang Biasa (nested if di dalam if): Kondisi kedua diperiksa hanya jika kondisi pertama bernilai benar.     if (kondisi-1) then         if (kondisi-2) then             instruksi-1         else        </t>
        </is>
      </c>
    </row>
    <row r="818">
      <c r="A818" t="n">
        <v>137</v>
      </c>
      <c r="B818" t="n">
        <v>1</v>
      </c>
      <c r="C818" t="inlineStr">
        <is>
          <t>GT_CT10.txt</t>
        </is>
      </c>
      <c r="D818" s="3" t="inlineStr">
        <is>
          <t>Pertemuan 10: Struktur Kontrol — Percabangan</t>
        </is>
      </c>
      <c r="E818" t="n">
        <v>0.765</v>
      </c>
      <c r="F818" t="inlineStr">
        <is>
          <t>✓</t>
        </is>
      </c>
      <c r="G818" t="inlineStr">
        <is>
          <t>✓</t>
        </is>
      </c>
      <c r="H818" s="3" t="inlineStr">
        <is>
          <t xml:space="preserve">n (Loop): digunakan ketika algoritme perlu mengulang pelaksanaan instruksi tertentu sampai suatu kondisi yang ditetapkan terpenuhi.  Pertemuan ini berfokus pada pembahasan struktur kontrol percabangan secara mendalam.   </t>
        </is>
      </c>
    </row>
    <row r="819">
      <c r="A819" t="n">
        <v>137</v>
      </c>
      <c r="B819" t="n">
        <v>2</v>
      </c>
      <c r="C819" t="inlineStr">
        <is>
          <t>GT_CT07.txt</t>
        </is>
      </c>
      <c r="D819" s="3" t="inlineStr">
        <is>
          <t>Pertemuan 7: Algoritme — Notasi Algoritme</t>
        </is>
      </c>
      <c r="E819" t="n">
        <v>0.763</v>
      </c>
      <c r="F819" t="inlineStr">
        <is>
          <t>✓</t>
        </is>
      </c>
      <c r="G819" t="inlineStr">
        <is>
          <t>✓</t>
        </is>
      </c>
      <c r="H819" s="3" t="inlineStr">
        <is>
          <t>an nilai alas dengan tinggi, lalu hasilnya dibagi dua.  2. Pseudocode: Pseudocode adalah cara informal untuk menuliskan algoritme atau rancangan program komputer. Tujuan utama pseudocode adalah untuk mendapatkan ide seca</t>
        </is>
      </c>
    </row>
    <row r="820">
      <c r="A820" t="n">
        <v>137</v>
      </c>
      <c r="B820" t="n">
        <v>3</v>
      </c>
      <c r="C820" t="inlineStr">
        <is>
          <t>GT_DETAIL_PT10_Percabangan.txt</t>
        </is>
      </c>
      <c r="D820" s="3" t="inlineStr">
        <is>
          <t>Pertemuan 10: Struktur Kontrol — Percabangan</t>
        </is>
      </c>
      <c r="E820" t="n">
        <v>0.759</v>
      </c>
      <c r="F820" t="inlineStr">
        <is>
          <t>✓</t>
        </is>
      </c>
      <c r="G820" t="inlineStr">
        <is>
          <t>✓</t>
        </is>
      </c>
      <c r="H820" s="3" t="inlineStr">
        <is>
          <t>------------ CONTOH SOAL DAN PEMBAHASAN ----------------------------------------------------------------  [SOAL 1 — Maks 2 Bilangan] Tuliskan pseudocode untuk menentukan bilangan terbesar dari dua bilangan a dan b!  JAWA</t>
        </is>
      </c>
    </row>
    <row r="821">
      <c r="A821" t="n">
        <v>137</v>
      </c>
      <c r="B821" t="n">
        <v>4</v>
      </c>
      <c r="C821" t="inlineStr">
        <is>
          <t>GT_CT09.txt</t>
        </is>
      </c>
      <c r="D821" s="3" t="inlineStr">
        <is>
          <t>Pertemuan 9: Elemen Pseudocode — Variabel, Operator, Tipe Data, dan List</t>
        </is>
      </c>
      <c r="E821" t="n">
        <v>0.7567</v>
      </c>
      <c r="F821" t="inlineStr">
        <is>
          <t>✓</t>
        </is>
      </c>
      <c r="G821" t="inlineStr">
        <is>
          <t>✓</t>
        </is>
      </c>
      <c r="H821" s="3" t="inlineStr">
        <is>
          <t>h atau operasi yang dilakukan. 5. Struktur Kendali: mekanisme pengaturan alur eksekusi algoritme.  Pertemuan ini berfokus pada pembahasan mendalam terhadap variabel, instruksi, assignment, tipe data, dan operator sebagai</t>
        </is>
      </c>
    </row>
    <row r="822">
      <c r="A822" t="n">
        <v>137</v>
      </c>
      <c r="B822" t="n">
        <v>5</v>
      </c>
      <c r="C822" t="inlineStr">
        <is>
          <t>GT_SUBTOPIK_05_Pseudocode_Algoritme.txt</t>
        </is>
      </c>
      <c r="D822" s="3" t="inlineStr">
        <is>
          <t>Subtopik: Pseudocode dan Notasi Algoritme</t>
        </is>
      </c>
      <c r="E822" t="n">
        <v>0.754</v>
      </c>
      <c r="F822" t="inlineStr">
        <is>
          <t>✓</t>
        </is>
      </c>
      <c r="G822" t="inlineStr">
        <is>
          <t>✓</t>
        </is>
      </c>
      <c r="H822" s="3" t="inlineStr">
        <is>
          <t>)   : eksponensial (brute force kombinasi)  ---------------------------------------------------------------- CONTOH SOAL DAN PEMBAHASAN ----------------------------------------------------------------  [SOAL 1 — Pseudoco</t>
        </is>
      </c>
    </row>
    <row r="823">
      <c r="A823" t="n">
        <v>137</v>
      </c>
      <c r="B823" t="n">
        <v>6</v>
      </c>
      <c r="C823" t="inlineStr">
        <is>
          <t>GT_DETAIL_PT11_Perulangan.txt</t>
        </is>
      </c>
      <c r="D823" s="3" t="inlineStr">
        <is>
          <t>Pertemuan 11: Struktur Kontrol — Perulangan</t>
        </is>
      </c>
      <c r="E823" t="n">
        <v>0.7347</v>
      </c>
      <c r="F823" t="inlineStr">
        <is>
          <t>✓</t>
        </is>
      </c>
      <c r="G823" t="inlineStr">
        <is>
          <t>✓</t>
        </is>
      </c>
      <c r="H823" s="3" t="inlineStr">
        <is>
          <t xml:space="preserve">AL 11 — DO-WHILE vs WHILE] Apa perbedaan output dari dua pseudocode berikut? Kode A:   i = 10   while i &lt; 5 do     print(i)     i = i + 1  Kode B:   i = 10   do     print(i)     i = i + 1   while i &lt; 5  JAWABAN: Kode A: </t>
        </is>
      </c>
    </row>
    <row r="824">
      <c r="A824" t="n">
        <v>138</v>
      </c>
      <c r="B824" t="n">
        <v>1</v>
      </c>
      <c r="C824" t="inlineStr">
        <is>
          <t>GT_CT11.txt</t>
        </is>
      </c>
      <c r="D824" s="3" t="inlineStr">
        <is>
          <t>Pertemuan 11: Algoritme — Struktur Kontrol Perulangan</t>
        </is>
      </c>
      <c r="E824" t="n">
        <v>0.7988</v>
      </c>
      <c r="F824" t="inlineStr">
        <is>
          <t>✓</t>
        </is>
      </c>
      <c r="G824" t="inlineStr">
        <is>
          <t>✓</t>
        </is>
      </c>
      <c r="H824" s="3" t="inlineStr">
        <is>
          <t>2: x = 0; for i = 1 to 10 do; print(x); x = x + 2   ---------------------------------------------------------------- [MATERI 3: Iterasi Berdasarkan Kondisi (Perulangan "while")] ------------------------------------------</t>
        </is>
      </c>
    </row>
    <row r="825">
      <c r="A825" t="n">
        <v>138</v>
      </c>
      <c r="B825" t="n">
        <v>2</v>
      </c>
      <c r="C825" t="inlineStr">
        <is>
          <t>GT_CT07.txt</t>
        </is>
      </c>
      <c r="D825" s="3" t="inlineStr">
        <is>
          <t>Pertemuan 7: Algoritme — Notasi Algoritme</t>
        </is>
      </c>
      <c r="E825" t="n">
        <v>0.7969000000000001</v>
      </c>
      <c r="F825" t="inlineStr">
        <is>
          <t>✓</t>
        </is>
      </c>
      <c r="G825" t="inlineStr">
        <is>
          <t>✓</t>
        </is>
      </c>
      <c r="H825" s="3" t="inlineStr">
        <is>
          <t>an nilai alas dengan tinggi, lalu hasilnya dibagi dua.  2. Pseudocode: Pseudocode adalah cara informal untuk menuliskan algoritme atau rancangan program komputer. Tujuan utama pseudocode adalah untuk mendapatkan ide seca</t>
        </is>
      </c>
    </row>
    <row r="826">
      <c r="A826" t="n">
        <v>138</v>
      </c>
      <c r="B826" t="n">
        <v>3</v>
      </c>
      <c r="C826" t="inlineStr">
        <is>
          <t>GT_DETAIL_PT10_Percabangan.txt</t>
        </is>
      </c>
      <c r="D826" s="3" t="inlineStr">
        <is>
          <t>Pertemuan 10: Struktur Kontrol — Percabangan</t>
        </is>
      </c>
      <c r="E826" t="n">
        <v>0.776</v>
      </c>
      <c r="F826" t="inlineStr">
        <is>
          <t>✓</t>
        </is>
      </c>
      <c r="G826" t="inlineStr">
        <is>
          <t>✓</t>
        </is>
      </c>
      <c r="H826" s="3" t="inlineStr">
        <is>
          <t>------------ CONTOH SOAL DAN PEMBAHASAN ----------------------------------------------------------------  [SOAL 1 — Maks 2 Bilangan] Tuliskan pseudocode untuk menentukan bilangan terbesar dari dua bilangan a dan b!  JAWA</t>
        </is>
      </c>
    </row>
    <row r="827">
      <c r="A827" t="n">
        <v>138</v>
      </c>
      <c r="B827" t="n">
        <v>4</v>
      </c>
      <c r="C827" t="inlineStr">
        <is>
          <t>GT_CT10.txt</t>
        </is>
      </c>
      <c r="D827" s="3" t="inlineStr">
        <is>
          <t>Pertemuan 10: Struktur Kontrol — Percabangan</t>
        </is>
      </c>
      <c r="E827" t="n">
        <v>0.7727000000000001</v>
      </c>
      <c r="F827" t="inlineStr">
        <is>
          <t>✓</t>
        </is>
      </c>
      <c r="G827" t="inlineStr">
        <is>
          <t>✓</t>
        </is>
      </c>
      <c r="H827" s="3" t="inlineStr">
        <is>
          <t xml:space="preserve">n (Loop): digunakan ketika algoritme perlu mengulang pelaksanaan instruksi tertentu sampai suatu kondisi yang ditetapkan terpenuhi.  Pertemuan ini berfokus pada pembahasan struktur kontrol percabangan secara mendalam.   </t>
        </is>
      </c>
    </row>
    <row r="828">
      <c r="A828" t="n">
        <v>138</v>
      </c>
      <c r="B828" t="n">
        <v>5</v>
      </c>
      <c r="C828" t="inlineStr">
        <is>
          <t>GT_DETAIL_PT07_Notasi_Algoritme.txt</t>
        </is>
      </c>
      <c r="D828" s="3" t="inlineStr">
        <is>
          <t>Pertemuan 7: Algoritme — Notasi Algoritme</t>
        </is>
      </c>
      <c r="E828" t="n">
        <v>0.7512</v>
      </c>
      <c r="F828" t="inlineStr">
        <is>
          <t>✓</t>
        </is>
      </c>
      <c r="G828" t="inlineStr">
        <is>
          <t>✓</t>
        </is>
      </c>
      <c r="H828" s="3" t="inlineStr">
        <is>
          <t>perasinya linear)  c) Rata-rata n bilangan: baca semua n bilangan + 1 pembagian → O(n) [linear]  [SOAL 5 — Pseudocode: Pesan Sandi] Tuliskan pseudocode untuk MENDEKRIPSI pesan yang dienkripsi dengan tiga langkah: (1) bal</t>
        </is>
      </c>
    </row>
    <row r="829">
      <c r="A829" t="n">
        <v>138</v>
      </c>
      <c r="B829" t="n">
        <v>6</v>
      </c>
      <c r="C829" t="inlineStr">
        <is>
          <t>GT_SUBTOPIK_05_Pseudocode_Algoritme.txt</t>
        </is>
      </c>
      <c r="D829" s="3" t="inlineStr">
        <is>
          <t>Subtopik: Pseudocode dan Notasi Algoritme</t>
        </is>
      </c>
      <c r="E829" t="n">
        <v>0.7489</v>
      </c>
      <c r="F829" t="inlineStr">
        <is>
          <t>✓</t>
        </is>
      </c>
      <c r="G829" t="inlineStr">
        <is>
          <t>✓</t>
        </is>
      </c>
      <c r="H829" s="3" t="inlineStr">
        <is>
          <t>)   : eksponensial (brute force kombinasi)  ---------------------------------------------------------------- CONTOH SOAL DAN PEMBAHASAN ----------------------------------------------------------------  [SOAL 1 — Pseudoco</t>
        </is>
      </c>
    </row>
    <row r="830">
      <c r="A830" t="n">
        <v>139</v>
      </c>
      <c r="B830" t="n">
        <v>1</v>
      </c>
      <c r="C830" t="inlineStr">
        <is>
          <t>GT_CT11.txt</t>
        </is>
      </c>
      <c r="D830" s="3" t="inlineStr">
        <is>
          <t>Pertemuan 11: Algoritme — Struktur Kontrol Perulangan</t>
        </is>
      </c>
      <c r="E830" t="n">
        <v>0.7977</v>
      </c>
      <c r="F830" t="inlineStr">
        <is>
          <t>✓</t>
        </is>
      </c>
      <c r="G830" t="inlineStr">
        <is>
          <t>✓</t>
        </is>
      </c>
      <c r="H830" s="3" t="inlineStr">
        <is>
          <t>2: x = 0; for i = 1 to 10 do; print(x); x = x + 2   ---------------------------------------------------------------- [MATERI 3: Iterasi Berdasarkan Kondisi (Perulangan "while")] ------------------------------------------</t>
        </is>
      </c>
    </row>
    <row r="831">
      <c r="A831" t="n">
        <v>139</v>
      </c>
      <c r="B831" t="n">
        <v>2</v>
      </c>
      <c r="C831" t="inlineStr">
        <is>
          <t>GT_DETAIL_PT11_Perulangan.txt</t>
        </is>
      </c>
      <c r="D831" s="3" t="inlineStr">
        <is>
          <t>Pertemuan 11: Struktur Kontrol — Perulangan</t>
        </is>
      </c>
      <c r="E831" t="n">
        <v>0.7831</v>
      </c>
      <c r="F831" t="inlineStr">
        <is>
          <t>✓</t>
        </is>
      </c>
      <c r="G831" t="inlineStr">
        <is>
          <t>✓</t>
        </is>
      </c>
      <c r="H831" s="3" t="inlineStr">
        <is>
          <t>an: - Kondisi dievaluasi SEBELUM body dijalankan - Jika kondisi False sejak awal → body tidak pernah dijalankan - Jika kondisi tidak pernah False → infinite loop (hindari!) - Body HARUS mengubah sesuatu yang mempengaruhi</t>
        </is>
      </c>
    </row>
    <row r="832">
      <c r="A832" t="n">
        <v>139</v>
      </c>
      <c r="B832" t="n">
        <v>3</v>
      </c>
      <c r="C832" t="inlineStr">
        <is>
          <t>GT_SUBTOPIK_14_Kompleksitas_BigO.txt</t>
        </is>
      </c>
      <c r="D832" s="3" t="inlineStr">
        <is>
          <t>Subtopik: Kompleksitas Algoritme (Big-O Notation)</t>
        </is>
      </c>
      <c r="E832" t="n">
        <v>0.7575</v>
      </c>
      <c r="F832" t="inlineStr">
        <is>
          <t>✓</t>
        </is>
      </c>
      <c r="G832" t="inlineStr">
        <is>
          <t>✓</t>
        </is>
      </c>
      <c r="H832" s="3" t="inlineStr">
        <is>
          <t>l yang terbesar: O(n^2 + n) = O(n^2)   3. Kalikan loop bersarang: O(n) dalam O(n) = O(n^2)  ---------------------------------------------------------------- CONTOH SOAL DAN PEMBAHASAN ------------------------------------</t>
        </is>
      </c>
    </row>
    <row r="833">
      <c r="A833" t="n">
        <v>139</v>
      </c>
      <c r="B833" t="n">
        <v>4</v>
      </c>
      <c r="C833" t="inlineStr">
        <is>
          <t>GT_SUBTOPIK_09_Nested_Loop.txt</t>
        </is>
      </c>
      <c r="D833" s="3" t="inlineStr">
        <is>
          <t>Subtopik: Perulangan Bersarang (Nested Loop)</t>
        </is>
      </c>
      <c r="E833" t="n">
        <v>0.7405</v>
      </c>
      <c r="F833" t="inlineStr">
        <is>
          <t>✓</t>
        </is>
      </c>
      <c r="G833" t="inlineStr">
        <is>
          <t>✓</t>
        </is>
      </c>
      <c r="H833" s="3" t="inlineStr">
        <is>
          <t xml:space="preserve">awah (tinggi=5)] * ** *** **** *****  JAWABAN:   for i = 1 to 5 do     for j = 1 to i do       print("*", end="")     print()  [SOAL 4 -- Segitiga Terbalik (tinggi=4)] **** *** ** *  JAWABAN:   for i = 4 to 1 step -1 do </t>
        </is>
      </c>
    </row>
    <row r="834">
      <c r="A834" t="n">
        <v>139</v>
      </c>
      <c r="B834" t="n">
        <v>5</v>
      </c>
      <c r="C834" t="inlineStr">
        <is>
          <t>GT_DETAIL_PT11_Perulangan.txt</t>
        </is>
      </c>
      <c r="D834" s="3" t="inlineStr">
        <is>
          <t>Pertemuan 11: Struktur Kontrol — Perulangan</t>
        </is>
      </c>
      <c r="E834" t="n">
        <v>0.7396</v>
      </c>
      <c r="F834" t="inlineStr">
        <is>
          <t>✓</t>
        </is>
      </c>
      <c r="G834" t="inlineStr">
        <is>
          <t>✓</t>
        </is>
      </c>
      <c r="H834" s="3" t="inlineStr">
        <is>
          <t xml:space="preserve">    sum = sum + x   print(sum)  [SOAL 3 — FOR: Bilangan Terkecil dan Terbesar] Input: integer n, lalu n bilangan. Output: nilai terkecil dan terbesar!  JAWABAN:   read(n)   read(pertama)   min = pertama   maks = pertama </t>
        </is>
      </c>
    </row>
    <row r="835">
      <c r="A835" t="n">
        <v>139</v>
      </c>
      <c r="B835" t="n">
        <v>6</v>
      </c>
      <c r="C835" t="inlineStr">
        <is>
          <t>GT_DETAIL_PT11_Perulangan.txt</t>
        </is>
      </c>
      <c r="D835" s="3" t="inlineStr">
        <is>
          <t>Pertemuan 11: Struktur Kontrol — Perulangan</t>
        </is>
      </c>
      <c r="E835" t="n">
        <v>0.7374000000000001</v>
      </c>
      <c r="F835" t="inlineStr">
        <is>
          <t>✓</t>
        </is>
      </c>
      <c r="G835" t="inlineStr">
        <is>
          <t>✓</t>
        </is>
      </c>
      <c r="H835" s="3" t="inlineStr">
        <is>
          <t>ount = count + 1     read(nilai)   if (count &gt; 0) then     print(sum / count)   else     print("Tidak ada data")  [SOAL 7 — Nested Loop: Segitiga Bintang] Cetak segitiga bintang seperti ini untuk tinggi = 4: * ** *** ***</t>
        </is>
      </c>
    </row>
    <row r="836">
      <c r="A836" t="n">
        <v>140</v>
      </c>
      <c r="B836" t="n">
        <v>1</v>
      </c>
      <c r="C836" t="inlineStr">
        <is>
          <t>GT_CT07.txt</t>
        </is>
      </c>
      <c r="D836" s="3" t="inlineStr">
        <is>
          <t>Pertemuan 7: Algoritme — Notasi Algoritme</t>
        </is>
      </c>
      <c r="E836" t="n">
        <v>0.7858000000000001</v>
      </c>
      <c r="F836" t="inlineStr">
        <is>
          <t>✓</t>
        </is>
      </c>
      <c r="G836" t="inlineStr">
        <is>
          <t>✓</t>
        </is>
      </c>
      <c r="H836" s="3" t="inlineStr">
        <is>
          <t>an nilai alas dengan tinggi, lalu hasilnya dibagi dua.  2. Pseudocode: Pseudocode adalah cara informal untuk menuliskan algoritme atau rancangan program komputer. Tujuan utama pseudocode adalah untuk mendapatkan ide seca</t>
        </is>
      </c>
    </row>
    <row r="837">
      <c r="A837" t="n">
        <v>140</v>
      </c>
      <c r="B837" t="n">
        <v>2</v>
      </c>
      <c r="C837" t="inlineStr">
        <is>
          <t>GT_DETAIL_PT10_Percabangan.txt</t>
        </is>
      </c>
      <c r="D837" s="3" t="inlineStr">
        <is>
          <t>Pertemuan 10: Struktur Kontrol — Percabangan</t>
        </is>
      </c>
      <c r="E837" t="n">
        <v>0.7784</v>
      </c>
      <c r="F837" t="inlineStr">
        <is>
          <t>✓</t>
        </is>
      </c>
      <c r="G837" t="inlineStr">
        <is>
          <t>✓</t>
        </is>
      </c>
      <c r="H837" s="3" t="inlineStr">
        <is>
          <t>------------ CONTOH SOAL DAN PEMBAHASAN ----------------------------------------------------------------  [SOAL 1 — Maks 2 Bilangan] Tuliskan pseudocode untuk menentukan bilangan terbesar dari dua bilangan a dan b!  JAWA</t>
        </is>
      </c>
    </row>
    <row r="838">
      <c r="A838" t="n">
        <v>140</v>
      </c>
      <c r="B838" t="n">
        <v>3</v>
      </c>
      <c r="C838" t="inlineStr">
        <is>
          <t>GT_DETAIL_PT07_Notasi_Algoritme.txt</t>
        </is>
      </c>
      <c r="D838" s="3" t="inlineStr">
        <is>
          <t>Pertemuan 7: Algoritme — Notasi Algoritme</t>
        </is>
      </c>
      <c r="E838" t="n">
        <v>0.7685</v>
      </c>
      <c r="F838" t="inlineStr">
        <is>
          <t>✓</t>
        </is>
      </c>
      <c r="G838" t="inlineStr">
        <is>
          <t>✓</t>
        </is>
      </c>
      <c r="H838" s="3" t="inlineStr">
        <is>
          <t>perasinya linear)  c) Rata-rata n bilangan: baca semua n bilangan + 1 pembagian → O(n) [linear]  [SOAL 5 — Pseudocode: Pesan Sandi] Tuliskan pseudocode untuk MENDEKRIPSI pesan yang dienkripsi dengan tiga langkah: (1) bal</t>
        </is>
      </c>
    </row>
    <row r="839">
      <c r="A839" t="n">
        <v>140</v>
      </c>
      <c r="B839" t="n">
        <v>4</v>
      </c>
      <c r="C839" t="inlineStr">
        <is>
          <t>GT_SUBTOPIK_05_Pseudocode_Algoritme.txt</t>
        </is>
      </c>
      <c r="D839" s="3" t="inlineStr">
        <is>
          <t>Subtopik: Pseudocode dan Notasi Algoritme</t>
        </is>
      </c>
      <c r="E839" t="n">
        <v>0.7589</v>
      </c>
      <c r="F839" t="inlineStr">
        <is>
          <t>✓</t>
        </is>
      </c>
      <c r="G839" t="inlineStr">
        <is>
          <t>✓</t>
        </is>
      </c>
      <c r="H839" s="3" t="inlineStr">
        <is>
          <t xml:space="preserve">,12),(15,17),(18,20) → p=6  [SOAL 3 — Pseudocode: Cek Prima] Tulis pseudocode untuk mengecek apakah bilangan n prima!  JAWABAN: Input : bilangan bulat n Output: "prima" atau "bukan prima"    read(n)   if (n &lt;= 1) then   </t>
        </is>
      </c>
    </row>
    <row r="840">
      <c r="A840" t="n">
        <v>140</v>
      </c>
      <c r="B840" t="n">
        <v>5</v>
      </c>
      <c r="C840" t="inlineStr">
        <is>
          <t>GT_CT07.txt</t>
        </is>
      </c>
      <c r="D840" s="3" t="inlineStr">
        <is>
          <t>Pertemuan 7: Algoritme — Notasi Algoritme</t>
        </is>
      </c>
      <c r="E840" t="n">
        <v>0.757</v>
      </c>
      <c r="F840" t="inlineStr">
        <is>
          <t>✓</t>
        </is>
      </c>
      <c r="G840" t="inlineStr">
        <is>
          <t>✓</t>
        </is>
      </c>
      <c r="H840" s="3" t="inlineStr">
        <is>
          <t>mbigu, artinya setiap tahap hanya memiliki satu makna yang pasti. 3. Finiteness, yaitu memiliki batas jumlah langkah yang terhingga dan tidak berjalan selamanya. 4. Feasibility, artinya sesuai dengan sumber daya yang ter</t>
        </is>
      </c>
    </row>
    <row r="841">
      <c r="A841" t="n">
        <v>140</v>
      </c>
      <c r="B841" t="n">
        <v>6</v>
      </c>
      <c r="C841" t="inlineStr">
        <is>
          <t>GT_DETAIL_PT11_Perulangan.txt</t>
        </is>
      </c>
      <c r="D841" s="3" t="inlineStr">
        <is>
          <t>Pertemuan 11: Struktur Kontrol — Perulangan</t>
        </is>
      </c>
      <c r="E841" t="n">
        <v>0.7566000000000001</v>
      </c>
      <c r="F841" t="inlineStr">
        <is>
          <t>✓</t>
        </is>
      </c>
      <c r="G841" t="inlineStr">
        <is>
          <t>✓</t>
        </is>
      </c>
      <c r="H841" s="3" t="inlineStr">
        <is>
          <t xml:space="preserve">AL 11 — DO-WHILE vs WHILE] Apa perbedaan output dari dua pseudocode berikut? Kode A:   i = 10   while i &lt; 5 do     print(i)     i = i + 1  Kode B:   i = 10   do     print(i)     i = i + 1   while i &lt; 5  JAWABAN: Kode A: </t>
        </is>
      </c>
    </row>
    <row r="842">
      <c r="A842" t="n">
        <v>141</v>
      </c>
      <c r="B842" t="n">
        <v>1</v>
      </c>
      <c r="C842" t="inlineStr">
        <is>
          <t>GT_DETAIL_PT10_Percabangan.txt</t>
        </is>
      </c>
      <c r="D842" s="3" t="inlineStr">
        <is>
          <t>Pertemuan 10: Struktur Kontrol — Percabangan</t>
        </is>
      </c>
      <c r="E842" t="n">
        <v>0.8079</v>
      </c>
      <c r="F842" t="inlineStr">
        <is>
          <t>✓</t>
        </is>
      </c>
      <c r="G842" t="inlineStr">
        <is>
          <t>✓</t>
        </is>
      </c>
      <c r="H842" s="3" t="inlineStr">
        <is>
          <t>------------ CONTOH SOAL DAN PEMBAHASAN ----------------------------------------------------------------  [SOAL 1 — Maks 2 Bilangan] Tuliskan pseudocode untuk menentukan bilangan terbesar dari dua bilangan a dan b!  JAWA</t>
        </is>
      </c>
    </row>
    <row r="843">
      <c r="A843" t="n">
        <v>141</v>
      </c>
      <c r="B843" t="n">
        <v>2</v>
      </c>
      <c r="C843" t="inlineStr">
        <is>
          <t>GT_DETAIL_PT07_Notasi_Algoritme.txt</t>
        </is>
      </c>
      <c r="D843" s="3" t="inlineStr">
        <is>
          <t>Pertemuan 7: Algoritme — Notasi Algoritme</t>
        </is>
      </c>
      <c r="E843" t="n">
        <v>0.8047</v>
      </c>
      <c r="F843" t="inlineStr">
        <is>
          <t>✓</t>
        </is>
      </c>
      <c r="G843" t="inlineStr">
        <is>
          <t>✓</t>
        </is>
      </c>
      <c r="H843" s="3" t="inlineStr">
        <is>
          <t>perasinya linear)  c) Rata-rata n bilangan: baca semua n bilangan + 1 pembagian → O(n) [linear]  [SOAL 5 — Pseudocode: Pesan Sandi] Tuliskan pseudocode untuk MENDEKRIPSI pesan yang dienkripsi dengan tiga langkah: (1) bal</t>
        </is>
      </c>
    </row>
    <row r="844">
      <c r="A844" t="n">
        <v>141</v>
      </c>
      <c r="B844" t="n">
        <v>3</v>
      </c>
      <c r="C844" t="inlineStr">
        <is>
          <t>GT_CT10.txt</t>
        </is>
      </c>
      <c r="D844" s="3" t="inlineStr">
        <is>
          <t>Pertemuan 10: Struktur Kontrol — Percabangan</t>
        </is>
      </c>
      <c r="E844" t="n">
        <v>0.7932</v>
      </c>
      <c r="F844" t="inlineStr">
        <is>
          <t>✓</t>
        </is>
      </c>
      <c r="G844" t="inlineStr">
        <is>
          <t>✓</t>
        </is>
      </c>
      <c r="H844" s="3" t="inlineStr">
        <is>
          <t xml:space="preserve">n (Loop): digunakan ketika algoritme perlu mengulang pelaksanaan instruksi tertentu sampai suatu kondisi yang ditetapkan terpenuhi.  Pertemuan ini berfokus pada pembahasan struktur kontrol percabangan secara mendalam.   </t>
        </is>
      </c>
    </row>
    <row r="845">
      <c r="A845" t="n">
        <v>141</v>
      </c>
      <c r="B845" t="n">
        <v>4</v>
      </c>
      <c r="C845" t="inlineStr">
        <is>
          <t>GT_CT07.txt</t>
        </is>
      </c>
      <c r="D845" s="3" t="inlineStr">
        <is>
          <t>Pertemuan 7: Algoritme — Notasi Algoritme</t>
        </is>
      </c>
      <c r="E845" t="n">
        <v>0.7913</v>
      </c>
      <c r="F845" t="inlineStr">
        <is>
          <t>✓</t>
        </is>
      </c>
      <c r="G845" t="inlineStr">
        <is>
          <t>✓</t>
        </is>
      </c>
      <c r="H845" s="3" t="inlineStr">
        <is>
          <t>an nilai alas dengan tinggi, lalu hasilnya dibagi dua.  2. Pseudocode: Pseudocode adalah cara informal untuk menuliskan algoritme atau rancangan program komputer. Tujuan utama pseudocode adalah untuk mendapatkan ide seca</t>
        </is>
      </c>
    </row>
    <row r="846">
      <c r="A846" t="n">
        <v>141</v>
      </c>
      <c r="B846" t="n">
        <v>5</v>
      </c>
      <c r="C846" t="inlineStr">
        <is>
          <t>GT_DETAIL_PT11_Perulangan.txt</t>
        </is>
      </c>
      <c r="D846" s="3" t="inlineStr">
        <is>
          <t>Pertemuan 11: Struktur Kontrol — Perulangan</t>
        </is>
      </c>
      <c r="E846" t="n">
        <v>0.78</v>
      </c>
      <c r="F846" t="inlineStr">
        <is>
          <t>✓</t>
        </is>
      </c>
      <c r="G846" t="inlineStr">
        <is>
          <t>✓</t>
        </is>
      </c>
      <c r="H846" s="3" t="inlineStr">
        <is>
          <t>selalu dijalankan MINIMAL SATU KALI  F. PERULANGAN BERSARANG (NESTED LOOP)  Konsep: perulangan di dalam perulangan. - Setiap 1 iterasi luar → dalam menyelesaikan SEMUA iterasinya - Total iterasi = iterasi_luar × iterasi_</t>
        </is>
      </c>
    </row>
    <row r="847">
      <c r="A847" t="n">
        <v>141</v>
      </c>
      <c r="B847" t="n">
        <v>6</v>
      </c>
      <c r="C847" t="inlineStr">
        <is>
          <t>GT_SUBTOPIK_05_Pseudocode_Algoritme.txt</t>
        </is>
      </c>
      <c r="D847" s="3" t="inlineStr">
        <is>
          <t>Subtopik: Pseudocode dan Notasi Algoritme</t>
        </is>
      </c>
      <c r="E847" t="n">
        <v>0.7795</v>
      </c>
      <c r="F847" t="inlineStr">
        <is>
          <t>✓</t>
        </is>
      </c>
      <c r="G847" t="inlineStr">
        <is>
          <t>✓</t>
        </is>
      </c>
      <c r="H847" s="3" t="inlineStr">
        <is>
          <t xml:space="preserve">,12),(15,17),(18,20) → p=6  [SOAL 3 — Pseudocode: Cek Prima] Tulis pseudocode untuk mengecek apakah bilangan n prima!  JAWABAN: Input : bilangan bulat n Output: "prima" atau "bukan prima"    read(n)   if (n &lt;= 1) then   </t>
        </is>
      </c>
    </row>
    <row r="848">
      <c r="A848" t="n">
        <v>142</v>
      </c>
      <c r="B848" t="n">
        <v>1</v>
      </c>
      <c r="C848" t="inlineStr">
        <is>
          <t>GT_CT11.txt</t>
        </is>
      </c>
      <c r="D848" s="3" t="inlineStr">
        <is>
          <t>Pertemuan 11: Algoritme — Struktur Kontrol Perulangan</t>
        </is>
      </c>
      <c r="E848" t="n">
        <v>0.8308</v>
      </c>
      <c r="F848" t="inlineStr">
        <is>
          <t>✓</t>
        </is>
      </c>
      <c r="G848" t="inlineStr">
        <is>
          <t>✓</t>
        </is>
      </c>
      <c r="H848" s="3" t="inlineStr">
        <is>
          <t xml:space="preserve"> nilai &lt;langkah&gt; diasumsikan sebesar 1.  Kompleksitas waktu perulangan for untuk mencetak 1 hingga n adalah linear, yaitu O(n), karena jumlah operasi bertumbuh sebanding dengan nilai n.  Berikut adalah beberapa contoh pe</t>
        </is>
      </c>
    </row>
    <row r="849">
      <c r="A849" t="n">
        <v>142</v>
      </c>
      <c r="B849" t="n">
        <v>2</v>
      </c>
      <c r="C849" t="inlineStr">
        <is>
          <t>GT_DETAIL_PT11_Perulangan.txt</t>
        </is>
      </c>
      <c r="D849" s="3" t="inlineStr">
        <is>
          <t>Pertemuan 11: Struktur Kontrol — Perulangan</t>
        </is>
      </c>
      <c r="E849" t="n">
        <v>0.8219</v>
      </c>
      <c r="F849" t="inlineStr">
        <is>
          <t>✓</t>
        </is>
      </c>
      <c r="G849" t="inlineStr">
        <is>
          <t>✓</t>
        </is>
      </c>
      <c r="H849" s="3" t="inlineStr">
        <is>
          <t>selalu dijalankan MINIMAL SATU KALI  F. PERULANGAN BERSARANG (NESTED LOOP)  Konsep: perulangan di dalam perulangan. - Setiap 1 iterasi luar → dalam menyelesaikan SEMUA iterasinya - Total iterasi = iterasi_luar × iterasi_</t>
        </is>
      </c>
    </row>
    <row r="850">
      <c r="A850" t="n">
        <v>142</v>
      </c>
      <c r="B850" t="n">
        <v>3</v>
      </c>
      <c r="C850" t="inlineStr">
        <is>
          <t>GT_DETAIL_PT11_Perulangan.txt</t>
        </is>
      </c>
      <c r="D850" s="3" t="inlineStr">
        <is>
          <t>Pertemuan 11: Struktur Kontrol — Perulangan</t>
        </is>
      </c>
      <c r="E850" t="n">
        <v>0.8175</v>
      </c>
      <c r="F850" t="inlineStr">
        <is>
          <t>✓</t>
        </is>
      </c>
      <c r="G850" t="inlineStr">
        <is>
          <t>✓</t>
        </is>
      </c>
      <c r="H850" s="3" t="inlineStr">
        <is>
          <t xml:space="preserve">AL 11 — DO-WHILE vs WHILE] Apa perbedaan output dari dua pseudocode berikut? Kode A:   i = 10   while i &lt; 5 do     print(i)     i = i + 1  Kode B:   i = 10   do     print(i)     i = i + 1   while i &lt; 5  JAWABAN: Kode A: </t>
        </is>
      </c>
    </row>
    <row r="851">
      <c r="A851" t="n">
        <v>142</v>
      </c>
      <c r="B851" t="n">
        <v>4</v>
      </c>
      <c r="C851" t="inlineStr">
        <is>
          <t>GT_SUBTOPIK_04_Modulo_Siklus.txt</t>
        </is>
      </c>
      <c r="D851" s="3" t="inlineStr">
        <is>
          <t>Subtopik: Pattern Recognition — Modulo dan Siklus</t>
        </is>
      </c>
      <c r="E851" t="n">
        <v>0.8159</v>
      </c>
      <c r="F851" t="inlineStr">
        <is>
          <t>✓</t>
        </is>
      </c>
      <c r="G851" t="inlineStr">
        <is>
          <t>✓</t>
        </is>
      </c>
      <c r="H851" s="3" t="inlineStr">
        <is>
          <t>1×24 = 1000 - 984 = 16 08:00 + 16 jam = 24:00 = 00:00 (tengah malam) JAWABAN: Jam 00:00 (tengah malam)  [SOAL 5 — Masalah Coklat Bebek dengan Modulo] Dengan pola deret segitiga n(n+1)/2, tuliskan pseudocode untuk mencari</t>
        </is>
      </c>
    </row>
    <row r="852">
      <c r="A852" t="n">
        <v>142</v>
      </c>
      <c r="B852" t="n">
        <v>5</v>
      </c>
      <c r="C852" t="inlineStr">
        <is>
          <t>GT_SUBTOPIK_05_Pseudocode_Algoritme.txt</t>
        </is>
      </c>
      <c r="D852" s="3" t="inlineStr">
        <is>
          <t>Subtopik: Pseudocode dan Notasi Algoritme</t>
        </is>
      </c>
      <c r="E852" t="n">
        <v>0.8141</v>
      </c>
      <c r="F852" t="inlineStr">
        <is>
          <t>✓</t>
        </is>
      </c>
      <c r="G852" t="inlineStr">
        <is>
          <t>✓</t>
        </is>
      </c>
      <c r="H852" s="3" t="inlineStr">
        <is>
          <t>)   : eksponensial (brute force kombinasi)  ---------------------------------------------------------------- CONTOH SOAL DAN PEMBAHASAN ----------------------------------------------------------------  [SOAL 1 — Pseudoco</t>
        </is>
      </c>
    </row>
    <row r="853">
      <c r="A853" t="n">
        <v>142</v>
      </c>
      <c r="B853" t="n">
        <v>6</v>
      </c>
      <c r="C853" t="inlineStr">
        <is>
          <t>GT_SUBTOPIK_01_Dekomposisi_Optimasi.txt</t>
        </is>
      </c>
      <c r="D853" s="3" t="inlineStr">
        <is>
          <t>Subtopik: Dekomposisi — Optimasi dan Pemecahan Masalah Terstruktur</t>
        </is>
      </c>
      <c r="E853" t="n">
        <v>0.8129999999999999</v>
      </c>
      <c r="F853" t="inlineStr">
        <is>
          <t>✓</t>
        </is>
      </c>
      <c r="G853" t="inlineStr">
        <is>
          <t>✓</t>
        </is>
      </c>
      <c r="H853" s="3" t="inlineStr">
        <is>
          <t>nan+P3K = 14 kg, nilai=31 ← terbesar sejauh ini Semua 5 barang = 5+3+4+6+2=20 ✗  JAWABAN: Bawa Tenda+Sleeping bag+Makanan+P3K = 14 kg, nilai total = 31.  [SOAL 7 — Dekomposisi Masalah Pencarian] Jelaskan bagaimana dekomp</t>
        </is>
      </c>
    </row>
    <row r="854">
      <c r="A854" t="n">
        <v>143</v>
      </c>
      <c r="B854" t="n">
        <v>1</v>
      </c>
      <c r="C854" t="inlineStr">
        <is>
          <t>GT_CT07.txt</t>
        </is>
      </c>
      <c r="D854" s="3" t="inlineStr">
        <is>
          <t>Pertemuan 7: Algoritme — Notasi Algoritme</t>
        </is>
      </c>
      <c r="E854" t="n">
        <v>0.7991</v>
      </c>
      <c r="F854" t="inlineStr">
        <is>
          <t>✓</t>
        </is>
      </c>
      <c r="G854" t="inlineStr">
        <is>
          <t>✓</t>
        </is>
      </c>
      <c r="H854" s="3" t="inlineStr">
        <is>
          <t>an nilai alas dengan tinggi, lalu hasilnya dibagi dua.  2. Pseudocode: Pseudocode adalah cara informal untuk menuliskan algoritme atau rancangan program komputer. Tujuan utama pseudocode adalah untuk mendapatkan ide seca</t>
        </is>
      </c>
    </row>
    <row r="855">
      <c r="A855" t="n">
        <v>143</v>
      </c>
      <c r="B855" t="n">
        <v>2</v>
      </c>
      <c r="C855" t="inlineStr">
        <is>
          <t>GT_DETAIL_PT10_Percabangan.txt</t>
        </is>
      </c>
      <c r="D855" s="3" t="inlineStr">
        <is>
          <t>Pertemuan 10: Struktur Kontrol — Percabangan</t>
        </is>
      </c>
      <c r="E855" t="n">
        <v>0.7944</v>
      </c>
      <c r="F855" t="inlineStr">
        <is>
          <t>✓</t>
        </is>
      </c>
      <c r="G855" t="inlineStr">
        <is>
          <t>✓</t>
        </is>
      </c>
      <c r="H855" s="3" t="inlineStr">
        <is>
          <t>------------ CONTOH SOAL DAN PEMBAHASAN ----------------------------------------------------------------  [SOAL 1 — Maks 2 Bilangan] Tuliskan pseudocode untuk menentukan bilangan terbesar dari dua bilangan a dan b!  JAWA</t>
        </is>
      </c>
    </row>
    <row r="856">
      <c r="A856" t="n">
        <v>143</v>
      </c>
      <c r="B856" t="n">
        <v>3</v>
      </c>
      <c r="C856" t="inlineStr">
        <is>
          <t>GT_DETAIL_PT07_Notasi_Algoritme.txt</t>
        </is>
      </c>
      <c r="D856" s="3" t="inlineStr">
        <is>
          <t>Pertemuan 7: Algoritme — Notasi Algoritme</t>
        </is>
      </c>
      <c r="E856" t="n">
        <v>0.7859</v>
      </c>
      <c r="F856" t="inlineStr">
        <is>
          <t>✓</t>
        </is>
      </c>
      <c r="G856" t="inlineStr">
        <is>
          <t>✓</t>
        </is>
      </c>
      <c r="H856" s="3" t="inlineStr">
        <is>
          <t>perasinya linear)  c) Rata-rata n bilangan: baca semua n bilangan + 1 pembagian → O(n) [linear]  [SOAL 5 — Pseudocode: Pesan Sandi] Tuliskan pseudocode untuk MENDEKRIPSI pesan yang dienkripsi dengan tiga langkah: (1) bal</t>
        </is>
      </c>
    </row>
    <row r="857">
      <c r="A857" t="n">
        <v>143</v>
      </c>
      <c r="B857" t="n">
        <v>4</v>
      </c>
      <c r="C857" t="inlineStr">
        <is>
          <t>GT_CT10.txt</t>
        </is>
      </c>
      <c r="D857" s="3" t="inlineStr">
        <is>
          <t>Pertemuan 10: Struktur Kontrol — Percabangan</t>
        </is>
      </c>
      <c r="E857" t="n">
        <v>0.7608</v>
      </c>
      <c r="F857" t="inlineStr">
        <is>
          <t>✓</t>
        </is>
      </c>
      <c r="G857" t="inlineStr">
        <is>
          <t>✓</t>
        </is>
      </c>
      <c r="H857" s="3" t="inlineStr">
        <is>
          <t xml:space="preserve">n (Loop): digunakan ketika algoritme perlu mengulang pelaksanaan instruksi tertentu sampai suatu kondisi yang ditetapkan terpenuhi.  Pertemuan ini berfokus pada pembahasan struktur kontrol percabangan secara mendalam.   </t>
        </is>
      </c>
    </row>
    <row r="858">
      <c r="A858" t="n">
        <v>143</v>
      </c>
      <c r="B858" t="n">
        <v>5</v>
      </c>
      <c r="C858" t="inlineStr">
        <is>
          <t>GT_SUBTOPIK_05_Pseudocode_Algoritme.txt</t>
        </is>
      </c>
      <c r="D858" s="3" t="inlineStr">
        <is>
          <t>Subtopik: Pseudocode dan Notasi Algoritme</t>
        </is>
      </c>
      <c r="E858" t="n">
        <v>0.7579</v>
      </c>
      <c r="F858" t="inlineStr">
        <is>
          <t>✓</t>
        </is>
      </c>
      <c r="G858" t="inlineStr">
        <is>
          <t>✓</t>
        </is>
      </c>
      <c r="H858" s="3" t="inlineStr">
        <is>
          <t xml:space="preserve">,12),(15,17),(18,20) → p=6  [SOAL 3 — Pseudocode: Cek Prima] Tulis pseudocode untuk mengecek apakah bilangan n prima!  JAWABAN: Input : bilangan bulat n Output: "prima" atau "bukan prima"    read(n)   if (n &lt;= 1) then   </t>
        </is>
      </c>
    </row>
    <row r="859">
      <c r="A859" t="n">
        <v>143</v>
      </c>
      <c r="B859" t="n">
        <v>6</v>
      </c>
      <c r="C859" t="inlineStr">
        <is>
          <t>GT_DETAIL_PT12_Fungsi.txt</t>
        </is>
      </c>
      <c r="D859" s="3" t="inlineStr">
        <is>
          <t>Pertemuan 12: Fungsi</t>
        </is>
      </c>
      <c r="E859" t="n">
        <v>0.753</v>
      </c>
      <c r="F859" t="inlineStr">
        <is>
          <t>✓</t>
        </is>
      </c>
      <c r="G859" t="inlineStr">
        <is>
          <t>✓</t>
        </is>
      </c>
      <c r="H859" s="3" t="inlineStr">
        <is>
          <t>EDUR vs. FUNGSI  Prosedur: - Blok kode yang melakukan sesuatu tanpa mengembalikan nilai - Contoh: print(), prosedur meowing() yang langsung print - Tidak ada return type / return type void  Fungsi: - Blok kode yang mengh</t>
        </is>
      </c>
    </row>
    <row r="860">
      <c r="A860" t="n">
        <v>144</v>
      </c>
      <c r="B860" t="n">
        <v>1</v>
      </c>
      <c r="C860" t="inlineStr">
        <is>
          <t>GT_DETAIL_PT10_Percabangan.txt</t>
        </is>
      </c>
      <c r="D860" s="3" t="inlineStr">
        <is>
          <t>Pertemuan 10: Struktur Kontrol — Percabangan</t>
        </is>
      </c>
      <c r="E860" t="n">
        <v>0.8100000000000001</v>
      </c>
      <c r="F860" t="inlineStr">
        <is>
          <t>✓</t>
        </is>
      </c>
      <c r="G860" t="inlineStr">
        <is>
          <t>✓</t>
        </is>
      </c>
      <c r="H860" s="3" t="inlineStr">
        <is>
          <t>------------ CONTOH SOAL DAN PEMBAHASAN ----------------------------------------------------------------  [SOAL 1 — Maks 2 Bilangan] Tuliskan pseudocode untuk menentukan bilangan terbesar dari dua bilangan a dan b!  JAWA</t>
        </is>
      </c>
    </row>
    <row r="861">
      <c r="A861" t="n">
        <v>144</v>
      </c>
      <c r="B861" t="n">
        <v>2</v>
      </c>
      <c r="C861" t="inlineStr">
        <is>
          <t>GT_CT07.txt</t>
        </is>
      </c>
      <c r="D861" s="3" t="inlineStr">
        <is>
          <t>Pertemuan 7: Algoritme — Notasi Algoritme</t>
        </is>
      </c>
      <c r="E861" t="n">
        <v>0.7993</v>
      </c>
      <c r="F861" t="inlineStr">
        <is>
          <t>✓</t>
        </is>
      </c>
      <c r="G861" t="inlineStr">
        <is>
          <t>✓</t>
        </is>
      </c>
      <c r="H861" s="3" t="inlineStr">
        <is>
          <t>an nilai alas dengan tinggi, lalu hasilnya dibagi dua.  2. Pseudocode: Pseudocode adalah cara informal untuk menuliskan algoritme atau rancangan program komputer. Tujuan utama pseudocode adalah untuk mendapatkan ide seca</t>
        </is>
      </c>
    </row>
    <row r="862">
      <c r="A862" t="n">
        <v>144</v>
      </c>
      <c r="B862" t="n">
        <v>3</v>
      </c>
      <c r="C862" t="inlineStr">
        <is>
          <t>GT_SUBTOPIK_05_Pseudocode_Algoritme.txt</t>
        </is>
      </c>
      <c r="D862" s="3" t="inlineStr">
        <is>
          <t>Subtopik: Pseudocode dan Notasi Algoritme</t>
        </is>
      </c>
      <c r="E862" t="n">
        <v>0.7788</v>
      </c>
      <c r="F862" t="inlineStr">
        <is>
          <t>✓</t>
        </is>
      </c>
      <c r="G862" t="inlineStr">
        <is>
          <t>✓</t>
        </is>
      </c>
      <c r="H862" s="3" t="inlineStr">
        <is>
          <t>)   : eksponensial (brute force kombinasi)  ---------------------------------------------------------------- CONTOH SOAL DAN PEMBAHASAN ----------------------------------------------------------------  [SOAL 1 — Pseudoco</t>
        </is>
      </c>
    </row>
    <row r="863">
      <c r="A863" t="n">
        <v>144</v>
      </c>
      <c r="B863" t="n">
        <v>4</v>
      </c>
      <c r="C863" t="inlineStr">
        <is>
          <t>GT_DETAIL_PT07_Notasi_Algoritme.txt</t>
        </is>
      </c>
      <c r="D863" s="3" t="inlineStr">
        <is>
          <t>Pertemuan 7: Algoritme — Notasi Algoritme</t>
        </is>
      </c>
      <c r="E863" t="n">
        <v>0.7779</v>
      </c>
      <c r="F863" t="inlineStr">
        <is>
          <t>✓</t>
        </is>
      </c>
      <c r="G863" t="inlineStr">
        <is>
          <t>✓</t>
        </is>
      </c>
      <c r="H863" s="3" t="inlineStr">
        <is>
          <t>perasinya linear)  c) Rata-rata n bilangan: baca semua n bilangan + 1 pembagian → O(n) [linear]  [SOAL 5 — Pseudocode: Pesan Sandi] Tuliskan pseudocode untuk MENDEKRIPSI pesan yang dienkripsi dengan tiga langkah: (1) bal</t>
        </is>
      </c>
    </row>
    <row r="864">
      <c r="A864" t="n">
        <v>144</v>
      </c>
      <c r="B864" t="n">
        <v>5</v>
      </c>
      <c r="C864" t="inlineStr">
        <is>
          <t>GT_CT10.txt</t>
        </is>
      </c>
      <c r="D864" s="3" t="inlineStr">
        <is>
          <t>Pertemuan 10: Struktur Kontrol — Percabangan</t>
        </is>
      </c>
      <c r="E864" t="n">
        <v>0.7721</v>
      </c>
      <c r="F864" t="inlineStr">
        <is>
          <t>✓</t>
        </is>
      </c>
      <c r="G864" t="inlineStr">
        <is>
          <t>✓</t>
        </is>
      </c>
      <c r="H864" s="3" t="inlineStr">
        <is>
          <t xml:space="preserve">n (Loop): digunakan ketika algoritme perlu mengulang pelaksanaan instruksi tertentu sampai suatu kondisi yang ditetapkan terpenuhi.  Pertemuan ini berfokus pada pembahasan struktur kontrol percabangan secara mendalam.   </t>
        </is>
      </c>
    </row>
    <row r="865">
      <c r="A865" t="n">
        <v>144</v>
      </c>
      <c r="B865" t="n">
        <v>6</v>
      </c>
      <c r="C865" t="inlineStr">
        <is>
          <t>GT_SUBTOPIK_05_Pseudocode_Algoritme.txt</t>
        </is>
      </c>
      <c r="D865" s="3" t="inlineStr">
        <is>
          <t>Subtopik: Pseudocode dan Notasi Algoritme</t>
        </is>
      </c>
      <c r="E865" t="n">
        <v>0.7675999999999999</v>
      </c>
      <c r="F865" t="inlineStr">
        <is>
          <t>✓</t>
        </is>
      </c>
      <c r="G865" t="inlineStr">
        <is>
          <t>✓</t>
        </is>
      </c>
      <c r="H865" s="3" t="inlineStr">
        <is>
          <t xml:space="preserve">,12),(15,17),(18,20) → p=6  [SOAL 3 — Pseudocode: Cek Prima] Tulis pseudocode untuk mengecek apakah bilangan n prima!  JAWABAN: Input : bilangan bulat n Output: "prima" atau "bukan prima"    read(n)   if (n &lt;= 1) then   </t>
        </is>
      </c>
    </row>
    <row r="866">
      <c r="A866" t="n">
        <v>145</v>
      </c>
      <c r="B866" t="n">
        <v>1</v>
      </c>
      <c r="C866" t="inlineStr">
        <is>
          <t>GT_SUBTOPIK_02_Abstraksi_Formulasi.txt</t>
        </is>
      </c>
      <c r="D866" s="3" t="inlineStr">
        <is>
          <t>Subtopik: Abstraksi — Formulasi Problem (Problem/Goal/Batasan/Data)</t>
        </is>
      </c>
      <c r="E866" t="n">
        <v>0.7441</v>
      </c>
      <c r="F866" t="inlineStr">
        <is>
          <t>✓</t>
        </is>
      </c>
      <c r="G866" t="inlineStr">
        <is>
          <t>✓</t>
        </is>
      </c>
      <c r="H866" s="3" t="inlineStr">
        <is>
          <t>ara dua MK jika ada konflik. Masalah menjadi: cari jumlah warna minimum untuk mewarnai node agar tidak ada dua node terhubung punya warna sama (chromatic number).  [SOAL 6 — Abstraksi vs Symptom] Identifikasi mana ROOT C</t>
        </is>
      </c>
    </row>
    <row r="867">
      <c r="A867" t="n">
        <v>145</v>
      </c>
      <c r="B867" t="n">
        <v>2</v>
      </c>
      <c r="C867" t="inlineStr">
        <is>
          <t>GT_CT09.txt</t>
        </is>
      </c>
      <c r="D867" s="3" t="inlineStr">
        <is>
          <t>Pertemuan 9: Elemen Pseudocode — Variabel, Operator, Tipe Data, dan List</t>
        </is>
      </c>
      <c r="E867" t="n">
        <v>0.741</v>
      </c>
      <c r="F867" t="inlineStr">
        <is>
          <t>✓</t>
        </is>
      </c>
      <c r="G867" t="inlineStr">
        <is>
          <t>✓</t>
        </is>
      </c>
      <c r="H867" s="3" t="inlineStr">
        <is>
          <t>ama dengan (==), tidak sama dengan (!=), lebih besar dari (&gt;), lebih kecil dari (&lt;), lebih besar atau sama dengan (&gt;=), dan lebih kecil atau sama dengan (&lt;=).  4. Logical Operator (Operator Logika): Digunakan untuk mengg</t>
        </is>
      </c>
    </row>
    <row r="868">
      <c r="A868" t="n">
        <v>145</v>
      </c>
      <c r="B868" t="n">
        <v>3</v>
      </c>
      <c r="C868" t="inlineStr">
        <is>
          <t>GT_CT09.txt</t>
        </is>
      </c>
      <c r="D868" s="3" t="inlineStr">
        <is>
          <t>Pertemuan 9: Elemen Pseudocode — Variabel, Operator, Tipe Data, dan List</t>
        </is>
      </c>
      <c r="E868" t="n">
        <v>0.7388</v>
      </c>
      <c r="F868" t="inlineStr">
        <is>
          <t>✓</t>
        </is>
      </c>
      <c r="G868" t="inlineStr">
        <is>
          <t>✓</t>
        </is>
      </c>
      <c r="H868" s="3" t="inlineStr">
        <is>
          <t xml:space="preserve"> simbol atau kata kunci yang digunakan untuk melakukan operasi terhadap nilai atau variabel dalam suatu ekspresi. Terdapat lima kategori operator yang dibahas dalam pertemuan ini:  1. Assignment Operator (Operator Penuga</t>
        </is>
      </c>
    </row>
    <row r="869">
      <c r="A869" t="n">
        <v>145</v>
      </c>
      <c r="B869" t="n">
        <v>4</v>
      </c>
      <c r="C869" t="inlineStr">
        <is>
          <t>GT_DETAIL_PT04_Abstraksi.txt</t>
        </is>
      </c>
      <c r="D869" s="3" t="inlineStr">
        <is>
          <t>Pertemuan 4: Problem Solving — Abstraksi</t>
        </is>
      </c>
      <c r="E869" t="n">
        <v>0.736</v>
      </c>
      <c r="F869" t="inlineStr">
        <is>
          <t>✓</t>
        </is>
      </c>
      <c r="G869" t="inlineStr">
        <is>
          <t>✓</t>
        </is>
      </c>
      <c r="H869" s="3" t="inlineStr">
        <is>
          <t xml:space="preserve">–6 (HOTS).  B. PROBLEM SOLVING — SYMPTOM vs. PROBLEM  Perbedaan krusial yang sering diabaikan:  SYMPTOM (Gejala): perbedaan antara fakta yang terjadi dengan hasil yang diharapkan. → Apa yang kita rasakan/amati.  PROBLEM </t>
        </is>
      </c>
    </row>
    <row r="870">
      <c r="A870" t="n">
        <v>145</v>
      </c>
      <c r="B870" t="n">
        <v>5</v>
      </c>
      <c r="C870" t="inlineStr">
        <is>
          <t>GT_DETAIL_PT11_Perulangan.txt</t>
        </is>
      </c>
      <c r="D870" s="3" t="inlineStr">
        <is>
          <t>Pertemuan 11: Struktur Kontrol — Perulangan</t>
        </is>
      </c>
      <c r="E870" t="n">
        <v>0.7345</v>
      </c>
      <c r="F870" t="inlineStr">
        <is>
          <t>✓</t>
        </is>
      </c>
      <c r="G870" t="inlineStr">
        <is>
          <t>✓</t>
        </is>
      </c>
      <c r="H870" s="3" t="inlineStr">
        <is>
          <t>an: - Kondisi dievaluasi SEBELUM body dijalankan - Jika kondisi False sejak awal → body tidak pernah dijalankan - Jika kondisi tidak pernah False → infinite loop (hindari!) - Body HARUS mengubah sesuatu yang mempengaruhi</t>
        </is>
      </c>
    </row>
    <row r="871">
      <c r="A871" t="n">
        <v>145</v>
      </c>
      <c r="B871" t="n">
        <v>6</v>
      </c>
      <c r="C871" t="inlineStr">
        <is>
          <t>GT_DETAIL_PT12_Fungsi.txt</t>
        </is>
      </c>
      <c r="D871" s="3" t="inlineStr">
        <is>
          <t>Pertemuan 12: Fungsi</t>
        </is>
      </c>
      <c r="E871" t="n">
        <v>0.7325</v>
      </c>
      <c r="F871" t="inlineStr">
        <is>
          <t>✓</t>
        </is>
      </c>
      <c r="G871" t="inlineStr">
        <is>
          <t>✓</t>
        </is>
      </c>
      <c r="H871" s="3" t="inlineStr">
        <is>
          <t>ion hitungFPB(a: int, b: int) : int → return FPB dari a dan b c) procedure inisialisasi() → set semua variabel ke 0 d) function cekPrima(n: int) : boolean → return True jika n prima  JAWABAN: a) PROSEDUR: tidak mengembal</t>
        </is>
      </c>
    </row>
    <row r="872">
      <c r="A872" t="n">
        <v>146</v>
      </c>
      <c r="B872" t="n">
        <v>1</v>
      </c>
      <c r="C872" t="inlineStr">
        <is>
          <t>GT_CT07.txt</t>
        </is>
      </c>
      <c r="D872" s="3" t="inlineStr">
        <is>
          <t>Pertemuan 7: Algoritme — Notasi Algoritme</t>
        </is>
      </c>
      <c r="E872" t="n">
        <v>0.759</v>
      </c>
      <c r="F872" t="inlineStr">
        <is>
          <t>✓</t>
        </is>
      </c>
      <c r="G872" t="inlineStr">
        <is>
          <t>✓</t>
        </is>
      </c>
      <c r="H872" s="3" t="inlineStr">
        <is>
          <t>) dan selisih angka yang dicari (d). Output: banyaknya pasangan bilangan dengan selisih sebesar d (p). Proses: (a) Urutkan n bilangan secara menaik menjadi m1, m2, ..., mn; (b) Inisialisasi p = 0; (c) Untuk setiap i dari</t>
        </is>
      </c>
    </row>
    <row r="873">
      <c r="A873" t="n">
        <v>146</v>
      </c>
      <c r="B873" t="n">
        <v>2</v>
      </c>
      <c r="C873" t="inlineStr">
        <is>
          <t>GT_SUBTOPIK_14_Kompleksitas_BigO.txt</t>
        </is>
      </c>
      <c r="D873" s="3" t="inlineStr">
        <is>
          <t>Subtopik: Kompleksitas Algoritme (Big-O Notation)</t>
        </is>
      </c>
      <c r="E873" t="n">
        <v>0.749</v>
      </c>
      <c r="F873" t="inlineStr">
        <is>
          <t>✓</t>
        </is>
      </c>
      <c r="G873" t="inlineStr">
        <is>
          <t>✓</t>
        </is>
      </c>
      <c r="H873" s="3" t="inlineStr">
        <is>
          <t>ngan ke array, lalu hitung rata-rata c) Fibonacci rekursif fib(n) d) Fibonacci iteratif dengan dua variabel  JAWABAN: a) O(1) space -- hanya butuh 2 variabel (sum dan count), tidak peduli berapa besar n  b) O(n) space --</t>
        </is>
      </c>
    </row>
    <row r="874">
      <c r="A874" t="n">
        <v>146</v>
      </c>
      <c r="B874" t="n">
        <v>3</v>
      </c>
      <c r="C874" t="inlineStr">
        <is>
          <t>GT_DETAIL_PT01_Pendahuluan.txt</t>
        </is>
      </c>
      <c r="D874" s="3" t="inlineStr">
        <is>
          <t>Pertemuan 1: Pendahuluan &amp; Kontrak Perkuliahan</t>
        </is>
      </c>
      <c r="E874" t="n">
        <v>0.742</v>
      </c>
      <c r="F874" t="inlineStr">
        <is>
          <t>✓</t>
        </is>
      </c>
      <c r="G874" t="inlineStr">
        <is>
          <t>✓</t>
        </is>
      </c>
      <c r="H874" s="3" t="inlineStr">
        <is>
          <t>n      : Fokus hanya pada informasi penting: nama mata kuliah, jumlah SKS, jadwal                      kuliah tetap, dan preferensi waktu belajar. Mengabaikan detail seperti                      konten setiap mata kuliah</t>
        </is>
      </c>
    </row>
    <row r="875">
      <c r="A875" t="n">
        <v>146</v>
      </c>
      <c r="B875" t="n">
        <v>4</v>
      </c>
      <c r="C875" t="inlineStr">
        <is>
          <t>GT_SUBTOPIK_13_Graph_Tree.txt</t>
        </is>
      </c>
      <c r="D875" s="3" t="inlineStr">
        <is>
          <t>Subtopik: Graph dan Tree -- Representasi, Traversal, dan Jalur Terpendek</t>
        </is>
      </c>
      <c r="E875" t="n">
        <v>0.7389</v>
      </c>
      <c r="F875" t="inlineStr">
        <is>
          <t>✓</t>
        </is>
      </c>
      <c r="G875" t="inlineStr">
        <is>
          <t>✓</t>
        </is>
      </c>
      <c r="H875" s="3" t="inlineStr">
        <is>
          <t>-- Traversal BFS] Graph berikut (undirected): A--B, A--C, B--D, B--E, C--F, D--G  Lakukan BFS mulai dari A!  JAWABAN: Queue: [A], Visited: {A} Proses A: tetangga B,C -&gt; enqueue B,C. Queue:[B,C], Visited:{A,B,C} Proses B:</t>
        </is>
      </c>
    </row>
    <row r="876">
      <c r="A876" t="n">
        <v>146</v>
      </c>
      <c r="B876" t="n">
        <v>5</v>
      </c>
      <c r="C876" t="inlineStr">
        <is>
          <t>GT_CT09.txt</t>
        </is>
      </c>
      <c r="D876" s="3" t="inlineStr">
        <is>
          <t>Pertemuan 9: Elemen Pseudocode — Variabel, Operator, Tipe Data, dan List</t>
        </is>
      </c>
      <c r="E876" t="n">
        <v>0.7361</v>
      </c>
      <c r="F876" t="inlineStr">
        <is>
          <t>✓</t>
        </is>
      </c>
      <c r="G876" t="inlineStr">
        <is>
          <t>✓</t>
        </is>
      </c>
      <c r="H876" s="3" t="inlineStr">
        <is>
          <t>ama dengan (==), tidak sama dengan (!=), lebih besar dari (&gt;), lebih kecil dari (&lt;), lebih besar atau sama dengan (&gt;=), dan lebih kecil atau sama dengan (&lt;=).  4. Logical Operator (Operator Logika): Digunakan untuk mengg</t>
        </is>
      </c>
    </row>
    <row r="877">
      <c r="A877" t="n">
        <v>146</v>
      </c>
      <c r="B877" t="n">
        <v>6</v>
      </c>
      <c r="C877" t="inlineStr">
        <is>
          <t>GT_SUBTOPIK_03_Pola_Bilangan_Deret.txt</t>
        </is>
      </c>
      <c r="D877" s="3" t="inlineStr">
        <is>
          <t>Subtopik: Pattern Recognition — Pola Bilangan dan Deret Matematis</t>
        </is>
      </c>
      <c r="E877" t="n">
        <v>0.7355</v>
      </c>
      <c r="F877" t="inlineStr">
        <is>
          <t>✓</t>
        </is>
      </c>
      <c r="G877" t="inlineStr">
        <is>
          <t>✓</t>
        </is>
      </c>
      <c r="H877" s="3" t="inlineStr">
        <is>
          <t>0 coklat. Bebek nomor berapa yang pertama tidak mendapat coklat?  JAWABAN: Pola: jumlah komulatif s/d bebek ke-n = n(n+1)/2 Cari n terbesar sehingga n(n+1)/2 ≤ 500:   n=31: 31×32/2 = 496 ≤ 500 ✓   n=32: 32×33/2 = 528 &gt; 5</t>
        </is>
      </c>
    </row>
    <row r="878">
      <c r="A878" t="n">
        <v>147</v>
      </c>
      <c r="B878" t="n">
        <v>1</v>
      </c>
      <c r="C878" t="inlineStr">
        <is>
          <t>GT_SUBTOPIK_08_Perulangan_For_While.txt</t>
        </is>
      </c>
      <c r="D878" s="3" t="inlineStr">
        <is>
          <t>Subtopik: Perulangan — for, while, Sentinel, dan Trace</t>
        </is>
      </c>
      <c r="E878" t="n">
        <v>0.7956</v>
      </c>
      <c r="F878" t="inlineStr">
        <is>
          <t>✓</t>
        </is>
      </c>
      <c r="G878" t="inlineStr">
        <is>
          <t>✓</t>
        </is>
      </c>
      <c r="H878" s="3" t="inlineStr">
        <is>
          <t xml:space="preserve"> satu per satu, dengan -1 sebagai sentinel!  JAWABAN:   sum = 0   count = 0   read(nilai)   while (nilai != -1) do     sum = sum + nilai     count = count + 1     read(nilai)   if (count &gt; 0) then     print(sum / count) </t>
        </is>
      </c>
    </row>
    <row r="879">
      <c r="A879" t="n">
        <v>147</v>
      </c>
      <c r="B879" t="n">
        <v>2</v>
      </c>
      <c r="C879" t="inlineStr">
        <is>
          <t>GT_DETAIL_PT05_Pattern_Recognition.txt</t>
        </is>
      </c>
      <c r="D879" s="3" t="inlineStr">
        <is>
          <t>Pertemuan 5: Pattern Recognition (Pengenalan Pola)</t>
        </is>
      </c>
      <c r="E879" t="n">
        <v>0.7794</v>
      </c>
      <c r="F879" t="inlineStr">
        <is>
          <t>✓</t>
        </is>
      </c>
      <c r="G879" t="inlineStr">
        <is>
          <t>✓</t>
        </is>
      </c>
      <c r="H879" s="3" t="inlineStr">
        <is>
          <t>memiliki pola serupa.  D. PERBEDAAN MATHEMATICAL THINKING vs. COMPUTATIONAL THINKING  Masalah: 1 + 2 + 3 + ... + 10 = ?  Mathematical Thinking (kalkulasi bertahap): 1+2=3, 3+3=6, 6+4=10, 10+5=15, ... = 55 (10 langkah)  C</t>
        </is>
      </c>
    </row>
    <row r="880">
      <c r="A880" t="n">
        <v>147</v>
      </c>
      <c r="B880" t="n">
        <v>3</v>
      </c>
      <c r="C880" t="inlineStr">
        <is>
          <t>GT_SUBTOPIK_03_Pola_Bilangan_Deret.txt</t>
        </is>
      </c>
      <c r="D880" s="3" t="inlineStr">
        <is>
          <t>Subtopik: Pattern Recognition — Pola Bilangan dan Deret Matematis</t>
        </is>
      </c>
      <c r="E880" t="n">
        <v>0.7729</v>
      </c>
      <c r="F880" t="inlineStr">
        <is>
          <t>✓</t>
        </is>
      </c>
      <c r="G880" t="inlineStr">
        <is>
          <t>✓</t>
        </is>
      </c>
      <c r="H880" s="3" t="inlineStr">
        <is>
          <t>0 coklat. Bebek nomor berapa yang pertama tidak mendapat coklat?  JAWABAN: Pola: jumlah komulatif s/d bebek ke-n = n(n+1)/2 Cari n terbesar sehingga n(n+1)/2 ≤ 500:   n=31: 31×32/2 = 496 ≤ 500 ✓   n=32: 32×33/2 = 528 &gt; 5</t>
        </is>
      </c>
    </row>
    <row r="881">
      <c r="A881" t="n">
        <v>147</v>
      </c>
      <c r="B881" t="n">
        <v>4</v>
      </c>
      <c r="C881" t="inlineStr">
        <is>
          <t>GT_DETAIL_PT09_Variabel_TipeData_Operator_List.txt</t>
        </is>
      </c>
      <c r="D881" s="3" t="inlineStr">
        <is>
          <t>Pertemuan 9: Elemen Pseudocode — Variabel, Tipe Data, Operator, List</t>
        </is>
      </c>
      <c r="E881" t="n">
        <v>0.7729</v>
      </c>
      <c r="F881" t="inlineStr">
        <is>
          <t>✓</t>
        </is>
      </c>
      <c r="G881" t="inlineStr">
        <is>
          <t>✓</t>
        </is>
      </c>
      <c r="H881" s="3" t="inlineStr">
        <is>
          <t>: mengandung tanda minus (-)  [SOAL 2 — Tipe Data] Tentukan tipe data yang paling tepat untuk menyimpan informasi berikut: a) Usia seseorang dalam tahun b) Nilai IPK (misalnya 3.75) c) Nama lengkap mahasiswa d) Status ke</t>
        </is>
      </c>
    </row>
    <row r="882">
      <c r="A882" t="n">
        <v>147</v>
      </c>
      <c r="B882" t="n">
        <v>5</v>
      </c>
      <c r="C882" t="inlineStr">
        <is>
          <t>GT_SUBTOPIK_03_Pola_Bilangan_Deret.txt</t>
        </is>
      </c>
      <c r="D882" s="3" t="inlineStr">
        <is>
          <t>Subtopik: Pattern Recognition — Pola Bilangan dan Deret Matematis</t>
        </is>
      </c>
      <c r="E882" t="n">
        <v>0.7728</v>
      </c>
      <c r="F882" t="inlineStr">
        <is>
          <t>✓</t>
        </is>
      </c>
      <c r="G882" t="inlineStr">
        <is>
          <t>✓</t>
        </is>
      </c>
      <c r="H882" s="3" t="inlineStr">
        <is>
          <t>drat. Coba an = n² + 1:   n=1: 1+1=2 ✓, n=2: 4+1=5 ✓, n=3: 9+1=10 ✓ Suku ke-6: 6² + 1 = 37  [SOAL 5 — Deret Fibonacci] Barisan Fibonacci: 1, 1, 2, 3, 5, 8, 13, 21, 34, ... a) Tentukan suku ke-12. b) Berapakah rasio dua s</t>
        </is>
      </c>
    </row>
    <row r="883">
      <c r="A883" t="n">
        <v>147</v>
      </c>
      <c r="B883" t="n">
        <v>6</v>
      </c>
      <c r="C883" t="inlineStr">
        <is>
          <t>GT_DETAIL_PT09_Variabel_TipeData_Operator_List.txt</t>
        </is>
      </c>
      <c r="D883" s="3" t="inlineStr">
        <is>
          <t>Pertemuan 9: Elemen Pseudocode — Variabel, Tipe Data, Operator, List</t>
        </is>
      </c>
      <c r="E883" t="n">
        <v>0.7707000000000001</v>
      </c>
      <c r="F883" t="inlineStr">
        <is>
          <t>✓</t>
        </is>
      </c>
      <c r="G883" t="inlineStr">
        <is>
          <t>✓</t>
        </is>
      </c>
      <c r="H883" s="3" t="inlineStr">
        <is>
          <t xml:space="preserve"> T = F | F AND F = F     Tabel kebenaran OR:    T OR T = T | T OR F = T | F OR T = T | F OR F = F     NOT: NOT T = F | NOT F = T  5. Is Operator: memeriksa tipe atau identitas suatu nilai/objek.  G. LIST (ARRAY / SEQUENC</t>
        </is>
      </c>
    </row>
    <row r="884">
      <c r="A884" t="n">
        <v>148</v>
      </c>
      <c r="B884" t="n">
        <v>1</v>
      </c>
      <c r="C884" t="inlineStr">
        <is>
          <t>GT_DETAIL_PT10_Percabangan.txt</t>
        </is>
      </c>
      <c r="D884" s="3" t="inlineStr">
        <is>
          <t>Pertemuan 10: Struktur Kontrol — Percabangan</t>
        </is>
      </c>
      <c r="E884" t="n">
        <v>0.7735</v>
      </c>
      <c r="F884" t="inlineStr">
        <is>
          <t>✓</t>
        </is>
      </c>
      <c r="G884" t="inlineStr">
        <is>
          <t>✓</t>
        </is>
      </c>
      <c r="H884" s="3" t="inlineStr">
        <is>
          <t>------------ CONTOH SOAL DAN PEMBAHASAN ----------------------------------------------------------------  [SOAL 1 — Maks 2 Bilangan] Tuliskan pseudocode untuk menentukan bilangan terbesar dari dua bilangan a dan b!  JAWA</t>
        </is>
      </c>
    </row>
    <row r="885">
      <c r="A885" t="n">
        <v>148</v>
      </c>
      <c r="B885" t="n">
        <v>2</v>
      </c>
      <c r="C885" t="inlineStr">
        <is>
          <t>GT_CT07.txt</t>
        </is>
      </c>
      <c r="D885" s="3" t="inlineStr">
        <is>
          <t>Pertemuan 7: Algoritme — Notasi Algoritme</t>
        </is>
      </c>
      <c r="E885" t="n">
        <v>0.7637</v>
      </c>
      <c r="F885" t="inlineStr">
        <is>
          <t>✓</t>
        </is>
      </c>
      <c r="G885" t="inlineStr">
        <is>
          <t>✓</t>
        </is>
      </c>
      <c r="H885" s="3" t="inlineStr">
        <is>
          <t>an nilai alas dengan tinggi, lalu hasilnya dibagi dua.  2. Pseudocode: Pseudocode adalah cara informal untuk menuliskan algoritme atau rancangan program komputer. Tujuan utama pseudocode adalah untuk mendapatkan ide seca</t>
        </is>
      </c>
    </row>
    <row r="886">
      <c r="A886" t="n">
        <v>148</v>
      </c>
      <c r="B886" t="n">
        <v>3</v>
      </c>
      <c r="C886" t="inlineStr">
        <is>
          <t>GT_DETAIL_PT11_Perulangan.txt</t>
        </is>
      </c>
      <c r="D886" s="3" t="inlineStr">
        <is>
          <t>Pertemuan 11: Struktur Kontrol — Perulangan</t>
        </is>
      </c>
      <c r="E886" t="n">
        <v>0.7388</v>
      </c>
      <c r="F886" t="inlineStr">
        <is>
          <t>✓</t>
        </is>
      </c>
      <c r="G886" t="inlineStr">
        <is>
          <t>✓</t>
        </is>
      </c>
      <c r="H886" s="3" t="inlineStr">
        <is>
          <t xml:space="preserve">AL 11 — DO-WHILE vs WHILE] Apa perbedaan output dari dua pseudocode berikut? Kode A:   i = 10   while i &lt; 5 do     print(i)     i = i + 1  Kode B:   i = 10   do     print(i)     i = i + 1   while i &lt; 5  JAWABAN: Kode A: </t>
        </is>
      </c>
    </row>
    <row r="887">
      <c r="A887" t="n">
        <v>148</v>
      </c>
      <c r="B887" t="n">
        <v>4</v>
      </c>
      <c r="C887" t="inlineStr">
        <is>
          <t>GT_DETAIL_PT07_Notasi_Algoritme.txt</t>
        </is>
      </c>
      <c r="D887" s="3" t="inlineStr">
        <is>
          <t>Pertemuan 7: Algoritme — Notasi Algoritme</t>
        </is>
      </c>
      <c r="E887" t="n">
        <v>0.7375</v>
      </c>
      <c r="F887" t="inlineStr">
        <is>
          <t>✓</t>
        </is>
      </c>
      <c r="G887" t="inlineStr">
        <is>
          <t>✓</t>
        </is>
      </c>
      <c r="H887" s="3" t="inlineStr">
        <is>
          <t>perasinya linear)  c) Rata-rata n bilangan: baca semua n bilangan + 1 pembagian → O(n) [linear]  [SOAL 5 — Pseudocode: Pesan Sandi] Tuliskan pseudocode untuk MENDEKRIPSI pesan yang dienkripsi dengan tiga langkah: (1) bal</t>
        </is>
      </c>
    </row>
    <row r="888">
      <c r="A888" t="n">
        <v>148</v>
      </c>
      <c r="B888" t="n">
        <v>5</v>
      </c>
      <c r="C888" t="inlineStr">
        <is>
          <t>GT_SUBTOPIK_05_Pseudocode_Algoritme.txt</t>
        </is>
      </c>
      <c r="D888" s="3" t="inlineStr">
        <is>
          <t>Subtopik: Pseudocode dan Notasi Algoritme</t>
        </is>
      </c>
      <c r="E888" t="n">
        <v>0.7319</v>
      </c>
      <c r="F888" t="inlineStr">
        <is>
          <t>✓</t>
        </is>
      </c>
      <c r="G888" t="inlineStr">
        <is>
          <t>✓</t>
        </is>
      </c>
      <c r="H888" s="3" t="inlineStr">
        <is>
          <t xml:space="preserve">,12),(15,17),(18,20) → p=6  [SOAL 3 — Pseudocode: Cek Prima] Tulis pseudocode untuk mengecek apakah bilangan n prima!  JAWABAN: Input : bilangan bulat n Output: "prima" atau "bukan prima"    read(n)   if (n &lt;= 1) then   </t>
        </is>
      </c>
    </row>
    <row r="889">
      <c r="A889" t="n">
        <v>148</v>
      </c>
      <c r="B889" t="n">
        <v>6</v>
      </c>
      <c r="C889" t="inlineStr">
        <is>
          <t>GT_SUBTOPIK_05_Pseudocode_Algoritme.txt</t>
        </is>
      </c>
      <c r="D889" s="3" t="inlineStr">
        <is>
          <t>Subtopik: Pseudocode dan Notasi Algoritme</t>
        </is>
      </c>
      <c r="E889" t="n">
        <v>0.7312</v>
      </c>
      <c r="F889" t="inlineStr">
        <is>
          <t>✓</t>
        </is>
      </c>
      <c r="G889" t="inlineStr">
        <is>
          <t>✓</t>
        </is>
      </c>
      <c r="H889" s="3" t="inlineStr">
        <is>
          <t>)   : eksponensial (brute force kombinasi)  ---------------------------------------------------------------- CONTOH SOAL DAN PEMBAHASAN ----------------------------------------------------------------  [SOAL 1 — Pseudoco</t>
        </is>
      </c>
    </row>
    <row r="890">
      <c r="A890" t="n">
        <v>149</v>
      </c>
      <c r="B890" t="n">
        <v>1</v>
      </c>
      <c r="C890" t="inlineStr">
        <is>
          <t>GT_CT07.txt</t>
        </is>
      </c>
      <c r="D890" s="3" t="inlineStr">
        <is>
          <t>Pertemuan 7: Algoritme — Notasi Algoritme</t>
        </is>
      </c>
      <c r="E890" t="n">
        <v>0.7989000000000001</v>
      </c>
      <c r="F890" t="inlineStr">
        <is>
          <t>✓</t>
        </is>
      </c>
      <c r="G890" t="inlineStr">
        <is>
          <t>✓</t>
        </is>
      </c>
      <c r="H890" s="3" t="inlineStr">
        <is>
          <t>an nilai alas dengan tinggi, lalu hasilnya dibagi dua.  2. Pseudocode: Pseudocode adalah cara informal untuk menuliskan algoritme atau rancangan program komputer. Tujuan utama pseudocode adalah untuk mendapatkan ide seca</t>
        </is>
      </c>
    </row>
    <row r="891">
      <c r="A891" t="n">
        <v>149</v>
      </c>
      <c r="B891" t="n">
        <v>2</v>
      </c>
      <c r="C891" t="inlineStr">
        <is>
          <t>GT_SUBTOPIK_04_Modulo_Siklus.txt</t>
        </is>
      </c>
      <c r="D891" s="3" t="inlineStr">
        <is>
          <t>Subtopik: Pattern Recognition — Modulo dan Siklus</t>
        </is>
      </c>
      <c r="E891" t="n">
        <v>0.7843</v>
      </c>
      <c r="F891" t="inlineStr">
        <is>
          <t>✓</t>
        </is>
      </c>
      <c r="G891" t="inlineStr">
        <is>
          <t>✓</t>
        </is>
      </c>
      <c r="H891" s="3" t="inlineStr">
        <is>
          <t>1×24 = 1000 - 984 = 16 08:00 + 16 jam = 24:00 = 00:00 (tengah malam) JAWABAN: Jam 00:00 (tengah malam)  [SOAL 5 — Masalah Coklat Bebek dengan Modulo] Dengan pola deret segitiga n(n+1)/2, tuliskan pseudocode untuk mencari</t>
        </is>
      </c>
    </row>
    <row r="892">
      <c r="A892" t="n">
        <v>149</v>
      </c>
      <c r="B892" t="n">
        <v>3</v>
      </c>
      <c r="C892" t="inlineStr">
        <is>
          <t>GT_DETAIL_PT10_Percabangan.txt</t>
        </is>
      </c>
      <c r="D892" s="3" t="inlineStr">
        <is>
          <t>Pertemuan 10: Struktur Kontrol — Percabangan</t>
        </is>
      </c>
      <c r="E892" t="n">
        <v>0.7823</v>
      </c>
      <c r="F892" t="inlineStr">
        <is>
          <t>✓</t>
        </is>
      </c>
      <c r="G892" t="inlineStr">
        <is>
          <t>✓</t>
        </is>
      </c>
      <c r="H892" s="3" t="inlineStr">
        <is>
          <t>------------ CONTOH SOAL DAN PEMBAHASAN ----------------------------------------------------------------  [SOAL 1 — Maks 2 Bilangan] Tuliskan pseudocode untuk menentukan bilangan terbesar dari dua bilangan a dan b!  JAWA</t>
        </is>
      </c>
    </row>
    <row r="893">
      <c r="A893" t="n">
        <v>149</v>
      </c>
      <c r="B893" t="n">
        <v>4</v>
      </c>
      <c r="C893" t="inlineStr">
        <is>
          <t>GT_DETAIL_PT07_Notasi_Algoritme.txt</t>
        </is>
      </c>
      <c r="D893" s="3" t="inlineStr">
        <is>
          <t>Pertemuan 7: Algoritme — Notasi Algoritme</t>
        </is>
      </c>
      <c r="E893" t="n">
        <v>0.7815</v>
      </c>
      <c r="F893" t="inlineStr">
        <is>
          <t>✓</t>
        </is>
      </c>
      <c r="G893" t="inlineStr">
        <is>
          <t>✓</t>
        </is>
      </c>
      <c r="H893" s="3" t="inlineStr">
        <is>
          <t>perasinya linear)  c) Rata-rata n bilangan: baca semua n bilangan + 1 pembagian → O(n) [linear]  [SOAL 5 — Pseudocode: Pesan Sandi] Tuliskan pseudocode untuk MENDEKRIPSI pesan yang dienkripsi dengan tiga langkah: (1) bal</t>
        </is>
      </c>
    </row>
    <row r="894">
      <c r="A894" t="n">
        <v>149</v>
      </c>
      <c r="B894" t="n">
        <v>5</v>
      </c>
      <c r="C894" t="inlineStr">
        <is>
          <t>GT_CT10.txt</t>
        </is>
      </c>
      <c r="D894" s="3" t="inlineStr">
        <is>
          <t>Pertemuan 10: Struktur Kontrol — Percabangan</t>
        </is>
      </c>
      <c r="E894" t="n">
        <v>0.7782</v>
      </c>
      <c r="F894" t="inlineStr">
        <is>
          <t>✓</t>
        </is>
      </c>
      <c r="G894" t="inlineStr">
        <is>
          <t>✓</t>
        </is>
      </c>
      <c r="H894" s="3" t="inlineStr">
        <is>
          <t xml:space="preserve">n (Loop): digunakan ketika algoritme perlu mengulang pelaksanaan instruksi tertentu sampai suatu kondisi yang ditetapkan terpenuhi.  Pertemuan ini berfokus pada pembahasan struktur kontrol percabangan secara mendalam.   </t>
        </is>
      </c>
    </row>
    <row r="895">
      <c r="A895" t="n">
        <v>149</v>
      </c>
      <c r="B895" t="n">
        <v>6</v>
      </c>
      <c r="C895" t="inlineStr">
        <is>
          <t>GT_SUBTOPIK_05_Pseudocode_Algoritme.txt</t>
        </is>
      </c>
      <c r="D895" s="3" t="inlineStr">
        <is>
          <t>Subtopik: Pseudocode dan Notasi Algoritme</t>
        </is>
      </c>
      <c r="E895" t="n">
        <v>0.759</v>
      </c>
      <c r="F895" t="inlineStr">
        <is>
          <t>✓</t>
        </is>
      </c>
      <c r="G895" t="inlineStr">
        <is>
          <t>✓</t>
        </is>
      </c>
      <c r="H895" s="3" t="inlineStr">
        <is>
          <t>)   : eksponensial (brute force kombinasi)  ---------------------------------------------------------------- CONTOH SOAL DAN PEMBAHASAN ----------------------------------------------------------------  [SOAL 1 — Pseudoco</t>
        </is>
      </c>
    </row>
    <row r="896">
      <c r="A896" t="n">
        <v>150</v>
      </c>
      <c r="B896" t="n">
        <v>1</v>
      </c>
      <c r="C896" t="inlineStr">
        <is>
          <t>GT_CT09.txt</t>
        </is>
      </c>
      <c r="D896" s="3" t="inlineStr">
        <is>
          <t>Pertemuan 9: Elemen Pseudocode — Variabel, Operator, Tipe Data, dan List</t>
        </is>
      </c>
      <c r="E896" t="n">
        <v>0.7323</v>
      </c>
      <c r="F896" t="inlineStr">
        <is>
          <t>✓</t>
        </is>
      </c>
      <c r="G896" t="inlineStr">
        <is>
          <t>✓</t>
        </is>
      </c>
      <c r="H896" s="3" t="inlineStr">
        <is>
          <t xml:space="preserve">kses menggunakan indeks posisinya.  Konsep list sangat berguna ketika berhadapan dengan data dalam jumlah besar yang sejenis, seperti daftar nilai ujian mahasiswa, daftar harga produk, atau daftar nama pelanggan. Dengan </t>
        </is>
      </c>
    </row>
    <row r="897">
      <c r="A897" t="n">
        <v>150</v>
      </c>
      <c r="B897" t="n">
        <v>2</v>
      </c>
      <c r="C897" t="inlineStr">
        <is>
          <t>GT_CT09.txt</t>
        </is>
      </c>
      <c r="D897" s="3" t="inlineStr">
        <is>
          <t>Pertemuan 9: Elemen Pseudocode — Variabel, Operator, Tipe Data, dan List</t>
        </is>
      </c>
      <c r="E897" t="n">
        <v>0.7318</v>
      </c>
      <c r="F897" t="inlineStr">
        <is>
          <t>✓</t>
        </is>
      </c>
      <c r="G897" t="inlineStr">
        <is>
          <t>✓</t>
        </is>
      </c>
      <c r="H897" s="3" t="inlineStr">
        <is>
          <t>ama dengan (==), tidak sama dengan (!=), lebih besar dari (&gt;), lebih kecil dari (&lt;), lebih besar atau sama dengan (&gt;=), dan lebih kecil atau sama dengan (&lt;=).  4. Logical Operator (Operator Logika): Digunakan untuk mengg</t>
        </is>
      </c>
    </row>
    <row r="898">
      <c r="A898" t="n">
        <v>150</v>
      </c>
      <c r="B898" t="n">
        <v>3</v>
      </c>
      <c r="C898" t="inlineStr">
        <is>
          <t>GT_DETAIL_PT13_Struktur_Data.txt</t>
        </is>
      </c>
      <c r="D898" s="3" t="inlineStr">
        <is>
          <t>Pertemuan 13: Pengenalan Struktur Data</t>
        </is>
      </c>
      <c r="E898" t="n">
        <v>0.7233000000000001</v>
      </c>
      <c r="F898" t="inlineStr">
        <is>
          <t>✓</t>
        </is>
      </c>
      <c r="G898" t="inlineStr">
        <is>
          <t>✓</t>
        </is>
      </c>
      <c r="H898" s="3" t="inlineStr">
        <is>
          <t xml:space="preserve">abatan di Facebook simetris (A berteman B = B berteman A). b) DIRECTED: follow tidak simetris (A follow B tidak berarti B follow A). c) DIRECTED: jalan satu arah punya arah spesifik (A→B tidak berarti B→A bisa dilalui). </t>
        </is>
      </c>
    </row>
    <row r="899">
      <c r="A899" t="n">
        <v>150</v>
      </c>
      <c r="B899" t="n">
        <v>4</v>
      </c>
      <c r="C899" t="inlineStr">
        <is>
          <t>GT_CT13.txt</t>
        </is>
      </c>
      <c r="D899" s="3" t="inlineStr">
        <is>
          <t>Pertemuan 13: Pengenalan Struktur Data</t>
        </is>
      </c>
      <c r="E899" t="n">
        <v>0.7194</v>
      </c>
      <c r="F899" t="inlineStr">
        <is>
          <t>✓</t>
        </is>
      </c>
      <c r="G899" t="inlineStr">
        <is>
          <t>✓</t>
        </is>
      </c>
      <c r="H899" s="3" t="inlineStr">
        <is>
          <t>teratas, selama stack masih berisi data (tidak kosong). Data yang dikeluarkan melalui operasi pop sekaligus dihapus dari stack sehingga jumlah data yang tersimpan berkurang.  Simulasi rangkaian instruksi: push 5 → push 7</t>
        </is>
      </c>
    </row>
    <row r="900">
      <c r="A900" t="n">
        <v>150</v>
      </c>
      <c r="B900" t="n">
        <v>5</v>
      </c>
      <c r="C900" t="inlineStr">
        <is>
          <t>GT_DETAIL_PT01_Pendahuluan.txt</t>
        </is>
      </c>
      <c r="D900" s="3" t="inlineStr">
        <is>
          <t>Pertemuan 1: Pendahuluan &amp; Kontrak Perkuliahan</t>
        </is>
      </c>
      <c r="E900" t="n">
        <v>0.7191</v>
      </c>
      <c r="F900" t="inlineStr">
        <is>
          <t>✓</t>
        </is>
      </c>
      <c r="G900" t="inlineStr">
        <is>
          <t>✓</t>
        </is>
      </c>
      <c r="H900" s="3" t="inlineStr">
        <is>
          <t>n      : Fokus hanya pada informasi penting: nama mata kuliah, jumlah SKS, jadwal                      kuliah tetap, dan preferensi waktu belajar. Mengabaikan detail seperti                      konten setiap mata kuliah</t>
        </is>
      </c>
    </row>
    <row r="901">
      <c r="A901" t="n">
        <v>150</v>
      </c>
      <c r="B901" t="n">
        <v>6</v>
      </c>
      <c r="C901" t="inlineStr">
        <is>
          <t>GT_CT09.txt</t>
        </is>
      </c>
      <c r="D901" s="3" t="inlineStr">
        <is>
          <t>Pertemuan 9: Elemen Pseudocode — Variabel, Operator, Tipe Data, dan List</t>
        </is>
      </c>
      <c r="E901" t="n">
        <v>0.7173</v>
      </c>
      <c r="F901" t="inlineStr">
        <is>
          <t>✓</t>
        </is>
      </c>
      <c r="G901" t="inlineStr">
        <is>
          <t>✓</t>
        </is>
      </c>
      <c r="H901" s="3" t="inlineStr">
        <is>
          <t xml:space="preserve"> simbol atau kata kunci yang digunakan untuk melakukan operasi terhadap nilai atau variabel dalam suatu ekspresi. Terdapat lima kategori operator yang dibahas dalam pertemuan ini:  1. Assignment Operator (Operator Penuga</t>
        </is>
      </c>
    </row>
    <row r="902">
      <c r="A902" t="n">
        <v>151</v>
      </c>
      <c r="B902" t="n">
        <v>1</v>
      </c>
      <c r="C902" t="inlineStr">
        <is>
          <t>GT_CT13.txt</t>
        </is>
      </c>
      <c r="D902" s="3" t="inlineStr">
        <is>
          <t>Pertemuan 13: Pengenalan Struktur Data</t>
        </is>
      </c>
      <c r="E902" t="n">
        <v>0.7998</v>
      </c>
      <c r="F902" t="inlineStr">
        <is>
          <t>✓</t>
        </is>
      </c>
      <c r="G902" t="inlineStr">
        <is>
          <t>✓</t>
        </is>
      </c>
      <c r="H902" s="3" t="inlineStr">
        <is>
          <t>teratas, selama stack masih berisi data (tidak kosong). Data yang dikeluarkan melalui operasi pop sekaligus dihapus dari stack sehingga jumlah data yang tersimpan berkurang.  Simulasi rangkaian instruksi: push 5 → push 7</t>
        </is>
      </c>
    </row>
    <row r="903">
      <c r="A903" t="n">
        <v>151</v>
      </c>
      <c r="B903" t="n">
        <v>2</v>
      </c>
      <c r="C903" t="inlineStr">
        <is>
          <t>GT_CT13.txt</t>
        </is>
      </c>
      <c r="D903" s="3" t="inlineStr">
        <is>
          <t>Pertemuan 13: Pengenalan Struktur Data</t>
        </is>
      </c>
      <c r="E903" t="n">
        <v>0.789</v>
      </c>
      <c r="F903" t="inlineStr">
        <is>
          <t>✓</t>
        </is>
      </c>
      <c r="G903" t="inlineStr">
        <is>
          <t>✓</t>
        </is>
      </c>
      <c r="H903" s="3" t="inlineStr">
        <is>
          <t>-------------------  Ground Truth:  Sebagai lawan dari stack, terdapat struktur data queue. Queue dalam istilah sehari-hari berarti antrian. Dalam sebuah antrian, urutan pemrosesan harus sesuai dengan urutan kedatangan o</t>
        </is>
      </c>
    </row>
    <row r="904">
      <c r="A904" t="n">
        <v>151</v>
      </c>
      <c r="B904" t="n">
        <v>3</v>
      </c>
      <c r="C904" t="inlineStr">
        <is>
          <t>GT_DETAIL_PT13_Struktur_Data.txt</t>
        </is>
      </c>
      <c r="D904" s="3" t="inlineStr">
        <is>
          <t>Pertemuan 13: Pengenalan Struktur Data</t>
        </is>
      </c>
      <c r="E904" t="n">
        <v>0.7652</v>
      </c>
      <c r="F904" t="inlineStr">
        <is>
          <t>✓</t>
        </is>
      </c>
      <c r="G904" t="inlineStr">
        <is>
          <t>✓</t>
        </is>
      </c>
      <c r="H904" s="3" t="inlineStr">
        <is>
          <t>h) → Directed Graph - Butuh perhitungan jalur/biaya → Weighted Graph  ---------------------------------------------------------------- CONTOH SOAL DAN PEMBAHASAN ----------------------------------------------------------</t>
        </is>
      </c>
    </row>
    <row r="905">
      <c r="A905" t="n">
        <v>151</v>
      </c>
      <c r="B905" t="n">
        <v>4</v>
      </c>
      <c r="C905" t="inlineStr">
        <is>
          <t>GT_CT13.txt</t>
        </is>
      </c>
      <c r="D905" s="3" t="inlineStr">
        <is>
          <t>Pertemuan 13: Pengenalan Struktur Data</t>
        </is>
      </c>
      <c r="E905" t="n">
        <v>0.7574</v>
      </c>
      <c r="F905" t="inlineStr">
        <is>
          <t>✓</t>
        </is>
      </c>
      <c r="G905" t="inlineStr">
        <is>
          <t>✓</t>
        </is>
      </c>
      <c r="H905" s="3" t="inlineStr">
        <is>
          <t>es pencetakan saat ini masih berjalan, dokumen yang baru masuk harus menunggu dalam antrian. Jika printer sudah idle (tidak sedang mencetak), printer akan melakukan dequeue untuk mendapatkan dokumen berikutnya yang perlu</t>
        </is>
      </c>
    </row>
    <row r="906">
      <c r="A906" t="n">
        <v>151</v>
      </c>
      <c r="B906" t="n">
        <v>5</v>
      </c>
      <c r="C906" t="inlineStr">
        <is>
          <t>GT_DETAIL_PT13_Struktur_Data.txt</t>
        </is>
      </c>
      <c r="D906" s="3" t="inlineStr">
        <is>
          <t>Pertemuan 13: Pengenalan Struktur Data</t>
        </is>
      </c>
      <c r="E906" t="n">
        <v>0.7571</v>
      </c>
      <c r="F906" t="inlineStr">
        <is>
          <t>✓</t>
        </is>
      </c>
      <c r="G906" t="inlineStr">
        <is>
          <t>✓</t>
        </is>
      </c>
      <c r="H906" s="3" t="inlineStr">
        <is>
          <t>: C enqueue(E): queue=[D,E]  Urutan output dequeue: A, B, C Queue akhir: [D, E]  [SOAL 3 — Pemilihan Struktur Data] Tentukan struktur data yang paling tepat untuk setiap kasus berikut dan berikan alasan!  a) Sistem antri</t>
        </is>
      </c>
    </row>
    <row r="907">
      <c r="A907" t="n">
        <v>151</v>
      </c>
      <c r="B907" t="n">
        <v>6</v>
      </c>
      <c r="C907" t="inlineStr">
        <is>
          <t>GT_SUBTOPIK_12_Stack_Queue.txt</t>
        </is>
      </c>
      <c r="D907" s="3" t="inlineStr">
        <is>
          <t>Subtopik: Stack dan Queue -- Operasi, Simulasi, dan Penerapan</t>
        </is>
      </c>
      <c r="E907" t="n">
        <v>0.7512</v>
      </c>
      <c r="F907" t="inlineStr">
        <is>
          <t>✓</t>
        </is>
      </c>
      <c r="G907" t="inlineStr">
        <is>
          <t>✓</t>
        </is>
      </c>
      <c r="H907" s="3" t="inlineStr">
        <is>
          <t>pop ( (cocok), EOF -&gt; stack=[(] tidak kosong    -&gt; TIDAK VALID  c) "{[}]":    push {, push [, } -&gt; pop [ -&gt; [ tidak pasangan } -&gt; TIDAK VALID  d) "((()))":    push(, push(, push(, ) pop( cocok, ) pop( cocok, ) pop( cocok</t>
        </is>
      </c>
    </row>
    <row r="908">
      <c r="A908" t="n">
        <v>152</v>
      </c>
      <c r="B908" t="n">
        <v>1</v>
      </c>
      <c r="C908" t="inlineStr">
        <is>
          <t>GT_DETAIL_PT11_Perulangan.txt</t>
        </is>
      </c>
      <c r="D908" s="3" t="inlineStr">
        <is>
          <t>Pertemuan 11: Struktur Kontrol — Perulangan</t>
        </is>
      </c>
      <c r="E908" t="n">
        <v>0.7314000000000001</v>
      </c>
      <c r="F908" t="inlineStr">
        <is>
          <t>✓</t>
        </is>
      </c>
      <c r="G908" t="inlineStr">
        <is>
          <t>✓</t>
        </is>
      </c>
      <c r="H908" s="3" t="inlineStr">
        <is>
          <t>selalu dijalankan MINIMAL SATU KALI  F. PERULANGAN BERSARANG (NESTED LOOP)  Konsep: perulangan di dalam perulangan. - Setiap 1 iterasi luar → dalam menyelesaikan SEMUA iterasinya - Total iterasi = iterasi_luar × iterasi_</t>
        </is>
      </c>
    </row>
    <row r="909">
      <c r="A909" t="n">
        <v>152</v>
      </c>
      <c r="B909" t="n">
        <v>2</v>
      </c>
      <c r="C909" t="inlineStr">
        <is>
          <t>GT_DETAIL_PT10_Percabangan.txt</t>
        </is>
      </c>
      <c r="D909" s="3" t="inlineStr">
        <is>
          <t>Pertemuan 10: Struktur Kontrol — Percabangan</t>
        </is>
      </c>
      <c r="E909" t="n">
        <v>0.7262</v>
      </c>
      <c r="F909" t="inlineStr">
        <is>
          <t>✓</t>
        </is>
      </c>
      <c r="G909" t="inlineStr">
        <is>
          <t>✓</t>
        </is>
      </c>
      <c r="H909" s="3" t="inlineStr">
        <is>
          <t>------------ CONTOH SOAL DAN PEMBAHASAN ----------------------------------------------------------------  [SOAL 1 — Maks 2 Bilangan] Tuliskan pseudocode untuk menentukan bilangan terbesar dari dua bilangan a dan b!  JAWA</t>
        </is>
      </c>
    </row>
    <row r="910">
      <c r="A910" t="n">
        <v>152</v>
      </c>
      <c r="B910" t="n">
        <v>3</v>
      </c>
      <c r="C910" t="inlineStr">
        <is>
          <t>GT_DETAIL_PT07_Notasi_Algoritme.txt</t>
        </is>
      </c>
      <c r="D910" s="3" t="inlineStr">
        <is>
          <t>Pertemuan 7: Algoritme — Notasi Algoritme</t>
        </is>
      </c>
      <c r="E910" t="n">
        <v>0.7227</v>
      </c>
      <c r="F910" t="inlineStr">
        <is>
          <t>✓</t>
        </is>
      </c>
      <c r="G910" t="inlineStr">
        <is>
          <t>✓</t>
        </is>
      </c>
      <c r="H910" s="3" t="inlineStr">
        <is>
          <t>perasinya linear)  c) Rata-rata n bilangan: baca semua n bilangan + 1 pembagian → O(n) [linear]  [SOAL 5 — Pseudocode: Pesan Sandi] Tuliskan pseudocode untuk MENDEKRIPSI pesan yang dienkripsi dengan tiga langkah: (1) bal</t>
        </is>
      </c>
    </row>
    <row r="911">
      <c r="A911" t="n">
        <v>152</v>
      </c>
      <c r="B911" t="n">
        <v>4</v>
      </c>
      <c r="C911" t="inlineStr">
        <is>
          <t>GT_CT07.txt</t>
        </is>
      </c>
      <c r="D911" s="3" t="inlineStr">
        <is>
          <t>Pertemuan 7: Algoritme — Notasi Algoritme</t>
        </is>
      </c>
      <c r="E911" t="n">
        <v>0.7197</v>
      </c>
      <c r="F911" t="inlineStr">
        <is>
          <t>✓</t>
        </is>
      </c>
      <c r="G911" t="inlineStr">
        <is>
          <t>✓</t>
        </is>
      </c>
      <c r="H911" s="3" t="inlineStr">
        <is>
          <t>an nilai alas dengan tinggi, lalu hasilnya dibagi dua.  2. Pseudocode: Pseudocode adalah cara informal untuk menuliskan algoritme atau rancangan program komputer. Tujuan utama pseudocode adalah untuk mendapatkan ide seca</t>
        </is>
      </c>
    </row>
    <row r="912">
      <c r="A912" t="n">
        <v>152</v>
      </c>
      <c r="B912" t="n">
        <v>5</v>
      </c>
      <c r="C912" t="inlineStr">
        <is>
          <t>GT_SUBTOPIK_05_Pseudocode_Algoritme.txt</t>
        </is>
      </c>
      <c r="D912" s="3" t="inlineStr">
        <is>
          <t>Subtopik: Pseudocode dan Notasi Algoritme</t>
        </is>
      </c>
      <c r="E912" t="n">
        <v>0.7197</v>
      </c>
      <c r="F912" t="inlineStr">
        <is>
          <t>✓</t>
        </is>
      </c>
      <c r="G912" t="inlineStr">
        <is>
          <t>✓</t>
        </is>
      </c>
      <c r="H912" s="3" t="inlineStr">
        <is>
          <t>)   : eksponensial (brute force kombinasi)  ---------------------------------------------------------------- CONTOH SOAL DAN PEMBAHASAN ----------------------------------------------------------------  [SOAL 1 — Pseudoco</t>
        </is>
      </c>
    </row>
    <row r="913">
      <c r="A913" t="n">
        <v>152</v>
      </c>
      <c r="B913" t="n">
        <v>6</v>
      </c>
      <c r="C913" t="inlineStr">
        <is>
          <t>GT_CT10.txt</t>
        </is>
      </c>
      <c r="D913" s="3" t="inlineStr">
        <is>
          <t>Pertemuan 10: Struktur Kontrol — Percabangan</t>
        </is>
      </c>
      <c r="E913" t="n">
        <v>0.7191</v>
      </c>
      <c r="F913" t="inlineStr">
        <is>
          <t>✓</t>
        </is>
      </c>
      <c r="G913" t="inlineStr">
        <is>
          <t>✓</t>
        </is>
      </c>
      <c r="H913" s="3" t="inlineStr">
        <is>
          <t xml:space="preserve">n (Loop): digunakan ketika algoritme perlu mengulang pelaksanaan instruksi tertentu sampai suatu kondisi yang ditetapkan terpenuhi.  Pertemuan ini berfokus pada pembahasan struktur kontrol percabangan secara mendalam.   </t>
        </is>
      </c>
    </row>
    <row r="914">
      <c r="A914" t="n">
        <v>153</v>
      </c>
      <c r="B914" t="n">
        <v>1</v>
      </c>
      <c r="C914" t="inlineStr">
        <is>
          <t>GT_CT13.txt</t>
        </is>
      </c>
      <c r="D914" s="3" t="inlineStr">
        <is>
          <t>Pertemuan 13: Pengenalan Struktur Data</t>
        </is>
      </c>
      <c r="E914" t="n">
        <v>0.8512999999999999</v>
      </c>
      <c r="F914" t="inlineStr">
        <is>
          <t>✓</t>
        </is>
      </c>
      <c r="G914" t="inlineStr">
        <is>
          <t>✓</t>
        </is>
      </c>
      <c r="H914" s="3" t="inlineStr">
        <is>
          <t>-------------------  Ground Truth:  Sebagai lawan dari stack, terdapat struktur data queue. Queue dalam istilah sehari-hari berarti antrian. Dalam sebuah antrian, urutan pemrosesan harus sesuai dengan urutan kedatangan o</t>
        </is>
      </c>
    </row>
    <row r="915">
      <c r="A915" t="n">
        <v>153</v>
      </c>
      <c r="B915" t="n">
        <v>2</v>
      </c>
      <c r="C915" t="inlineStr">
        <is>
          <t>GT_DETAIL_PT13_Struktur_Data.txt</t>
        </is>
      </c>
      <c r="D915" s="3" t="inlineStr">
        <is>
          <t>Pertemuan 13: Pengenalan Struktur Data</t>
        </is>
      </c>
      <c r="E915" t="n">
        <v>0.8483000000000001</v>
      </c>
      <c r="F915" t="inlineStr">
        <is>
          <t>✓</t>
        </is>
      </c>
      <c r="G915" t="inlineStr">
        <is>
          <t>✓</t>
        </is>
      </c>
      <c r="H915" s="3" t="inlineStr">
        <is>
          <t>: C enqueue(E): queue=[D,E]  Urutan output dequeue: A, B, C Queue akhir: [D, E]  [SOAL 3 — Pemilihan Struktur Data] Tentukan struktur data yang paling tepat untuk setiap kasus berikut dan berikan alasan!  a) Sistem antri</t>
        </is>
      </c>
    </row>
    <row r="916">
      <c r="A916" t="n">
        <v>153</v>
      </c>
      <c r="B916" t="n">
        <v>3</v>
      </c>
      <c r="C916" t="inlineStr">
        <is>
          <t>GT_SUBTOPIK_12_Stack_Queue.txt</t>
        </is>
      </c>
      <c r="D916" s="3" t="inlineStr">
        <is>
          <t>Subtopik: Stack dan Queue -- Operasi, Simulasi, dan Penerapan</t>
        </is>
      </c>
      <c r="E916" t="n">
        <v>0.8152</v>
      </c>
      <c r="F916" t="inlineStr">
        <is>
          <t>✓</t>
        </is>
      </c>
      <c r="G916" t="inlineStr">
        <is>
          <t>✓</t>
        </is>
      </c>
      <c r="H916" s="3" t="inlineStr">
        <is>
          <t>sitas     queue[rear] = x   function dequeue():     front = (front + 1) mod kapasitas     return queue[front]  ---------------------------------------------------------------- CONTOH SOAL DAN PEMBAHASAN -----------------</t>
        </is>
      </c>
    </row>
    <row r="917">
      <c r="A917" t="n">
        <v>153</v>
      </c>
      <c r="B917" t="n">
        <v>4</v>
      </c>
      <c r="C917" t="inlineStr">
        <is>
          <t>GT_SUBTOPIK_12_Stack_Queue.txt</t>
        </is>
      </c>
      <c r="D917" s="3" t="inlineStr">
        <is>
          <t>Subtopik: Stack dan Queue -- Operasi, Simulasi, dan Penerapan</t>
        </is>
      </c>
      <c r="E917" t="n">
        <v>0.8144</v>
      </c>
      <c r="F917" t="inlineStr">
        <is>
          <t>✓</t>
        </is>
      </c>
      <c r="G917" t="inlineStr">
        <is>
          <t>✓</t>
        </is>
      </c>
      <c r="H917" s="3" t="inlineStr">
        <is>
          <t>dequeue   : output=B, queue=[C,D,E] dequeue   : output=C, queue=[D,E] enqueue(F): queue=[D,E,F] dequeue   : output=D, queue=[E,F]  Urutan output dequeue: A, B, C, D Queue akhir: [E,F] (E di depan, F di belakang)  [SOAL 3</t>
        </is>
      </c>
    </row>
    <row r="918">
      <c r="A918" t="n">
        <v>153</v>
      </c>
      <c r="B918" t="n">
        <v>5</v>
      </c>
      <c r="C918" t="inlineStr">
        <is>
          <t>GT_DETAIL_PT13_Struktur_Data.txt</t>
        </is>
      </c>
      <c r="D918" s="3" t="inlineStr">
        <is>
          <t>Pertemuan 13: Pengenalan Struktur Data</t>
        </is>
      </c>
      <c r="E918" t="n">
        <v>0.7999000000000001</v>
      </c>
      <c r="F918" t="inlineStr">
        <is>
          <t>✓</t>
        </is>
      </c>
      <c r="G918" t="inlineStr">
        <is>
          <t>✓</t>
        </is>
      </c>
      <c r="H918" s="3" t="inlineStr">
        <is>
          <t>h) → Directed Graph - Butuh perhitungan jalur/biaya → Weighted Graph  ---------------------------------------------------------------- CONTOH SOAL DAN PEMBAHASAN ----------------------------------------------------------</t>
        </is>
      </c>
    </row>
    <row r="919">
      <c r="A919" t="n">
        <v>153</v>
      </c>
      <c r="B919" t="n">
        <v>6</v>
      </c>
      <c r="C919" t="inlineStr">
        <is>
          <t>GT_CT13.txt</t>
        </is>
      </c>
      <c r="D919" s="3" t="inlineStr">
        <is>
          <t>Pertemuan 13: Pengenalan Struktur Data</t>
        </is>
      </c>
      <c r="E919" t="n">
        <v>0.7741</v>
      </c>
      <c r="F919" t="inlineStr">
        <is>
          <t>✓</t>
        </is>
      </c>
      <c r="G919" t="inlineStr">
        <is>
          <t>✓</t>
        </is>
      </c>
      <c r="H919" s="3" t="inlineStr">
        <is>
          <t>es pencetakan saat ini masih berjalan, dokumen yang baru masuk harus menunggu dalam antrian. Jika printer sudah idle (tidak sedang mencetak), printer akan melakukan dequeue untuk mendapatkan dokumen berikutnya yang perlu</t>
        </is>
      </c>
    </row>
    <row r="920">
      <c r="A920" t="n">
        <v>154</v>
      </c>
      <c r="B920" t="n">
        <v>1</v>
      </c>
      <c r="C920" t="inlineStr">
        <is>
          <t>GT_SUBTOPIK_12_Stack_Queue.txt</t>
        </is>
      </c>
      <c r="D920" s="3" t="inlineStr">
        <is>
          <t>Subtopik: Stack dan Queue -- Operasi, Simulasi, dan Penerapan</t>
        </is>
      </c>
      <c r="E920" t="n">
        <v>0.7863</v>
      </c>
      <c r="F920" t="inlineStr">
        <is>
          <t>✓</t>
        </is>
      </c>
      <c r="G920" t="inlineStr">
        <is>
          <t>✓</t>
        </is>
      </c>
      <c r="H920" s="3" t="inlineStr">
        <is>
          <t>tfix] Ekspresi postfix (Reverse Polish Notation): operand dulu, lalu operator. Contoh: "3 4 + 5 *" berarti (3+4)*5 = 35  Algoritme evaluasi postfix:   for setiap token t:     if t adalah angka: push(t)     if t adalah op</t>
        </is>
      </c>
    </row>
    <row r="921">
      <c r="A921" t="n">
        <v>154</v>
      </c>
      <c r="B921" t="n">
        <v>2</v>
      </c>
      <c r="C921" t="inlineStr">
        <is>
          <t>GT_SUBTOPIK_12_Stack_Queue.txt</t>
        </is>
      </c>
      <c r="D921" s="3" t="inlineStr">
        <is>
          <t>Subtopik: Stack dan Queue -- Operasi, Simulasi, dan Penerapan</t>
        </is>
      </c>
      <c r="E921" t="n">
        <v>0.7764</v>
      </c>
      <c r="F921" t="inlineStr">
        <is>
          <t>✓</t>
        </is>
      </c>
      <c r="G921" t="inlineStr">
        <is>
          <t>✓</t>
        </is>
      </c>
      <c r="H921" s="3" t="inlineStr">
        <is>
          <t xml:space="preserve">   Waktu 5: D4 selesai   Waktu 6: D5 selesai   Waktu 7: D6 selesai  D6 selesai pada waktu 7.  [SOAL 8 -- Konversi Infix ke Postfix dengan Stack] Konversikan "A + B * C" ke postfix!  Aturan:   - Baca token kiri ke kanan  </t>
        </is>
      </c>
    </row>
    <row r="922">
      <c r="A922" t="n">
        <v>154</v>
      </c>
      <c r="B922" t="n">
        <v>3</v>
      </c>
      <c r="C922" t="inlineStr">
        <is>
          <t>GT_CT13.txt</t>
        </is>
      </c>
      <c r="D922" s="3" t="inlineStr">
        <is>
          <t>Pertemuan 13: Pengenalan Struktur Data</t>
        </is>
      </c>
      <c r="E922" t="n">
        <v>0.7751</v>
      </c>
      <c r="F922" t="inlineStr">
        <is>
          <t>✓</t>
        </is>
      </c>
      <c r="G922" t="inlineStr">
        <is>
          <t>✓</t>
        </is>
      </c>
      <c r="H922" s="3" t="inlineStr">
        <is>
          <t>teratas, selama stack masih berisi data (tidak kosong). Data yang dikeluarkan melalui operasi pop sekaligus dihapus dari stack sehingga jumlah data yang tersimpan berkurang.  Simulasi rangkaian instruksi: push 5 → push 7</t>
        </is>
      </c>
    </row>
    <row r="923">
      <c r="A923" t="n">
        <v>154</v>
      </c>
      <c r="B923" t="n">
        <v>4</v>
      </c>
      <c r="C923" t="inlineStr">
        <is>
          <t>GT_CT13.txt</t>
        </is>
      </c>
      <c r="D923" s="3" t="inlineStr">
        <is>
          <t>Pertemuan 13: Pengenalan Struktur Data</t>
        </is>
      </c>
      <c r="E923" t="n">
        <v>0.7497</v>
      </c>
      <c r="F923" t="inlineStr">
        <is>
          <t>✓</t>
        </is>
      </c>
      <c r="G923" t="inlineStr">
        <is>
          <t>✓</t>
        </is>
      </c>
      <c r="H923" s="3" t="inlineStr">
        <is>
          <t>entukan kemudahan dan efisiensi pengolahan.  Berbagai aplikasi komputer memerlukan struktur data yang sesuai dengan kebutuhannya. Sebagai contoh, aplikasi perkantoran seperti Microsoft Word atau Google Docs memerlukan st</t>
        </is>
      </c>
    </row>
    <row r="924">
      <c r="A924" t="n">
        <v>154</v>
      </c>
      <c r="B924" t="n">
        <v>5</v>
      </c>
      <c r="C924" t="inlineStr">
        <is>
          <t>GT_CT13.txt</t>
        </is>
      </c>
      <c r="D924" s="3" t="inlineStr">
        <is>
          <t>Pertemuan 13: Pengenalan Struktur Data</t>
        </is>
      </c>
      <c r="E924" t="n">
        <v>0.7318</v>
      </c>
      <c r="F924" t="inlineStr">
        <is>
          <t>✓</t>
        </is>
      </c>
      <c r="G924" t="inlineStr">
        <is>
          <t>✓</t>
        </is>
      </c>
      <c r="H924" s="3" t="inlineStr">
        <is>
          <t>-------------------  Ground Truth:  Sebagai lawan dari stack, terdapat struktur data queue. Queue dalam istilah sehari-hari berarti antrian. Dalam sebuah antrian, urutan pemrosesan harus sesuai dengan urutan kedatangan o</t>
        </is>
      </c>
    </row>
    <row r="925">
      <c r="A925" t="n">
        <v>154</v>
      </c>
      <c r="B925" t="n">
        <v>6</v>
      </c>
      <c r="C925" t="inlineStr">
        <is>
          <t>GT_SUBTOPIK_14_Kompleksitas_BigO.txt</t>
        </is>
      </c>
      <c r="D925" s="3" t="inlineStr">
        <is>
          <t>Subtopik: Kompleksitas Algoritme (Big-O Notation)</t>
        </is>
      </c>
      <c r="E925" t="n">
        <v>0.7207</v>
      </c>
      <c r="F925" t="inlineStr">
        <is>
          <t>✓</t>
        </is>
      </c>
      <c r="G925" t="inlineStr">
        <is>
          <t>✓</t>
        </is>
      </c>
      <c r="H925" s="3" t="inlineStr">
        <is>
          <t>ngan ke array, lalu hitung rata-rata c) Fibonacci rekursif fib(n) d) Fibonacci iteratif dengan dua variabel  JAWABAN: a) O(1) space -- hanya butuh 2 variabel (sum dan count), tidak peduli berapa besar n  b) O(n) space --</t>
        </is>
      </c>
    </row>
    <row r="926">
      <c r="A926" t="n">
        <v>155</v>
      </c>
      <c r="B926" t="n">
        <v>1</v>
      </c>
      <c r="C926" t="inlineStr">
        <is>
          <t>GT_CT13.txt</t>
        </is>
      </c>
      <c r="D926" s="3" t="inlineStr">
        <is>
          <t>Pertemuan 13: Pengenalan Struktur Data</t>
        </is>
      </c>
      <c r="E926" t="n">
        <v>0.8028</v>
      </c>
      <c r="F926" t="inlineStr">
        <is>
          <t>✓</t>
        </is>
      </c>
      <c r="G926" t="inlineStr">
        <is>
          <t>✓</t>
        </is>
      </c>
      <c r="H926" s="3" t="inlineStr">
        <is>
          <t>-------------------  Ground Truth:  Sebagai lawan dari stack, terdapat struktur data queue. Queue dalam istilah sehari-hari berarti antrian. Dalam sebuah antrian, urutan pemrosesan harus sesuai dengan urutan kedatangan o</t>
        </is>
      </c>
    </row>
    <row r="927">
      <c r="A927" t="n">
        <v>155</v>
      </c>
      <c r="B927" t="n">
        <v>2</v>
      </c>
      <c r="C927" t="inlineStr">
        <is>
          <t>GT_DETAIL_PT13_Struktur_Data.txt</t>
        </is>
      </c>
      <c r="D927" s="3" t="inlineStr">
        <is>
          <t>Pertemuan 13: Pengenalan Struktur Data</t>
        </is>
      </c>
      <c r="E927" t="n">
        <v>0.7565</v>
      </c>
      <c r="F927" t="inlineStr">
        <is>
          <t>✓</t>
        </is>
      </c>
      <c r="G927" t="inlineStr">
        <is>
          <t>✓</t>
        </is>
      </c>
      <c r="H927" s="3" t="inlineStr">
        <is>
          <t>: C enqueue(E): queue=[D,E]  Urutan output dequeue: A, B, C Queue akhir: [D, E]  [SOAL 3 — Pemilihan Struktur Data] Tentukan struktur data yang paling tepat untuk setiap kasus berikut dan berikan alasan!  a) Sistem antri</t>
        </is>
      </c>
    </row>
    <row r="928">
      <c r="A928" t="n">
        <v>155</v>
      </c>
      <c r="B928" t="n">
        <v>3</v>
      </c>
      <c r="C928" t="inlineStr">
        <is>
          <t>GT_CT13.txt</t>
        </is>
      </c>
      <c r="D928" s="3" t="inlineStr">
        <is>
          <t>Pertemuan 13: Pengenalan Struktur Data</t>
        </is>
      </c>
      <c r="E928" t="n">
        <v>0.7512</v>
      </c>
      <c r="F928" t="inlineStr">
        <is>
          <t>✓</t>
        </is>
      </c>
      <c r="G928" t="inlineStr">
        <is>
          <t>✓</t>
        </is>
      </c>
      <c r="H928" s="3" t="inlineStr">
        <is>
          <t>es pencetakan saat ini masih berjalan, dokumen yang baru masuk harus menunggu dalam antrian. Jika printer sudah idle (tidak sedang mencetak), printer akan melakukan dequeue untuk mendapatkan dokumen berikutnya yang perlu</t>
        </is>
      </c>
    </row>
    <row r="929">
      <c r="A929" t="n">
        <v>155</v>
      </c>
      <c r="B929" t="n">
        <v>4</v>
      </c>
      <c r="C929" t="inlineStr">
        <is>
          <t>GT_DETAIL_PT13_Struktur_Data.txt</t>
        </is>
      </c>
      <c r="D929" s="3" t="inlineStr">
        <is>
          <t>Pertemuan 13: Pengenalan Struktur Data</t>
        </is>
      </c>
      <c r="E929" t="n">
        <v>0.7504</v>
      </c>
      <c r="F929" t="inlineStr">
        <is>
          <t>✓</t>
        </is>
      </c>
      <c r="G929" t="inlineStr">
        <is>
          <t>✓</t>
        </is>
      </c>
      <c r="H929" s="3" t="inlineStr">
        <is>
          <t xml:space="preserve">abatan di Facebook simetris (A berteman B = B berteman A). b) DIRECTED: follow tidak simetris (A follow B tidak berarti B follow A). c) DIRECTED: jalan satu arah punya arah spesifik (A→B tidak berarti B→A bisa dilalui). </t>
        </is>
      </c>
    </row>
    <row r="930">
      <c r="A930" t="n">
        <v>155</v>
      </c>
      <c r="B930" t="n">
        <v>5</v>
      </c>
      <c r="C930" t="inlineStr">
        <is>
          <t>GT_SUBTOPIK_02_Abstraksi_Formulasi.txt</t>
        </is>
      </c>
      <c r="D930" s="3" t="inlineStr">
        <is>
          <t>Subtopik: Abstraksi — Formulasi Problem (Problem/Goal/Batasan/Data)</t>
        </is>
      </c>
      <c r="E930" t="n">
        <v>0.7214</v>
      </c>
      <c r="F930" t="inlineStr">
        <is>
          <t>✓</t>
        </is>
      </c>
      <c r="G930" t="inlineStr">
        <is>
          <t>✓</t>
        </is>
      </c>
      <c r="H930" s="3" t="inlineStr">
        <is>
          <t>ara dua MK jika ada konflik. Masalah menjadi: cari jumlah warna minimum untuk mewarnai node agar tidak ada dua node terhubung punya warna sama (chromatic number).  [SOAL 6 — Abstraksi vs Symptom] Identifikasi mana ROOT C</t>
        </is>
      </c>
    </row>
    <row r="931">
      <c r="A931" t="n">
        <v>155</v>
      </c>
      <c r="B931" t="n">
        <v>6</v>
      </c>
      <c r="C931" t="inlineStr">
        <is>
          <t>GT_CT13.txt</t>
        </is>
      </c>
      <c r="D931" s="3" t="inlineStr">
        <is>
          <t>Pertemuan 13: Pengenalan Struktur Data</t>
        </is>
      </c>
      <c r="E931" t="n">
        <v>0.7092000000000001</v>
      </c>
      <c r="F931" t="inlineStr">
        <is>
          <t>✓</t>
        </is>
      </c>
      <c r="G931" t="inlineStr">
        <is>
          <t>✓</t>
        </is>
      </c>
      <c r="H931" s="3" t="inlineStr">
        <is>
          <t>entukan kemudahan dan efisiensi pengolahan.  Berbagai aplikasi komputer memerlukan struktur data yang sesuai dengan kebutuhannya. Sebagai contoh, aplikasi perkantoran seperti Microsoft Word atau Google Docs memerlukan st</t>
        </is>
      </c>
    </row>
    <row r="932">
      <c r="A932" t="n">
        <v>156</v>
      </c>
      <c r="B932" t="n">
        <v>1</v>
      </c>
      <c r="C932" t="inlineStr">
        <is>
          <t>GT_SUBTOPIK_13_Graph_Tree.txt</t>
        </is>
      </c>
      <c r="D932" s="3" t="inlineStr">
        <is>
          <t>Subtopik: Graph dan Tree -- Representasi, Traversal, dan Jalur Terpendek</t>
        </is>
      </c>
      <c r="E932" t="n">
        <v>0.7709</v>
      </c>
      <c r="F932" t="inlineStr">
        <is>
          <t>✓</t>
        </is>
      </c>
      <c r="G932" t="inlineStr">
        <is>
          <t>✓</t>
        </is>
      </c>
      <c r="H932" s="3" t="inlineStr">
        <is>
          <t>, B, D, G, E, C, F  [SOAL 6 -- Terminologi Tree] Diberikan tree berikut:          A (root)         / \        B   C       / \   \      D   E   F     /    G  Identifikasi: a) Root b) Semua leaf node c) Parent dari D d) Ch</t>
        </is>
      </c>
    </row>
    <row r="933">
      <c r="A933" t="n">
        <v>156</v>
      </c>
      <c r="B933" t="n">
        <v>2</v>
      </c>
      <c r="C933" t="inlineStr">
        <is>
          <t>GT_SUBTOPIK_13_Graph_Tree.txt</t>
        </is>
      </c>
      <c r="D933" s="3" t="inlineStr">
        <is>
          <t>Subtopik: Graph dan Tree -- Representasi, Traversal, dan Jalur Terpendek</t>
        </is>
      </c>
      <c r="E933" t="n">
        <v>0.7454</v>
      </c>
      <c r="F933" t="inlineStr">
        <is>
          <t>✓</t>
        </is>
      </c>
      <c r="G933" t="inlineStr">
        <is>
          <t>✓</t>
        </is>
      </c>
      <c r="H933" s="3" t="inlineStr">
        <is>
          <t>-- Traversal BFS] Graph berikut (undirected): A--B, A--C, B--D, B--E, C--F, D--G  Lakukan BFS mulai dari A!  JAWABAN: Queue: [A], Visited: {A} Proses A: tetangga B,C -&gt; enqueue B,C. Queue:[B,C], Visited:{A,B,C} Proses B:</t>
        </is>
      </c>
    </row>
    <row r="934">
      <c r="A934" t="n">
        <v>156</v>
      </c>
      <c r="B934" t="n">
        <v>3</v>
      </c>
      <c r="C934" t="inlineStr">
        <is>
          <t>GT_DETAIL_PT13_Struktur_Data.txt</t>
        </is>
      </c>
      <c r="D934" s="3" t="inlineStr">
        <is>
          <t>Pertemuan 13: Pengenalan Struktur Data</t>
        </is>
      </c>
      <c r="E934" t="n">
        <v>0.7289</v>
      </c>
      <c r="F934" t="inlineStr">
        <is>
          <t>✓</t>
        </is>
      </c>
      <c r="G934" t="inlineStr">
        <is>
          <t>✓</t>
        </is>
      </c>
      <c r="H934" s="3" t="inlineStr">
        <is>
          <t>D: 5, C-D: 8, C-E: 10, D-E: 2, B-E: 7  Tentukan jalur terpendek dari A ke E beserta total bobotnya!  JAWABAN: Semua jalur dari A ke E: 1. A→B→E           : 4+7 = 11 2. A→B→D→E         : 4+5+2 = 11 3. A→C→E           : 2+</t>
        </is>
      </c>
    </row>
    <row r="935">
      <c r="A935" t="n">
        <v>156</v>
      </c>
      <c r="B935" t="n">
        <v>4</v>
      </c>
      <c r="C935" t="inlineStr">
        <is>
          <t>GT_SUBTOPIK_13_Graph_Tree.txt</t>
        </is>
      </c>
      <c r="D935" s="3" t="inlineStr">
        <is>
          <t>Subtopik: Graph dan Tree -- Representasi, Traversal, dan Jalur Terpendek</t>
        </is>
      </c>
      <c r="E935" t="n">
        <v>0.7034</v>
      </c>
      <c r="F935" t="inlineStr">
        <is>
          <t>✓</t>
        </is>
      </c>
      <c r="G935" t="inlineStr">
        <is>
          <t>✓</t>
        </is>
      </c>
      <c r="H935" s="3" t="inlineStr">
        <is>
          <t>an (undirected): Ali--Budi, Ali--Citra, Budi--Dini, Citra--Dini, Budi--Eka  Siapa "mutual friend" antara Ali dan Dini? (Mutual friend = teman Ali yang juga teman Dini)  JAWABAN: Teman Ali: {Budi, Citra} Teman Dini: {Budi</t>
        </is>
      </c>
    </row>
    <row r="936">
      <c r="A936" t="n">
        <v>156</v>
      </c>
      <c r="B936" t="n">
        <v>5</v>
      </c>
      <c r="C936" t="inlineStr">
        <is>
          <t>GT_DETAIL_PT13_Struktur_Data.txt</t>
        </is>
      </c>
      <c r="D936" s="3" t="inlineStr">
        <is>
          <t>Pertemuan 13: Pengenalan Struktur Data</t>
        </is>
      </c>
      <c r="E936" t="n">
        <v>0.7019</v>
      </c>
      <c r="F936" t="inlineStr">
        <is>
          <t>✓</t>
        </is>
      </c>
      <c r="G936" t="inlineStr">
        <is>
          <t>✓</t>
        </is>
      </c>
      <c r="H936" s="3" t="inlineStr">
        <is>
          <t>h) → Directed Graph - Butuh perhitungan jalur/biaya → Weighted Graph  ---------------------------------------------------------------- CONTOH SOAL DAN PEMBAHASAN ----------------------------------------------------------</t>
        </is>
      </c>
    </row>
    <row r="937">
      <c r="A937" t="n">
        <v>156</v>
      </c>
      <c r="B937" t="n">
        <v>6</v>
      </c>
      <c r="C937" t="inlineStr">
        <is>
          <t>GT_DETAIL_PT13_Struktur_Data.txt</t>
        </is>
      </c>
      <c r="D937" s="3" t="inlineStr">
        <is>
          <t>Pertemuan 13: Pengenalan Struktur Data</t>
        </is>
      </c>
      <c r="E937" t="n">
        <v>0.6971000000000001</v>
      </c>
      <c r="F937" t="inlineStr">
        <is>
          <t>✓</t>
        </is>
      </c>
      <c r="G937" t="inlineStr">
        <is>
          <t>✓</t>
        </is>
      </c>
      <c r="H937" s="3" t="inlineStr">
        <is>
          <t xml:space="preserve">abatan di Facebook simetris (A berteman B = B berteman A). b) DIRECTED: follow tidak simetris (A follow B tidak berarti B follow A). c) DIRECTED: jalan satu arah punya arah spesifik (A→B tidak berarti B→A bisa dilalui). </t>
        </is>
      </c>
    </row>
    <row r="938">
      <c r="A938" t="n">
        <v>157</v>
      </c>
      <c r="B938" t="n">
        <v>1</v>
      </c>
      <c r="C938" t="inlineStr">
        <is>
          <t>GT_DETAIL_PT13_Struktur_Data.txt</t>
        </is>
      </c>
      <c r="D938" s="3" t="inlineStr">
        <is>
          <t>Pertemuan 13: Pengenalan Struktur Data</t>
        </is>
      </c>
      <c r="E938" t="n">
        <v>0.7649</v>
      </c>
      <c r="F938" t="inlineStr">
        <is>
          <t>✓</t>
        </is>
      </c>
      <c r="G938" t="inlineStr">
        <is>
          <t>✓</t>
        </is>
      </c>
      <c r="H938" s="3" t="inlineStr">
        <is>
          <t xml:space="preserve"> - Jaringan sosial (Facebook, Instagram) - Jaringan listrik dan telekomunikasi - Internet (hubungan antar server/website) - Ilmu pengetahuan (hubungan antar konsep)  E. TREE  Definisi: Bentuk KHUSUS dari graph yang TIDAK</t>
        </is>
      </c>
    </row>
    <row r="939">
      <c r="A939" t="n">
        <v>157</v>
      </c>
      <c r="B939" t="n">
        <v>2</v>
      </c>
      <c r="C939" t="inlineStr">
        <is>
          <t>GT_CT13.txt</t>
        </is>
      </c>
      <c r="D939" s="3" t="inlineStr">
        <is>
          <t>Pertemuan 13: Pengenalan Struktur Data</t>
        </is>
      </c>
      <c r="E939" t="n">
        <v>0.7589</v>
      </c>
      <c r="F939" t="inlineStr">
        <is>
          <t>✓</t>
        </is>
      </c>
      <c r="G939" t="inlineStr">
        <is>
          <t>✓</t>
        </is>
      </c>
      <c r="H939" s="3" t="inlineStr">
        <is>
          <t>l bobot terkecil (jalur terpendek) antara dua node. Dalam kehidupan sehari-hari, prinsip ini digunakan oleh aplikasi GPS dan aplikasi peta untuk mencari rute terpendek atau tercepat. Salah satu algoritme yang terkenal un</t>
        </is>
      </c>
    </row>
    <row r="940">
      <c r="A940" t="n">
        <v>157</v>
      </c>
      <c r="B940" t="n">
        <v>3</v>
      </c>
      <c r="C940" t="inlineStr">
        <is>
          <t>GT_DETAIL_PT13_Struktur_Data.txt</t>
        </is>
      </c>
      <c r="D940" s="3" t="inlineStr">
        <is>
          <t>Pertemuan 13: Pengenalan Struktur Data</t>
        </is>
      </c>
      <c r="E940" t="n">
        <v>0.722</v>
      </c>
      <c r="F940" t="inlineStr">
        <is>
          <t>✓</t>
        </is>
      </c>
      <c r="G940" t="inlineStr">
        <is>
          <t>✓</t>
        </is>
      </c>
      <c r="H940" s="3" t="inlineStr">
        <is>
          <t>pek      | STACK (LIFO)      | QUEUE (FIFO) -----------|-------------------|------------------ Prinsip    | Last In First Out | First In First Out Tambah data| push (ke atas)    | enqueue (ke belakang) Ambil data | pop (</t>
        </is>
      </c>
    </row>
    <row r="941">
      <c r="A941" t="n">
        <v>157</v>
      </c>
      <c r="B941" t="n">
        <v>4</v>
      </c>
      <c r="C941" t="inlineStr">
        <is>
          <t>GT_CT13.txt</t>
        </is>
      </c>
      <c r="D941" s="3" t="inlineStr">
        <is>
          <t>Pertemuan 13: Pengenalan Struktur Data</t>
        </is>
      </c>
      <c r="E941" t="n">
        <v>0.7167</v>
      </c>
      <c r="F941" t="inlineStr">
        <is>
          <t>✓</t>
        </is>
      </c>
      <c r="G941" t="inlineStr">
        <is>
          <t>✓</t>
        </is>
      </c>
      <c r="H941" s="3" t="inlineStr">
        <is>
          <t xml:space="preserve">dangkan edge merepresentasikan adanya jalur yang menghubungkan antar lokasi tersebut. Contoh lain mencakup representasi hubungan perkenalan atau pertemanan antar orang serta hubungan antar konsep dalam ilmu pengetahuan. </t>
        </is>
      </c>
    </row>
    <row r="942">
      <c r="A942" t="n">
        <v>157</v>
      </c>
      <c r="B942" t="n">
        <v>5</v>
      </c>
      <c r="C942" t="inlineStr">
        <is>
          <t>GT_SUBTOPIK_13_Graph_Tree.txt</t>
        </is>
      </c>
      <c r="D942" s="3" t="inlineStr">
        <is>
          <t>Subtopik: Graph dan Tree -- Representasi, Traversal, dan Jalur Terpendek</t>
        </is>
      </c>
      <c r="E942" t="n">
        <v>0.7141999999999999</v>
      </c>
      <c r="F942" t="inlineStr">
        <is>
          <t>✓</t>
        </is>
      </c>
      <c r="G942" t="inlineStr">
        <is>
          <t>✓</t>
        </is>
      </c>
      <c r="H942" s="3" t="inlineStr">
        <is>
          <t>, B, D, G, E, C, F  [SOAL 6 -- Terminologi Tree] Diberikan tree berikut:          A (root)         / \        B   C       / \   \      D   E   F     /    G  Identifikasi: a) Root b) Semua leaf node c) Parent dari D d) Ch</t>
        </is>
      </c>
    </row>
    <row r="943">
      <c r="A943" t="n">
        <v>157</v>
      </c>
      <c r="B943" t="n">
        <v>6</v>
      </c>
      <c r="C943" t="inlineStr">
        <is>
          <t>GT_SUBTOPIK_02_Abstraksi_Formulasi.txt</t>
        </is>
      </c>
      <c r="D943" s="3" t="inlineStr">
        <is>
          <t>Subtopik: Abstraksi — Formulasi Problem (Problem/Goal/Batasan/Data)</t>
        </is>
      </c>
      <c r="E943" t="n">
        <v>0.7128</v>
      </c>
      <c r="F943" t="inlineStr">
        <is>
          <t>✓</t>
        </is>
      </c>
      <c r="G943" t="inlineStr">
        <is>
          <t>✓</t>
        </is>
      </c>
      <c r="H943" s="3" t="inlineStr">
        <is>
          <t>Total anggaran = Rp 50 juta  YANG DIABAIKAN (bukan data relevan):   - Warna/merek item (tidak mempengaruhi produktivitas)   - Nama vendor/supplier   - Tanggal pengiriman (asumsi semua tersedia)  [SOAL 5 — Abstraksi: Jadw</t>
        </is>
      </c>
    </row>
    <row r="944">
      <c r="A944" t="n">
        <v>158</v>
      </c>
      <c r="B944" t="n">
        <v>1</v>
      </c>
      <c r="C944" t="inlineStr">
        <is>
          <t>GT_CT13.txt</t>
        </is>
      </c>
      <c r="D944" s="3" t="inlineStr">
        <is>
          <t>Pertemuan 13: Pengenalan Struktur Data</t>
        </is>
      </c>
      <c r="E944" t="n">
        <v>0.759</v>
      </c>
      <c r="F944" t="inlineStr">
        <is>
          <t>✓</t>
        </is>
      </c>
      <c r="G944" t="inlineStr">
        <is>
          <t>✓</t>
        </is>
      </c>
      <c r="H944" s="3" t="inlineStr">
        <is>
          <t xml:space="preserve">dangkan edge merepresentasikan adanya jalur yang menghubungkan antar lokasi tersebut. Contoh lain mencakup representasi hubungan perkenalan atau pertemanan antar orang serta hubungan antar konsep dalam ilmu pengetahuan. </t>
        </is>
      </c>
    </row>
    <row r="945">
      <c r="A945" t="n">
        <v>158</v>
      </c>
      <c r="B945" t="n">
        <v>2</v>
      </c>
      <c r="C945" t="inlineStr">
        <is>
          <t>GT_CT13.txt</t>
        </is>
      </c>
      <c r="D945" s="3" t="inlineStr">
        <is>
          <t>Pertemuan 13: Pengenalan Struktur Data</t>
        </is>
      </c>
      <c r="E945" t="n">
        <v>0.7581</v>
      </c>
      <c r="F945" t="inlineStr">
        <is>
          <t>✓</t>
        </is>
      </c>
      <c r="G945" t="inlineStr">
        <is>
          <t>✓</t>
        </is>
      </c>
      <c r="H945" s="3" t="inlineStr">
        <is>
          <t>l bobot terkecil (jalur terpendek) antara dua node. Dalam kehidupan sehari-hari, prinsip ini digunakan oleh aplikasi GPS dan aplikasi peta untuk mencari rute terpendek atau tercepat. Salah satu algoritme yang terkenal un</t>
        </is>
      </c>
    </row>
    <row r="946">
      <c r="A946" t="n">
        <v>158</v>
      </c>
      <c r="B946" t="n">
        <v>3</v>
      </c>
      <c r="C946" t="inlineStr">
        <is>
          <t>GT_DETAIL_PT13_Struktur_Data.txt</t>
        </is>
      </c>
      <c r="D946" s="3" t="inlineStr">
        <is>
          <t>Pertemuan 13: Pengenalan Struktur Data</t>
        </is>
      </c>
      <c r="E946" t="n">
        <v>0.7522</v>
      </c>
      <c r="F946" t="inlineStr">
        <is>
          <t>✓</t>
        </is>
      </c>
      <c r="G946" t="inlineStr">
        <is>
          <t>✓</t>
        </is>
      </c>
      <c r="H946" s="3" t="inlineStr">
        <is>
          <t>pek      | STACK (LIFO)      | QUEUE (FIFO) -----------|-------------------|------------------ Prinsip    | Last In First Out | First In First Out Tambah data| push (ke atas)    | enqueue (ke belakang) Ambil data | pop (</t>
        </is>
      </c>
    </row>
    <row r="947">
      <c r="A947" t="n">
        <v>158</v>
      </c>
      <c r="B947" t="n">
        <v>4</v>
      </c>
      <c r="C947" t="inlineStr">
        <is>
          <t>GT_DETAIL_PT13_Struktur_Data.txt</t>
        </is>
      </c>
      <c r="D947" s="3" t="inlineStr">
        <is>
          <t>Pertemuan 13: Pengenalan Struktur Data</t>
        </is>
      </c>
      <c r="E947" t="n">
        <v>0.7459</v>
      </c>
      <c r="F947" t="inlineStr">
        <is>
          <t>✓</t>
        </is>
      </c>
      <c r="G947" t="inlineStr">
        <is>
          <t>✓</t>
        </is>
      </c>
      <c r="H947" s="3" t="inlineStr">
        <is>
          <t xml:space="preserve"> - Jaringan sosial (Facebook, Instagram) - Jaringan listrik dan telekomunikasi - Internet (hubungan antar server/website) - Ilmu pengetahuan (hubungan antar konsep)  E. TREE  Definisi: Bentuk KHUSUS dari graph yang TIDAK</t>
        </is>
      </c>
    </row>
    <row r="948">
      <c r="A948" t="n">
        <v>158</v>
      </c>
      <c r="B948" t="n">
        <v>5</v>
      </c>
      <c r="C948" t="inlineStr">
        <is>
          <t>GT_SUBTOPIK_13_Graph_Tree.txt</t>
        </is>
      </c>
      <c r="D948" s="3" t="inlineStr">
        <is>
          <t>Subtopik: Graph dan Tree -- Representasi, Traversal, dan Jalur Terpendek</t>
        </is>
      </c>
      <c r="E948" t="n">
        <v>0.7302</v>
      </c>
      <c r="F948" t="inlineStr">
        <is>
          <t>✓</t>
        </is>
      </c>
      <c r="G948" t="inlineStr">
        <is>
          <t>✓</t>
        </is>
      </c>
      <c r="H948" s="3" t="inlineStr">
        <is>
          <t>an (undirected): Ali--Budi, Ali--Citra, Budi--Dini, Citra--Dini, Budi--Eka  Siapa "mutual friend" antara Ali dan Dini? (Mutual friend = teman Ali yang juga teman Dini)  JAWABAN: Teman Ali: {Budi, Citra} Teman Dini: {Budi</t>
        </is>
      </c>
    </row>
    <row r="949">
      <c r="A949" t="n">
        <v>158</v>
      </c>
      <c r="B949" t="n">
        <v>6</v>
      </c>
      <c r="C949" t="inlineStr">
        <is>
          <t>GT_SUBTOPIK_13_Graph_Tree.txt</t>
        </is>
      </c>
      <c r="D949" s="3" t="inlineStr">
        <is>
          <t>Subtopik: Graph dan Tree -- Representasi, Traversal, dan Jalur Terpendek</t>
        </is>
      </c>
      <c r="E949" t="n">
        <v>0.7291</v>
      </c>
      <c r="F949" t="inlineStr">
        <is>
          <t>✓</t>
        </is>
      </c>
      <c r="G949" t="inlineStr">
        <is>
          <t>✓</t>
        </is>
      </c>
      <c r="H949" s="3" t="inlineStr">
        <is>
          <t>, B, D, G, E, C, F  [SOAL 6 -- Terminologi Tree] Diberikan tree berikut:          A (root)         / \        B   C       / \   \      D   E   F     /    G  Identifikasi: a) Root b) Semua leaf node c) Parent dari D d) Ch</t>
        </is>
      </c>
    </row>
    <row r="950">
      <c r="A950" t="n">
        <v>159</v>
      </c>
      <c r="B950" t="n">
        <v>1</v>
      </c>
      <c r="C950" t="inlineStr">
        <is>
          <t>GT_CT13.txt</t>
        </is>
      </c>
      <c r="D950" s="3" t="inlineStr">
        <is>
          <t>Pertemuan 13: Pengenalan Struktur Data</t>
        </is>
      </c>
      <c r="E950" t="n">
        <v>0.7704</v>
      </c>
      <c r="F950" t="inlineStr">
        <is>
          <t>✓</t>
        </is>
      </c>
      <c r="G950" t="inlineStr">
        <is>
          <t>✓</t>
        </is>
      </c>
      <c r="H950" s="3" t="inlineStr">
        <is>
          <t xml:space="preserve">dangkan edge merepresentasikan adanya jalur yang menghubungkan antar lokasi tersebut. Contoh lain mencakup representasi hubungan perkenalan atau pertemanan antar orang serta hubungan antar konsep dalam ilmu pengetahuan. </t>
        </is>
      </c>
    </row>
    <row r="951">
      <c r="A951" t="n">
        <v>159</v>
      </c>
      <c r="B951" t="n">
        <v>2</v>
      </c>
      <c r="C951" t="inlineStr">
        <is>
          <t>GT_SUBTOPIK_13_Graph_Tree.txt</t>
        </is>
      </c>
      <c r="D951" s="3" t="inlineStr">
        <is>
          <t>Subtopik: Graph dan Tree -- Representasi, Traversal, dan Jalur Terpendek</t>
        </is>
      </c>
      <c r="E951" t="n">
        <v>0.7337</v>
      </c>
      <c r="F951" t="inlineStr">
        <is>
          <t>✓</t>
        </is>
      </c>
      <c r="G951" t="inlineStr">
        <is>
          <t>✓</t>
        </is>
      </c>
      <c r="H951" s="3" t="inlineStr">
        <is>
          <t xml:space="preserve">kecil yang belum dikunjungi,            update jarak tetangganya jika lebih kecil via node ini   Selesai saat semua node dikunjungi atau target ditemukan  ---------------------------------------------------------------- </t>
        </is>
      </c>
    </row>
    <row r="952">
      <c r="A952" t="n">
        <v>159</v>
      </c>
      <c r="B952" t="n">
        <v>3</v>
      </c>
      <c r="C952" t="inlineStr">
        <is>
          <t>GT_CT13.txt</t>
        </is>
      </c>
      <c r="D952" s="3" t="inlineStr">
        <is>
          <t>Pertemuan 13: Pengenalan Struktur Data</t>
        </is>
      </c>
      <c r="E952" t="n">
        <v>0.7271</v>
      </c>
      <c r="F952" t="inlineStr">
        <is>
          <t>✓</t>
        </is>
      </c>
      <c r="G952" t="inlineStr">
        <is>
          <t>✓</t>
        </is>
      </c>
      <c r="H952" s="3" t="inlineStr">
        <is>
          <t>l bobot terkecil (jalur terpendek) antara dua node. Dalam kehidupan sehari-hari, prinsip ini digunakan oleh aplikasi GPS dan aplikasi peta untuk mencari rute terpendek atau tercepat. Salah satu algoritme yang terkenal un</t>
        </is>
      </c>
    </row>
    <row r="953">
      <c r="A953" t="n">
        <v>159</v>
      </c>
      <c r="B953" t="n">
        <v>4</v>
      </c>
      <c r="C953" t="inlineStr">
        <is>
          <t>GT_DETAIL_PT13_Struktur_Data.txt</t>
        </is>
      </c>
      <c r="D953" s="3" t="inlineStr">
        <is>
          <t>Pertemuan 13: Pengenalan Struktur Data</t>
        </is>
      </c>
      <c r="E953" t="n">
        <v>0.7148</v>
      </c>
      <c r="F953" t="inlineStr">
        <is>
          <t>✓</t>
        </is>
      </c>
      <c r="G953" t="inlineStr">
        <is>
          <t>✓</t>
        </is>
      </c>
      <c r="H953" s="3" t="inlineStr">
        <is>
          <t>pek      | STACK (LIFO)      | QUEUE (FIFO) -----------|-------------------|------------------ Prinsip    | Last In First Out | First In First Out Tambah data| push (ke atas)    | enqueue (ke belakang) Ambil data | pop (</t>
        </is>
      </c>
    </row>
    <row r="954">
      <c r="A954" t="n">
        <v>159</v>
      </c>
      <c r="B954" t="n">
        <v>5</v>
      </c>
      <c r="C954" t="inlineStr">
        <is>
          <t>GT_SUBTOPIK_02_Abstraksi_Formulasi.txt</t>
        </is>
      </c>
      <c r="D954" s="3" t="inlineStr">
        <is>
          <t>Subtopik: Abstraksi — Formulasi Problem (Problem/Goal/Batasan/Data)</t>
        </is>
      </c>
      <c r="E954" t="n">
        <v>0.694</v>
      </c>
      <c r="F954" t="inlineStr">
        <is>
          <t>✓</t>
        </is>
      </c>
      <c r="G954" t="inlineStr">
        <is>
          <t>✓</t>
        </is>
      </c>
      <c r="H954" s="3" t="inlineStr">
        <is>
          <t>Total anggaran = Rp 50 juta  YANG DIABAIKAN (bukan data relevan):   - Warna/merek item (tidak mempengaruhi produktivitas)   - Nama vendor/supplier   - Tanggal pengiriman (asumsi semua tersedia)  [SOAL 5 — Abstraksi: Jadw</t>
        </is>
      </c>
    </row>
    <row r="955">
      <c r="A955" t="n">
        <v>159</v>
      </c>
      <c r="B955" t="n">
        <v>6</v>
      </c>
      <c r="C955" t="inlineStr">
        <is>
          <t>GT_CT13.txt</t>
        </is>
      </c>
      <c r="D955" s="3" t="inlineStr">
        <is>
          <t>Pertemuan 13: Pengenalan Struktur Data</t>
        </is>
      </c>
      <c r="E955" t="n">
        <v>0.6844</v>
      </c>
      <c r="F955" t="inlineStr">
        <is>
          <t>✓</t>
        </is>
      </c>
      <c r="G955" t="inlineStr">
        <is>
          <t>✓</t>
        </is>
      </c>
      <c r="H955" s="3" t="inlineStr">
        <is>
          <t>ai urutan kedatangannya. - Sistem kecerdasan buatan dalam permainan catur yang merepresentasikan berbagai kemungkinan langkah ke depan: struktur data yang paling tepat adalah Tree, karena setiap kemungkinan langkah berca</t>
        </is>
      </c>
    </row>
    <row r="956">
      <c r="A956" t="n">
        <v>160</v>
      </c>
      <c r="B956" t="n">
        <v>1</v>
      </c>
      <c r="C956" t="inlineStr">
        <is>
          <t>GT_SUBTOPIK_13_Graph_Tree.txt</t>
        </is>
      </c>
      <c r="D956" s="3" t="inlineStr">
        <is>
          <t>Subtopik: Graph dan Tree -- Representasi, Traversal, dan Jalur Terpendek</t>
        </is>
      </c>
      <c r="E956" t="n">
        <v>0.7407</v>
      </c>
      <c r="F956" t="inlineStr">
        <is>
          <t>✓</t>
        </is>
      </c>
      <c r="G956" t="inlineStr">
        <is>
          <t>✓</t>
        </is>
      </c>
      <c r="H956" s="3" t="inlineStr">
        <is>
          <t>, B, D, G, E, C, F  [SOAL 6 -- Terminologi Tree] Diberikan tree berikut:          A (root)         / \        B   C       / \   \      D   E   F     /    G  Identifikasi: a) Root b) Semua leaf node c) Parent dari D d) Ch</t>
        </is>
      </c>
    </row>
    <row r="957">
      <c r="A957" t="n">
        <v>160</v>
      </c>
      <c r="B957" t="n">
        <v>2</v>
      </c>
      <c r="C957" t="inlineStr">
        <is>
          <t>GT_CT13.txt</t>
        </is>
      </c>
      <c r="D957" s="3" t="inlineStr">
        <is>
          <t>Pertemuan 13: Pengenalan Struktur Data</t>
        </is>
      </c>
      <c r="E957" t="n">
        <v>0.72</v>
      </c>
      <c r="F957" t="inlineStr">
        <is>
          <t>✓</t>
        </is>
      </c>
      <c r="G957" t="inlineStr">
        <is>
          <t>✓</t>
        </is>
      </c>
      <c r="H957" s="3" t="inlineStr">
        <is>
          <t xml:space="preserve">dangkan edge merepresentasikan adanya jalur yang menghubungkan antar lokasi tersebut. Contoh lain mencakup representasi hubungan perkenalan atau pertemanan antar orang serta hubungan antar konsep dalam ilmu pengetahuan. </t>
        </is>
      </c>
    </row>
    <row r="958">
      <c r="A958" t="n">
        <v>160</v>
      </c>
      <c r="B958" t="n">
        <v>3</v>
      </c>
      <c r="C958" t="inlineStr">
        <is>
          <t>GT_CT13.txt</t>
        </is>
      </c>
      <c r="D958" s="3" t="inlineStr">
        <is>
          <t>Pertemuan 13: Pengenalan Struktur Data</t>
        </is>
      </c>
      <c r="E958" t="n">
        <v>0.7017</v>
      </c>
      <c r="F958" t="inlineStr">
        <is>
          <t>✓</t>
        </is>
      </c>
      <c r="G958" t="inlineStr">
        <is>
          <t>✓</t>
        </is>
      </c>
      <c r="H958" s="3" t="inlineStr">
        <is>
          <t>ai urutan kedatangannya. - Sistem kecerdasan buatan dalam permainan catur yang merepresentasikan berbagai kemungkinan langkah ke depan: struktur data yang paling tepat adalah Tree, karena setiap kemungkinan langkah berca</t>
        </is>
      </c>
    </row>
    <row r="959">
      <c r="A959" t="n">
        <v>160</v>
      </c>
      <c r="B959" t="n">
        <v>4</v>
      </c>
      <c r="C959" t="inlineStr">
        <is>
          <t>GT_DETAIL_PT13_Struktur_Data.txt</t>
        </is>
      </c>
      <c r="D959" s="3" t="inlineStr">
        <is>
          <t>Pertemuan 13: Pengenalan Struktur Data</t>
        </is>
      </c>
      <c r="E959" t="n">
        <v>0.6711</v>
      </c>
      <c r="F959" t="inlineStr">
        <is>
          <t>✓</t>
        </is>
      </c>
      <c r="G959" t="inlineStr">
        <is>
          <t>✓</t>
        </is>
      </c>
      <c r="H959" s="3" t="inlineStr">
        <is>
          <t xml:space="preserve"> - Jaringan sosial (Facebook, Instagram) - Jaringan listrik dan telekomunikasi - Internet (hubungan antar server/website) - Ilmu pengetahuan (hubungan antar konsep)  E. TREE  Definisi: Bentuk KHUSUS dari graph yang TIDAK</t>
        </is>
      </c>
    </row>
    <row r="960">
      <c r="A960" t="n">
        <v>160</v>
      </c>
      <c r="B960" t="n">
        <v>5</v>
      </c>
      <c r="C960" t="inlineStr">
        <is>
          <t>GT_DETAIL_PT13_Struktur_Data.txt</t>
        </is>
      </c>
      <c r="D960" s="3" t="inlineStr">
        <is>
          <t>Pertemuan 13: Pengenalan Struktur Data</t>
        </is>
      </c>
      <c r="E960" t="n">
        <v>0.6672</v>
      </c>
      <c r="F960" t="inlineStr">
        <is>
          <t>✓</t>
        </is>
      </c>
      <c r="G960" t="inlineStr">
        <is>
          <t>✓</t>
        </is>
      </c>
      <c r="H960" s="3" t="inlineStr">
        <is>
          <t>pek      | STACK (LIFO)      | QUEUE (FIFO) -----------|-------------------|------------------ Prinsip    | Last In First Out | First In First Out Tambah data| push (ke atas)    | enqueue (ke belakang) Ambil data | pop (</t>
        </is>
      </c>
    </row>
    <row r="961">
      <c r="A961" t="n">
        <v>160</v>
      </c>
      <c r="B961" t="n">
        <v>6</v>
      </c>
      <c r="C961" t="inlineStr">
        <is>
          <t>GT_SUBTOPIK_02_Abstraksi_Formulasi.txt</t>
        </is>
      </c>
      <c r="D961" s="3" t="inlineStr">
        <is>
          <t>Subtopik: Abstraksi — Formulasi Problem (Problem/Goal/Batasan/Data)</t>
        </is>
      </c>
      <c r="E961" t="n">
        <v>0.6651</v>
      </c>
      <c r="F961" t="inlineStr">
        <is>
          <t>✓</t>
        </is>
      </c>
      <c r="G961" t="inlineStr">
        <is>
          <t>✓</t>
        </is>
      </c>
      <c r="H961" s="3" t="inlineStr">
        <is>
          <t>Total anggaran = Rp 50 juta  YANG DIABAIKAN (bukan data relevan):   - Warna/merek item (tidak mempengaruhi produktivitas)   - Nama vendor/supplier   - Tanggal pengiriman (asumsi semua tersedia)  [SOAL 5 — Abstraksi: Jadw</t>
        </is>
      </c>
    </row>
    <row r="962">
      <c r="A962" t="n">
        <v>161</v>
      </c>
      <c r="B962" t="n">
        <v>1</v>
      </c>
      <c r="C962" t="inlineStr">
        <is>
          <t>GT_SUBTOPIK_14_Kompleksitas_BigO.txt</t>
        </is>
      </c>
      <c r="D962" s="3" t="inlineStr">
        <is>
          <t>Subtopik: Kompleksitas Algoritme (Big-O Notation)</t>
        </is>
      </c>
      <c r="E962" t="n">
        <v>0.7492</v>
      </c>
      <c r="F962" t="inlineStr">
        <is>
          <t>✓</t>
        </is>
      </c>
      <c r="G962" t="inlineStr">
        <is>
          <t>✓</t>
        </is>
      </c>
      <c r="H962" s="3" t="inlineStr">
        <is>
          <t>o       if arr[j] &gt; arr[j+1] then swap(arr[j], arr[j+1])   maks = arr[n]  Bandingkan kompleksitas dan rekomendasikan yang lebih baik!  JAWABAN: Algoritme A: O(n) -- satu pass, n-1 perbandingan Algoritme B: O(n^2) -- bubb</t>
        </is>
      </c>
    </row>
    <row r="963">
      <c r="A963" t="n">
        <v>161</v>
      </c>
      <c r="B963" t="n">
        <v>2</v>
      </c>
      <c r="C963" t="inlineStr">
        <is>
          <t>GT_SUBTOPIK_14_Kompleksitas_BigO.txt</t>
        </is>
      </c>
      <c r="D963" s="3" t="inlineStr">
        <is>
          <t>Subtopik: Kompleksitas Algoritme (Big-O Notation)</t>
        </is>
      </c>
      <c r="E963" t="n">
        <v>0.7388</v>
      </c>
      <c r="F963" t="inlineStr">
        <is>
          <t>✓</t>
        </is>
      </c>
      <c r="G963" t="inlineStr">
        <is>
          <t>✓</t>
        </is>
      </c>
      <c r="H963" s="3" t="inlineStr">
        <is>
          <t>ngan ke array, lalu hitung rata-rata c) Fibonacci rekursif fib(n) d) Fibonacci iteratif dengan dua variabel  JAWABAN: a) O(1) space -- hanya butuh 2 variabel (sum dan count), tidak peduli berapa besar n  b) O(n) space --</t>
        </is>
      </c>
    </row>
    <row r="964">
      <c r="A964" t="n">
        <v>161</v>
      </c>
      <c r="B964" t="n">
        <v>3</v>
      </c>
      <c r="C964" t="inlineStr">
        <is>
          <t>GT_SUBTOPIK_14_Kompleksitas_BigO.txt</t>
        </is>
      </c>
      <c r="D964" s="3" t="inlineStr">
        <is>
          <t>Subtopik: Kompleksitas Algoritme (Big-O Notation)</t>
        </is>
      </c>
      <c r="E964" t="n">
        <v>0.7337</v>
      </c>
      <c r="F964" t="inlineStr">
        <is>
          <t>✓</t>
        </is>
      </c>
      <c r="G964" t="inlineStr">
        <is>
          <t>✓</t>
        </is>
      </c>
      <c r="H964" s="3" t="inlineStr">
        <is>
          <t xml:space="preserve"> langkah sortir  Versi C (hash set, O(n) average):   buat set kosong   for setiap x dalam arr do          // O(n)     pelengkap = target - x     if pelengkap ada di set then return True     masukkan x ke set   return Fal</t>
        </is>
      </c>
    </row>
    <row r="965">
      <c r="A965" t="n">
        <v>161</v>
      </c>
      <c r="B965" t="n">
        <v>4</v>
      </c>
      <c r="C965" t="inlineStr">
        <is>
          <t>GT_SUBTOPIK_04_Modulo_Siklus.txt</t>
        </is>
      </c>
      <c r="D965" s="3" t="inlineStr">
        <is>
          <t>Subtopik: Pattern Recognition — Modulo dan Siklus</t>
        </is>
      </c>
      <c r="E965" t="n">
        <v>0.7256</v>
      </c>
      <c r="F965" t="inlineStr">
        <is>
          <t>✓</t>
        </is>
      </c>
      <c r="G965" t="inlineStr">
        <is>
          <t>✓</t>
        </is>
      </c>
      <c r="H965" s="3" t="inlineStr">
        <is>
          <t>1×24 = 1000 - 984 = 16 08:00 + 16 jam = 24:00 = 00:00 (tengah malam) JAWABAN: Jam 00:00 (tengah malam)  [SOAL 5 — Masalah Coklat Bebek dengan Modulo] Dengan pola deret segitiga n(n+1)/2, tuliskan pseudocode untuk mencari</t>
        </is>
      </c>
    </row>
    <row r="966">
      <c r="A966" t="n">
        <v>161</v>
      </c>
      <c r="B966" t="n">
        <v>5</v>
      </c>
      <c r="C966" t="inlineStr">
        <is>
          <t>GT_SUBTOPIK_14_Kompleksitas_BigO.txt</t>
        </is>
      </c>
      <c r="D966" s="3" t="inlineStr">
        <is>
          <t>Subtopik: Kompleksitas Algoritme (Big-O Notation)</t>
        </is>
      </c>
      <c r="E966" t="n">
        <v>0.7157</v>
      </c>
      <c r="F966" t="inlineStr">
        <is>
          <t>✓</t>
        </is>
      </c>
      <c r="G966" t="inlineStr">
        <is>
          <t>✓</t>
        </is>
      </c>
      <c r="H966" s="3" t="inlineStr">
        <is>
          <t xml:space="preserve"> (sangat cepat)   O(n log n)  : 1.000*10 / 10^8 = 0,0001 detik (cepat)   O(n^2)      : 10^6 / 10^8 = 0,01 detik (masih oke)   O(2^n)      : 2^1000 / 10^8 = TIDAK MUNGKIN selesai (lebih besar dari umur alam semesta!)  Unt</t>
        </is>
      </c>
    </row>
    <row r="967">
      <c r="A967" t="n">
        <v>161</v>
      </c>
      <c r="B967" t="n">
        <v>6</v>
      </c>
      <c r="C967" t="inlineStr">
        <is>
          <t>GT_DETAIL_PT04_Abstraksi.txt</t>
        </is>
      </c>
      <c r="D967" s="3" t="inlineStr">
        <is>
          <t>Pertemuan 4: Problem Solving — Abstraksi</t>
        </is>
      </c>
      <c r="E967" t="n">
        <v>0.7077</v>
      </c>
      <c r="F967" t="inlineStr">
        <is>
          <t>✓</t>
        </is>
      </c>
      <c r="G967" t="inlineStr">
        <is>
          <t>✓</t>
        </is>
      </c>
      <c r="H967" s="3" t="inlineStr">
        <is>
          <t xml:space="preserve"> R(7)? R sudah → U(15) saja Lift 2: T(12) = 12 kg → 1 berang. Atau U(15) = 15 kg → 1 berang. Total terangkut: 5 berang (Lift 1: P,Q,R,S + Lift 2: T atau U). V tidak terangkut + U atau T.  [SOAL 4 — Abstraksi dalam Kehidu</t>
        </is>
      </c>
    </row>
    <row r="968">
      <c r="A968" t="n">
        <v>162</v>
      </c>
      <c r="B968" t="n">
        <v>1</v>
      </c>
      <c r="C968" t="inlineStr">
        <is>
          <t>GT_SUBTOPIK_11_Rekursi.txt</t>
        </is>
      </c>
      <c r="D968" s="3" t="inlineStr">
        <is>
          <t>Subtopik: Rekursi (Recursion)</t>
        </is>
      </c>
      <c r="E968" t="n">
        <v>0.8041</v>
      </c>
      <c r="F968" t="inlineStr">
        <is>
          <t>✓</t>
        </is>
      </c>
      <c r="G968" t="inlineStr">
        <is>
          <t>✓</t>
        </is>
      </c>
      <c r="H968" s="3" t="inlineStr">
        <is>
          <t xml:space="preserve"> or n == 1) then return 1     else return n * faktorial(n - 1)  Trace faktorial(4):   faktorial(4) = 4 * faktorial(3)                = 4 * 3 * faktorial(2)                = 4 * 3 * 2 * faktorial(1)                = 4 * 3</t>
        </is>
      </c>
    </row>
    <row r="969">
      <c r="A969" t="n">
        <v>162</v>
      </c>
      <c r="B969" t="n">
        <v>2</v>
      </c>
      <c r="C969" t="inlineStr">
        <is>
          <t>GT_SUBTOPIK_11_Rekursi.txt</t>
        </is>
      </c>
      <c r="D969" s="3" t="inlineStr">
        <is>
          <t>Subtopik: Rekursi (Recursion)</t>
        </is>
      </c>
      <c r="E969" t="n">
        <v>0.7809</v>
      </c>
      <c r="F969" t="inlineStr">
        <is>
          <t>✓</t>
        </is>
      </c>
      <c r="G969" t="inlineStr">
        <is>
          <t>✓</t>
        </is>
      </c>
      <c r="H969" s="3" t="inlineStr">
        <is>
          <t>en return 0     else return n + sumTo(n - 1)  Trace sumTo(4):   sumTo(4) = 4 + sumTo(3)            = 4 + 3 + sumTo(2)            = 4 + 3 + 2 + sumTo(1)            = 4 + 3 + 2 + 1 + sumTo(0)            = 4 + 3 + 2 + 1 + 0</t>
        </is>
      </c>
    </row>
    <row r="970">
      <c r="A970" t="n">
        <v>162</v>
      </c>
      <c r="B970" t="n">
        <v>3</v>
      </c>
      <c r="C970" t="inlineStr">
        <is>
          <t>GT_DETAIL_PT12_Fungsi.txt</t>
        </is>
      </c>
      <c r="D970" s="3" t="inlineStr">
        <is>
          <t>Pertemuan 12: Fungsi</t>
        </is>
      </c>
      <c r="E970" t="n">
        <v>0.7735</v>
      </c>
      <c r="F970" t="inlineStr">
        <is>
          <t>✓</t>
        </is>
      </c>
      <c r="G970" t="inlineStr">
        <is>
          <t>✓</t>
        </is>
      </c>
      <c r="H970" s="3" t="inlineStr">
        <is>
          <t>L 8 — Desain Fungsi Lengkap] Buat program yang membaca N bilangan bulat, lalu untuk setiap bilangan: - Jika bilangan prima: cetak "[bilangan] adalah PRIMA" - Jika bukan prima: cetak "[bilangan] BUKAN prima" Gunakan fungs</t>
        </is>
      </c>
    </row>
    <row r="971">
      <c r="A971" t="n">
        <v>162</v>
      </c>
      <c r="B971" t="n">
        <v>4</v>
      </c>
      <c r="C971" t="inlineStr">
        <is>
          <t>GT_SUBTOPIK_14_Kompleksitas_BigO.txt</t>
        </is>
      </c>
      <c r="D971" s="3" t="inlineStr">
        <is>
          <t>Subtopik: Kompleksitas Algoritme (Big-O Notation)</t>
        </is>
      </c>
      <c r="E971" t="n">
        <v>0.7648</v>
      </c>
      <c r="F971" t="inlineStr">
        <is>
          <t>✓</t>
        </is>
      </c>
      <c r="G971" t="inlineStr">
        <is>
          <t>✓</t>
        </is>
      </c>
      <c r="H971" s="3" t="inlineStr">
        <is>
          <t>l yang terbesar: O(n^2 + n) = O(n^2)   3. Kalikan loop bersarang: O(n) dalam O(n) = O(n^2)  ---------------------------------------------------------------- CONTOH SOAL DAN PEMBAHASAN ------------------------------------</t>
        </is>
      </c>
    </row>
    <row r="972">
      <c r="A972" t="n">
        <v>162</v>
      </c>
      <c r="B972" t="n">
        <v>5</v>
      </c>
      <c r="C972" t="inlineStr">
        <is>
          <t>GT_SUBTOPIK_14_Kompleksitas_BigO.txt</t>
        </is>
      </c>
      <c r="D972" s="3" t="inlineStr">
        <is>
          <t>Subtopik: Kompleksitas Algoritme (Big-O Notation)</t>
        </is>
      </c>
      <c r="E972" t="n">
        <v>0.7642</v>
      </c>
      <c r="F972" t="inlineStr">
        <is>
          <t>✓</t>
        </is>
      </c>
      <c r="G972" t="inlineStr">
        <is>
          <t>✓</t>
        </is>
      </c>
      <c r="H972" s="3" t="inlineStr">
        <is>
          <t xml:space="preserve"> (sangat cepat)   O(n log n)  : 1.000*10 / 10^8 = 0,0001 detik (cepat)   O(n^2)      : 10^6 / 10^8 = 0,01 detik (masih oke)   O(2^n)      : 2^1000 / 10^8 = TIDAK MUNGKIN selesai (lebih besar dari umur alam semesta!)  Unt</t>
        </is>
      </c>
    </row>
    <row r="973">
      <c r="A973" t="n">
        <v>162</v>
      </c>
      <c r="B973" t="n">
        <v>6</v>
      </c>
      <c r="C973" t="inlineStr">
        <is>
          <t>GT_SUBTOPIK_03_Pola_Bilangan_Deret.txt</t>
        </is>
      </c>
      <c r="D973" s="3" t="inlineStr">
        <is>
          <t>Subtopik: Pattern Recognition — Pola Bilangan dan Deret Matematis</t>
        </is>
      </c>
      <c r="E973" t="n">
        <v>0.763</v>
      </c>
      <c r="F973" t="inlineStr">
        <is>
          <t>✓</t>
        </is>
      </c>
      <c r="G973" t="inlineStr">
        <is>
          <t>✓</t>
        </is>
      </c>
      <c r="H973" s="3" t="inlineStr">
        <is>
          <t>0 coklat. Bebek nomor berapa yang pertama tidak mendapat coklat?  JAWABAN: Pola: jumlah komulatif s/d bebek ke-n = n(n+1)/2 Cari n terbesar sehingga n(n+1)/2 ≤ 500:   n=31: 31×32/2 = 496 ≤ 500 ✓   n=32: 32×33/2 = 528 &gt; 5</t>
        </is>
      </c>
    </row>
    <row r="974">
      <c r="A974" t="n">
        <v>163</v>
      </c>
      <c r="B974" t="n">
        <v>1</v>
      </c>
      <c r="C974" t="inlineStr">
        <is>
          <t>GT_SUBTOPIK_14_Kompleksitas_BigO.txt</t>
        </is>
      </c>
      <c r="D974" s="3" t="inlineStr">
        <is>
          <t>Subtopik: Kompleksitas Algoritme (Big-O Notation)</t>
        </is>
      </c>
      <c r="E974" t="n">
        <v>0.7406</v>
      </c>
      <c r="F974" t="inlineStr">
        <is>
          <t>✓</t>
        </is>
      </c>
      <c r="G974" t="inlineStr">
        <is>
          <t>✓</t>
        </is>
      </c>
      <c r="H974" s="3" t="inlineStr">
        <is>
          <t xml:space="preserve"> langkah sortir  Versi C (hash set, O(n) average):   buat set kosong   for setiap x dalam arr do          // O(n)     pelengkap = target - x     if pelengkap ada di set then return True     masukkan x ke set   return Fal</t>
        </is>
      </c>
    </row>
    <row r="975">
      <c r="A975" t="n">
        <v>163</v>
      </c>
      <c r="B975" t="n">
        <v>2</v>
      </c>
      <c r="C975" t="inlineStr">
        <is>
          <t>GT_SUBTOPIK_14_Kompleksitas_BigO.txt</t>
        </is>
      </c>
      <c r="D975" s="3" t="inlineStr">
        <is>
          <t>Subtopik: Kompleksitas Algoritme (Big-O Notation)</t>
        </is>
      </c>
      <c r="E975" t="n">
        <v>0.734</v>
      </c>
      <c r="F975" t="inlineStr">
        <is>
          <t>✓</t>
        </is>
      </c>
      <c r="G975" t="inlineStr">
        <is>
          <t>✓</t>
        </is>
      </c>
      <c r="H975" s="3" t="inlineStr">
        <is>
          <t>o       if arr[j] &gt; arr[j+1] then swap(arr[j], arr[j+1])   maks = arr[n]  Bandingkan kompleksitas dan rekomendasikan yang lebih baik!  JAWABAN: Algoritme A: O(n) -- satu pass, n-1 perbandingan Algoritme B: O(n^2) -- bubb</t>
        </is>
      </c>
    </row>
    <row r="976">
      <c r="A976" t="n">
        <v>163</v>
      </c>
      <c r="B976" t="n">
        <v>3</v>
      </c>
      <c r="C976" t="inlineStr">
        <is>
          <t>GT_DETAIL_PT07_Notasi_Algoritme.txt</t>
        </is>
      </c>
      <c r="D976" s="3" t="inlineStr">
        <is>
          <t>Pertemuan 7: Algoritme — Notasi Algoritme</t>
        </is>
      </c>
      <c r="E976" t="n">
        <v>0.7197</v>
      </c>
      <c r="F976" t="inlineStr">
        <is>
          <t>✓</t>
        </is>
      </c>
      <c r="G976" t="inlineStr">
        <is>
          <t>✓</t>
        </is>
      </c>
      <c r="H976" s="3" t="inlineStr">
        <is>
          <t xml:space="preserve">put. 2. Space Complexity (Kompleksitas Ruang): memori tambahan yang diperlukan.  Notasi Big-O [O()]: - O(1)    : Konstan — waktu tidak bergantung pada ukuran input - O(log n): Logaritmik — sangat efisien (contoh: binary </t>
        </is>
      </c>
    </row>
    <row r="977">
      <c r="A977" t="n">
        <v>163</v>
      </c>
      <c r="B977" t="n">
        <v>4</v>
      </c>
      <c r="C977" t="inlineStr">
        <is>
          <t>GT_CT09.txt</t>
        </is>
      </c>
      <c r="D977" s="3" t="inlineStr">
        <is>
          <t>Pertemuan 9: Elemen Pseudocode — Variabel, Operator, Tipe Data, dan List</t>
        </is>
      </c>
      <c r="E977" t="n">
        <v>0.6963</v>
      </c>
      <c r="F977" t="inlineStr">
        <is>
          <t>✓</t>
        </is>
      </c>
      <c r="G977" t="inlineStr">
        <is>
          <t>✓</t>
        </is>
      </c>
      <c r="H977" s="3" t="inlineStr">
        <is>
          <t>ama dengan (==), tidak sama dengan (!=), lebih besar dari (&gt;), lebih kecil dari (&lt;), lebih besar atau sama dengan (&gt;=), dan lebih kecil atau sama dengan (&lt;=).  4. Logical Operator (Operator Logika): Digunakan untuk mengg</t>
        </is>
      </c>
    </row>
    <row r="978">
      <c r="A978" t="n">
        <v>163</v>
      </c>
      <c r="B978" t="n">
        <v>5</v>
      </c>
      <c r="C978" t="inlineStr">
        <is>
          <t>GT_CT10.txt</t>
        </is>
      </c>
      <c r="D978" s="3" t="inlineStr">
        <is>
          <t>Pertemuan 10: Struktur Kontrol — Percabangan</t>
        </is>
      </c>
      <c r="E978" t="n">
        <v>0.6958</v>
      </c>
      <c r="F978" t="inlineStr">
        <is>
          <t>✓</t>
        </is>
      </c>
      <c r="G978" t="inlineStr">
        <is>
          <t>✓</t>
        </is>
      </c>
      <c r="H978" s="3" t="inlineStr">
        <is>
          <t xml:space="preserve">n (Loop): digunakan ketika algoritme perlu mengulang pelaksanaan instruksi tertentu sampai suatu kondisi yang ditetapkan terpenuhi.  Pertemuan ini berfokus pada pembahasan struktur kontrol percabangan secara mendalam.   </t>
        </is>
      </c>
    </row>
    <row r="979">
      <c r="A979" t="n">
        <v>163</v>
      </c>
      <c r="B979" t="n">
        <v>6</v>
      </c>
      <c r="C979" t="inlineStr">
        <is>
          <t>GT_SUBTOPIK_14_Kompleksitas_BigO.txt</t>
        </is>
      </c>
      <c r="D979" s="3" t="inlineStr">
        <is>
          <t>Subtopik: Kompleksitas Algoritme (Big-O Notation)</t>
        </is>
      </c>
      <c r="E979" t="n">
        <v>0.6923</v>
      </c>
      <c r="F979" t="inlineStr">
        <is>
          <t>✓</t>
        </is>
      </c>
      <c r="G979" t="inlineStr">
        <is>
          <t>✓</t>
        </is>
      </c>
      <c r="H979" s="3" t="inlineStr">
        <is>
          <t xml:space="preserve"> (sangat cepat)   O(n log n)  : 1.000*10 / 10^8 = 0,0001 detik (cepat)   O(n^2)      : 10^6 / 10^8 = 0,01 detik (masih oke)   O(2^n)      : 2^1000 / 10^8 = TIDAK MUNGKIN selesai (lebih besar dari umur alam semesta!)  Unt</t>
        </is>
      </c>
    </row>
    <row r="980">
      <c r="A980" t="n">
        <v>164</v>
      </c>
      <c r="B980" t="n">
        <v>1</v>
      </c>
      <c r="C980" t="inlineStr">
        <is>
          <t>GT_CT11.txt</t>
        </is>
      </c>
      <c r="D980" s="3" t="inlineStr">
        <is>
          <t>Pertemuan 11: Algoritme — Struktur Kontrol Perulangan</t>
        </is>
      </c>
      <c r="E980" t="n">
        <v>0.7147</v>
      </c>
      <c r="F980" t="inlineStr">
        <is>
          <t>✓</t>
        </is>
      </c>
      <c r="G980" t="inlineStr">
        <is>
          <t>✓</t>
        </is>
      </c>
      <c r="H980" s="3" t="inlineStr">
        <is>
          <t>baris terakhir. Variasi bentuk segitiga lainnya dapat dicapai dengan mengubah logika perulangan dalam untuk mengatur posisi dan jumlah bintang pada setiap baris.   --------------------------------------------------------</t>
        </is>
      </c>
    </row>
    <row r="981">
      <c r="A981" t="n">
        <v>164</v>
      </c>
      <c r="B981" t="n">
        <v>2</v>
      </c>
      <c r="C981" t="inlineStr">
        <is>
          <t>GT_CT07.txt</t>
        </is>
      </c>
      <c r="D981" s="3" t="inlineStr">
        <is>
          <t>Pertemuan 7: Algoritme — Notasi Algoritme</t>
        </is>
      </c>
      <c r="E981" t="n">
        <v>0.7111</v>
      </c>
      <c r="F981" t="inlineStr">
        <is>
          <t>✓</t>
        </is>
      </c>
      <c r="G981" t="inlineStr">
        <is>
          <t>✓</t>
        </is>
      </c>
      <c r="H981" s="3" t="inlineStr">
        <is>
          <t>) dan selisih angka yang dicari (d). Output: banyaknya pasangan bilangan dengan selisih sebesar d (p). Proses: (a) Urutkan n bilangan secara menaik menjadi m1, m2, ..., mn; (b) Inisialisasi p = 0; (c) Untuk setiap i dari</t>
        </is>
      </c>
    </row>
    <row r="982">
      <c r="A982" t="n">
        <v>164</v>
      </c>
      <c r="B982" t="n">
        <v>3</v>
      </c>
      <c r="C982" t="inlineStr">
        <is>
          <t>GT_CT09.txt</t>
        </is>
      </c>
      <c r="D982" s="3" t="inlineStr">
        <is>
          <t>Pertemuan 9: Elemen Pseudocode — Variabel, Operator, Tipe Data, dan List</t>
        </is>
      </c>
      <c r="E982" t="n">
        <v>0.7107</v>
      </c>
      <c r="F982" t="inlineStr">
        <is>
          <t>✓</t>
        </is>
      </c>
      <c r="G982" t="inlineStr">
        <is>
          <t>✓</t>
        </is>
      </c>
      <c r="H982" s="3" t="inlineStr">
        <is>
          <t>ama dengan (==), tidak sama dengan (!=), lebih besar dari (&gt;), lebih kecil dari (&lt;), lebih besar atau sama dengan (&gt;=), dan lebih kecil atau sama dengan (&lt;=).  4. Logical Operator (Operator Logika): Digunakan untuk mengg</t>
        </is>
      </c>
    </row>
    <row r="983">
      <c r="A983" t="n">
        <v>164</v>
      </c>
      <c r="B983" t="n">
        <v>4</v>
      </c>
      <c r="C983" t="inlineStr">
        <is>
          <t>GT_SUBTOPIK_04_Modulo_Siklus.txt</t>
        </is>
      </c>
      <c r="D983" s="3" t="inlineStr">
        <is>
          <t>Subtopik: Pattern Recognition — Modulo dan Siklus</t>
        </is>
      </c>
      <c r="E983" t="n">
        <v>0.7091</v>
      </c>
      <c r="F983" t="inlineStr">
        <is>
          <t>✓</t>
        </is>
      </c>
      <c r="G983" t="inlineStr">
        <is>
          <t>✓</t>
        </is>
      </c>
      <c r="H983" s="3" t="inlineStr">
        <is>
          <t>ggal 13.    Pola hari tanggal 13 dari setiap bulan membentuk siklus berdasarkan    panjang bulan. Dalam satu tahun non-kabisat, Jumat ke-13 muncul minimal    1 kali dan maksimal 3 kali. Rata-rata: dalam 28 tahun siklus k</t>
        </is>
      </c>
    </row>
    <row r="984">
      <c r="A984" t="n">
        <v>164</v>
      </c>
      <c r="B984" t="n">
        <v>5</v>
      </c>
      <c r="C984" t="inlineStr">
        <is>
          <t>5PAI.txt</t>
        </is>
      </c>
      <c r="D984" s="3" t="inlineStr">
        <is>
          <t>Profil Kognitif 5PAI</t>
        </is>
      </c>
      <c r="E984" t="n">
        <v>0.7039</v>
      </c>
      <c r="F984" t="inlineStr">
        <is>
          <t>✓</t>
        </is>
      </c>
      <c r="G984" t="inlineStr">
        <is>
          <t>✓</t>
        </is>
      </c>
      <c r="H984" s="3" t="inlineStr">
        <is>
          <t xml:space="preserve">ugesti Fokus untuk LLM - Fokus pada penguatan aspek CT sesuai profil ini. - Pertanyaan perlu diarahkan untuk memperdalam analisis, refleksi, dan pemecahan masalah. - Gunakan pendekatan akademik dan scaffolding kognitif. </t>
        </is>
      </c>
    </row>
    <row r="985">
      <c r="A985" t="n">
        <v>164</v>
      </c>
      <c r="B985" t="n">
        <v>6</v>
      </c>
      <c r="C985" t="inlineStr">
        <is>
          <t>6TGI.txt</t>
        </is>
      </c>
      <c r="D985" s="3" t="inlineStr">
        <is>
          <t>Profil Kognitif 6TGI</t>
        </is>
      </c>
      <c r="E985" t="n">
        <v>0.7026</v>
      </c>
      <c r="F985" t="inlineStr">
        <is>
          <t>✓</t>
        </is>
      </c>
      <c r="G985" t="inlineStr">
        <is>
          <t>✓</t>
        </is>
      </c>
      <c r="H985" s="3" t="inlineStr">
        <is>
          <t xml:space="preserve"> untuk LLM - Fokus pada penguatan aspek CT sesuai profil ini. - Pertanyaan perlu diarahkan untuk memperdalam analisis, refleksi, dan pemecahan masalah. - Gunakan pendekatan akademik dan scaffolding kognitif. - Tipe feedb</t>
        </is>
      </c>
    </row>
    <row r="986">
      <c r="A986" t="n">
        <v>165</v>
      </c>
      <c r="B986" t="n">
        <v>1</v>
      </c>
      <c r="C986" t="inlineStr">
        <is>
          <t>GT_DETAIL_PT07_Notasi_Algoritme.txt</t>
        </is>
      </c>
      <c r="D986" s="3" t="inlineStr">
        <is>
          <t>Pertemuan 7: Algoritme — Notasi Algoritme</t>
        </is>
      </c>
      <c r="E986" t="n">
        <v>0.7617</v>
      </c>
      <c r="F986" t="inlineStr">
        <is>
          <t>✓</t>
        </is>
      </c>
      <c r="G986" t="inlineStr">
        <is>
          <t>✓</t>
        </is>
      </c>
      <c r="H986" s="3" t="inlineStr">
        <is>
          <t xml:space="preserve">put. 2. Space Complexity (Kompleksitas Ruang): memori tambahan yang diperlukan.  Notasi Big-O [O()]: - O(1)    : Konstan — waktu tidak bergantung pada ukuran input - O(log n): Logaritmik — sangat efisien (contoh: binary </t>
        </is>
      </c>
    </row>
    <row r="987">
      <c r="A987" t="n">
        <v>165</v>
      </c>
      <c r="B987" t="n">
        <v>2</v>
      </c>
      <c r="C987" t="inlineStr">
        <is>
          <t>GT_SUBTOPIK_14_Kompleksitas_BigO.txt</t>
        </is>
      </c>
      <c r="D987" s="3" t="inlineStr">
        <is>
          <t>Subtopik: Kompleksitas Algoritme (Big-O Notation)</t>
        </is>
      </c>
      <c r="E987" t="n">
        <v>0.7613</v>
      </c>
      <c r="F987" t="inlineStr">
        <is>
          <t>✓</t>
        </is>
      </c>
      <c r="G987" t="inlineStr">
        <is>
          <t>✓</t>
        </is>
      </c>
      <c r="H987" s="3" t="inlineStr">
        <is>
          <t xml:space="preserve"> (sangat cepat)   O(n log n)  : 1.000*10 / 10^8 = 0,0001 detik (cepat)   O(n^2)      : 10^6 / 10^8 = 0,01 detik (masih oke)   O(2^n)      : 2^1000 / 10^8 = TIDAK MUNGKIN selesai (lebih besar dari umur alam semesta!)  Unt</t>
        </is>
      </c>
    </row>
    <row r="988">
      <c r="A988" t="n">
        <v>165</v>
      </c>
      <c r="B988" t="n">
        <v>3</v>
      </c>
      <c r="C988" t="inlineStr">
        <is>
          <t>GT_SUBTOPIK_11_Rekursi.txt</t>
        </is>
      </c>
      <c r="D988" s="3" t="inlineStr">
        <is>
          <t>Subtopik: Rekursi (Recursion)</t>
        </is>
      </c>
      <c r="E988" t="n">
        <v>0.7518</v>
      </c>
      <c r="F988" t="inlineStr">
        <is>
          <t>✓</t>
        </is>
      </c>
      <c r="G988" t="inlineStr">
        <is>
          <t>✓</t>
        </is>
      </c>
      <c r="H988" s="3" t="inlineStr">
        <is>
          <t xml:space="preserve">turn reverse(substring(s, 2, panjang(s))) + s[1]  Trace reverse("ABCD"):   reverse("ABCD") = reverse("BCD") + "A"                   = (reverse("CD") + "B") + "A"                   = ((reverse("D") + "C") + "B") + "A"    </t>
        </is>
      </c>
    </row>
    <row r="989">
      <c r="A989" t="n">
        <v>165</v>
      </c>
      <c r="B989" t="n">
        <v>4</v>
      </c>
      <c r="C989" t="inlineStr">
        <is>
          <t>GT_SUBTOPIK_14_Kompleksitas_BigO.txt</t>
        </is>
      </c>
      <c r="D989" s="3" t="inlineStr">
        <is>
          <t>Subtopik: Kompleksitas Algoritme (Big-O Notation)</t>
        </is>
      </c>
      <c r="E989" t="n">
        <v>0.751</v>
      </c>
      <c r="F989" t="inlineStr">
        <is>
          <t>✓</t>
        </is>
      </c>
      <c r="G989" t="inlineStr">
        <is>
          <t>✓</t>
        </is>
      </c>
      <c r="H989" s="3" t="inlineStr">
        <is>
          <t>ngan ke array, lalu hitung rata-rata c) Fibonacci rekursif fib(n) d) Fibonacci iteratif dengan dua variabel  JAWABAN: a) O(1) space -- hanya butuh 2 variabel (sum dan count), tidak peduli berapa besar n  b) O(n) space --</t>
        </is>
      </c>
    </row>
    <row r="990">
      <c r="A990" t="n">
        <v>165</v>
      </c>
      <c r="B990" t="n">
        <v>5</v>
      </c>
      <c r="C990" t="inlineStr">
        <is>
          <t>GT_SUBTOPIK_04_Modulo_Siklus.txt</t>
        </is>
      </c>
      <c r="D990" s="3" t="inlineStr">
        <is>
          <t>Subtopik: Pattern Recognition — Modulo dan Siklus</t>
        </is>
      </c>
      <c r="E990" t="n">
        <v>0.7474</v>
      </c>
      <c r="F990" t="inlineStr">
        <is>
          <t>✓</t>
        </is>
      </c>
      <c r="G990" t="inlineStr">
        <is>
          <t>✓</t>
        </is>
      </c>
      <c r="H990" s="3" t="inlineStr">
        <is>
          <t>1×24 = 1000 - 984 = 16 08:00 + 16 jam = 24:00 = 00:00 (tengah malam) JAWABAN: Jam 00:00 (tengah malam)  [SOAL 5 — Masalah Coklat Bebek dengan Modulo] Dengan pola deret segitiga n(n+1)/2, tuliskan pseudocode untuk mencari</t>
        </is>
      </c>
    </row>
    <row r="991">
      <c r="A991" t="n">
        <v>165</v>
      </c>
      <c r="B991" t="n">
        <v>6</v>
      </c>
      <c r="C991" t="inlineStr">
        <is>
          <t>GT_SUBTOPIK_05_Pseudocode_Algoritme.txt</t>
        </is>
      </c>
      <c r="D991" s="3" t="inlineStr">
        <is>
          <t>Subtopik: Pseudocode dan Notasi Algoritme</t>
        </is>
      </c>
      <c r="E991" t="n">
        <v>0.7326</v>
      </c>
      <c r="F991" t="inlineStr">
        <is>
          <t>✓</t>
        </is>
      </c>
      <c r="G991" t="inlineStr">
        <is>
          <t>✓</t>
        </is>
      </c>
      <c r="H991" s="3" t="inlineStr">
        <is>
          <t>)   : eksponensial (brute force kombinasi)  ---------------------------------------------------------------- CONTOH SOAL DAN PEMBAHASAN ----------------------------------------------------------------  [SOAL 1 — Pseudoco</t>
        </is>
      </c>
    </row>
    <row r="992">
      <c r="A992" t="n">
        <v>166</v>
      </c>
      <c r="B992" t="n">
        <v>1</v>
      </c>
      <c r="C992" t="inlineStr">
        <is>
          <t>GT_SUBTOPIK_14_Kompleksitas_BigO.txt</t>
        </is>
      </c>
      <c r="D992" s="3" t="inlineStr">
        <is>
          <t>Subtopik: Kompleksitas Algoritme (Big-O Notation)</t>
        </is>
      </c>
      <c r="E992" t="n">
        <v>0.7817</v>
      </c>
      <c r="F992" t="inlineStr">
        <is>
          <t>✓</t>
        </is>
      </c>
      <c r="G992" t="inlineStr">
        <is>
          <t>✓</t>
        </is>
      </c>
      <c r="H992" s="3" t="inlineStr">
        <is>
          <t xml:space="preserve"> langkah sortir  Versi C (hash set, O(n) average):   buat set kosong   for setiap x dalam arr do          // O(n)     pelengkap = target - x     if pelengkap ada di set then return True     masukkan x ke set   return Fal</t>
        </is>
      </c>
    </row>
    <row r="993">
      <c r="A993" t="n">
        <v>166</v>
      </c>
      <c r="B993" t="n">
        <v>2</v>
      </c>
      <c r="C993" t="inlineStr">
        <is>
          <t>GT_SUBTOPIK_14_Kompleksitas_BigO.txt</t>
        </is>
      </c>
      <c r="D993" s="3" t="inlineStr">
        <is>
          <t>Subtopik: Kompleksitas Algoritme (Big-O Notation)</t>
        </is>
      </c>
      <c r="E993" t="n">
        <v>0.7762</v>
      </c>
      <c r="F993" t="inlineStr">
        <is>
          <t>✓</t>
        </is>
      </c>
      <c r="G993" t="inlineStr">
        <is>
          <t>✓</t>
        </is>
      </c>
      <c r="H993" s="3" t="inlineStr">
        <is>
          <t>o       if arr[j] &gt; arr[j+1] then swap(arr[j], arr[j+1])   maks = arr[n]  Bandingkan kompleksitas dan rekomendasikan yang lebih baik!  JAWABAN: Algoritme A: O(n) -- satu pass, n-1 perbandingan Algoritme B: O(n^2) -- bubb</t>
        </is>
      </c>
    </row>
    <row r="994">
      <c r="A994" t="n">
        <v>166</v>
      </c>
      <c r="B994" t="n">
        <v>3</v>
      </c>
      <c r="C994" t="inlineStr">
        <is>
          <t>GT_DETAIL_PT07_Notasi_Algoritme.txt</t>
        </is>
      </c>
      <c r="D994" s="3" t="inlineStr">
        <is>
          <t>Pertemuan 7: Algoritme — Notasi Algoritme</t>
        </is>
      </c>
      <c r="E994" t="n">
        <v>0.7596000000000001</v>
      </c>
      <c r="F994" t="inlineStr">
        <is>
          <t>✓</t>
        </is>
      </c>
      <c r="G994" t="inlineStr">
        <is>
          <t>✓</t>
        </is>
      </c>
      <c r="H994" s="3" t="inlineStr">
        <is>
          <t xml:space="preserve">put. 2. Space Complexity (Kompleksitas Ruang): memori tambahan yang diperlukan.  Notasi Big-O [O()]: - O(1)    : Konstan — waktu tidak bergantung pada ukuran input - O(log n): Logaritmik — sangat efisien (contoh: binary </t>
        </is>
      </c>
    </row>
    <row r="995">
      <c r="A995" t="n">
        <v>166</v>
      </c>
      <c r="B995" t="n">
        <v>4</v>
      </c>
      <c r="C995" t="inlineStr">
        <is>
          <t>GT_SUBTOPIK_14_Kompleksitas_BigO.txt</t>
        </is>
      </c>
      <c r="D995" s="3" t="inlineStr">
        <is>
          <t>Subtopik: Kompleksitas Algoritme (Big-O Notation)</t>
        </is>
      </c>
      <c r="E995" t="n">
        <v>0.7327</v>
      </c>
      <c r="F995" t="inlineStr">
        <is>
          <t>✓</t>
        </is>
      </c>
      <c r="G995" t="inlineStr">
        <is>
          <t>✓</t>
        </is>
      </c>
      <c r="H995" s="3" t="inlineStr">
        <is>
          <t>ngan ke array, lalu hitung rata-rata c) Fibonacci rekursif fib(n) d) Fibonacci iteratif dengan dua variabel  JAWABAN: a) O(1) space -- hanya butuh 2 variabel (sum dan count), tidak peduli berapa besar n  b) O(n) space --</t>
        </is>
      </c>
    </row>
    <row r="996">
      <c r="A996" t="n">
        <v>166</v>
      </c>
      <c r="B996" t="n">
        <v>5</v>
      </c>
      <c r="C996" t="inlineStr">
        <is>
          <t>GT_SUBTOPIK_14_Kompleksitas_BigO.txt</t>
        </is>
      </c>
      <c r="D996" s="3" t="inlineStr">
        <is>
          <t>Subtopik: Kompleksitas Algoritme (Big-O Notation)</t>
        </is>
      </c>
      <c r="E996" t="n">
        <v>0.7296</v>
      </c>
      <c r="F996" t="inlineStr">
        <is>
          <t>✓</t>
        </is>
      </c>
      <c r="G996" t="inlineStr">
        <is>
          <t>✓</t>
        </is>
      </c>
      <c r="H996" s="3" t="inlineStr">
        <is>
          <t xml:space="preserve"> (sangat cepat)   O(n log n)  : 1.000*10 / 10^8 = 0,0001 detik (cepat)   O(n^2)      : 10^6 / 10^8 = 0,01 detik (masih oke)   O(2^n)      : 2^1000 / 10^8 = TIDAK MUNGKIN selesai (lebih besar dari umur alam semesta!)  Unt</t>
        </is>
      </c>
    </row>
    <row r="997">
      <c r="A997" t="n">
        <v>166</v>
      </c>
      <c r="B997" t="n">
        <v>6</v>
      </c>
      <c r="C997" t="inlineStr">
        <is>
          <t>GT_SUBTOPIK_14_Kompleksitas_BigO.txt</t>
        </is>
      </c>
      <c r="D997" s="3" t="inlineStr">
        <is>
          <t>Subtopik: Kompleksitas Algoritme (Big-O Notation)</t>
        </is>
      </c>
      <c r="E997" t="n">
        <v>0.7169</v>
      </c>
      <c r="F997" t="inlineStr">
        <is>
          <t>✓</t>
        </is>
      </c>
      <c r="G997" t="inlineStr">
        <is>
          <t>✓</t>
        </is>
      </c>
      <c r="H997" s="3">
        <f>=============================================================== GROUND TRUTH SUBTOPIK -- KOM2102 COMPUTATIONAL THINKING Subtopik: Kompleksitas Algoritme (Big-O Notation) =================================================</f>
        <v/>
      </c>
    </row>
    <row r="998">
      <c r="A998" t="n">
        <v>167</v>
      </c>
      <c r="B998" t="n">
        <v>1</v>
      </c>
      <c r="C998" t="inlineStr">
        <is>
          <t>GT_SUBTOPIK_14_Kompleksitas_BigO.txt</t>
        </is>
      </c>
      <c r="D998" s="3" t="inlineStr">
        <is>
          <t>Subtopik: Kompleksitas Algoritme (Big-O Notation)</t>
        </is>
      </c>
      <c r="E998" t="n">
        <v>0.7776999999999999</v>
      </c>
      <c r="F998" t="inlineStr">
        <is>
          <t>✓</t>
        </is>
      </c>
      <c r="G998" t="inlineStr">
        <is>
          <t>✓</t>
        </is>
      </c>
      <c r="H998" s="3" t="inlineStr">
        <is>
          <t xml:space="preserve"> langkah sortir  Versi C (hash set, O(n) average):   buat set kosong   for setiap x dalam arr do          // O(n)     pelengkap = target - x     if pelengkap ada di set then return True     masukkan x ke set   return Fal</t>
        </is>
      </c>
    </row>
    <row r="999">
      <c r="A999" t="n">
        <v>167</v>
      </c>
      <c r="B999" t="n">
        <v>2</v>
      </c>
      <c r="C999" t="inlineStr">
        <is>
          <t>GT_SUBTOPIK_14_Kompleksitas_BigO.txt</t>
        </is>
      </c>
      <c r="D999" s="3" t="inlineStr">
        <is>
          <t>Subtopik: Kompleksitas Algoritme (Big-O Notation)</t>
        </is>
      </c>
      <c r="E999" t="n">
        <v>0.7689</v>
      </c>
      <c r="F999" t="inlineStr">
        <is>
          <t>✓</t>
        </is>
      </c>
      <c r="G999" t="inlineStr">
        <is>
          <t>✓</t>
        </is>
      </c>
      <c r="H999" s="3" t="inlineStr">
        <is>
          <t>o       if arr[j] &gt; arr[j+1] then swap(arr[j], arr[j+1])   maks = arr[n]  Bandingkan kompleksitas dan rekomendasikan yang lebih baik!  JAWABAN: Algoritme A: O(n) -- satu pass, n-1 perbandingan Algoritme B: O(n^2) -- bubb</t>
        </is>
      </c>
    </row>
    <row r="1000">
      <c r="A1000" t="n">
        <v>167</v>
      </c>
      <c r="B1000" t="n">
        <v>3</v>
      </c>
      <c r="C1000" t="inlineStr">
        <is>
          <t>GT_DETAIL_PT07_Notasi_Algoritme.txt</t>
        </is>
      </c>
      <c r="D1000" s="3" t="inlineStr">
        <is>
          <t>Pertemuan 7: Algoritme — Notasi Algoritme</t>
        </is>
      </c>
      <c r="E1000" t="n">
        <v>0.7544</v>
      </c>
      <c r="F1000" t="inlineStr">
        <is>
          <t>✓</t>
        </is>
      </c>
      <c r="G1000" t="inlineStr">
        <is>
          <t>✓</t>
        </is>
      </c>
      <c r="H1000" s="3" t="inlineStr">
        <is>
          <t xml:space="preserve">put. 2. Space Complexity (Kompleksitas Ruang): memori tambahan yang diperlukan.  Notasi Big-O [O()]: - O(1)    : Konstan — waktu tidak bergantung pada ukuran input - O(log n): Logaritmik — sangat efisien (contoh: binary </t>
        </is>
      </c>
    </row>
    <row r="1001">
      <c r="A1001" t="n">
        <v>167</v>
      </c>
      <c r="B1001" t="n">
        <v>4</v>
      </c>
      <c r="C1001" t="inlineStr">
        <is>
          <t>GT_SUBTOPIK_14_Kompleksitas_BigO.txt</t>
        </is>
      </c>
      <c r="D1001" s="3" t="inlineStr">
        <is>
          <t>Subtopik: Kompleksitas Algoritme (Big-O Notation)</t>
        </is>
      </c>
      <c r="E1001" t="n">
        <v>0.7398</v>
      </c>
      <c r="F1001" t="inlineStr">
        <is>
          <t>✓</t>
        </is>
      </c>
      <c r="G1001" t="inlineStr">
        <is>
          <t>✓</t>
        </is>
      </c>
      <c r="H1001" s="3" t="inlineStr">
        <is>
          <t xml:space="preserve"> (sangat cepat)   O(n log n)  : 1.000*10 / 10^8 = 0,0001 detik (cepat)   O(n^2)      : 10^6 / 10^8 = 0,01 detik (masih oke)   O(2^n)      : 2^1000 / 10^8 = TIDAK MUNGKIN selesai (lebih besar dari umur alam semesta!)  Unt</t>
        </is>
      </c>
    </row>
    <row r="1002">
      <c r="A1002" t="n">
        <v>167</v>
      </c>
      <c r="B1002" t="n">
        <v>5</v>
      </c>
      <c r="C1002" t="inlineStr">
        <is>
          <t>GT_SUBTOPIK_14_Kompleksitas_BigO.txt</t>
        </is>
      </c>
      <c r="D1002" s="3" t="inlineStr">
        <is>
          <t>Subtopik: Kompleksitas Algoritme (Big-O Notation)</t>
        </is>
      </c>
      <c r="E1002" t="n">
        <v>0.739</v>
      </c>
      <c r="F1002" t="inlineStr">
        <is>
          <t>✓</t>
        </is>
      </c>
      <c r="G1002" t="inlineStr">
        <is>
          <t>✓</t>
        </is>
      </c>
      <c r="H1002" s="3" t="inlineStr">
        <is>
          <t>ngan ke array, lalu hitung rata-rata c) Fibonacci rekursif fib(n) d) Fibonacci iteratif dengan dua variabel  JAWABAN: a) O(1) space -- hanya butuh 2 variabel (sum dan count), tidak peduli berapa besar n  b) O(n) space --</t>
        </is>
      </c>
    </row>
    <row r="1003">
      <c r="A1003" t="n">
        <v>167</v>
      </c>
      <c r="B1003" t="n">
        <v>6</v>
      </c>
      <c r="C1003" t="inlineStr">
        <is>
          <t>GT_SUBTOPIK_12_Stack_Queue.txt</t>
        </is>
      </c>
      <c r="D1003" s="3" t="inlineStr">
        <is>
          <t>Subtopik: Stack dan Queue -- Operasi, Simulasi, dan Penerapan</t>
        </is>
      </c>
      <c r="E1003" t="n">
        <v>0.7359</v>
      </c>
      <c r="F1003" t="inlineStr">
        <is>
          <t>✓</t>
        </is>
      </c>
      <c r="G1003" t="inlineStr">
        <is>
          <t>✓</t>
        </is>
      </c>
      <c r="H1003" s="3" t="inlineStr">
        <is>
          <t xml:space="preserve">   Waktu 5: D4 selesai   Waktu 6: D5 selesai   Waktu 7: D6 selesai  D6 selesai pada waktu 7.  [SOAL 8 -- Konversi Infix ke Postfix dengan Stack] Konversikan "A + B * C" ke postfix!  Aturan:   - Baca token kiri ke kanan  </t>
        </is>
      </c>
    </row>
    <row r="1004">
      <c r="A1004" t="n">
        <v>168</v>
      </c>
      <c r="B1004" t="n">
        <v>1</v>
      </c>
      <c r="C1004" t="inlineStr">
        <is>
          <t>GT_SUBTOPIK_14_Kompleksitas_BigO.txt</t>
        </is>
      </c>
      <c r="D1004" s="3" t="inlineStr">
        <is>
          <t>Subtopik: Kompleksitas Algoritme (Big-O Notation)</t>
        </is>
      </c>
      <c r="E1004" t="n">
        <v>0.7973</v>
      </c>
      <c r="F1004" t="inlineStr">
        <is>
          <t>✓</t>
        </is>
      </c>
      <c r="G1004" t="inlineStr">
        <is>
          <t>✓</t>
        </is>
      </c>
      <c r="H1004" s="3" t="inlineStr">
        <is>
          <t xml:space="preserve"> langkah sortir  Versi C (hash set, O(n) average):   buat set kosong   for setiap x dalam arr do          // O(n)     pelengkap = target - x     if pelengkap ada di set then return True     masukkan x ke set   return Fal</t>
        </is>
      </c>
    </row>
    <row r="1005">
      <c r="A1005" t="n">
        <v>168</v>
      </c>
      <c r="B1005" t="n">
        <v>2</v>
      </c>
      <c r="C1005" t="inlineStr">
        <is>
          <t>GT_DETAIL_PT07_Notasi_Algoritme.txt</t>
        </is>
      </c>
      <c r="D1005" s="3" t="inlineStr">
        <is>
          <t>Pertemuan 7: Algoritme — Notasi Algoritme</t>
        </is>
      </c>
      <c r="E1005" t="n">
        <v>0.7627</v>
      </c>
      <c r="F1005" t="inlineStr">
        <is>
          <t>✓</t>
        </is>
      </c>
      <c r="G1005" t="inlineStr">
        <is>
          <t>✓</t>
        </is>
      </c>
      <c r="H1005" s="3" t="inlineStr">
        <is>
          <t xml:space="preserve">put. 2. Space Complexity (Kompleksitas Ruang): memori tambahan yang diperlukan.  Notasi Big-O [O()]: - O(1)    : Konstan — waktu tidak bergantung pada ukuran input - O(log n): Logaritmik — sangat efisien (contoh: binary </t>
        </is>
      </c>
    </row>
    <row r="1006">
      <c r="A1006" t="n">
        <v>168</v>
      </c>
      <c r="B1006" t="n">
        <v>3</v>
      </c>
      <c r="C1006" t="inlineStr">
        <is>
          <t>GT_CT13.txt</t>
        </is>
      </c>
      <c r="D1006" s="3" t="inlineStr">
        <is>
          <t>Pertemuan 13: Pengenalan Struktur Data</t>
        </is>
      </c>
      <c r="E1006" t="n">
        <v>0.7476</v>
      </c>
      <c r="F1006" t="inlineStr">
        <is>
          <t>✓</t>
        </is>
      </c>
      <c r="G1006" t="inlineStr">
        <is>
          <t>✓</t>
        </is>
      </c>
      <c r="H1006" s="3" t="inlineStr">
        <is>
          <t>teratas, selama stack masih berisi data (tidak kosong). Data yang dikeluarkan melalui operasi pop sekaligus dihapus dari stack sehingga jumlah data yang tersimpan berkurang.  Simulasi rangkaian instruksi: push 5 → push 7</t>
        </is>
      </c>
    </row>
    <row r="1007">
      <c r="A1007" t="n">
        <v>168</v>
      </c>
      <c r="B1007" t="n">
        <v>4</v>
      </c>
      <c r="C1007" t="inlineStr">
        <is>
          <t>GT_SUBTOPIK_02_Abstraksi_Formulasi.txt</t>
        </is>
      </c>
      <c r="D1007" s="3" t="inlineStr">
        <is>
          <t>Subtopik: Abstraksi — Formulasi Problem (Problem/Goal/Batasan/Data)</t>
        </is>
      </c>
      <c r="E1007" t="n">
        <v>0.7452</v>
      </c>
      <c r="F1007" t="inlineStr">
        <is>
          <t>✓</t>
        </is>
      </c>
      <c r="G1007" t="inlineStr">
        <is>
          <t>✓</t>
        </is>
      </c>
      <c r="H1007" s="3" t="inlineStr">
        <is>
          <t xml:space="preserve"> aus, atau printer tidak dibersihkan secara berkala.    Abstraksi: fokus pada frekuensi dan kondisi saat macet →    apakah selalu dengan kertas tertentu? Setelah sekian lembar?  [SOAL 7 — Abstraksi Data] Diberikan datase</t>
        </is>
      </c>
    </row>
    <row r="1008">
      <c r="A1008" t="n">
        <v>168</v>
      </c>
      <c r="B1008" t="n">
        <v>5</v>
      </c>
      <c r="C1008" t="inlineStr">
        <is>
          <t>GT_SUBTOPIK_14_Kompleksitas_BigO.txt</t>
        </is>
      </c>
      <c r="D1008" s="3" t="inlineStr">
        <is>
          <t>Subtopik: Kompleksitas Algoritme (Big-O Notation)</t>
        </is>
      </c>
      <c r="E1008" t="n">
        <v>0.7447</v>
      </c>
      <c r="F1008" t="inlineStr">
        <is>
          <t>✓</t>
        </is>
      </c>
      <c r="G1008" t="inlineStr">
        <is>
          <t>✓</t>
        </is>
      </c>
      <c r="H1008" s="3" t="inlineStr">
        <is>
          <t>o       if arr[j] &gt; arr[j+1] then swap(arr[j], arr[j+1])   maks = arr[n]  Bandingkan kompleksitas dan rekomendasikan yang lebih baik!  JAWABAN: Algoritme A: O(n) -- satu pass, n-1 perbandingan Algoritme B: O(n^2) -- bubb</t>
        </is>
      </c>
    </row>
    <row r="1009">
      <c r="A1009" t="n">
        <v>168</v>
      </c>
      <c r="B1009" t="n">
        <v>6</v>
      </c>
      <c r="C1009" t="inlineStr">
        <is>
          <t>GT_SUBTOPIK_14_Kompleksitas_BigO.txt</t>
        </is>
      </c>
      <c r="D1009" s="3" t="inlineStr">
        <is>
          <t>Subtopik: Kompleksitas Algoritme (Big-O Notation)</t>
        </is>
      </c>
      <c r="E1009" t="n">
        <v>0.7433</v>
      </c>
      <c r="F1009" t="inlineStr">
        <is>
          <t>✓</t>
        </is>
      </c>
      <c r="G1009" t="inlineStr">
        <is>
          <t>✓</t>
        </is>
      </c>
      <c r="H1009" s="3" t="inlineStr">
        <is>
          <t xml:space="preserve"> (sangat cepat)   O(n log n)  : 1.000*10 / 10^8 = 0,0001 detik (cepat)   O(n^2)      : 10^6 / 10^8 = 0,01 detik (masih oke)   O(2^n)      : 2^1000 / 10^8 = TIDAK MUNGKIN selesai (lebih besar dari umur alam semesta!)  Unt</t>
        </is>
      </c>
    </row>
    <row r="1010">
      <c r="A1010" t="n">
        <v>169</v>
      </c>
      <c r="B1010" t="n">
        <v>1</v>
      </c>
      <c r="C1010" t="inlineStr">
        <is>
          <t>GT_SUBTOPIK_14_Kompleksitas_BigO.txt</t>
        </is>
      </c>
      <c r="D1010" s="3" t="inlineStr">
        <is>
          <t>Subtopik: Kompleksitas Algoritme (Big-O Notation)</t>
        </is>
      </c>
      <c r="E1010" t="n">
        <v>0.7857</v>
      </c>
      <c r="F1010" t="inlineStr">
        <is>
          <t>✓</t>
        </is>
      </c>
      <c r="G1010" t="inlineStr">
        <is>
          <t>✓</t>
        </is>
      </c>
      <c r="H1010" s="3" t="inlineStr">
        <is>
          <t xml:space="preserve"> (sangat cepat)   O(n log n)  : 1.000*10 / 10^8 = 0,0001 detik (cepat)   O(n^2)      : 10^6 / 10^8 = 0,01 detik (masih oke)   O(2^n)      : 2^1000 / 10^8 = TIDAK MUNGKIN selesai (lebih besar dari umur alam semesta!)  Unt</t>
        </is>
      </c>
    </row>
    <row r="1011">
      <c r="A1011" t="n">
        <v>169</v>
      </c>
      <c r="B1011" t="n">
        <v>2</v>
      </c>
      <c r="C1011" t="inlineStr">
        <is>
          <t>GT_SUBTOPIK_11_Rekursi.txt</t>
        </is>
      </c>
      <c r="D1011" s="3" t="inlineStr">
        <is>
          <t>Subtopik: Rekursi (Recursion)</t>
        </is>
      </c>
      <c r="E1011" t="n">
        <v>0.7353</v>
      </c>
      <c r="F1011" t="inlineStr">
        <is>
          <t>✓</t>
        </is>
      </c>
      <c r="G1011" t="inlineStr">
        <is>
          <t>✓</t>
        </is>
      </c>
      <c r="H1011" s="3" t="inlineStr">
        <is>
          <t xml:space="preserve">turn reverse(substring(s, 2, panjang(s))) + s[1]  Trace reverse("ABCD"):   reverse("ABCD") = reverse("BCD") + "A"                   = (reverse("CD") + "B") + "A"                   = ((reverse("D") + "C") + "B") + "A"    </t>
        </is>
      </c>
    </row>
    <row r="1012">
      <c r="A1012" t="n">
        <v>169</v>
      </c>
      <c r="B1012" t="n">
        <v>3</v>
      </c>
      <c r="C1012" t="inlineStr">
        <is>
          <t>GT_SUBTOPIK_05_Pseudocode_Algoritme.txt</t>
        </is>
      </c>
      <c r="D1012" s="3" t="inlineStr">
        <is>
          <t>Subtopik: Pseudocode dan Notasi Algoritme</t>
        </is>
      </c>
      <c r="E1012" t="n">
        <v>0.7241</v>
      </c>
      <c r="F1012" t="inlineStr">
        <is>
          <t>✓</t>
        </is>
      </c>
      <c r="G1012" t="inlineStr">
        <is>
          <t>✓</t>
        </is>
      </c>
      <c r="H1012" s="3">
        <f> n / 2                  // pembagian integer   if (biner == "") then biner = "0"   print(biner)  Trace n=13:   13 mod 2 = 1, biner="1", n=6   6 mod 2  = 0, biner="01", n=3   3 mod 2  = 1, biner="101", n=1   1 mod 2  = 1</f>
        <v/>
      </c>
    </row>
    <row r="1013">
      <c r="A1013" t="n">
        <v>169</v>
      </c>
      <c r="B1013" t="n">
        <v>4</v>
      </c>
      <c r="C1013" t="inlineStr">
        <is>
          <t>GT_SUBTOPIK_14_Kompleksitas_BigO.txt</t>
        </is>
      </c>
      <c r="D1013" s="3" t="inlineStr">
        <is>
          <t>Subtopik: Kompleksitas Algoritme (Big-O Notation)</t>
        </is>
      </c>
      <c r="E1013" t="n">
        <v>0.7213000000000001</v>
      </c>
      <c r="F1013" t="inlineStr">
        <is>
          <t>✓</t>
        </is>
      </c>
      <c r="G1013" t="inlineStr">
        <is>
          <t>✓</t>
        </is>
      </c>
      <c r="H1013" s="3" t="inlineStr">
        <is>
          <t>ngan ke array, lalu hitung rata-rata c) Fibonacci rekursif fib(n) d) Fibonacci iteratif dengan dua variabel  JAWABAN: a) O(1) space -- hanya butuh 2 variabel (sum dan count), tidak peduli berapa besar n  b) O(n) space --</t>
        </is>
      </c>
    </row>
    <row r="1014">
      <c r="A1014" t="n">
        <v>169</v>
      </c>
      <c r="B1014" t="n">
        <v>5</v>
      </c>
      <c r="C1014" t="inlineStr">
        <is>
          <t>GT_SUBTOPIK_05_Pseudocode_Algoritme.txt</t>
        </is>
      </c>
      <c r="D1014" s="3" t="inlineStr">
        <is>
          <t>Subtopik: Pseudocode dan Notasi Algoritme</t>
        </is>
      </c>
      <c r="E1014" t="n">
        <v>0.7139</v>
      </c>
      <c r="F1014" t="inlineStr">
        <is>
          <t>✓</t>
        </is>
      </c>
      <c r="G1014" t="inlineStr">
        <is>
          <t>✓</t>
        </is>
      </c>
      <c r="H1014" s="3" t="inlineStr">
        <is>
          <t>)   : eksponensial (brute force kombinasi)  ---------------------------------------------------------------- CONTOH SOAL DAN PEMBAHASAN ----------------------------------------------------------------  [SOAL 1 — Pseudoco</t>
        </is>
      </c>
    </row>
    <row r="1015">
      <c r="A1015" t="n">
        <v>169</v>
      </c>
      <c r="B1015" t="n">
        <v>6</v>
      </c>
      <c r="C1015" t="inlineStr">
        <is>
          <t>GT_SUBTOPIK_14_Kompleksitas_BigO.txt</t>
        </is>
      </c>
      <c r="D1015" s="3" t="inlineStr">
        <is>
          <t>Subtopik: Kompleksitas Algoritme (Big-O Notation)</t>
        </is>
      </c>
      <c r="E1015" t="n">
        <v>0.7129</v>
      </c>
      <c r="F1015" t="inlineStr">
        <is>
          <t>✓</t>
        </is>
      </c>
      <c r="G1015" t="inlineStr">
        <is>
          <t>✓</t>
        </is>
      </c>
      <c r="H1015" s="3" t="inlineStr">
        <is>
          <t>o       if arr[j] &gt; arr[j+1] then swap(arr[j], arr[j+1])   maks = arr[n]  Bandingkan kompleksitas dan rekomendasikan yang lebih baik!  JAWABAN: Algoritme A: O(n) -- satu pass, n-1 perbandingan Algoritme B: O(n^2) -- bubb</t>
        </is>
      </c>
    </row>
    <row r="1016">
      <c r="A1016" t="n">
        <v>170</v>
      </c>
      <c r="B1016" t="n">
        <v>1</v>
      </c>
      <c r="C1016" t="inlineStr">
        <is>
          <t>GT_CT07.txt</t>
        </is>
      </c>
      <c r="D1016" s="3" t="inlineStr">
        <is>
          <t>Pertemuan 7: Algoritme — Notasi Algoritme</t>
        </is>
      </c>
      <c r="E1016" t="n">
        <v>0.8076</v>
      </c>
      <c r="F1016" t="inlineStr">
        <is>
          <t>✓</t>
        </is>
      </c>
      <c r="G1016" t="inlineStr">
        <is>
          <t>✓</t>
        </is>
      </c>
      <c r="H1016" s="3" t="inlineStr">
        <is>
          <t>an nilai alas dengan tinggi, lalu hasilnya dibagi dua.  2. Pseudocode: Pseudocode adalah cara informal untuk menuliskan algoritme atau rancangan program komputer. Tujuan utama pseudocode adalah untuk mendapatkan ide seca</t>
        </is>
      </c>
    </row>
    <row r="1017">
      <c r="A1017" t="n">
        <v>170</v>
      </c>
      <c r="B1017" t="n">
        <v>2</v>
      </c>
      <c r="C1017" t="inlineStr">
        <is>
          <t>GT_DETAIL_PT07_Notasi_Algoritme.txt</t>
        </is>
      </c>
      <c r="D1017" s="3" t="inlineStr">
        <is>
          <t>Pertemuan 7: Algoritme — Notasi Algoritme</t>
        </is>
      </c>
      <c r="E1017" t="n">
        <v>0.8015</v>
      </c>
      <c r="F1017" t="inlineStr">
        <is>
          <t>✓</t>
        </is>
      </c>
      <c r="G1017" t="inlineStr">
        <is>
          <t>✓</t>
        </is>
      </c>
      <c r="H1017" s="3" t="inlineStr">
        <is>
          <t>perasinya linear)  c) Rata-rata n bilangan: baca semua n bilangan + 1 pembagian → O(n) [linear]  [SOAL 5 — Pseudocode: Pesan Sandi] Tuliskan pseudocode untuk MENDEKRIPSI pesan yang dienkripsi dengan tiga langkah: (1) bal</t>
        </is>
      </c>
    </row>
    <row r="1018">
      <c r="A1018" t="n">
        <v>170</v>
      </c>
      <c r="B1018" t="n">
        <v>3</v>
      </c>
      <c r="C1018" t="inlineStr">
        <is>
          <t>GT_SUBTOPIK_04_Modulo_Siklus.txt</t>
        </is>
      </c>
      <c r="D1018" s="3" t="inlineStr">
        <is>
          <t>Subtopik: Pattern Recognition — Modulo dan Siklus</t>
        </is>
      </c>
      <c r="E1018" t="n">
        <v>0.8014</v>
      </c>
      <c r="F1018" t="inlineStr">
        <is>
          <t>✓</t>
        </is>
      </c>
      <c r="G1018" t="inlineStr">
        <is>
          <t>✓</t>
        </is>
      </c>
      <c r="H1018" s="3" t="inlineStr">
        <is>
          <t>1×24 = 1000 - 984 = 16 08:00 + 16 jam = 24:00 = 00:00 (tengah malam) JAWABAN: Jam 00:00 (tengah malam)  [SOAL 5 — Masalah Coklat Bebek dengan Modulo] Dengan pola deret segitiga n(n+1)/2, tuliskan pseudocode untuk mencari</t>
        </is>
      </c>
    </row>
    <row r="1019">
      <c r="A1019" t="n">
        <v>170</v>
      </c>
      <c r="B1019" t="n">
        <v>4</v>
      </c>
      <c r="C1019" t="inlineStr">
        <is>
          <t>GT_SUBTOPIK_05_Pseudocode_Algoritme.txt</t>
        </is>
      </c>
      <c r="D1019" s="3" t="inlineStr">
        <is>
          <t>Subtopik: Pseudocode dan Notasi Algoritme</t>
        </is>
      </c>
      <c r="E1019" t="n">
        <v>0.7944</v>
      </c>
      <c r="F1019" t="inlineStr">
        <is>
          <t>✓</t>
        </is>
      </c>
      <c r="G1019" t="inlineStr">
        <is>
          <t>✓</t>
        </is>
      </c>
      <c r="H1019" s="3" t="inlineStr">
        <is>
          <t xml:space="preserve">,12),(15,17),(18,20) → p=6  [SOAL 3 — Pseudocode: Cek Prima] Tulis pseudocode untuk mengecek apakah bilangan n prima!  JAWABAN: Input : bilangan bulat n Output: "prima" atau "bukan prima"    read(n)   if (n &lt;= 1) then   </t>
        </is>
      </c>
    </row>
    <row r="1020">
      <c r="A1020" t="n">
        <v>170</v>
      </c>
      <c r="B1020" t="n">
        <v>5</v>
      </c>
      <c r="C1020" t="inlineStr">
        <is>
          <t>GT_SUBTOPIK_08_Perulangan_For_While.txt</t>
        </is>
      </c>
      <c r="D1020" s="3" t="inlineStr">
        <is>
          <t>Subtopik: Perulangan — for, while, Sentinel, dan Trace</t>
        </is>
      </c>
      <c r="E1020" t="n">
        <v>0.7933</v>
      </c>
      <c r="F1020" t="inlineStr">
        <is>
          <t>✓</t>
        </is>
      </c>
      <c r="G1020" t="inlineStr">
        <is>
          <t>✓</t>
        </is>
      </c>
      <c r="H1020" s="3" t="inlineStr">
        <is>
          <t xml:space="preserve"> x=5:   5 mod 3=2 ✗   → berhenti  Output: 135, 45, 15, 5 Nilai akhir x = 5  [SOAL 5 — WHILE: Digit Terbalik] Tulis pseudocode untuk membalik digit bilangan positif n! Contoh: n=12345 → output: 54321  JAWABAN:   read(n)  </t>
        </is>
      </c>
    </row>
    <row r="1021">
      <c r="A1021" t="n">
        <v>170</v>
      </c>
      <c r="B1021" t="n">
        <v>6</v>
      </c>
      <c r="C1021" t="inlineStr">
        <is>
          <t>GT_DETAIL_PT10_Percabangan.txt</t>
        </is>
      </c>
      <c r="D1021" s="3" t="inlineStr">
        <is>
          <t>Pertemuan 10: Struktur Kontrol — Percabangan</t>
        </is>
      </c>
      <c r="E1021" t="n">
        <v>0.7916</v>
      </c>
      <c r="F1021" t="inlineStr">
        <is>
          <t>✓</t>
        </is>
      </c>
      <c r="G1021" t="inlineStr">
        <is>
          <t>✓</t>
        </is>
      </c>
      <c r="H1021" s="3" t="inlineStr">
        <is>
          <t>------------ CONTOH SOAL DAN PEMBAHASAN ----------------------------------------------------------------  [SOAL 1 — Maks 2 Bilangan] Tuliskan pseudocode untuk menentukan bilangan terbesar dari dua bilangan a dan b!  JAWA</t>
        </is>
      </c>
    </row>
    <row r="1022">
      <c r="A1022" t="n">
        <v>171</v>
      </c>
      <c r="B1022" t="n">
        <v>1</v>
      </c>
      <c r="C1022" t="inlineStr">
        <is>
          <t>GT_SUBTOPIK_14_Kompleksitas_BigO.txt</t>
        </is>
      </c>
      <c r="D1022" s="3" t="inlineStr">
        <is>
          <t>Subtopik: Kompleksitas Algoritme (Big-O Notation)</t>
        </is>
      </c>
      <c r="E1022" t="n">
        <v>0.7426</v>
      </c>
      <c r="F1022" t="inlineStr">
        <is>
          <t>✓</t>
        </is>
      </c>
      <c r="G1022" t="inlineStr">
        <is>
          <t>✓</t>
        </is>
      </c>
      <c r="H1022" s="3" t="inlineStr">
        <is>
          <t>o       if arr[j] &gt; arr[j+1] then swap(arr[j], arr[j+1])   maks = arr[n]  Bandingkan kompleksitas dan rekomendasikan yang lebih baik!  JAWABAN: Algoritme A: O(n) -- satu pass, n-1 perbandingan Algoritme B: O(n^2) -- bubb</t>
        </is>
      </c>
    </row>
    <row r="1023">
      <c r="A1023" t="n">
        <v>171</v>
      </c>
      <c r="B1023" t="n">
        <v>2</v>
      </c>
      <c r="C1023" t="inlineStr">
        <is>
          <t>GT_DETAIL_PT11_Perulangan.txt</t>
        </is>
      </c>
      <c r="D1023" s="3" t="inlineStr">
        <is>
          <t>Pertemuan 11: Struktur Kontrol — Perulangan</t>
        </is>
      </c>
      <c r="E1023" t="n">
        <v>0.7393</v>
      </c>
      <c r="F1023" t="inlineStr">
        <is>
          <t>✓</t>
        </is>
      </c>
      <c r="G1023" t="inlineStr">
        <is>
          <t>✓</t>
        </is>
      </c>
      <c r="H1023" s="3" t="inlineStr">
        <is>
          <t>selalu dijalankan MINIMAL SATU KALI  F. PERULANGAN BERSARANG (NESTED LOOP)  Konsep: perulangan di dalam perulangan. - Setiap 1 iterasi luar → dalam menyelesaikan SEMUA iterasinya - Total iterasi = iterasi_luar × iterasi_</t>
        </is>
      </c>
    </row>
    <row r="1024">
      <c r="A1024" t="n">
        <v>171</v>
      </c>
      <c r="B1024" t="n">
        <v>3</v>
      </c>
      <c r="C1024" t="inlineStr">
        <is>
          <t>GT_DETAIL_PT10_Percabangan.txt</t>
        </is>
      </c>
      <c r="D1024" s="3" t="inlineStr">
        <is>
          <t>Pertemuan 10: Struktur Kontrol — Percabangan</t>
        </is>
      </c>
      <c r="E1024" t="n">
        <v>0.7368</v>
      </c>
      <c r="F1024" t="inlineStr">
        <is>
          <t>✓</t>
        </is>
      </c>
      <c r="G1024" t="inlineStr">
        <is>
          <t>✓</t>
        </is>
      </c>
      <c r="H1024" s="3" t="inlineStr">
        <is>
          <t>------------ CONTOH SOAL DAN PEMBAHASAN ----------------------------------------------------------------  [SOAL 1 — Maks 2 Bilangan] Tuliskan pseudocode untuk menentukan bilangan terbesar dari dua bilangan a dan b!  JAWA</t>
        </is>
      </c>
    </row>
    <row r="1025">
      <c r="A1025" t="n">
        <v>171</v>
      </c>
      <c r="B1025" t="n">
        <v>4</v>
      </c>
      <c r="C1025" t="inlineStr">
        <is>
          <t>GT_SUBTOPIK_14_Kompleksitas_BigO.txt</t>
        </is>
      </c>
      <c r="D1025" s="3" t="inlineStr">
        <is>
          <t>Subtopik: Kompleksitas Algoritme (Big-O Notation)</t>
        </is>
      </c>
      <c r="E1025" t="n">
        <v>0.7363</v>
      </c>
      <c r="F1025" t="inlineStr">
        <is>
          <t>✓</t>
        </is>
      </c>
      <c r="G1025" t="inlineStr">
        <is>
          <t>✓</t>
        </is>
      </c>
      <c r="H1025" s="3" t="inlineStr">
        <is>
          <t>ngan ke array, lalu hitung rata-rata c) Fibonacci rekursif fib(n) d) Fibonacci iteratif dengan dua variabel  JAWABAN: a) O(1) space -- hanya butuh 2 variabel (sum dan count), tidak peduli berapa besar n  b) O(n) space --</t>
        </is>
      </c>
    </row>
    <row r="1026">
      <c r="A1026" t="n">
        <v>171</v>
      </c>
      <c r="B1026" t="n">
        <v>5</v>
      </c>
      <c r="C1026" t="inlineStr">
        <is>
          <t>GT_CT01.txt</t>
        </is>
      </c>
      <c r="D1026" s="3" t="inlineStr">
        <is>
          <t>Pertemuan 1: Kontrak Perkuliahan dan Pendahuluan</t>
        </is>
      </c>
      <c r="E1026" t="n">
        <v>0.7346</v>
      </c>
      <c r="F1026" t="inlineStr">
        <is>
          <t>✓</t>
        </is>
      </c>
      <c r="G1026" t="inlineStr">
        <is>
          <t>✓</t>
        </is>
      </c>
      <c r="H1026" s="3" t="inlineStr">
        <is>
          <t>gi; (3) Dekomposisi — pengertian, teori, dan penerapan dekomposisi dalam problem solving; (4) Abstraksi — definisi dan penerapan abstraction dalam problem solving; (5) Pengenalan Pola — definisi dan penerapan pattern rec</t>
        </is>
      </c>
    </row>
    <row r="1027">
      <c r="A1027" t="n">
        <v>171</v>
      </c>
      <c r="B1027" t="n">
        <v>6</v>
      </c>
      <c r="C1027" t="inlineStr">
        <is>
          <t>GT_DETAIL_PT07_Notasi_Algoritme.txt</t>
        </is>
      </c>
      <c r="D1027" s="3" t="inlineStr">
        <is>
          <t>Pertemuan 7: Algoritme — Notasi Algoritme</t>
        </is>
      </c>
      <c r="E1027" t="n">
        <v>0.7332</v>
      </c>
      <c r="F1027" t="inlineStr">
        <is>
          <t>✓</t>
        </is>
      </c>
      <c r="G1027" t="inlineStr">
        <is>
          <t>✓</t>
        </is>
      </c>
      <c r="H1027" s="3" t="inlineStr">
        <is>
          <t>perasinya linear)  c) Rata-rata n bilangan: baca semua n bilangan + 1 pembagian → O(n) [linear]  [SOAL 5 — Pseudocode: Pesan Sandi] Tuliskan pseudocode untuk MENDEKRIPSI pesan yang dienkripsi dengan tiga langkah: (1) bal</t>
        </is>
      </c>
    </row>
    <row r="1028">
      <c r="A1028" t="n">
        <v>172</v>
      </c>
      <c r="B1028" t="n">
        <v>1</v>
      </c>
      <c r="C1028" t="inlineStr">
        <is>
          <t>GT_CT01.txt</t>
        </is>
      </c>
      <c r="D1028" s="3" t="inlineStr">
        <is>
          <t>Pertemuan 1: Kontrak Perkuliahan dan Pendahuluan</t>
        </is>
      </c>
      <c r="E1028" t="n">
        <v>0.7754</v>
      </c>
      <c r="F1028" t="inlineStr">
        <is>
          <t>✓</t>
        </is>
      </c>
      <c r="G1028" t="inlineStr">
        <is>
          <t>✓</t>
        </is>
      </c>
      <c r="H1028" s="3" t="inlineStr">
        <is>
          <t>emecah masalah besar menjadi submasalah yang lebih kecil dan mudah ditangani (dekomposisi).  Berdasarkan ketentuan beban SKS, setiap mahasiswa diperkirakan menghabiskan total 340 menit atau sekitar 5 jam 40 menit per min</t>
        </is>
      </c>
    </row>
    <row r="1029">
      <c r="A1029" t="n">
        <v>172</v>
      </c>
      <c r="B1029" t="n">
        <v>2</v>
      </c>
      <c r="C1029" t="inlineStr">
        <is>
          <t>GT_DETAIL_PT04_Abstraksi.txt</t>
        </is>
      </c>
      <c r="D1029" s="3" t="inlineStr">
        <is>
          <t>Pertemuan 4: Problem Solving — Abstraksi</t>
        </is>
      </c>
      <c r="E1029" t="n">
        <v>0.7717000000000001</v>
      </c>
      <c r="F1029" t="inlineStr">
        <is>
          <t>✓</t>
        </is>
      </c>
      <c r="G1029" t="inlineStr">
        <is>
          <t>✓</t>
        </is>
      </c>
      <c r="H1029" s="3" t="inlineStr">
        <is>
          <t xml:space="preserve">2  1 (F di pojok kanan atas)  Berapa maksimum permen yang bisa dikumpulkan Robot Candy?  JAWABAN: Semua jalur dari S (baris1,kol1) ke F (baris3,kol3) — panjang 4 langkah (2R, 2U):  Jalur 1: S→R→R→U→U (kol: 1→2→3, baris: </t>
        </is>
      </c>
    </row>
    <row r="1030">
      <c r="A1030" t="n">
        <v>172</v>
      </c>
      <c r="B1030" t="n">
        <v>3</v>
      </c>
      <c r="C1030" t="inlineStr">
        <is>
          <t>GT_DETAIL_PT07_Notasi_Algoritme.txt</t>
        </is>
      </c>
      <c r="D1030" s="3" t="inlineStr">
        <is>
          <t>Pertemuan 7: Algoritme — Notasi Algoritme</t>
        </is>
      </c>
      <c r="E1030" t="n">
        <v>0.77</v>
      </c>
      <c r="F1030" t="inlineStr">
        <is>
          <t>✓</t>
        </is>
      </c>
      <c r="G1030" t="inlineStr">
        <is>
          <t>✓</t>
        </is>
      </c>
      <c r="H1030" s="3" t="inlineStr">
        <is>
          <t xml:space="preserve">urutan selanjutnya M,M,H) Rekonstruksi kompleks — jawaban dari analisis: Total permen = 46.  Verifikasi: mesin=46: M→k=1, m=45, t+=22, m=22: seharusnya M tapi m=22 genap → lampu hijau (✗)  Penyelesaian sistematis dengan </t>
        </is>
      </c>
    </row>
    <row r="1031">
      <c r="A1031" t="n">
        <v>172</v>
      </c>
      <c r="B1031" t="n">
        <v>4</v>
      </c>
      <c r="C1031" t="inlineStr">
        <is>
          <t>GT_CT07.txt</t>
        </is>
      </c>
      <c r="D1031" s="3" t="inlineStr">
        <is>
          <t>Pertemuan 7: Algoritme — Notasi Algoritme</t>
        </is>
      </c>
      <c r="E1031" t="n">
        <v>0.7645</v>
      </c>
      <c r="F1031" t="inlineStr">
        <is>
          <t>✓</t>
        </is>
      </c>
      <c r="G1031" t="inlineStr">
        <is>
          <t>✓</t>
        </is>
      </c>
      <c r="H1031" s="3" t="inlineStr">
        <is>
          <t>) dan selisih angka yang dicari (d). Output: banyaknya pasangan bilangan dengan selisih sebesar d (p). Proses: (a) Urutkan n bilangan secara menaik menjadi m1, m2, ..., mn; (b) Inisialisasi p = 0; (c) Untuk setiap i dari</t>
        </is>
      </c>
    </row>
    <row r="1032">
      <c r="A1032" t="n">
        <v>172</v>
      </c>
      <c r="B1032" t="n">
        <v>5</v>
      </c>
      <c r="C1032" t="inlineStr">
        <is>
          <t>GT_DETAIL_PT12_Fungsi.txt</t>
        </is>
      </c>
      <c r="D1032" s="3" t="inlineStr">
        <is>
          <t>Pertemuan 12: Fungsi</t>
        </is>
      </c>
      <c r="E1032" t="n">
        <v>0.7622</v>
      </c>
      <c r="F1032" t="inlineStr">
        <is>
          <t>✓</t>
        </is>
      </c>
      <c r="G1032" t="inlineStr">
        <is>
          <t>✓</t>
        </is>
      </c>
      <c r="H1032" s="3" t="inlineStr">
        <is>
          <t xml:space="preserve"> FUNGSI SEBAGAI DEKOMPOSISI DAN ABSTRAKSI  Dekomposisi: memecah algoritme besar menjadi fungsi-fungsi kecil yang terfokus. Abstraksi: menyembunyikan kerumitan implementasi di dalam fungsi;            algoritme utama cuku</t>
        </is>
      </c>
    </row>
    <row r="1033">
      <c r="A1033" t="n">
        <v>172</v>
      </c>
      <c r="B1033" t="n">
        <v>6</v>
      </c>
      <c r="C1033" t="inlineStr">
        <is>
          <t>GT_DETAIL_PT05_Pattern_Recognition.txt</t>
        </is>
      </c>
      <c r="D1033" s="3" t="inlineStr">
        <is>
          <t>Pertemuan 5: Pattern Recognition (Pengenalan Pola)</t>
        </is>
      </c>
      <c r="E1033" t="n">
        <v>0.7597</v>
      </c>
      <c r="F1033" t="inlineStr">
        <is>
          <t>✓</t>
        </is>
      </c>
      <c r="G1033" t="inlineStr">
        <is>
          <t>✓</t>
        </is>
      </c>
      <c r="H1033" s="3" t="inlineStr">
        <is>
          <t>memiliki pola serupa.  D. PERBEDAAN MATHEMATICAL THINKING vs. COMPUTATIONAL THINKING  Masalah: 1 + 2 + 3 + ... + 10 = ?  Mathematical Thinking (kalkulasi bertahap): 1+2=3, 3+3=6, 6+4=10, 10+5=15, ... = 55 (10 langkah)  C</t>
        </is>
      </c>
    </row>
    <row r="1034">
      <c r="A1034" t="n">
        <v>173</v>
      </c>
      <c r="B1034" t="n">
        <v>1</v>
      </c>
      <c r="C1034" t="inlineStr">
        <is>
          <t>GT_CT13.txt</t>
        </is>
      </c>
      <c r="D1034" s="3" t="inlineStr">
        <is>
          <t>Pertemuan 13: Pengenalan Struktur Data</t>
        </is>
      </c>
      <c r="E1034" t="n">
        <v>0.7985</v>
      </c>
      <c r="F1034" t="inlineStr">
        <is>
          <t>✓</t>
        </is>
      </c>
      <c r="G1034" t="inlineStr">
        <is>
          <t>✓</t>
        </is>
      </c>
      <c r="H1034" s="3" t="inlineStr">
        <is>
          <t>-------------------  Ground Truth:  Sebagai lawan dari stack, terdapat struktur data queue. Queue dalam istilah sehari-hari berarti antrian. Dalam sebuah antrian, urutan pemrosesan harus sesuai dengan urutan kedatangan o</t>
        </is>
      </c>
    </row>
    <row r="1035">
      <c r="A1035" t="n">
        <v>173</v>
      </c>
      <c r="B1035" t="n">
        <v>2</v>
      </c>
      <c r="C1035" t="inlineStr">
        <is>
          <t>GT_CT13.txt</t>
        </is>
      </c>
      <c r="D1035" s="3" t="inlineStr">
        <is>
          <t>Pertemuan 13: Pengenalan Struktur Data</t>
        </is>
      </c>
      <c r="E1035" t="n">
        <v>0.7861</v>
      </c>
      <c r="F1035" t="inlineStr">
        <is>
          <t>✓</t>
        </is>
      </c>
      <c r="G1035" t="inlineStr">
        <is>
          <t>✓</t>
        </is>
      </c>
      <c r="H1035" s="3" t="inlineStr">
        <is>
          <t>teratas, selama stack masih berisi data (tidak kosong). Data yang dikeluarkan melalui operasi pop sekaligus dihapus dari stack sehingga jumlah data yang tersimpan berkurang.  Simulasi rangkaian instruksi: push 5 → push 7</t>
        </is>
      </c>
    </row>
    <row r="1036">
      <c r="A1036" t="n">
        <v>173</v>
      </c>
      <c r="B1036" t="n">
        <v>3</v>
      </c>
      <c r="C1036" t="inlineStr">
        <is>
          <t>GT_DETAIL_PT13_Struktur_Data.txt</t>
        </is>
      </c>
      <c r="D1036" s="3" t="inlineStr">
        <is>
          <t>Pertemuan 13: Pengenalan Struktur Data</t>
        </is>
      </c>
      <c r="E1036" t="n">
        <v>0.7763</v>
      </c>
      <c r="F1036" t="inlineStr">
        <is>
          <t>✓</t>
        </is>
      </c>
      <c r="G1036" t="inlineStr">
        <is>
          <t>✓</t>
        </is>
      </c>
      <c r="H1036" s="3" t="inlineStr">
        <is>
          <t>pek      | STACK (LIFO)      | QUEUE (FIFO) -----------|-------------------|------------------ Prinsip    | Last In First Out | First In First Out Tambah data| push (ke atas)    | enqueue (ke belakang) Ambil data | pop (</t>
        </is>
      </c>
    </row>
    <row r="1037">
      <c r="A1037" t="n">
        <v>173</v>
      </c>
      <c r="B1037" t="n">
        <v>4</v>
      </c>
      <c r="C1037" t="inlineStr">
        <is>
          <t>GT_DETAIL_PT13_Struktur_Data.txt</t>
        </is>
      </c>
      <c r="D1037" s="3" t="inlineStr">
        <is>
          <t>Pertemuan 13: Pengenalan Struktur Data</t>
        </is>
      </c>
      <c r="E1037" t="n">
        <v>0.7756999999999999</v>
      </c>
      <c r="F1037" t="inlineStr">
        <is>
          <t>✓</t>
        </is>
      </c>
      <c r="G1037" t="inlineStr">
        <is>
          <t>✓</t>
        </is>
      </c>
      <c r="H1037" s="3" t="inlineStr">
        <is>
          <t>: C enqueue(E): queue=[D,E]  Urutan output dequeue: A, B, C Queue akhir: [D, E]  [SOAL 3 — Pemilihan Struktur Data] Tentukan struktur data yang paling tepat untuk setiap kasus berikut dan berikan alasan!  a) Sistem antri</t>
        </is>
      </c>
    </row>
    <row r="1038">
      <c r="A1038" t="n">
        <v>173</v>
      </c>
      <c r="B1038" t="n">
        <v>5</v>
      </c>
      <c r="C1038" t="inlineStr">
        <is>
          <t>GT_CT13.txt</t>
        </is>
      </c>
      <c r="D1038" s="3" t="inlineStr">
        <is>
          <t>Pertemuan 13: Pengenalan Struktur Data</t>
        </is>
      </c>
      <c r="E1038" t="n">
        <v>0.7583</v>
      </c>
      <c r="F1038" t="inlineStr">
        <is>
          <t>✓</t>
        </is>
      </c>
      <c r="G1038" t="inlineStr">
        <is>
          <t>✓</t>
        </is>
      </c>
      <c r="H1038" s="3" t="inlineStr">
        <is>
          <t>ai urutan kedatangannya. - Sistem kecerdasan buatan dalam permainan catur yang merepresentasikan berbagai kemungkinan langkah ke depan: struktur data yang paling tepat adalah Tree, karena setiap kemungkinan langkah berca</t>
        </is>
      </c>
    </row>
    <row r="1039">
      <c r="A1039" t="n">
        <v>173</v>
      </c>
      <c r="B1039" t="n">
        <v>6</v>
      </c>
      <c r="C1039" t="inlineStr">
        <is>
          <t>GT_DETAIL_PT13_Struktur_Data.txt</t>
        </is>
      </c>
      <c r="D1039" s="3" t="inlineStr">
        <is>
          <t>Pertemuan 13: Pengenalan Struktur Data</t>
        </is>
      </c>
      <c r="E1039" t="n">
        <v>0.7568</v>
      </c>
      <c r="F1039" t="inlineStr">
        <is>
          <t>✓</t>
        </is>
      </c>
      <c r="G1039" t="inlineStr">
        <is>
          <t>✓</t>
        </is>
      </c>
      <c r="H1039" s="3" t="inlineStr">
        <is>
          <t>h) → Directed Graph - Butuh perhitungan jalur/biaya → Weighted Graph  ---------------------------------------------------------------- CONTOH SOAL DAN PEMBAHASAN ----------------------------------------------------------</t>
        </is>
      </c>
    </row>
    <row r="1040">
      <c r="A1040" t="n">
        <v>174</v>
      </c>
      <c r="B1040" t="n">
        <v>1</v>
      </c>
      <c r="C1040" t="inlineStr">
        <is>
          <t>GT_DETAIL_PT13_Struktur_Data.txt</t>
        </is>
      </c>
      <c r="D1040" s="3" t="inlineStr">
        <is>
          <t>Pertemuan 13: Pengenalan Struktur Data</t>
        </is>
      </c>
      <c r="E1040" t="n">
        <v>0.7506</v>
      </c>
      <c r="F1040" t="inlineStr">
        <is>
          <t>✓</t>
        </is>
      </c>
      <c r="G1040" t="inlineStr">
        <is>
          <t>✓</t>
        </is>
      </c>
      <c r="H1040" s="3" t="inlineStr">
        <is>
          <t>pek      | STACK (LIFO)      | QUEUE (FIFO) -----------|-------------------|------------------ Prinsip    | Last In First Out | First In First Out Tambah data| push (ke atas)    | enqueue (ke belakang) Ambil data | pop (</t>
        </is>
      </c>
    </row>
    <row r="1041">
      <c r="A1041" t="n">
        <v>174</v>
      </c>
      <c r="B1041" t="n">
        <v>2</v>
      </c>
      <c r="C1041" t="inlineStr">
        <is>
          <t>GT_CT13.txt</t>
        </is>
      </c>
      <c r="D1041" s="3" t="inlineStr">
        <is>
          <t>Pertemuan 13: Pengenalan Struktur Data</t>
        </is>
      </c>
      <c r="E1041" t="n">
        <v>0.7479</v>
      </c>
      <c r="F1041" t="inlineStr">
        <is>
          <t>✓</t>
        </is>
      </c>
      <c r="G1041" t="inlineStr">
        <is>
          <t>✓</t>
        </is>
      </c>
      <c r="H1041" s="3" t="inlineStr">
        <is>
          <t xml:space="preserve">dangkan edge merepresentasikan adanya jalur yang menghubungkan antar lokasi tersebut. Contoh lain mencakup representasi hubungan perkenalan atau pertemanan antar orang serta hubungan antar konsep dalam ilmu pengetahuan. </t>
        </is>
      </c>
    </row>
    <row r="1042">
      <c r="A1042" t="n">
        <v>174</v>
      </c>
      <c r="B1042" t="n">
        <v>3</v>
      </c>
      <c r="C1042" t="inlineStr">
        <is>
          <t>GT_CT13.txt</t>
        </is>
      </c>
      <c r="D1042" s="3" t="inlineStr">
        <is>
          <t>Pertemuan 13: Pengenalan Struktur Data</t>
        </is>
      </c>
      <c r="E1042" t="n">
        <v>0.7435</v>
      </c>
      <c r="F1042" t="inlineStr">
        <is>
          <t>✓</t>
        </is>
      </c>
      <c r="G1042" t="inlineStr">
        <is>
          <t>✓</t>
        </is>
      </c>
      <c r="H1042" s="3" t="inlineStr">
        <is>
          <t>ai urutan kedatangannya. - Sistem kecerdasan buatan dalam permainan catur yang merepresentasikan berbagai kemungkinan langkah ke depan: struktur data yang paling tepat adalah Tree, karena setiap kemungkinan langkah berca</t>
        </is>
      </c>
    </row>
    <row r="1043">
      <c r="A1043" t="n">
        <v>174</v>
      </c>
      <c r="B1043" t="n">
        <v>4</v>
      </c>
      <c r="C1043" t="inlineStr">
        <is>
          <t>GT_DETAIL_PT13_Struktur_Data.txt</t>
        </is>
      </c>
      <c r="D1043" s="3" t="inlineStr">
        <is>
          <t>Pertemuan 13: Pengenalan Struktur Data</t>
        </is>
      </c>
      <c r="E1043" t="n">
        <v>0.7339</v>
      </c>
      <c r="F1043" t="inlineStr">
        <is>
          <t>✓</t>
        </is>
      </c>
      <c r="G1043" t="inlineStr">
        <is>
          <t>✓</t>
        </is>
      </c>
      <c r="H1043" s="3" t="inlineStr">
        <is>
          <t xml:space="preserve"> - Jaringan sosial (Facebook, Instagram) - Jaringan listrik dan telekomunikasi - Internet (hubungan antar server/website) - Ilmu pengetahuan (hubungan antar konsep)  E. TREE  Definisi: Bentuk KHUSUS dari graph yang TIDAK</t>
        </is>
      </c>
    </row>
    <row r="1044">
      <c r="A1044" t="n">
        <v>174</v>
      </c>
      <c r="B1044" t="n">
        <v>5</v>
      </c>
      <c r="C1044" t="inlineStr">
        <is>
          <t>GT_CT13.txt</t>
        </is>
      </c>
      <c r="D1044" s="3" t="inlineStr">
        <is>
          <t>Pertemuan 13: Pengenalan Struktur Data</t>
        </is>
      </c>
      <c r="E1044" t="n">
        <v>0.7179</v>
      </c>
      <c r="F1044" t="inlineStr">
        <is>
          <t>✓</t>
        </is>
      </c>
      <c r="G1044" t="inlineStr">
        <is>
          <t>✓</t>
        </is>
      </c>
      <c r="H1044" s="3" t="inlineStr">
        <is>
          <t>l bobot terkecil (jalur terpendek) antara dua node. Dalam kehidupan sehari-hari, prinsip ini digunakan oleh aplikasi GPS dan aplikasi peta untuk mencari rute terpendek atau tercepat. Salah satu algoritme yang terkenal un</t>
        </is>
      </c>
    </row>
    <row r="1045">
      <c r="A1045" t="n">
        <v>174</v>
      </c>
      <c r="B1045" t="n">
        <v>6</v>
      </c>
      <c r="C1045" t="inlineStr">
        <is>
          <t>GT_SUBTOPIK_13_Graph_Tree.txt</t>
        </is>
      </c>
      <c r="D1045" s="3" t="inlineStr">
        <is>
          <t>Subtopik: Graph dan Tree -- Representasi, Traversal, dan Jalur Terpendek</t>
        </is>
      </c>
      <c r="E1045" t="n">
        <v>0.7164</v>
      </c>
      <c r="F1045" t="inlineStr">
        <is>
          <t>✓</t>
        </is>
      </c>
      <c r="G1045" t="inlineStr">
        <is>
          <t>✓</t>
        </is>
      </c>
      <c r="H1045" s="3" t="inlineStr">
        <is>
          <t xml:space="preserve">kecil yang belum dikunjungi,            update jarak tetangganya jika lebih kecil via node ini   Selesai saat semua node dikunjungi atau target ditemukan  ---------------------------------------------------------------- </t>
        </is>
      </c>
    </row>
    <row r="1046">
      <c r="A1046" t="n">
        <v>175</v>
      </c>
      <c r="B1046" t="n">
        <v>1</v>
      </c>
      <c r="C1046" t="inlineStr">
        <is>
          <t>GT_CT03.txt</t>
        </is>
      </c>
      <c r="D1046" s="3" t="inlineStr">
        <is>
          <t>Pertemuan 3: Problem Solving — Dekomposisi</t>
        </is>
      </c>
      <c r="E1046" t="n">
        <v>0.7556</v>
      </c>
      <c r="F1046" t="inlineStr">
        <is>
          <t>✓</t>
        </is>
      </c>
      <c r="G1046" t="inlineStr">
        <is>
          <t>✓</t>
        </is>
      </c>
      <c r="H1046" s="3" t="inlineStr">
        <is>
          <t xml:space="preserve"> terstruktur dan sistematis. Kata kunci dari konsep dekomposisi adalah: BREAKING BIG PROBLEMS INTO SMALLER AND EASIER TO MANAGE PROBLEMS.  Prinsip dekomposisi mengikuti pola hierarkis, di mana sebuah masalah besar (misal</t>
        </is>
      </c>
    </row>
    <row r="1047">
      <c r="A1047" t="n">
        <v>175</v>
      </c>
      <c r="B1047" t="n">
        <v>2</v>
      </c>
      <c r="C1047" t="inlineStr">
        <is>
          <t>GT_CT01.txt</t>
        </is>
      </c>
      <c r="D1047" s="3" t="inlineStr">
        <is>
          <t>Pertemuan 1: Kontrak Perkuliahan dan Pendahuluan</t>
        </is>
      </c>
      <c r="E1047" t="n">
        <v>0.7438</v>
      </c>
      <c r="F1047" t="inlineStr">
        <is>
          <t>✓</t>
        </is>
      </c>
      <c r="G1047" t="inlineStr">
        <is>
          <t>✓</t>
        </is>
      </c>
      <c r="H1047" s="3" t="inlineStr">
        <is>
          <t>emecah masalah besar menjadi submasalah yang lebih kecil dan mudah ditangani (dekomposisi).  Berdasarkan ketentuan beban SKS, setiap mahasiswa diperkirakan menghabiskan total 340 menit atau sekitar 5 jam 40 menit per min</t>
        </is>
      </c>
    </row>
    <row r="1048">
      <c r="A1048" t="n">
        <v>175</v>
      </c>
      <c r="B1048" t="n">
        <v>3</v>
      </c>
      <c r="C1048" t="inlineStr">
        <is>
          <t>3TGR.txt</t>
        </is>
      </c>
      <c r="D1048" s="3" t="inlineStr">
        <is>
          <t>Profil Kognitif 3TGR</t>
        </is>
      </c>
      <c r="E1048" t="n">
        <v>0.7407</v>
      </c>
      <c r="F1048" t="inlineStr">
        <is>
          <t>✓</t>
        </is>
      </c>
      <c r="G1048" t="inlineStr">
        <is>
          <t>✓</t>
        </is>
      </c>
      <c r="H1048" s="3" t="inlineStr">
        <is>
          <t>KOMBINASI KOGNITIF: 3TGR Pedagogi: Chunk and sequence learning Tipe Kognitif: TGR  1. Deskripsi User menunjukkan pendekatan reflektif saat materi dipecah menjadi bagian besar dengan fokus pada gambaran umum. User merenun</t>
        </is>
      </c>
    </row>
    <row r="1049">
      <c r="A1049" t="n">
        <v>175</v>
      </c>
      <c r="B1049" t="n">
        <v>4</v>
      </c>
      <c r="C1049" t="inlineStr">
        <is>
          <t>3TGI.txt</t>
        </is>
      </c>
      <c r="D1049" s="3" t="inlineStr">
        <is>
          <t>Profil Kognitif 3TGI</t>
        </is>
      </c>
      <c r="E1049" t="n">
        <v>0.7393999999999999</v>
      </c>
      <c r="F1049" t="inlineStr">
        <is>
          <t>✓</t>
        </is>
      </c>
      <c r="G1049" t="inlineStr">
        <is>
          <t>✓</t>
        </is>
      </c>
      <c r="H1049" s="3" t="inlineStr">
        <is>
          <t>KOMBINASI KOGNITIF: 3TGI Pedagogi: Chunk and sequence learning Tipe Kognitif: TGI  1. Deskripsi User menunjukkan respons cepat terhadap pembagian materi ke dalam bagian-bagian besar melalui teks. User fokus pada pemahama</t>
        </is>
      </c>
    </row>
    <row r="1050">
      <c r="A1050" t="n">
        <v>175</v>
      </c>
      <c r="B1050" t="n">
        <v>5</v>
      </c>
      <c r="C1050" t="inlineStr">
        <is>
          <t>3TAR.txt</t>
        </is>
      </c>
      <c r="D1050" s="3" t="inlineStr">
        <is>
          <t>Profil Kognitif 3TAR</t>
        </is>
      </c>
      <c r="E1050" t="n">
        <v>0.7388</v>
      </c>
      <c r="F1050" t="inlineStr">
        <is>
          <t>✓</t>
        </is>
      </c>
      <c r="G1050" t="inlineStr">
        <is>
          <t>✓</t>
        </is>
      </c>
      <c r="H1050" s="3" t="inlineStr">
        <is>
          <t>KOMBINASI KOGNITIF: 3TAR Pedagogi: Chunk and sequence learning Tipe Kognitif: TAR  1. Deskripsi User menunjukkan pemikiran sistematis dan analitis ketika materi rinci dipecah melalui teks. User menelaah tiap bagian secar</t>
        </is>
      </c>
    </row>
    <row r="1051">
      <c r="A1051" t="n">
        <v>175</v>
      </c>
      <c r="B1051" t="n">
        <v>6</v>
      </c>
      <c r="C1051" t="inlineStr">
        <is>
          <t>GT_DETAIL_PT01_Pendahuluan.txt</t>
        </is>
      </c>
      <c r="D1051" s="3" t="inlineStr">
        <is>
          <t>Pertemuan 1: Pendahuluan &amp; Kontrak Perkuliahan</t>
        </is>
      </c>
      <c r="E1051" t="n">
        <v>0.7369</v>
      </c>
      <c r="F1051" t="inlineStr">
        <is>
          <t>✓</t>
        </is>
      </c>
      <c r="G1051" t="inlineStr">
        <is>
          <t>✓</t>
        </is>
      </c>
      <c r="H1051" s="3" t="inlineStr">
        <is>
          <t xml:space="preserve">ng saling terkait. - Ambiguity     : Informasi tentang dampak jangka panjang media sosial terhadap kesehatan mental                   masih kontradiktif dan sulit diinterpretasikan.  [SOAL 3 — Hitung Beban Belajar] Mata </t>
        </is>
      </c>
    </row>
    <row r="1052">
      <c r="A1052" t="n">
        <v>176</v>
      </c>
      <c r="B1052" t="n">
        <v>1</v>
      </c>
      <c r="C1052" t="inlineStr">
        <is>
          <t>GT_CT11.txt</t>
        </is>
      </c>
      <c r="D1052" s="3" t="inlineStr">
        <is>
          <t>Pertemuan 11: Algoritme — Struktur Kontrol Perulangan</t>
        </is>
      </c>
      <c r="E1052" t="n">
        <v>0.7532</v>
      </c>
      <c r="F1052" t="inlineStr">
        <is>
          <t>✓</t>
        </is>
      </c>
      <c r="G1052" t="inlineStr">
        <is>
          <t>✓</t>
        </is>
      </c>
      <c r="H1052" s="3" t="inlineStr">
        <is>
          <t xml:space="preserve">       count = count + 1     print(sum / count)  Sentinel adalah nilai khusus yang berfungsi sebagai penanda untuk mengakhiri perulangan. Daripada meminta pengguna secara eksplisit untuk melanjutkan atau berhenti, penggu</t>
        </is>
      </c>
    </row>
    <row r="1053">
      <c r="A1053" t="n">
        <v>176</v>
      </c>
      <c r="B1053" t="n">
        <v>2</v>
      </c>
      <c r="C1053" t="inlineStr">
        <is>
          <t>GT_DETAIL_PT11_Perulangan.txt</t>
        </is>
      </c>
      <c r="D1053" s="3" t="inlineStr">
        <is>
          <t>Pertemuan 11: Struktur Kontrol — Perulangan</t>
        </is>
      </c>
      <c r="E1053" t="n">
        <v>0.723</v>
      </c>
      <c r="F1053" t="inlineStr">
        <is>
          <t>✓</t>
        </is>
      </c>
      <c r="G1053" t="inlineStr">
        <is>
          <t>✓</t>
        </is>
      </c>
      <c r="H1053" s="3" t="inlineStr">
        <is>
          <t xml:space="preserve">    sum = sum + x   print(sum)  [SOAL 3 — FOR: Bilangan Terkecil dan Terbesar] Input: integer n, lalu n bilangan. Output: nilai terkecil dan terbesar!  JAWABAN:   read(n)   read(pertama)   min = pertama   maks = pertama </t>
        </is>
      </c>
    </row>
    <row r="1054">
      <c r="A1054" t="n">
        <v>176</v>
      </c>
      <c r="B1054" t="n">
        <v>3</v>
      </c>
      <c r="C1054" t="inlineStr">
        <is>
          <t>GT_SUBTOPIK_08_Perulangan_For_While.txt</t>
        </is>
      </c>
      <c r="D1054" s="3" t="inlineStr">
        <is>
          <t>Subtopik: Perulangan — for, while, Sentinel, dan Trace</t>
        </is>
      </c>
      <c r="E1054" t="n">
        <v>0.7082000000000001</v>
      </c>
      <c r="F1054" t="inlineStr">
        <is>
          <t>✓</t>
        </is>
      </c>
      <c r="G1054" t="inlineStr">
        <is>
          <t>✓</t>
        </is>
      </c>
      <c r="H1054" s="3" t="inlineStr">
        <is>
          <t xml:space="preserve"> satu per satu, dengan -1 sebagai sentinel!  JAWABAN:   sum = 0   count = 0   read(nilai)   while (nilai != -1) do     sum = sum + nilai     count = count + 1     read(nilai)   if (count &gt; 0) then     print(sum / count) </t>
        </is>
      </c>
    </row>
    <row r="1055">
      <c r="A1055" t="n">
        <v>176</v>
      </c>
      <c r="B1055" t="n">
        <v>4</v>
      </c>
      <c r="C1055" t="inlineStr">
        <is>
          <t>GT_DETAIL_PT11_Perulangan.txt</t>
        </is>
      </c>
      <c r="D1055" s="3" t="inlineStr">
        <is>
          <t>Pertemuan 11: Struktur Kontrol — Perulangan</t>
        </is>
      </c>
      <c r="E1055" t="n">
        <v>0.7037</v>
      </c>
      <c r="F1055" t="inlineStr">
        <is>
          <t>✓</t>
        </is>
      </c>
      <c r="G1055" t="inlineStr">
        <is>
          <t>✓</t>
        </is>
      </c>
      <c r="H1055" s="3" t="inlineStr">
        <is>
          <t>an: - Kondisi dievaluasi SEBELUM body dijalankan - Jika kondisi False sejak awal → body tidak pernah dijalankan - Jika kondisi tidak pernah False → infinite loop (hindari!) - Body HARUS mengubah sesuatu yang mempengaruhi</t>
        </is>
      </c>
    </row>
    <row r="1056">
      <c r="A1056" t="n">
        <v>176</v>
      </c>
      <c r="B1056" t="n">
        <v>5</v>
      </c>
      <c r="C1056" t="inlineStr">
        <is>
          <t>GT_DETAIL_PT11_Perulangan.txt</t>
        </is>
      </c>
      <c r="D1056" s="3" t="inlineStr">
        <is>
          <t>Pertemuan 11: Struktur Kontrol — Perulangan</t>
        </is>
      </c>
      <c r="E1056" t="n">
        <v>0.7008</v>
      </c>
      <c r="F1056" t="inlineStr">
        <is>
          <t>✓</t>
        </is>
      </c>
      <c r="G1056" t="inlineStr">
        <is>
          <t>✓</t>
        </is>
      </c>
      <c r="H1056" s="3" t="inlineStr">
        <is>
          <t>ount = count + 1     read(nilai)   if (count &gt; 0) then     print(sum / count)   else     print("Tidak ada data")  [SOAL 7 — Nested Loop: Segitiga Bintang] Cetak segitiga bintang seperti ini untuk tinggi = 4: * ** *** ***</t>
        </is>
      </c>
    </row>
    <row r="1057">
      <c r="A1057" t="n">
        <v>176</v>
      </c>
      <c r="B1057" t="n">
        <v>6</v>
      </c>
      <c r="C1057" t="inlineStr">
        <is>
          <t>GT_CT11.txt</t>
        </is>
      </c>
      <c r="D1057" s="3" t="inlineStr">
        <is>
          <t>Pertemuan 11: Algoritme — Struktur Kontrol Perulangan</t>
        </is>
      </c>
      <c r="E1057" t="n">
        <v>0.6932</v>
      </c>
      <c r="F1057" t="inlineStr">
        <is>
          <t>✓</t>
        </is>
      </c>
      <c r="G1057" t="inlineStr">
        <is>
          <t>✓</t>
        </is>
      </c>
      <c r="H1057" s="3" t="inlineStr">
        <is>
          <t>hir kode adalah 6.  Contoh 2 — Mencetak bilangan dengan penambahan 3:     i = 1     while i &lt;= 10 do         print(i)         i = i + 3     Output: 1, 4, 7, 10. Nilai i di akhir kode adalah 13.  Contoh 3 — Mencetak bilan</t>
        </is>
      </c>
    </row>
    <row r="1058">
      <c r="A1058" t="n">
        <v>177</v>
      </c>
      <c r="B1058" t="n">
        <v>1</v>
      </c>
      <c r="C1058" t="inlineStr">
        <is>
          <t>GT_CT07.txt</t>
        </is>
      </c>
      <c r="D1058" s="3" t="inlineStr">
        <is>
          <t>Pertemuan 7: Algoritme — Notasi Algoritme</t>
        </is>
      </c>
      <c r="E1058" t="n">
        <v>0.7624</v>
      </c>
      <c r="F1058" t="inlineStr">
        <is>
          <t>✓</t>
        </is>
      </c>
      <c r="G1058" t="inlineStr">
        <is>
          <t>✓</t>
        </is>
      </c>
      <c r="H1058" s="3" t="inlineStr">
        <is>
          <t>) dan selisih angka yang dicari (d). Output: banyaknya pasangan bilangan dengan selisih sebesar d (p). Proses: (a) Urutkan n bilangan secara menaik menjadi m1, m2, ..., mn; (b) Inisialisasi p = 0; (c) Untuk setiap i dari</t>
        </is>
      </c>
    </row>
    <row r="1059">
      <c r="A1059" t="n">
        <v>177</v>
      </c>
      <c r="B1059" t="n">
        <v>2</v>
      </c>
      <c r="C1059" t="inlineStr">
        <is>
          <t>GT_DETAIL_PT11_Perulangan.txt</t>
        </is>
      </c>
      <c r="D1059" s="3" t="inlineStr">
        <is>
          <t>Pertemuan 11: Struktur Kontrol — Perulangan</t>
        </is>
      </c>
      <c r="E1059" t="n">
        <v>0.7606000000000001</v>
      </c>
      <c r="F1059" t="inlineStr">
        <is>
          <t>✓</t>
        </is>
      </c>
      <c r="G1059" t="inlineStr">
        <is>
          <t>✓</t>
        </is>
      </c>
      <c r="H1059" s="3" t="inlineStr">
        <is>
          <t xml:space="preserve">    sum = sum + x   print(sum)  [SOAL 3 — FOR: Bilangan Terkecil dan Terbesar] Input: integer n, lalu n bilangan. Output: nilai terkecil dan terbesar!  JAWABAN:   read(n)   read(pertama)   min = pertama   maks = pertama </t>
        </is>
      </c>
    </row>
    <row r="1060">
      <c r="A1060" t="n">
        <v>177</v>
      </c>
      <c r="B1060" t="n">
        <v>3</v>
      </c>
      <c r="C1060" t="inlineStr">
        <is>
          <t>GT_CT09.txt</t>
        </is>
      </c>
      <c r="D1060" s="3" t="inlineStr">
        <is>
          <t>Pertemuan 9: Elemen Pseudocode — Variabel, Operator, Tipe Data, dan List</t>
        </is>
      </c>
      <c r="E1060" t="n">
        <v>0.7598</v>
      </c>
      <c r="F1060" t="inlineStr">
        <is>
          <t>✓</t>
        </is>
      </c>
      <c r="G1060" t="inlineStr">
        <is>
          <t>✓</t>
        </is>
      </c>
      <c r="H1060" s="3" t="inlineStr">
        <is>
          <t>memberikan nilai ke dalam variabel a dan b (instruksi input). - print(sum): instruksi untuk menuliskan atau menampilkan nilai variabel sum (instruksi output).  Assignment atau penugasan adalah operasi pemberian nilai pad</t>
        </is>
      </c>
    </row>
    <row r="1061">
      <c r="A1061" t="n">
        <v>177</v>
      </c>
      <c r="B1061" t="n">
        <v>4</v>
      </c>
      <c r="C1061" t="inlineStr">
        <is>
          <t>GT_DETAIL_PT11_Perulangan.txt</t>
        </is>
      </c>
      <c r="D1061" s="3" t="inlineStr">
        <is>
          <t>Pertemuan 11: Struktur Kontrol — Perulangan</t>
        </is>
      </c>
      <c r="E1061" t="n">
        <v>0.7543</v>
      </c>
      <c r="F1061" t="inlineStr">
        <is>
          <t>✓</t>
        </is>
      </c>
      <c r="G1061" t="inlineStr">
        <is>
          <t>✓</t>
        </is>
      </c>
      <c r="H1061" s="3" t="inlineStr">
        <is>
          <t>ount = count + 1     read(nilai)   if (count &gt; 0) then     print(sum / count)   else     print("Tidak ada data")  [SOAL 7 — Nested Loop: Segitiga Bintang] Cetak segitiga bintang seperti ini untuk tinggi = 4: * ** *** ***</t>
        </is>
      </c>
    </row>
    <row r="1062">
      <c r="A1062" t="n">
        <v>177</v>
      </c>
      <c r="B1062" t="n">
        <v>5</v>
      </c>
      <c r="C1062" t="inlineStr">
        <is>
          <t>GT_CT10.txt</t>
        </is>
      </c>
      <c r="D1062" s="3" t="inlineStr">
        <is>
          <t>Pertemuan 10: Struktur Kontrol — Percabangan</t>
        </is>
      </c>
      <c r="E1062" t="n">
        <v>0.7518</v>
      </c>
      <c r="F1062" t="inlineStr">
        <is>
          <t>✓</t>
        </is>
      </c>
      <c r="G1062" t="inlineStr">
        <is>
          <t>✓</t>
        </is>
      </c>
      <c r="H1062" s="3" t="inlineStr">
        <is>
          <t>n b. Pseudocode:     read(a, b)     if (a &gt; b) then         selisih = a - b     else         selisih = b - a     print(selisih)  3. Mencari Maksimum 3 Bilangan: Input: tiga bilangan a, b, dan c. Output: bilangan terbesar</t>
        </is>
      </c>
    </row>
    <row r="1063">
      <c r="A1063" t="n">
        <v>177</v>
      </c>
      <c r="B1063" t="n">
        <v>6</v>
      </c>
      <c r="C1063" t="inlineStr">
        <is>
          <t>GT_DETAIL_PT05_Pattern_Recognition.txt</t>
        </is>
      </c>
      <c r="D1063" s="3" t="inlineStr">
        <is>
          <t>Pertemuan 5: Pattern Recognition (Pengenalan Pola)</t>
        </is>
      </c>
      <c r="E1063" t="n">
        <v>0.7512</v>
      </c>
      <c r="F1063" t="inlineStr">
        <is>
          <t>✓</t>
        </is>
      </c>
      <c r="G1063" t="inlineStr">
        <is>
          <t>✓</t>
        </is>
      </c>
      <c r="H1063" s="3" t="inlineStr">
        <is>
          <t>memiliki pola serupa.  D. PERBEDAAN MATHEMATICAL THINKING vs. COMPUTATIONAL THINKING  Masalah: 1 + 2 + 3 + ... + 10 = ?  Mathematical Thinking (kalkulasi bertahap): 1+2=3, 3+3=6, 6+4=10, 10+5=15, ... = 55 (10 langkah)  C</t>
        </is>
      </c>
    </row>
    <row r="1064">
      <c r="A1064" t="n">
        <v>178</v>
      </c>
      <c r="B1064" t="n">
        <v>1</v>
      </c>
      <c r="C1064" t="inlineStr">
        <is>
          <t>GT_CT11.txt</t>
        </is>
      </c>
      <c r="D1064" s="3" t="inlineStr">
        <is>
          <t>Pertemuan 11: Algoritme — Struktur Kontrol Perulangan</t>
        </is>
      </c>
      <c r="E1064" t="n">
        <v>0.7455000000000001</v>
      </c>
      <c r="F1064" t="inlineStr">
        <is>
          <t>✓</t>
        </is>
      </c>
      <c r="G1064" t="inlineStr">
        <is>
          <t>✓</t>
        </is>
      </c>
      <c r="H1064" s="3" t="inlineStr">
        <is>
          <t>disebut perulangan luar (outer loop). Untuk setiap satu kali iterasi perulangan luar, perulangan dalam akan menyelesaikan seluruh iterasinya dari awal hingga akhir.  Contoh perulangan bersarang untuk mencetak kotak binta</t>
        </is>
      </c>
    </row>
    <row r="1065">
      <c r="A1065" t="n">
        <v>178</v>
      </c>
      <c r="B1065" t="n">
        <v>2</v>
      </c>
      <c r="C1065" t="inlineStr">
        <is>
          <t>GT_DETAIL_PT11_Perulangan.txt</t>
        </is>
      </c>
      <c r="D1065" s="3" t="inlineStr">
        <is>
          <t>Pertemuan 11: Struktur Kontrol — Perulangan</t>
        </is>
      </c>
      <c r="E1065" t="n">
        <v>0.7296</v>
      </c>
      <c r="F1065" t="inlineStr">
        <is>
          <t>✓</t>
        </is>
      </c>
      <c r="G1065" t="inlineStr">
        <is>
          <t>✓</t>
        </is>
      </c>
      <c r="H1065" s="3" t="inlineStr">
        <is>
          <t>selalu dijalankan MINIMAL SATU KALI  F. PERULANGAN BERSARANG (NESTED LOOP)  Konsep: perulangan di dalam perulangan. - Setiap 1 iterasi luar → dalam menyelesaikan SEMUA iterasinya - Total iterasi = iterasi_luar × iterasi_</t>
        </is>
      </c>
    </row>
    <row r="1066">
      <c r="A1066" t="n">
        <v>178</v>
      </c>
      <c r="B1066" t="n">
        <v>3</v>
      </c>
      <c r="C1066" t="inlineStr">
        <is>
          <t>GT_SUBTOPIK_14_Kompleksitas_BigO.txt</t>
        </is>
      </c>
      <c r="D1066" s="3" t="inlineStr">
        <is>
          <t>Subtopik: Kompleksitas Algoritme (Big-O Notation)</t>
        </is>
      </c>
      <c r="E1066" t="n">
        <v>0.7157</v>
      </c>
      <c r="F1066" t="inlineStr">
        <is>
          <t>✓</t>
        </is>
      </c>
      <c r="G1066" t="inlineStr">
        <is>
          <t>✓</t>
        </is>
      </c>
      <c r="H1066" s="3" t="inlineStr">
        <is>
          <t>l yang terbesar: O(n^2 + n) = O(n^2)   3. Kalikan loop bersarang: O(n) dalam O(n) = O(n^2)  ---------------------------------------------------------------- CONTOH SOAL DAN PEMBAHASAN ------------------------------------</t>
        </is>
      </c>
    </row>
    <row r="1067">
      <c r="A1067" t="n">
        <v>178</v>
      </c>
      <c r="B1067" t="n">
        <v>4</v>
      </c>
      <c r="C1067" t="inlineStr">
        <is>
          <t>GT_DETAIL_PT11_Perulangan.txt</t>
        </is>
      </c>
      <c r="D1067" s="3" t="inlineStr">
        <is>
          <t>Pertemuan 11: Struktur Kontrol — Perulangan</t>
        </is>
      </c>
      <c r="E1067" t="n">
        <v>0.7134</v>
      </c>
      <c r="F1067" t="inlineStr">
        <is>
          <t>✓</t>
        </is>
      </c>
      <c r="G1067" t="inlineStr">
        <is>
          <t>✓</t>
        </is>
      </c>
      <c r="H1067" s="3" t="inlineStr">
        <is>
          <t>an: - Kondisi dievaluasi SEBELUM body dijalankan - Jika kondisi False sejak awal → body tidak pernah dijalankan - Jika kondisi tidak pernah False → infinite loop (hindari!) - Body HARUS mengubah sesuatu yang mempengaruhi</t>
        </is>
      </c>
    </row>
    <row r="1068">
      <c r="A1068" t="n">
        <v>178</v>
      </c>
      <c r="B1068" t="n">
        <v>5</v>
      </c>
      <c r="C1068" t="inlineStr">
        <is>
          <t>GT_CT11.txt</t>
        </is>
      </c>
      <c r="D1068" s="3" t="inlineStr">
        <is>
          <t>Pertemuan 11: Algoritme — Struktur Kontrol Perulangan</t>
        </is>
      </c>
      <c r="E1068" t="n">
        <v>0.7099</v>
      </c>
      <c r="F1068" t="inlineStr">
        <is>
          <t>✓</t>
        </is>
      </c>
      <c r="G1068" t="inlineStr">
        <is>
          <t>✓</t>
        </is>
      </c>
      <c r="H1068" s="3" t="inlineStr">
        <is>
          <t>2: x = 0; for i = 1 to 10 do; print(x); x = x + 2   ---------------------------------------------------------------- [MATERI 3: Iterasi Berdasarkan Kondisi (Perulangan "while")] ------------------------------------------</t>
        </is>
      </c>
    </row>
    <row r="1069">
      <c r="A1069" t="n">
        <v>178</v>
      </c>
      <c r="B1069" t="n">
        <v>6</v>
      </c>
      <c r="C1069" t="inlineStr">
        <is>
          <t>GT_CT07.txt</t>
        </is>
      </c>
      <c r="D1069" s="3" t="inlineStr">
        <is>
          <t>Pertemuan 7: Algoritme — Notasi Algoritme</t>
        </is>
      </c>
      <c r="E1069" t="n">
        <v>0.6937</v>
      </c>
      <c r="F1069" t="inlineStr">
        <is>
          <t>✓</t>
        </is>
      </c>
      <c r="G1069" t="inlineStr">
        <is>
          <t>✓</t>
        </is>
      </c>
      <c r="H1069" s="3" t="inlineStr">
        <is>
          <t>) dan selisih angka yang dicari (d). Output: banyaknya pasangan bilangan dengan selisih sebesar d (p). Proses: (a) Urutkan n bilangan secara menaik menjadi m1, m2, ..., mn; (b) Inisialisasi p = 0; (c) Untuk setiap i dari</t>
        </is>
      </c>
    </row>
    <row r="1070">
      <c r="A1070" t="n">
        <v>179</v>
      </c>
      <c r="B1070" t="n">
        <v>1</v>
      </c>
      <c r="C1070" t="inlineStr">
        <is>
          <t>GT_CT11.txt</t>
        </is>
      </c>
      <c r="D1070" s="3" t="inlineStr">
        <is>
          <t>Pertemuan 11: Algoritme — Struktur Kontrol Perulangan</t>
        </is>
      </c>
      <c r="E1070" t="n">
        <v>0.8143</v>
      </c>
      <c r="F1070" t="inlineStr">
        <is>
          <t>✓</t>
        </is>
      </c>
      <c r="G1070" t="inlineStr">
        <is>
          <t>✓</t>
        </is>
      </c>
      <c r="H1070" s="3" t="inlineStr">
        <is>
          <t>2: x = 0; for i = 1 to 10 do; print(x); x = x + 2   ---------------------------------------------------------------- [MATERI 3: Iterasi Berdasarkan Kondisi (Perulangan "while")] ------------------------------------------</t>
        </is>
      </c>
    </row>
    <row r="1071">
      <c r="A1071" t="n">
        <v>179</v>
      </c>
      <c r="B1071" t="n">
        <v>2</v>
      </c>
      <c r="C1071" t="inlineStr">
        <is>
          <t>GT_DETAIL_PT11_Perulangan.txt</t>
        </is>
      </c>
      <c r="D1071" s="3" t="inlineStr">
        <is>
          <t>Pertemuan 11: Struktur Kontrol — Perulangan</t>
        </is>
      </c>
      <c r="E1071" t="n">
        <v>0.771</v>
      </c>
      <c r="F1071" t="inlineStr">
        <is>
          <t>✓</t>
        </is>
      </c>
      <c r="G1071" t="inlineStr">
        <is>
          <t>✓</t>
        </is>
      </c>
      <c r="H1071" s="3" t="inlineStr">
        <is>
          <t>an: - Kondisi dievaluasi SEBELUM body dijalankan - Jika kondisi False sejak awal → body tidak pernah dijalankan - Jika kondisi tidak pernah False → infinite loop (hindari!) - Body HARUS mengubah sesuatu yang mempengaruhi</t>
        </is>
      </c>
    </row>
    <row r="1072">
      <c r="A1072" t="n">
        <v>179</v>
      </c>
      <c r="B1072" t="n">
        <v>3</v>
      </c>
      <c r="C1072" t="inlineStr">
        <is>
          <t>GT_DETAIL_PT11_Perulangan.txt</t>
        </is>
      </c>
      <c r="D1072" s="3" t="inlineStr">
        <is>
          <t>Pertemuan 11: Struktur Kontrol — Perulangan</t>
        </is>
      </c>
      <c r="E1072" t="n">
        <v>0.7705</v>
      </c>
      <c r="F1072" t="inlineStr">
        <is>
          <t>✓</t>
        </is>
      </c>
      <c r="G1072" t="inlineStr">
        <is>
          <t>✓</t>
        </is>
      </c>
      <c r="H1072" s="3" t="inlineStr">
        <is>
          <t xml:space="preserve">AL 11 — DO-WHILE vs WHILE] Apa perbedaan output dari dua pseudocode berikut? Kode A:   i = 10   while i &lt; 5 do     print(i)     i = i + 1  Kode B:   i = 10   do     print(i)     i = i + 1   while i &lt; 5  JAWABAN: Kode A: </t>
        </is>
      </c>
    </row>
    <row r="1073">
      <c r="A1073" t="n">
        <v>179</v>
      </c>
      <c r="B1073" t="n">
        <v>4</v>
      </c>
      <c r="C1073" t="inlineStr">
        <is>
          <t>GT_CT11.txt</t>
        </is>
      </c>
      <c r="D1073" s="3" t="inlineStr">
        <is>
          <t>Pertemuan 11: Algoritme — Struktur Kontrol Perulangan</t>
        </is>
      </c>
      <c r="E1073" t="n">
        <v>0.7682</v>
      </c>
      <c r="F1073" t="inlineStr">
        <is>
          <t>✓</t>
        </is>
      </c>
      <c r="G1073" t="inlineStr">
        <is>
          <t>✓</t>
        </is>
      </c>
      <c r="H1073" s="3" t="inlineStr">
        <is>
          <t>hir kode adalah 6.  Contoh 2 — Mencetak bilangan dengan penambahan 3:     i = 1     while i &lt;= 10 do         print(i)         i = i + 3     Output: 1, 4, 7, 10. Nilai i di akhir kode adalah 13.  Contoh 3 — Mencetak bilan</t>
        </is>
      </c>
    </row>
    <row r="1074">
      <c r="A1074" t="n">
        <v>179</v>
      </c>
      <c r="B1074" t="n">
        <v>5</v>
      </c>
      <c r="C1074" t="inlineStr">
        <is>
          <t>GT_DETAIL_PT11_Perulangan.txt</t>
        </is>
      </c>
      <c r="D1074" s="3" t="inlineStr">
        <is>
          <t>Pertemuan 11: Struktur Kontrol — Perulangan</t>
        </is>
      </c>
      <c r="E1074" t="n">
        <v>0.7516</v>
      </c>
      <c r="F1074" t="inlineStr">
        <is>
          <t>✓</t>
        </is>
      </c>
      <c r="G1074" t="inlineStr">
        <is>
          <t>✓</t>
        </is>
      </c>
      <c r="H1074" s="3" t="inlineStr">
        <is>
          <t>ount = count + 1     read(nilai)   if (count &gt; 0) then     print(sum / count)   else     print("Tidak ada data")  [SOAL 7 — Nested Loop: Segitiga Bintang] Cetak segitiga bintang seperti ini untuk tinggi = 4: * ** *** ***</t>
        </is>
      </c>
    </row>
    <row r="1075">
      <c r="A1075" t="n">
        <v>179</v>
      </c>
      <c r="B1075" t="n">
        <v>6</v>
      </c>
      <c r="C1075" t="inlineStr">
        <is>
          <t>GT_CT11.txt</t>
        </is>
      </c>
      <c r="D1075" s="3" t="inlineStr">
        <is>
          <t>Pertemuan 11: Algoritme — Struktur Kontrol Perulangan</t>
        </is>
      </c>
      <c r="E1075" t="n">
        <v>0.7438</v>
      </c>
      <c r="F1075" t="inlineStr">
        <is>
          <t>✓</t>
        </is>
      </c>
      <c r="G1075" t="inlineStr">
        <is>
          <t>✓</t>
        </is>
      </c>
      <c r="H1075" s="3" t="inlineStr">
        <is>
          <t xml:space="preserve">       count = count + 1     print(sum / count)  Sentinel adalah nilai khusus yang berfungsi sebagai penanda untuk mengakhiri perulangan. Daripada meminta pengguna secara eksplisit untuk melanjutkan atau berhenti, penggu</t>
        </is>
      </c>
    </row>
    <row r="1076">
      <c r="A1076" t="n">
        <v>180</v>
      </c>
      <c r="B1076" t="n">
        <v>1</v>
      </c>
      <c r="C1076" t="inlineStr">
        <is>
          <t>GT_DETAIL_PT11_Perulangan.txt</t>
        </is>
      </c>
      <c r="D1076" s="3" t="inlineStr">
        <is>
          <t>Pertemuan 11: Struktur Kontrol — Perulangan</t>
        </is>
      </c>
      <c r="E1076" t="n">
        <v>0.8189</v>
      </c>
      <c r="F1076" t="inlineStr">
        <is>
          <t>✓</t>
        </is>
      </c>
      <c r="G1076" t="inlineStr">
        <is>
          <t>✓</t>
        </is>
      </c>
      <c r="H1076" s="3" t="inlineStr">
        <is>
          <t>selalu dijalankan MINIMAL SATU KALI  F. PERULANGAN BERSARANG (NESTED LOOP)  Konsep: perulangan di dalam perulangan. - Setiap 1 iterasi luar → dalam menyelesaikan SEMUA iterasinya - Total iterasi = iterasi_luar × iterasi_</t>
        </is>
      </c>
    </row>
    <row r="1077">
      <c r="A1077" t="n">
        <v>180</v>
      </c>
      <c r="B1077" t="n">
        <v>2</v>
      </c>
      <c r="C1077" t="inlineStr">
        <is>
          <t>GT_DETAIL_PT11_Perulangan.txt</t>
        </is>
      </c>
      <c r="D1077" s="3" t="inlineStr">
        <is>
          <t>Pertemuan 11: Struktur Kontrol — Perulangan</t>
        </is>
      </c>
      <c r="E1077" t="n">
        <v>0.8134</v>
      </c>
      <c r="F1077" t="inlineStr">
        <is>
          <t>✓</t>
        </is>
      </c>
      <c r="G1077" t="inlineStr">
        <is>
          <t>✓</t>
        </is>
      </c>
      <c r="H1077" s="3" t="inlineStr">
        <is>
          <t xml:space="preserve">AL 11 — DO-WHILE vs WHILE] Apa perbedaan output dari dua pseudocode berikut? Kode A:   i = 10   while i &lt; 5 do     print(i)     i = i + 1  Kode B:   i = 10   do     print(i)     i = i + 1   while i &lt; 5  JAWABAN: Kode A: </t>
        </is>
      </c>
    </row>
    <row r="1078">
      <c r="A1078" t="n">
        <v>180</v>
      </c>
      <c r="B1078" t="n">
        <v>3</v>
      </c>
      <c r="C1078" t="inlineStr">
        <is>
          <t>GT_DETAIL_PT10_Percabangan.txt</t>
        </is>
      </c>
      <c r="D1078" s="3" t="inlineStr">
        <is>
          <t>Pertemuan 10: Struktur Kontrol — Percabangan</t>
        </is>
      </c>
      <c r="E1078" t="n">
        <v>0.8119</v>
      </c>
      <c r="F1078" t="inlineStr">
        <is>
          <t>✓</t>
        </is>
      </c>
      <c r="G1078" t="inlineStr">
        <is>
          <t>✓</t>
        </is>
      </c>
      <c r="H1078" s="3" t="inlineStr">
        <is>
          <t>------------ CONTOH SOAL DAN PEMBAHASAN ----------------------------------------------------------------  [SOAL 1 — Maks 2 Bilangan] Tuliskan pseudocode untuk menentukan bilangan terbesar dari dua bilangan a dan b!  JAWA</t>
        </is>
      </c>
    </row>
    <row r="1079">
      <c r="A1079" t="n">
        <v>180</v>
      </c>
      <c r="B1079" t="n">
        <v>4</v>
      </c>
      <c r="C1079" t="inlineStr">
        <is>
          <t>GT_CT11.txt</t>
        </is>
      </c>
      <c r="D1079" s="3" t="inlineStr">
        <is>
          <t>Pertemuan 11: Algoritme — Struktur Kontrol Perulangan</t>
        </is>
      </c>
      <c r="E1079" t="n">
        <v>0.8109</v>
      </c>
      <c r="F1079" t="inlineStr">
        <is>
          <t>✓</t>
        </is>
      </c>
      <c r="G1079" t="inlineStr">
        <is>
          <t>✓</t>
        </is>
      </c>
      <c r="H1079" s="3" t="inlineStr">
        <is>
          <t xml:space="preserve"> nilai &lt;langkah&gt; diasumsikan sebesar 1.  Kompleksitas waktu perulangan for untuk mencetak 1 hingga n adalah linear, yaitu O(n), karena jumlah operasi bertumbuh sebanding dengan nilai n.  Berikut adalah beberapa contoh pe</t>
        </is>
      </c>
    </row>
    <row r="1080">
      <c r="A1080" t="n">
        <v>180</v>
      </c>
      <c r="B1080" t="n">
        <v>5</v>
      </c>
      <c r="C1080" t="inlineStr">
        <is>
          <t>GT_DETAIL_PT07_Notasi_Algoritme.txt</t>
        </is>
      </c>
      <c r="D1080" s="3" t="inlineStr">
        <is>
          <t>Pertemuan 7: Algoritme — Notasi Algoritme</t>
        </is>
      </c>
      <c r="E1080" t="n">
        <v>0.8087</v>
      </c>
      <c r="F1080" t="inlineStr">
        <is>
          <t>✓</t>
        </is>
      </c>
      <c r="G1080" t="inlineStr">
        <is>
          <t>✓</t>
        </is>
      </c>
      <c r="H1080" s="3" t="inlineStr">
        <is>
          <t>perasinya linear)  c) Rata-rata n bilangan: baca semua n bilangan + 1 pembagian → O(n) [linear]  [SOAL 5 — Pseudocode: Pesan Sandi] Tuliskan pseudocode untuk MENDEKRIPSI pesan yang dienkripsi dengan tiga langkah: (1) bal</t>
        </is>
      </c>
    </row>
    <row r="1081">
      <c r="A1081" t="n">
        <v>180</v>
      </c>
      <c r="B1081" t="n">
        <v>6</v>
      </c>
      <c r="C1081" t="inlineStr">
        <is>
          <t>GT_CT07.txt</t>
        </is>
      </c>
      <c r="D1081" s="3" t="inlineStr">
        <is>
          <t>Pertemuan 7: Algoritme — Notasi Algoritme</t>
        </is>
      </c>
      <c r="E1081" t="n">
        <v>0.8018</v>
      </c>
      <c r="F1081" t="inlineStr">
        <is>
          <t>✓</t>
        </is>
      </c>
      <c r="G1081" t="inlineStr">
        <is>
          <t>✓</t>
        </is>
      </c>
      <c r="H1081" s="3" t="inlineStr">
        <is>
          <t>an nilai alas dengan tinggi, lalu hasilnya dibagi dua.  2. Pseudocode: Pseudocode adalah cara informal untuk menuliskan algoritme atau rancangan program komputer. Tujuan utama pseudocode adalah untuk mendapatkan ide seca</t>
        </is>
      </c>
    </row>
    <row r="1082">
      <c r="A1082" t="n">
        <v>181</v>
      </c>
      <c r="B1082" t="n">
        <v>1</v>
      </c>
      <c r="C1082" t="inlineStr">
        <is>
          <t>GT_DETAIL_PT05_Pattern_Recognition.txt</t>
        </is>
      </c>
      <c r="D1082" s="3" t="inlineStr">
        <is>
          <t>Pertemuan 5: Pattern Recognition (Pengenalan Pola)</t>
        </is>
      </c>
      <c r="E1082" t="n">
        <v>0.8257</v>
      </c>
      <c r="F1082" t="inlineStr">
        <is>
          <t>✓</t>
        </is>
      </c>
      <c r="G1082" t="inlineStr">
        <is>
          <t>✓</t>
        </is>
      </c>
      <c r="H1082" s="3" t="inlineStr">
        <is>
          <t>3=27(7), 3^4=81(1), 3^5=243(3) → siklus 4: 3,9,7,1 c) 2024 mod 4 = 0 → digit terakhir = 1  [SOAL 3 — Pola Bilangan] Temukan pola dari barisan berikut dan tentukan suku ke-10: a) 2, 5, 10, 17, 26, ... b) 1, 1, 2, 3, 5, 8,</t>
        </is>
      </c>
    </row>
    <row r="1083">
      <c r="A1083" t="n">
        <v>181</v>
      </c>
      <c r="B1083" t="n">
        <v>2</v>
      </c>
      <c r="C1083" t="inlineStr">
        <is>
          <t>GT_DETAIL_PT05_Pattern_Recognition.txt</t>
        </is>
      </c>
      <c r="D1083" s="3" t="inlineStr">
        <is>
          <t>Pertemuan 5: Pattern Recognition (Pengenalan Pola)</t>
        </is>
      </c>
      <c r="E1083" t="n">
        <v>0.8162</v>
      </c>
      <c r="F1083" t="inlineStr">
        <is>
          <t>✓</t>
        </is>
      </c>
      <c r="G1083" t="inlineStr">
        <is>
          <t>✓</t>
        </is>
      </c>
      <c r="H1083" s="3" t="inlineStr">
        <is>
          <t xml:space="preserve">iliki selisih tepat 2!  JAWABAN: Urutkan terlebih dahulu: 1, 2, 4, 6, 7, 9, 10, 12, 15, 17, 18, 20  Cari pasangan dengan selisih = 2 (pengenalan pola: bandingkan elemen berurutan): - (1,3)? 3 tidak ada. - (2,4): selisih </t>
        </is>
      </c>
    </row>
    <row r="1084">
      <c r="A1084" t="n">
        <v>181</v>
      </c>
      <c r="B1084" t="n">
        <v>3</v>
      </c>
      <c r="C1084" t="inlineStr">
        <is>
          <t>GT_DETAIL_PT05_Pattern_Recognition.txt</t>
        </is>
      </c>
      <c r="D1084" s="3" t="inlineStr">
        <is>
          <t>Pertemuan 5: Pattern Recognition (Pengenalan Pola)</t>
        </is>
      </c>
      <c r="E1084" t="n">
        <v>0.8112</v>
      </c>
      <c r="F1084" t="inlineStr">
        <is>
          <t>✓</t>
        </is>
      </c>
      <c r="G1084" t="inlineStr">
        <is>
          <t>✓</t>
        </is>
      </c>
      <c r="H1084" s="3" t="inlineStr">
        <is>
          <t>memiliki pola serupa.  D. PERBEDAAN MATHEMATICAL THINKING vs. COMPUTATIONAL THINKING  Masalah: 1 + 2 + 3 + ... + 10 = ?  Mathematical Thinking (kalkulasi bertahap): 1+2=3, 3+3=6, 6+4=10, 10+5=15, ... = 55 (10 langkah)  C</t>
        </is>
      </c>
    </row>
    <row r="1085">
      <c r="A1085" t="n">
        <v>181</v>
      </c>
      <c r="B1085" t="n">
        <v>4</v>
      </c>
      <c r="C1085" t="inlineStr">
        <is>
          <t>GT_SUBTOPIK_03_Pola_Bilangan_Deret.txt</t>
        </is>
      </c>
      <c r="D1085" s="3" t="inlineStr">
        <is>
          <t>Subtopik: Pattern Recognition — Pola Bilangan dan Deret Matematis</t>
        </is>
      </c>
      <c r="E1085" t="n">
        <v>0.8037</v>
      </c>
      <c r="F1085" t="inlineStr">
        <is>
          <t>✓</t>
        </is>
      </c>
      <c r="G1085" t="inlineStr">
        <is>
          <t>✓</t>
        </is>
      </c>
      <c r="H1085" s="3" t="inlineStr">
        <is>
          <t xml:space="preserve">Pola 3: 13 titik (ditambah 8) Pola 4: 25 titik (ditambah 12)  JAWABAN: Selisih antar pola: 4, 8, 12, ... → bertambah 4 setiap langkah Selisih ke-5: 16 Pola ke-5: 25 + 16 = 41  Formula: an = 2n² - 2n + 1 Verifikasi: n=5: </t>
        </is>
      </c>
    </row>
    <row r="1086">
      <c r="A1086" t="n">
        <v>181</v>
      </c>
      <c r="B1086" t="n">
        <v>5</v>
      </c>
      <c r="C1086" t="inlineStr">
        <is>
          <t>GT_CT05.txt</t>
        </is>
      </c>
      <c r="D1086" s="3" t="inlineStr">
        <is>
          <t>Pertemuan 5: Pattern Recognition (Pengenalan Pola)</t>
        </is>
      </c>
      <c r="E1086" t="n">
        <v>0.7997</v>
      </c>
      <c r="F1086" t="inlineStr">
        <is>
          <t>✓</t>
        </is>
      </c>
      <c r="G1086" t="inlineStr">
        <is>
          <t>✓</t>
        </is>
      </c>
      <c r="H1086" s="3" t="inlineStr">
        <is>
          <t>hwa digit terakhir dari perpangkatan 2 berulang dalam siklus empat: 1, 2, 4, 8, 6, 2, 4, 8, 6, ... Pola ini dapat direpresentasikan sebagai: jika N mod 4 = 1 maka digit terakhir 2; jika N mod 4 = 2 maka digit terakhir 4;</t>
        </is>
      </c>
    </row>
    <row r="1087">
      <c r="A1087" t="n">
        <v>181</v>
      </c>
      <c r="B1087" t="n">
        <v>6</v>
      </c>
      <c r="C1087" t="inlineStr">
        <is>
          <t>GT_CT05.txt</t>
        </is>
      </c>
      <c r="D1087" s="3" t="inlineStr">
        <is>
          <t>Pertemuan 5: Pattern Recognition (Pengenalan Pola)</t>
        </is>
      </c>
      <c r="E1087" t="n">
        <v>0.7966</v>
      </c>
      <c r="F1087" t="inlineStr">
        <is>
          <t>✓</t>
        </is>
      </c>
      <c r="G1087" t="inlineStr">
        <is>
          <t>✓</t>
        </is>
      </c>
      <c r="H1087" s="3" t="inlineStr">
        <is>
          <t>g kosong. Pendekatan yang digunakan adalah terlebih dahulu melakukan abstraksi terhadap elemen-elemen visual yang relevan, kemudian mengenali pola transformasi atau urutan yang terjadi antar gambar untuk menentukan jawab</t>
        </is>
      </c>
    </row>
    <row r="1088">
      <c r="A1088" t="n">
        <v>182</v>
      </c>
      <c r="B1088" t="n">
        <v>1</v>
      </c>
      <c r="C1088" t="inlineStr">
        <is>
          <t>GT_CT07.txt</t>
        </is>
      </c>
      <c r="D1088" s="3" t="inlineStr">
        <is>
          <t>Pertemuan 7: Algoritme — Notasi Algoritme</t>
        </is>
      </c>
      <c r="E1088" t="n">
        <v>0.7494</v>
      </c>
      <c r="F1088" t="inlineStr">
        <is>
          <t>✓</t>
        </is>
      </c>
      <c r="G1088" t="inlineStr">
        <is>
          <t>✓</t>
        </is>
      </c>
      <c r="H1088" s="3" t="inlineStr">
        <is>
          <t>) dan selisih angka yang dicari (d). Output: banyaknya pasangan bilangan dengan selisih sebesar d (p). Proses: (a) Urutkan n bilangan secara menaik menjadi m1, m2, ..., mn; (b) Inisialisasi p = 0; (c) Untuk setiap i dari</t>
        </is>
      </c>
    </row>
    <row r="1089">
      <c r="A1089" t="n">
        <v>182</v>
      </c>
      <c r="B1089" t="n">
        <v>2</v>
      </c>
      <c r="C1089" t="inlineStr">
        <is>
          <t>GT_SUBTOPIK_02_Abstraksi_Formulasi.txt</t>
        </is>
      </c>
      <c r="D1089" s="3" t="inlineStr">
        <is>
          <t>Subtopik: Abstraksi — Formulasi Problem (Problem/Goal/Batasan/Data)</t>
        </is>
      </c>
      <c r="E1089" t="n">
        <v>0.7421</v>
      </c>
      <c r="F1089" t="inlineStr">
        <is>
          <t>✓</t>
        </is>
      </c>
      <c r="G1089" t="inlineStr">
        <is>
          <t>✓</t>
        </is>
      </c>
      <c r="H1089" s="3" t="inlineStr">
        <is>
          <t>ara dua MK jika ada konflik. Masalah menjadi: cari jumlah warna minimum untuk mewarnai node agar tidak ada dua node terhubung punya warna sama (chromatic number).  [SOAL 6 — Abstraksi vs Symptom] Identifikasi mana ROOT C</t>
        </is>
      </c>
    </row>
    <row r="1090">
      <c r="A1090" t="n">
        <v>182</v>
      </c>
      <c r="B1090" t="n">
        <v>3</v>
      </c>
      <c r="C1090" t="inlineStr">
        <is>
          <t>GT_CT09.txt</t>
        </is>
      </c>
      <c r="D1090" s="3" t="inlineStr">
        <is>
          <t>Pertemuan 9: Elemen Pseudocode — Variabel, Operator, Tipe Data, dan List</t>
        </is>
      </c>
      <c r="E1090" t="n">
        <v>0.7389</v>
      </c>
      <c r="F1090" t="inlineStr">
        <is>
          <t>✓</t>
        </is>
      </c>
      <c r="G1090" t="inlineStr">
        <is>
          <t>✓</t>
        </is>
      </c>
      <c r="H1090" s="3" t="inlineStr">
        <is>
          <t>ama dengan (==), tidak sama dengan (!=), lebih besar dari (&gt;), lebih kecil dari (&lt;), lebih besar atau sama dengan (&gt;=), dan lebih kecil atau sama dengan (&lt;=).  4. Logical Operator (Operator Logika): Digunakan untuk mengg</t>
        </is>
      </c>
    </row>
    <row r="1091">
      <c r="A1091" t="n">
        <v>182</v>
      </c>
      <c r="B1091" t="n">
        <v>4</v>
      </c>
      <c r="C1091" t="inlineStr">
        <is>
          <t>GT_DETAIL_PT09_Variabel_TipeData_Operator_List.txt</t>
        </is>
      </c>
      <c r="D1091" s="3" t="inlineStr">
        <is>
          <t>Pertemuan 9: Elemen Pseudocode — Variabel, Tipe Data, Operator, List</t>
        </is>
      </c>
      <c r="E1091" t="n">
        <v>0.733</v>
      </c>
      <c r="F1091" t="inlineStr">
        <is>
          <t>✓</t>
        </is>
      </c>
      <c r="G1091" t="inlineStr">
        <is>
          <t>✓</t>
        </is>
      </c>
      <c r="H1091" s="3" t="inlineStr">
        <is>
          <t xml:space="preserve"> T = F | F AND F = F     Tabel kebenaran OR:    T OR T = T | T OR F = T | F OR T = T | F OR F = F     NOT: NOT T = F | NOT F = T  5. Is Operator: memeriksa tipe atau identitas suatu nilai/objek.  G. LIST (ARRAY / SEQUENC</t>
        </is>
      </c>
    </row>
    <row r="1092">
      <c r="A1092" t="n">
        <v>182</v>
      </c>
      <c r="B1092" t="n">
        <v>5</v>
      </c>
      <c r="C1092" t="inlineStr">
        <is>
          <t>GT_SUBTOPIK_02_Abstraksi_Formulasi.txt</t>
        </is>
      </c>
      <c r="D1092" s="3" t="inlineStr">
        <is>
          <t>Subtopik: Abstraksi — Formulasi Problem (Problem/Goal/Batasan/Data)</t>
        </is>
      </c>
      <c r="E1092" t="n">
        <v>0.731</v>
      </c>
      <c r="F1092" t="inlineStr">
        <is>
          <t>✓</t>
        </is>
      </c>
      <c r="G1092" t="inlineStr">
        <is>
          <t>✓</t>
        </is>
      </c>
      <c r="H1092" s="3" t="inlineStr">
        <is>
          <t>Total anggaran = Rp 50 juta  YANG DIABAIKAN (bukan data relevan):   - Warna/merek item (tidak mempengaruhi produktivitas)   - Nama vendor/supplier   - Tanggal pengiriman (asumsi semua tersedia)  [SOAL 5 — Abstraksi: Jadw</t>
        </is>
      </c>
    </row>
    <row r="1093">
      <c r="A1093" t="n">
        <v>182</v>
      </c>
      <c r="B1093" t="n">
        <v>6</v>
      </c>
      <c r="C1093" t="inlineStr">
        <is>
          <t>GT_CT05.txt</t>
        </is>
      </c>
      <c r="D1093" s="3" t="inlineStr">
        <is>
          <t>Pertemuan 5: Pattern Recognition (Pengenalan Pola)</t>
        </is>
      </c>
      <c r="E1093" t="n">
        <v>0.7296</v>
      </c>
      <c r="F1093" t="inlineStr">
        <is>
          <t>✓</t>
        </is>
      </c>
      <c r="G1093" t="inlineStr">
        <is>
          <t>✓</t>
        </is>
      </c>
      <c r="H1093" s="3" t="inlineStr">
        <is>
          <t>g kosong. Pendekatan yang digunakan adalah terlebih dahulu melakukan abstraksi terhadap elemen-elemen visual yang relevan, kemudian mengenali pola transformasi atau urutan yang terjadi antar gambar untuk menentukan jawab</t>
        </is>
      </c>
    </row>
    <row r="1094">
      <c r="A1094" t="n">
        <v>183</v>
      </c>
      <c r="B1094" t="n">
        <v>1</v>
      </c>
      <c r="C1094" t="inlineStr">
        <is>
          <t>GT_CT01.txt</t>
        </is>
      </c>
      <c r="D1094" s="3" t="inlineStr">
        <is>
          <t>Pertemuan 1: Kontrak Perkuliahan dan Pendahuluan</t>
        </is>
      </c>
      <c r="E1094" t="n">
        <v>0.7452</v>
      </c>
      <c r="F1094" t="inlineStr">
        <is>
          <t>✓</t>
        </is>
      </c>
      <c r="G1094" t="inlineStr">
        <is>
          <t>✓</t>
        </is>
      </c>
      <c r="H1094" s="3" t="inlineStr">
        <is>
          <t>gi; (3) Dekomposisi — pengertian, teori, dan penerapan dekomposisi dalam problem solving; (4) Abstraksi — definisi dan penerapan abstraction dalam problem solving; (5) Pengenalan Pola — definisi dan penerapan pattern rec</t>
        </is>
      </c>
    </row>
    <row r="1095">
      <c r="A1095" t="n">
        <v>183</v>
      </c>
      <c r="B1095" t="n">
        <v>2</v>
      </c>
      <c r="C1095" t="inlineStr">
        <is>
          <t>GT_CT03.txt</t>
        </is>
      </c>
      <c r="D1095" s="3" t="inlineStr">
        <is>
          <t>Pertemuan 3: Problem Solving — Dekomposisi</t>
        </is>
      </c>
      <c r="E1095" t="n">
        <v>0.7435</v>
      </c>
      <c r="F1095" t="inlineStr">
        <is>
          <t>✓</t>
        </is>
      </c>
      <c r="G1095" t="inlineStr">
        <is>
          <t>✓</t>
        </is>
      </c>
      <c r="H1095" s="3" t="inlineStr">
        <is>
          <t>ruh digit dalam grid adalah 0, hasilnya "0"; jika seluruh digit adalah 1, hasilnya "1"; jika tidak, grid dibagi menjadi empat bagian dan metode kompresi diterapkan pada setiap sub-grid dari kiri atas searah jarum jam, de</t>
        </is>
      </c>
    </row>
    <row r="1096">
      <c r="A1096" t="n">
        <v>183</v>
      </c>
      <c r="B1096" t="n">
        <v>3</v>
      </c>
      <c r="C1096" t="inlineStr">
        <is>
          <t>GT_SUBTOPIK_02_Abstraksi_Formulasi.txt</t>
        </is>
      </c>
      <c r="D1096" s="3" t="inlineStr">
        <is>
          <t>Subtopik: Abstraksi — Formulasi Problem (Problem/Goal/Batasan/Data)</t>
        </is>
      </c>
      <c r="E1096" t="n">
        <v>0.7297</v>
      </c>
      <c r="F1096" t="inlineStr">
        <is>
          <t>✓</t>
        </is>
      </c>
      <c r="G1096" t="inlineStr">
        <is>
          <t>✓</t>
        </is>
      </c>
      <c r="H1096" s="3" t="inlineStr">
        <is>
          <t>ara dua MK jika ada konflik. Masalah menjadi: cari jumlah warna minimum untuk mewarnai node agar tidak ada dua node terhubung punya warna sama (chromatic number).  [SOAL 6 — Abstraksi vs Symptom] Identifikasi mana ROOT C</t>
        </is>
      </c>
    </row>
    <row r="1097">
      <c r="A1097" t="n">
        <v>183</v>
      </c>
      <c r="B1097" t="n">
        <v>4</v>
      </c>
      <c r="C1097" t="inlineStr">
        <is>
          <t>GT_CT13.txt</t>
        </is>
      </c>
      <c r="D1097" s="3" t="inlineStr">
        <is>
          <t>Pertemuan 13: Pengenalan Struktur Data</t>
        </is>
      </c>
      <c r="E1097" t="n">
        <v>0.7286</v>
      </c>
      <c r="F1097" t="inlineStr">
        <is>
          <t>✓</t>
        </is>
      </c>
      <c r="G1097" t="inlineStr">
        <is>
          <t>✓</t>
        </is>
      </c>
      <c r="H1097" s="3" t="inlineStr">
        <is>
          <t>ai urutan kedatangannya. - Sistem kecerdasan buatan dalam permainan catur yang merepresentasikan berbagai kemungkinan langkah ke depan: struktur data yang paling tepat adalah Tree, karena setiap kemungkinan langkah berca</t>
        </is>
      </c>
    </row>
    <row r="1098">
      <c r="A1098" t="n">
        <v>183</v>
      </c>
      <c r="B1098" t="n">
        <v>5</v>
      </c>
      <c r="C1098" t="inlineStr">
        <is>
          <t>GT_SUBTOPIK_11_Rekursi.txt</t>
        </is>
      </c>
      <c r="D1098" s="3" t="inlineStr">
        <is>
          <t>Subtopik: Rekursi (Recursion)</t>
        </is>
      </c>
      <c r="E1098" t="n">
        <v>0.7254</v>
      </c>
      <c r="F1098" t="inlineStr">
        <is>
          <t>✓</t>
        </is>
      </c>
      <c r="G1098" t="inlineStr">
        <is>
          <t>✓</t>
        </is>
      </c>
      <c r="H1098" s="3" t="inlineStr">
        <is>
          <t xml:space="preserve">OAL 9 -- Kompresi Gambar Biner Rekursif] Implementasikan kompresi biner grid rekursif! Jika semua=0 -&gt; "0", semua=1 -&gt; "1", lainnya bagi 4 dan rekursi.  JAWABAN:   function kompres(grid[][], r: int, c: int, ukuran: int) </t>
        </is>
      </c>
    </row>
    <row r="1099">
      <c r="A1099" t="n">
        <v>183</v>
      </c>
      <c r="B1099" t="n">
        <v>6</v>
      </c>
      <c r="C1099" t="inlineStr">
        <is>
          <t>GT_DETAIL_PT05_Pattern_Recognition.txt</t>
        </is>
      </c>
      <c r="D1099" s="3" t="inlineStr">
        <is>
          <t>Pertemuan 5: Pattern Recognition (Pengenalan Pola)</t>
        </is>
      </c>
      <c r="E1099" t="n">
        <v>0.7239</v>
      </c>
      <c r="F1099" t="inlineStr">
        <is>
          <t>✓</t>
        </is>
      </c>
      <c r="G1099" t="inlineStr">
        <is>
          <t>✓</t>
        </is>
      </c>
      <c r="H1099" s="3" t="inlineStr">
        <is>
          <t>3=27(7), 3^4=81(1), 3^5=243(3) → siklus 4: 3,9,7,1 c) 2024 mod 4 = 0 → digit terakhir = 1  [SOAL 3 — Pola Bilangan] Temukan pola dari barisan berikut dan tentukan suku ke-10: a) 2, 5, 10, 17, 26, ... b) 1, 1, 2, 3, 5, 8,</t>
        </is>
      </c>
    </row>
    <row r="1100">
      <c r="A1100" t="n">
        <v>184</v>
      </c>
      <c r="B1100" t="n">
        <v>1</v>
      </c>
      <c r="C1100" t="inlineStr">
        <is>
          <t>GT_SUBTOPIK_14_Kompleksitas_BigO.txt</t>
        </is>
      </c>
      <c r="D1100" s="3" t="inlineStr">
        <is>
          <t>Subtopik: Kompleksitas Algoritme (Big-O Notation)</t>
        </is>
      </c>
      <c r="E1100" t="n">
        <v>0.8051</v>
      </c>
      <c r="F1100" t="inlineStr">
        <is>
          <t>✓</t>
        </is>
      </c>
      <c r="G1100" t="inlineStr">
        <is>
          <t>✓</t>
        </is>
      </c>
      <c r="H1100" s="3" t="inlineStr">
        <is>
          <t xml:space="preserve"> langkah sortir  Versi C (hash set, O(n) average):   buat set kosong   for setiap x dalam arr do          // O(n)     pelengkap = target - x     if pelengkap ada di set then return True     masukkan x ke set   return Fal</t>
        </is>
      </c>
    </row>
    <row r="1101">
      <c r="A1101" t="n">
        <v>184</v>
      </c>
      <c r="B1101" t="n">
        <v>2</v>
      </c>
      <c r="C1101" t="inlineStr">
        <is>
          <t>GT_SUBTOPIK_14_Kompleksitas_BigO.txt</t>
        </is>
      </c>
      <c r="D1101" s="3" t="inlineStr">
        <is>
          <t>Subtopik: Kompleksitas Algoritme (Big-O Notation)</t>
        </is>
      </c>
      <c r="E1101" t="n">
        <v>0.7761</v>
      </c>
      <c r="F1101" t="inlineStr">
        <is>
          <t>✓</t>
        </is>
      </c>
      <c r="G1101" t="inlineStr">
        <is>
          <t>✓</t>
        </is>
      </c>
      <c r="H1101" s="3" t="inlineStr">
        <is>
          <t xml:space="preserve"> (sangat cepat)   O(n log n)  : 1.000*10 / 10^8 = 0,0001 detik (cepat)   O(n^2)      : 10^6 / 10^8 = 0,01 detik (masih oke)   O(2^n)      : 2^1000 / 10^8 = TIDAK MUNGKIN selesai (lebih besar dari umur alam semesta!)  Unt</t>
        </is>
      </c>
    </row>
    <row r="1102">
      <c r="A1102" t="n">
        <v>184</v>
      </c>
      <c r="B1102" t="n">
        <v>3</v>
      </c>
      <c r="C1102" t="inlineStr">
        <is>
          <t>GT_DETAIL_PT07_Notasi_Algoritme.txt</t>
        </is>
      </c>
      <c r="D1102" s="3" t="inlineStr">
        <is>
          <t>Pertemuan 7: Algoritme — Notasi Algoritme</t>
        </is>
      </c>
      <c r="E1102" t="n">
        <v>0.7568</v>
      </c>
      <c r="F1102" t="inlineStr">
        <is>
          <t>✓</t>
        </is>
      </c>
      <c r="G1102" t="inlineStr">
        <is>
          <t>✓</t>
        </is>
      </c>
      <c r="H1102" s="3" t="inlineStr">
        <is>
          <t xml:space="preserve">put. 2. Space Complexity (Kompleksitas Ruang): memori tambahan yang diperlukan.  Notasi Big-O [O()]: - O(1)    : Konstan — waktu tidak bergantung pada ukuran input - O(log n): Logaritmik — sangat efisien (contoh: binary </t>
        </is>
      </c>
    </row>
    <row r="1103">
      <c r="A1103" t="n">
        <v>184</v>
      </c>
      <c r="B1103" t="n">
        <v>4</v>
      </c>
      <c r="C1103" t="inlineStr">
        <is>
          <t>GT_SUBTOPIK_14_Kompleksitas_BigO.txt</t>
        </is>
      </c>
      <c r="D1103" s="3" t="inlineStr">
        <is>
          <t>Subtopik: Kompleksitas Algoritme (Big-O Notation)</t>
        </is>
      </c>
      <c r="E1103" t="n">
        <v>0.7342</v>
      </c>
      <c r="F1103" t="inlineStr">
        <is>
          <t>✓</t>
        </is>
      </c>
      <c r="G1103" t="inlineStr">
        <is>
          <t>✓</t>
        </is>
      </c>
      <c r="H1103" s="3" t="inlineStr">
        <is>
          <t>o       if arr[j] &gt; arr[j+1] then swap(arr[j], arr[j+1])   maks = arr[n]  Bandingkan kompleksitas dan rekomendasikan yang lebih baik!  JAWABAN: Algoritme A: O(n) -- satu pass, n-1 perbandingan Algoritme B: O(n^2) -- bubb</t>
        </is>
      </c>
    </row>
    <row r="1104">
      <c r="A1104" t="n">
        <v>184</v>
      </c>
      <c r="B1104" t="n">
        <v>5</v>
      </c>
      <c r="C1104" t="inlineStr">
        <is>
          <t>GT_CT09.txt</t>
        </is>
      </c>
      <c r="D1104" s="3" t="inlineStr">
        <is>
          <t>Pertemuan 9: Elemen Pseudocode — Variabel, Operator, Tipe Data, dan List</t>
        </is>
      </c>
      <c r="E1104" t="n">
        <v>0.7231</v>
      </c>
      <c r="F1104" t="inlineStr">
        <is>
          <t>✓</t>
        </is>
      </c>
      <c r="G1104" t="inlineStr">
        <is>
          <t>✓</t>
        </is>
      </c>
      <c r="H1104" s="3" t="inlineStr">
        <is>
          <t>ama dengan (==), tidak sama dengan (!=), lebih besar dari (&gt;), lebih kecil dari (&lt;), lebih besar atau sama dengan (&gt;=), dan lebih kecil atau sama dengan (&lt;=).  4. Logical Operator (Operator Logika): Digunakan untuk mengg</t>
        </is>
      </c>
    </row>
    <row r="1105">
      <c r="A1105" t="n">
        <v>184</v>
      </c>
      <c r="B1105" t="n">
        <v>6</v>
      </c>
      <c r="C1105" t="inlineStr">
        <is>
          <t>GT_SUBTOPIK_14_Kompleksitas_BigO.txt</t>
        </is>
      </c>
      <c r="D1105" s="3" t="inlineStr">
        <is>
          <t>Subtopik: Kompleksitas Algoritme (Big-O Notation)</t>
        </is>
      </c>
      <c r="E1105" t="n">
        <v>0.7216</v>
      </c>
      <c r="F1105" t="inlineStr">
        <is>
          <t>✓</t>
        </is>
      </c>
      <c r="G1105" t="inlineStr">
        <is>
          <t>✓</t>
        </is>
      </c>
      <c r="H1105" s="3" t="inlineStr">
        <is>
          <t>ngan ke array, lalu hitung rata-rata c) Fibonacci rekursif fib(n) d) Fibonacci iteratif dengan dua variabel  JAWABAN: a) O(1) space -- hanya butuh 2 variabel (sum dan count), tidak peduli berapa besar n  b) O(n) space --</t>
        </is>
      </c>
    </row>
    <row r="1106">
      <c r="A1106" t="n">
        <v>185</v>
      </c>
      <c r="B1106" t="n">
        <v>1</v>
      </c>
      <c r="C1106" t="inlineStr">
        <is>
          <t>GT_CT06.txt</t>
        </is>
      </c>
      <c r="D1106" s="3" t="inlineStr">
        <is>
          <t>Pertemuan 6: Pengenalan Algoritme &amp; Block Programming</t>
        </is>
      </c>
      <c r="E1106" t="n">
        <v>0.773</v>
      </c>
      <c r="F1106" t="inlineStr">
        <is>
          <t>✓</t>
        </is>
      </c>
      <c r="G1106" t="inlineStr">
        <is>
          <t>✓</t>
        </is>
      </c>
      <c r="H1106" s="3" t="inlineStr">
        <is>
          <t>mudah dan lebih mudah diakses, terutama bagi pemula.  Block programming adalah metode pemrograman yang menggunakan blok-blok visual berbentuk puzzle yang dapat disusun dengan cara drag and drop, sehingga relatif lebih mu</t>
        </is>
      </c>
    </row>
    <row r="1107">
      <c r="A1107" t="n">
        <v>185</v>
      </c>
      <c r="B1107" t="n">
        <v>2</v>
      </c>
      <c r="C1107" t="inlineStr">
        <is>
          <t>GT_CT01.txt</t>
        </is>
      </c>
      <c r="D1107" s="3" t="inlineStr">
        <is>
          <t>Pertemuan 1: Kontrak Perkuliahan dan Pendahuluan</t>
        </is>
      </c>
      <c r="E1107" t="n">
        <v>0.7649</v>
      </c>
      <c r="F1107" t="inlineStr">
        <is>
          <t>✓</t>
        </is>
      </c>
      <c r="G1107" t="inlineStr">
        <is>
          <t>✓</t>
        </is>
      </c>
      <c r="H1107" s="3" t="inlineStr">
        <is>
          <t xml:space="preserve"> dunia komputasi yang ditandai oleh perkembangan pesat kecerdasan buatan (Artificial Intelligence/AI). Salah satu tonggak penting dalam era ini adalah kemunculan ChatGPT yang diakui sebagai game changer dalam dunia tekno</t>
        </is>
      </c>
    </row>
    <row r="1108">
      <c r="A1108" t="n">
        <v>185</v>
      </c>
      <c r="B1108" t="n">
        <v>3</v>
      </c>
      <c r="C1108" t="inlineStr">
        <is>
          <t>GT_CT06.txt</t>
        </is>
      </c>
      <c r="D1108" s="3" t="inlineStr">
        <is>
          <t>Pertemuan 6: Pengenalan Algoritme &amp; Block Programming</t>
        </is>
      </c>
      <c r="E1108" t="n">
        <v>0.7513</v>
      </c>
      <c r="F1108" t="inlineStr">
        <is>
          <t>✓</t>
        </is>
      </c>
      <c r="G1108" t="inlineStr">
        <is>
          <t>✓</t>
        </is>
      </c>
      <c r="H1108" s="3" t="inlineStr">
        <is>
          <t>a eksis dalam dunia komputasi, tetapi juga dapat ditemukan dalam kehidupan sehari-hari dalam berbagai bentuk instruksi terstruktur, seperti buku manual mesin cuci dan panduan penggunaan perangkat elektronik (misalnya App</t>
        </is>
      </c>
    </row>
    <row r="1109">
      <c r="A1109" t="n">
        <v>185</v>
      </c>
      <c r="B1109" t="n">
        <v>4</v>
      </c>
      <c r="C1109" t="inlineStr">
        <is>
          <t>GT_CT01.txt</t>
        </is>
      </c>
      <c r="D1109" s="3" t="inlineStr">
        <is>
          <t>Pertemuan 1: Kontrak Perkuliahan dan Pendahuluan</t>
        </is>
      </c>
      <c r="E1109" t="n">
        <v>0.747</v>
      </c>
      <c r="F1109" t="inlineStr">
        <is>
          <t>✓</t>
        </is>
      </c>
      <c r="G1109" t="inlineStr">
        <is>
          <t>✓</t>
        </is>
      </c>
      <c r="H1109" s="3" t="inlineStr">
        <is>
          <t>emecah masalah besar menjadi submasalah yang lebih kecil dan mudah ditangani (dekomposisi).  Berdasarkan ketentuan beban SKS, setiap mahasiswa diperkirakan menghabiskan total 340 menit atau sekitar 5 jam 40 menit per min</t>
        </is>
      </c>
    </row>
    <row r="1110">
      <c r="A1110" t="n">
        <v>185</v>
      </c>
      <c r="B1110" t="n">
        <v>5</v>
      </c>
      <c r="C1110" t="inlineStr">
        <is>
          <t>GT_CT06.txt</t>
        </is>
      </c>
      <c r="D1110" s="3" t="inlineStr">
        <is>
          <t>Pertemuan 6: Pengenalan Algoritme &amp; Block Programming</t>
        </is>
      </c>
      <c r="E1110" t="n">
        <v>0.7369</v>
      </c>
      <c r="F1110" t="inlineStr">
        <is>
          <t>✓</t>
        </is>
      </c>
      <c r="G1110" t="inlineStr">
        <is>
          <t>✓</t>
        </is>
      </c>
      <c r="H1110" s="3" t="inlineStr">
        <is>
          <t>ada code.org terdiri dari empat area utama yang saling berinteraksi, yaitu:  1. Area Blok (Block Area): tempat di mana seluruh blok instruksi yang tersedia ditampilkan dan dapat dipilih oleh pengguna. 2. Area Kerja (Work</t>
        </is>
      </c>
    </row>
    <row r="1111">
      <c r="A1111" t="n">
        <v>185</v>
      </c>
      <c r="B1111" t="n">
        <v>6</v>
      </c>
      <c r="C1111" t="inlineStr">
        <is>
          <t>GT_SUBTOPIK_02_Abstraksi_Formulasi.txt</t>
        </is>
      </c>
      <c r="D1111" s="3" t="inlineStr">
        <is>
          <t>Subtopik: Abstraksi — Formulasi Problem (Problem/Goal/Batasan/Data)</t>
        </is>
      </c>
      <c r="E1111" t="n">
        <v>0.7342</v>
      </c>
      <c r="F1111" t="inlineStr">
        <is>
          <t>✓</t>
        </is>
      </c>
      <c r="G1111" t="inlineStr">
        <is>
          <t>✓</t>
        </is>
      </c>
      <c r="H1111" s="3" t="inlineStr">
        <is>
          <t>ara dua MK jika ada konflik. Masalah menjadi: cari jumlah warna minimum untuk mewarnai node agar tidak ada dua node terhubung punya warna sama (chromatic number).  [SOAL 6 — Abstraksi vs Symptom] Identifikasi mana ROOT C</t>
        </is>
      </c>
    </row>
    <row r="1112">
      <c r="A1112" t="n">
        <v>186</v>
      </c>
      <c r="B1112" t="n">
        <v>1</v>
      </c>
      <c r="C1112" t="inlineStr">
        <is>
          <t>GT_DETAIL_PT04_Abstraksi.txt</t>
        </is>
      </c>
      <c r="D1112" s="3" t="inlineStr">
        <is>
          <t>Pertemuan 4: Problem Solving — Abstraksi</t>
        </is>
      </c>
      <c r="E1112" t="n">
        <v>0.7825</v>
      </c>
      <c r="F1112" t="inlineStr">
        <is>
          <t>✓</t>
        </is>
      </c>
      <c r="G1112" t="inlineStr">
        <is>
          <t>✓</t>
        </is>
      </c>
      <c r="H1112" s="3" t="inlineStr">
        <is>
          <t xml:space="preserve">–6 (HOTS).  B. PROBLEM SOLVING — SYMPTOM vs. PROBLEM  Perbedaan krusial yang sering diabaikan:  SYMPTOM (Gejala): perbedaan antara fakta yang terjadi dengan hasil yang diharapkan. → Apa yang kita rasakan/amati.  PROBLEM </t>
        </is>
      </c>
    </row>
    <row r="1113">
      <c r="A1113" t="n">
        <v>186</v>
      </c>
      <c r="B1113" t="n">
        <v>2</v>
      </c>
      <c r="C1113" t="inlineStr">
        <is>
          <t>GT_SUBTOPIK_02_Abstraksi_Formulasi.txt</t>
        </is>
      </c>
      <c r="D1113" s="3" t="inlineStr">
        <is>
          <t>Subtopik: Abstraksi — Formulasi Problem (Problem/Goal/Batasan/Data)</t>
        </is>
      </c>
      <c r="E1113" t="n">
        <v>0.7786</v>
      </c>
      <c r="F1113" t="inlineStr">
        <is>
          <t>✓</t>
        </is>
      </c>
      <c r="G1113" t="inlineStr">
        <is>
          <t>✓</t>
        </is>
      </c>
      <c r="H1113" s="3" t="inlineStr">
        <is>
          <t>ara dua MK jika ada konflik. Masalah menjadi: cari jumlah warna minimum untuk mewarnai node agar tidak ada dua node terhubung punya warna sama (chromatic number).  [SOAL 6 — Abstraksi vs Symptom] Identifikasi mana ROOT C</t>
        </is>
      </c>
    </row>
    <row r="1114">
      <c r="A1114" t="n">
        <v>186</v>
      </c>
      <c r="B1114" t="n">
        <v>3</v>
      </c>
      <c r="C1114" t="inlineStr">
        <is>
          <t>GT_CT01.txt</t>
        </is>
      </c>
      <c r="D1114" s="3" t="inlineStr">
        <is>
          <t>Pertemuan 1: Kontrak Perkuliahan dan Pendahuluan</t>
        </is>
      </c>
      <c r="E1114" t="n">
        <v>0.775</v>
      </c>
      <c r="F1114" t="inlineStr">
        <is>
          <t>✓</t>
        </is>
      </c>
      <c r="G1114" t="inlineStr">
        <is>
          <t>✓</t>
        </is>
      </c>
      <c r="H1114" s="3" t="inlineStr">
        <is>
          <t>l diakui secara luas sebagai kompetensi penting, tidak hanya bagi mereka yang tertarik pada ilmu komputer dan matematika, tetapi juga bagi setiap mahasiswa di abad ke-21. Learning outcome utama dari mata kuliah ini adala</t>
        </is>
      </c>
    </row>
    <row r="1115">
      <c r="A1115" t="n">
        <v>186</v>
      </c>
      <c r="B1115" t="n">
        <v>4</v>
      </c>
      <c r="C1115" t="inlineStr">
        <is>
          <t>GT_DETAIL_PT02_ICT_Literacy_Ethics.txt</t>
        </is>
      </c>
      <c r="D1115" s="3" t="inlineStr">
        <is>
          <t>Pertemuan 2: ICT Literacy and Ethics</t>
        </is>
      </c>
      <c r="E1115" t="n">
        <v>0.7675</v>
      </c>
      <c r="F1115" t="inlineStr">
        <is>
          <t>✓</t>
        </is>
      </c>
      <c r="G1115" t="inlineStr">
        <is>
          <t>✓</t>
        </is>
      </c>
      <c r="H1115" s="3" t="inlineStr">
        <is>
          <t>embuat keputusan    dalam situasi darurat (misalnya "trolley problem" — menabrak tembok atau pejalan kaki)?  [SOAL 6 — LwICT dalam Konteks Akademik] Seorang mahasiswa menggunakan ChatGPT untuk mengerjakan seluruh tugas e</t>
        </is>
      </c>
    </row>
    <row r="1116">
      <c r="A1116" t="n">
        <v>186</v>
      </c>
      <c r="B1116" t="n">
        <v>5</v>
      </c>
      <c r="C1116" t="inlineStr">
        <is>
          <t>GT_CT04.txt</t>
        </is>
      </c>
      <c r="D1116" s="3" t="inlineStr">
        <is>
          <t>Pertemuan 4: Problem Solving — Abstraction</t>
        </is>
      </c>
      <c r="E1116" t="n">
        <v>0.7597</v>
      </c>
      <c r="F1116" t="inlineStr">
        <is>
          <t>✓</t>
        </is>
      </c>
      <c r="G1116" t="inlineStr">
        <is>
          <t>✓</t>
        </is>
      </c>
      <c r="H1116" s="3" t="inlineStr">
        <is>
          <t>iharapkan — yaitu apa yang tampak atau dirasakan. Sementara itu, Problem atau akar persoalan adalah sesuatu yang menyalah dan menyebabkan gejala tersebut muncul. Pertanyaan kunci dalam mengidentifikasi problem adalah "Wh</t>
        </is>
      </c>
    </row>
    <row r="1117">
      <c r="A1117" t="n">
        <v>186</v>
      </c>
      <c r="B1117" t="n">
        <v>6</v>
      </c>
      <c r="C1117" t="inlineStr">
        <is>
          <t>GT_DETAIL_PT01_Pendahuluan.txt</t>
        </is>
      </c>
      <c r="D1117" s="3" t="inlineStr">
        <is>
          <t>Pertemuan 1: Pendahuluan &amp; Kontrak Perkuliahan</t>
        </is>
      </c>
      <c r="E1117" t="n">
        <v>0.7546</v>
      </c>
      <c r="F1117" t="inlineStr">
        <is>
          <t>✓</t>
        </is>
      </c>
      <c r="G1117" t="inlineStr">
        <is>
          <t>✓</t>
        </is>
      </c>
      <c r="H1117" s="3" t="inlineStr">
        <is>
          <t xml:space="preserve">ng saling terkait. - Ambiguity     : Informasi tentang dampak jangka panjang media sosial terhadap kesehatan mental                   masih kontradiktif dan sulit diinterpretasikan.  [SOAL 3 — Hitung Beban Belajar] Mata </t>
        </is>
      </c>
    </row>
    <row r="1118">
      <c r="A1118" t="n">
        <v>187</v>
      </c>
      <c r="B1118" t="n">
        <v>1</v>
      </c>
      <c r="C1118" t="inlineStr">
        <is>
          <t>GT_CT10.txt</t>
        </is>
      </c>
      <c r="D1118" s="3" t="inlineStr">
        <is>
          <t>Pertemuan 10: Struktur Kontrol — Percabangan</t>
        </is>
      </c>
      <c r="E1118" t="n">
        <v>0.7191</v>
      </c>
      <c r="F1118" t="inlineStr">
        <is>
          <t>✓</t>
        </is>
      </c>
      <c r="G1118" t="inlineStr">
        <is>
          <t>✓</t>
        </is>
      </c>
      <c r="H1118" s="3" t="inlineStr">
        <is>
          <t xml:space="preserve">n (Loop): digunakan ketika algoritme perlu mengulang pelaksanaan instruksi tertentu sampai suatu kondisi yang ditetapkan terpenuhi.  Pertemuan ini berfokus pada pembahasan struktur kontrol percabangan secara mendalam.   </t>
        </is>
      </c>
    </row>
    <row r="1119">
      <c r="A1119" t="n">
        <v>187</v>
      </c>
      <c r="B1119" t="n">
        <v>2</v>
      </c>
      <c r="C1119" t="inlineStr">
        <is>
          <t>GT_DETAIL_PT02_ICT_Literacy_Ethics.txt</t>
        </is>
      </c>
      <c r="D1119" s="3" t="inlineStr">
        <is>
          <t>Pertemuan 2: ICT Literacy and Ethics</t>
        </is>
      </c>
      <c r="E1119" t="n">
        <v>0.7135</v>
      </c>
      <c r="F1119" t="inlineStr">
        <is>
          <t>✓</t>
        </is>
      </c>
      <c r="G1119" t="inlineStr">
        <is>
          <t>✓</t>
        </is>
      </c>
      <c r="H1119" s="3" t="inlineStr">
        <is>
          <t xml:space="preserve">ngawasan dan Tanggung Jawab: perkembangan teknologi tidak selalu    diimbangi mekanisme akuntabilitas yang memadai. 4. Pemanfaatan AI: bias algoritmik, privasi data, dampak sosial otomatisasi. 5. Teknologi Otonom: mobil </t>
        </is>
      </c>
    </row>
    <row r="1120">
      <c r="A1120" t="n">
        <v>187</v>
      </c>
      <c r="B1120" t="n">
        <v>3</v>
      </c>
      <c r="C1120" t="inlineStr">
        <is>
          <t>GT_CT09.txt</t>
        </is>
      </c>
      <c r="D1120" s="3" t="inlineStr">
        <is>
          <t>Pertemuan 9: Elemen Pseudocode — Variabel, Operator, Tipe Data, dan List</t>
        </is>
      </c>
      <c r="E1120" t="n">
        <v>0.7013</v>
      </c>
      <c r="F1120" t="inlineStr">
        <is>
          <t>✓</t>
        </is>
      </c>
      <c r="G1120" t="inlineStr">
        <is>
          <t>✓</t>
        </is>
      </c>
      <c r="H1120" s="3" t="inlineStr">
        <is>
          <t>h atau operasi yang dilakukan. 5. Struktur Kendali: mekanisme pengaturan alur eksekusi algoritme.  Pertemuan ini berfokus pada pembahasan mendalam terhadap variabel, instruksi, assignment, tipe data, dan operator sebagai</t>
        </is>
      </c>
    </row>
    <row r="1121">
      <c r="A1121" t="n">
        <v>187</v>
      </c>
      <c r="B1121" t="n">
        <v>4</v>
      </c>
      <c r="C1121" t="inlineStr">
        <is>
          <t>GT_CT10.txt</t>
        </is>
      </c>
      <c r="D1121" s="3" t="inlineStr">
        <is>
          <t>Pertemuan 10: Struktur Kontrol — Percabangan</t>
        </is>
      </c>
      <c r="E1121" t="n">
        <v>0.7005</v>
      </c>
      <c r="F1121" t="inlineStr">
        <is>
          <t>✓</t>
        </is>
      </c>
      <c r="G1121" t="inlineStr">
        <is>
          <t>✓</t>
        </is>
      </c>
      <c r="H1121" s="3" t="inlineStr">
        <is>
          <t xml:space="preserve">oritme Berangkat ke Kampus (versi 1):     Shower     Breakfast     if (cloudy) then         Bring umbrella         Bring jacket     Go to Campus  Bentuk 2 — Percabangan Dua Arah (if-then-else): Digunakan ketika terdapat </t>
        </is>
      </c>
    </row>
    <row r="1122">
      <c r="A1122" t="n">
        <v>187</v>
      </c>
      <c r="B1122" t="n">
        <v>5</v>
      </c>
      <c r="C1122" t="inlineStr">
        <is>
          <t>GT_DETAIL_PT01_Pendahuluan.txt</t>
        </is>
      </c>
      <c r="D1122" s="3" t="inlineStr">
        <is>
          <t>Pertemuan 1: Pendahuluan &amp; Kontrak Perkuliahan</t>
        </is>
      </c>
      <c r="E1122" t="n">
        <v>0.6963</v>
      </c>
      <c r="F1122" t="inlineStr">
        <is>
          <t>✓</t>
        </is>
      </c>
      <c r="G1122" t="inlineStr">
        <is>
          <t>✓</t>
        </is>
      </c>
      <c r="H1122" s="3" t="inlineStr">
        <is>
          <t>n      : Fokus hanya pada informasi penting: nama mata kuliah, jumlah SKS, jadwal                      kuliah tetap, dan preferensi waktu belajar. Mengabaikan detail seperti                      konten setiap mata kuliah</t>
        </is>
      </c>
    </row>
    <row r="1123">
      <c r="A1123" t="n">
        <v>187</v>
      </c>
      <c r="B1123" t="n">
        <v>6</v>
      </c>
      <c r="C1123" t="inlineStr">
        <is>
          <t>5TAI.txt</t>
        </is>
      </c>
      <c r="D1123" s="3" t="inlineStr">
        <is>
          <t>Profil Kognitif 5TAI</t>
        </is>
      </c>
      <c r="E1123" t="n">
        <v>0.6949</v>
      </c>
      <c r="F1123" t="inlineStr">
        <is>
          <t>✓</t>
        </is>
      </c>
      <c r="G1123" t="inlineStr">
        <is>
          <t>✓</t>
        </is>
      </c>
      <c r="H1123" s="3" t="inlineStr">
        <is>
          <t>KOMBINASI KOGNITIF: 5TAI Pedagogi: Affirmative and corrective feedback Tipe Kognitif: TAI – Text, Analytic, Impulsive  1. Deskripsi User menunjukkan respons yang cepat dan proaktif terhadap feedback rinci yang disampaika</t>
        </is>
      </c>
    </row>
    <row r="1124">
      <c r="A1124" t="n">
        <v>188</v>
      </c>
      <c r="B1124" t="n">
        <v>1</v>
      </c>
      <c r="C1124" t="inlineStr">
        <is>
          <t>GT_DETAIL_PT10_Percabangan.txt</t>
        </is>
      </c>
      <c r="D1124" s="3" t="inlineStr">
        <is>
          <t>Pertemuan 10: Struktur Kontrol — Percabangan</t>
        </is>
      </c>
      <c r="E1124" t="n">
        <v>0.7685</v>
      </c>
      <c r="F1124" t="inlineStr">
        <is>
          <t>✓</t>
        </is>
      </c>
      <c r="G1124" t="inlineStr">
        <is>
          <t>✓</t>
        </is>
      </c>
      <c r="H1124" s="3" t="inlineStr">
        <is>
          <t>------------ CONTOH SOAL DAN PEMBAHASAN ----------------------------------------------------------------  [SOAL 1 — Maks 2 Bilangan] Tuliskan pseudocode untuk menentukan bilangan terbesar dari dua bilangan a dan b!  JAWA</t>
        </is>
      </c>
    </row>
    <row r="1125">
      <c r="A1125" t="n">
        <v>188</v>
      </c>
      <c r="B1125" t="n">
        <v>2</v>
      </c>
      <c r="C1125" t="inlineStr">
        <is>
          <t>GT_CT07.txt</t>
        </is>
      </c>
      <c r="D1125" s="3" t="inlineStr">
        <is>
          <t>Pertemuan 7: Algoritme — Notasi Algoritme</t>
        </is>
      </c>
      <c r="E1125" t="n">
        <v>0.7647</v>
      </c>
      <c r="F1125" t="inlineStr">
        <is>
          <t>✓</t>
        </is>
      </c>
      <c r="G1125" t="inlineStr">
        <is>
          <t>✓</t>
        </is>
      </c>
      <c r="H1125" s="3" t="inlineStr">
        <is>
          <t>an nilai alas dengan tinggi, lalu hasilnya dibagi dua.  2. Pseudocode: Pseudocode adalah cara informal untuk menuliskan algoritme atau rancangan program komputer. Tujuan utama pseudocode adalah untuk mendapatkan ide seca</t>
        </is>
      </c>
    </row>
    <row r="1126">
      <c r="A1126" t="n">
        <v>188</v>
      </c>
      <c r="B1126" t="n">
        <v>3</v>
      </c>
      <c r="C1126" t="inlineStr">
        <is>
          <t>GT_SUBTOPIK_05_Pseudocode_Algoritme.txt</t>
        </is>
      </c>
      <c r="D1126" s="3" t="inlineStr">
        <is>
          <t>Subtopik: Pseudocode dan Notasi Algoritme</t>
        </is>
      </c>
      <c r="E1126" t="n">
        <v>0.7484</v>
      </c>
      <c r="F1126" t="inlineStr">
        <is>
          <t>✓</t>
        </is>
      </c>
      <c r="G1126" t="inlineStr">
        <is>
          <t>✓</t>
        </is>
      </c>
      <c r="H1126" s="3" t="inlineStr">
        <is>
          <t>)   : eksponensial (brute force kombinasi)  ---------------------------------------------------------------- CONTOH SOAL DAN PEMBAHASAN ----------------------------------------------------------------  [SOAL 1 — Pseudoco</t>
        </is>
      </c>
    </row>
    <row r="1127">
      <c r="A1127" t="n">
        <v>188</v>
      </c>
      <c r="B1127" t="n">
        <v>4</v>
      </c>
      <c r="C1127" t="inlineStr">
        <is>
          <t>GT_CT10.txt</t>
        </is>
      </c>
      <c r="D1127" s="3" t="inlineStr">
        <is>
          <t>Pertemuan 10: Struktur Kontrol — Percabangan</t>
        </is>
      </c>
      <c r="E1127" t="n">
        <v>0.7376</v>
      </c>
      <c r="F1127" t="inlineStr">
        <is>
          <t>✓</t>
        </is>
      </c>
      <c r="G1127" t="inlineStr">
        <is>
          <t>✓</t>
        </is>
      </c>
      <c r="H1127" s="3" t="inlineStr">
        <is>
          <t xml:space="preserve">an:  Bentuk 1 — Bersarang Biasa (nested if di dalam if): Kondisi kedua diperiksa hanya jika kondisi pertama bernilai benar.     if (kondisi-1) then         if (kondisi-2) then             instruksi-1         else        </t>
        </is>
      </c>
    </row>
    <row r="1128">
      <c r="A1128" t="n">
        <v>188</v>
      </c>
      <c r="B1128" t="n">
        <v>5</v>
      </c>
      <c r="C1128" t="inlineStr">
        <is>
          <t>GT_CT10.txt</t>
        </is>
      </c>
      <c r="D1128" s="3" t="inlineStr">
        <is>
          <t>Pertemuan 10: Struktur Kontrol — Percabangan</t>
        </is>
      </c>
      <c r="E1128" t="n">
        <v>0.7365</v>
      </c>
      <c r="F1128" t="inlineStr">
        <is>
          <t>✓</t>
        </is>
      </c>
      <c r="G1128" t="inlineStr">
        <is>
          <t>✓</t>
        </is>
      </c>
      <c r="H1128" s="3" t="inlineStr">
        <is>
          <t xml:space="preserve">n (Loop): digunakan ketika algoritme perlu mengulang pelaksanaan instruksi tertentu sampai suatu kondisi yang ditetapkan terpenuhi.  Pertemuan ini berfokus pada pembahasan struktur kontrol percabangan secara mendalam.   </t>
        </is>
      </c>
    </row>
    <row r="1129">
      <c r="A1129" t="n">
        <v>188</v>
      </c>
      <c r="B1129" t="n">
        <v>6</v>
      </c>
      <c r="C1129" t="inlineStr">
        <is>
          <t>GT_CT09.txt</t>
        </is>
      </c>
      <c r="D1129" s="3" t="inlineStr">
        <is>
          <t>Pertemuan 9: Elemen Pseudocode — Variabel, Operator, Tipe Data, dan List</t>
        </is>
      </c>
      <c r="E1129" t="n">
        <v>0.7291</v>
      </c>
      <c r="F1129" t="inlineStr">
        <is>
          <t>✓</t>
        </is>
      </c>
      <c r="G1129" t="inlineStr">
        <is>
          <t>✓</t>
        </is>
      </c>
      <c r="H1129" s="3" t="inlineStr">
        <is>
          <t>h atau operasi yang dilakukan. 5. Struktur Kendali: mekanisme pengaturan alur eksekusi algoritme.  Pertemuan ini berfokus pada pembahasan mendalam terhadap variabel, instruksi, assignment, tipe data, dan operator sebagai</t>
        </is>
      </c>
    </row>
    <row r="1130">
      <c r="A1130" t="n">
        <v>189</v>
      </c>
      <c r="B1130" t="n">
        <v>1</v>
      </c>
      <c r="C1130" t="inlineStr">
        <is>
          <t>GT_SUBTOPIK_14_Kompleksitas_BigO.txt</t>
        </is>
      </c>
      <c r="D1130" s="3" t="inlineStr">
        <is>
          <t>Subtopik: Kompleksitas Algoritme (Big-O Notation)</t>
        </is>
      </c>
      <c r="E1130" t="n">
        <v>0.7389</v>
      </c>
      <c r="F1130" t="inlineStr">
        <is>
          <t>✓</t>
        </is>
      </c>
      <c r="G1130" t="inlineStr">
        <is>
          <t>✓</t>
        </is>
      </c>
      <c r="H1130" s="3" t="inlineStr">
        <is>
          <t xml:space="preserve"> langkah sortir  Versi C (hash set, O(n) average):   buat set kosong   for setiap x dalam arr do          // O(n)     pelengkap = target - x     if pelengkap ada di set then return True     masukkan x ke set   return Fal</t>
        </is>
      </c>
    </row>
    <row r="1131">
      <c r="A1131" t="n">
        <v>189</v>
      </c>
      <c r="B1131" t="n">
        <v>2</v>
      </c>
      <c r="C1131" t="inlineStr">
        <is>
          <t>GT_SUBTOPIK_14_Kompleksitas_BigO.txt</t>
        </is>
      </c>
      <c r="D1131" s="3" t="inlineStr">
        <is>
          <t>Subtopik: Kompleksitas Algoritme (Big-O Notation)</t>
        </is>
      </c>
      <c r="E1131" t="n">
        <v>0.7325</v>
      </c>
      <c r="F1131" t="inlineStr">
        <is>
          <t>✓</t>
        </is>
      </c>
      <c r="G1131" t="inlineStr">
        <is>
          <t>✓</t>
        </is>
      </c>
      <c r="H1131" s="3" t="inlineStr">
        <is>
          <t>o       if arr[j] &gt; arr[j+1] then swap(arr[j], arr[j+1])   maks = arr[n]  Bandingkan kompleksitas dan rekomendasikan yang lebih baik!  JAWABAN: Algoritme A: O(n) -- satu pass, n-1 perbandingan Algoritme B: O(n^2) -- bubb</t>
        </is>
      </c>
    </row>
    <row r="1132">
      <c r="A1132" t="n">
        <v>189</v>
      </c>
      <c r="B1132" t="n">
        <v>3</v>
      </c>
      <c r="C1132" t="inlineStr">
        <is>
          <t>GT_SUBTOPIK_14_Kompleksitas_BigO.txt</t>
        </is>
      </c>
      <c r="D1132" s="3" t="inlineStr">
        <is>
          <t>Subtopik: Kompleksitas Algoritme (Big-O Notation)</t>
        </is>
      </c>
      <c r="E1132" t="n">
        <v>0.7258</v>
      </c>
      <c r="F1132" t="inlineStr">
        <is>
          <t>✓</t>
        </is>
      </c>
      <c r="G1132" t="inlineStr">
        <is>
          <t>✓</t>
        </is>
      </c>
      <c r="H1132" s="3" t="inlineStr">
        <is>
          <t>ngan ke array, lalu hitung rata-rata c) Fibonacci rekursif fib(n) d) Fibonacci iteratif dengan dua variabel  JAWABAN: a) O(1) space -- hanya butuh 2 variabel (sum dan count), tidak peduli berapa besar n  b) O(n) space --</t>
        </is>
      </c>
    </row>
    <row r="1133">
      <c r="A1133" t="n">
        <v>189</v>
      </c>
      <c r="B1133" t="n">
        <v>4</v>
      </c>
      <c r="C1133" t="inlineStr">
        <is>
          <t>GT_SUBTOPIK_14_Kompleksitas_BigO.txt</t>
        </is>
      </c>
      <c r="D1133" s="3" t="inlineStr">
        <is>
          <t>Subtopik: Kompleksitas Algoritme (Big-O Notation)</t>
        </is>
      </c>
      <c r="E1133" t="n">
        <v>0.7211</v>
      </c>
      <c r="F1133" t="inlineStr">
        <is>
          <t>✓</t>
        </is>
      </c>
      <c r="G1133" t="inlineStr">
        <is>
          <t>✓</t>
        </is>
      </c>
      <c r="H1133" s="3" t="inlineStr">
        <is>
          <t xml:space="preserve"> (sangat cepat)   O(n log n)  : 1.000*10 / 10^8 = 0,0001 detik (cepat)   O(n^2)      : 10^6 / 10^8 = 0,01 detik (masih oke)   O(2^n)      : 2^1000 / 10^8 = TIDAK MUNGKIN selesai (lebih besar dari umur alam semesta!)  Unt</t>
        </is>
      </c>
    </row>
    <row r="1134">
      <c r="A1134" t="n">
        <v>189</v>
      </c>
      <c r="B1134" t="n">
        <v>5</v>
      </c>
      <c r="C1134" t="inlineStr">
        <is>
          <t>GT_SUBTOPIK_05_Pseudocode_Algoritme.txt</t>
        </is>
      </c>
      <c r="D1134" s="3" t="inlineStr">
        <is>
          <t>Subtopik: Pseudocode dan Notasi Algoritme</t>
        </is>
      </c>
      <c r="E1134" t="n">
        <v>0.71</v>
      </c>
      <c r="F1134" t="inlineStr">
        <is>
          <t>✓</t>
        </is>
      </c>
      <c r="G1134" t="inlineStr">
        <is>
          <t>✓</t>
        </is>
      </c>
      <c r="H1134" s="3">
        <f> n / 2                  // pembagian integer   if (biner == "") then biner = "0"   print(biner)  Trace n=13:   13 mod 2 = 1, biner="1", n=6   6 mod 2  = 0, biner="01", n=3   3 mod 2  = 1, biner="101", n=1   1 mod 2  = 1</f>
        <v/>
      </c>
    </row>
    <row r="1135">
      <c r="A1135" t="n">
        <v>189</v>
      </c>
      <c r="B1135" t="n">
        <v>6</v>
      </c>
      <c r="C1135" t="inlineStr">
        <is>
          <t>GT_SUBTOPIK_04_Modulo_Siklus.txt</t>
        </is>
      </c>
      <c r="D1135" s="3" t="inlineStr">
        <is>
          <t>Subtopik: Pattern Recognition — Modulo dan Siklus</t>
        </is>
      </c>
      <c r="E1135" t="n">
        <v>0.7099</v>
      </c>
      <c r="F1135" t="inlineStr">
        <is>
          <t>✓</t>
        </is>
      </c>
      <c r="G1135" t="inlineStr">
        <is>
          <t>✓</t>
        </is>
      </c>
      <c r="H1135" s="3" t="inlineStr">
        <is>
          <t>1×24 = 1000 - 984 = 16 08:00 + 16 jam = 24:00 = 00:00 (tengah malam) JAWABAN: Jam 00:00 (tengah malam)  [SOAL 5 — Masalah Coklat Bebek dengan Modulo] Dengan pola deret segitiga n(n+1)/2, tuliskan pseudocode untuk mencari</t>
        </is>
      </c>
    </row>
    <row r="1136">
      <c r="A1136" t="n">
        <v>190</v>
      </c>
      <c r="B1136" t="n">
        <v>1</v>
      </c>
      <c r="C1136" t="inlineStr">
        <is>
          <t>GT_DETAIL_PT01_Pendahuluan.txt</t>
        </is>
      </c>
      <c r="D1136" s="3" t="inlineStr">
        <is>
          <t>Pertemuan 1: Pendahuluan &amp; Kontrak Perkuliahan</t>
        </is>
      </c>
      <c r="E1136" t="n">
        <v>0.7065</v>
      </c>
      <c r="F1136" t="inlineStr">
        <is>
          <t>✓</t>
        </is>
      </c>
      <c r="G1136" t="inlineStr">
        <is>
          <t>✓</t>
        </is>
      </c>
      <c r="H1136" s="3" t="inlineStr">
        <is>
          <t xml:space="preserve">ng saling terkait. - Ambiguity     : Informasi tentang dampak jangka panjang media sosial terhadap kesehatan mental                   masih kontradiktif dan sulit diinterpretasikan.  [SOAL 3 — Hitung Beban Belajar] Mata </t>
        </is>
      </c>
    </row>
    <row r="1137">
      <c r="A1137" t="n">
        <v>190</v>
      </c>
      <c r="B1137" t="n">
        <v>2</v>
      </c>
      <c r="C1137" t="inlineStr">
        <is>
          <t>GT_CT03.txt</t>
        </is>
      </c>
      <c r="D1137" s="3" t="inlineStr">
        <is>
          <t>Pertemuan 3: Problem Solving — Dekomposisi</t>
        </is>
      </c>
      <c r="E1137" t="n">
        <v>0.7060999999999999</v>
      </c>
      <c r="F1137" t="inlineStr">
        <is>
          <t>✓</t>
        </is>
      </c>
      <c r="G1137" t="inlineStr">
        <is>
          <t>✓</t>
        </is>
      </c>
      <c r="H1137" s="3" t="inlineStr">
        <is>
          <t>ang harus melakukan semua hal terkait perakitan mobil sendirian. Konsep ini merepresentasikan dekomposisi tugas kompleks menjadi fungsi-fungsi yang lebih kecil dan terspesialisasi.  5. Kamera 360 Derajat (Insta360): Sebu</t>
        </is>
      </c>
    </row>
    <row r="1138">
      <c r="A1138" t="n">
        <v>190</v>
      </c>
      <c r="B1138" t="n">
        <v>3</v>
      </c>
      <c r="C1138" t="inlineStr">
        <is>
          <t>GT_CT01.txt</t>
        </is>
      </c>
      <c r="D1138" s="3" t="inlineStr">
        <is>
          <t>Pertemuan 1: Kontrak Perkuliahan dan Pendahuluan</t>
        </is>
      </c>
      <c r="E1138" t="n">
        <v>0.7059</v>
      </c>
      <c r="F1138" t="inlineStr">
        <is>
          <t>✓</t>
        </is>
      </c>
      <c r="G1138" t="inlineStr">
        <is>
          <t>✓</t>
        </is>
      </c>
      <c r="H1138" s="3" t="inlineStr">
        <is>
          <t>emecah masalah besar menjadi submasalah yang lebih kecil dan mudah ditangani (dekomposisi).  Berdasarkan ketentuan beban SKS, setiap mahasiswa diperkirakan menghabiskan total 340 menit atau sekitar 5 jam 40 menit per min</t>
        </is>
      </c>
    </row>
    <row r="1139">
      <c r="A1139" t="n">
        <v>190</v>
      </c>
      <c r="B1139" t="n">
        <v>4</v>
      </c>
      <c r="C1139" t="inlineStr">
        <is>
          <t>GT_DETAIL_PT02_ICT_Literacy_Ethics.txt</t>
        </is>
      </c>
      <c r="D1139" s="3" t="inlineStr">
        <is>
          <t>Pertemuan 2: ICT Literacy and Ethics</t>
        </is>
      </c>
      <c r="E1139" t="n">
        <v>0.7006</v>
      </c>
      <c r="F1139" t="inlineStr">
        <is>
          <t>✓</t>
        </is>
      </c>
      <c r="G1139" t="inlineStr">
        <is>
          <t>✓</t>
        </is>
      </c>
      <c r="H1139" s="3" t="inlineStr">
        <is>
          <t xml:space="preserve">ngawasan dan Tanggung Jawab: perkembangan teknologi tidak selalu    diimbangi mekanisme akuntabilitas yang memadai. 4. Pemanfaatan AI: bias algoritmik, privasi data, dampak sosial otomatisasi. 5. Teknologi Otonom: mobil </t>
        </is>
      </c>
    </row>
    <row r="1140">
      <c r="A1140" t="n">
        <v>190</v>
      </c>
      <c r="B1140" t="n">
        <v>5</v>
      </c>
      <c r="C1140" t="inlineStr">
        <is>
          <t>5PAI.txt</t>
        </is>
      </c>
      <c r="D1140" s="3" t="inlineStr">
        <is>
          <t>Profil Kognitif 5PAI</t>
        </is>
      </c>
      <c r="E1140" t="n">
        <v>0.6961000000000001</v>
      </c>
      <c r="F1140" t="inlineStr">
        <is>
          <t>✓</t>
        </is>
      </c>
      <c r="G1140" t="inlineStr">
        <is>
          <t>✓</t>
        </is>
      </c>
      <c r="H1140" s="3" t="inlineStr">
        <is>
          <t xml:space="preserve">ugesti Fokus untuk LLM - Fokus pada penguatan aspek CT sesuai profil ini. - Pertanyaan perlu diarahkan untuk memperdalam analisis, refleksi, dan pemecahan masalah. - Gunakan pendekatan akademik dan scaffolding kognitif. </t>
        </is>
      </c>
    </row>
    <row r="1141">
      <c r="A1141" t="n">
        <v>190</v>
      </c>
      <c r="B1141" t="n">
        <v>6</v>
      </c>
      <c r="C1141" t="inlineStr">
        <is>
          <t>5PAI.txt</t>
        </is>
      </c>
      <c r="D1141" s="3" t="inlineStr">
        <is>
          <t>Profil Kognitif 5PAI</t>
        </is>
      </c>
      <c r="E1141" t="n">
        <v>0.6937</v>
      </c>
      <c r="F1141" t="inlineStr">
        <is>
          <t>✓</t>
        </is>
      </c>
      <c r="G1141" t="inlineStr">
        <is>
          <t>✓</t>
        </is>
      </c>
      <c r="H1141" s="3" t="inlineStr">
        <is>
          <t>KOMBINASI KOGNITIF: 5PAI Pedagogi: Affirmative and corrective feedback Tipe Kognitif: PAI – Pictorial, Analytic, Impulsive  1. Deskripsi User menunjukkan respons yang cepat dan tepat ketika menerima feedback rinci yang d</t>
        </is>
      </c>
    </row>
    <row r="1142">
      <c r="A1142" t="n">
        <v>191</v>
      </c>
      <c r="B1142" t="n">
        <v>1</v>
      </c>
      <c r="C1142" t="inlineStr">
        <is>
          <t>GT_CT11.txt</t>
        </is>
      </c>
      <c r="D1142" s="3" t="inlineStr">
        <is>
          <t>Pertemuan 11: Algoritme — Struktur Kontrol Perulangan</t>
        </is>
      </c>
      <c r="E1142" t="n">
        <v>0.7827</v>
      </c>
      <c r="F1142" t="inlineStr">
        <is>
          <t>✓</t>
        </is>
      </c>
      <c r="G1142" t="inlineStr">
        <is>
          <t>✓</t>
        </is>
      </c>
      <c r="H1142" s="3" t="inlineStr">
        <is>
          <t>e, yaitu: 1. Iterasi Tetap: perulangan dengan jumlah pengulangan yang sudah ditentukan sejak awal (perulangan "for"). 2. Iterasi Berdasarkan Kondisi: perulangan yang berjalan selama kondisi tertentu terpenuhi, dengan jum</t>
        </is>
      </c>
    </row>
    <row r="1143">
      <c r="A1143" t="n">
        <v>191</v>
      </c>
      <c r="B1143" t="n">
        <v>2</v>
      </c>
      <c r="C1143" t="inlineStr">
        <is>
          <t>GT_CT09.txt</t>
        </is>
      </c>
      <c r="D1143" s="3" t="inlineStr">
        <is>
          <t>Pertemuan 9: Elemen Pseudocode — Variabel, Operator, Tipe Data, dan List</t>
        </is>
      </c>
      <c r="E1143" t="n">
        <v>0.7707000000000001</v>
      </c>
      <c r="F1143" t="inlineStr">
        <is>
          <t>✓</t>
        </is>
      </c>
      <c r="G1143" t="inlineStr">
        <is>
          <t>✓</t>
        </is>
      </c>
      <c r="H1143" s="3" t="inlineStr">
        <is>
          <t>h atau operasi yang dilakukan. 5. Struktur Kendali: mekanisme pengaturan alur eksekusi algoritme.  Pertemuan ini berfokus pada pembahasan mendalam terhadap variabel, instruksi, assignment, tipe data, dan operator sebagai</t>
        </is>
      </c>
    </row>
    <row r="1144">
      <c r="A1144" t="n">
        <v>191</v>
      </c>
      <c r="B1144" t="n">
        <v>3</v>
      </c>
      <c r="C1144" t="inlineStr">
        <is>
          <t>GT_CT10.txt</t>
        </is>
      </c>
      <c r="D1144" s="3" t="inlineStr">
        <is>
          <t>Pertemuan 10: Struktur Kontrol — Percabangan</t>
        </is>
      </c>
      <c r="E1144" t="n">
        <v>0.7685</v>
      </c>
      <c r="F1144" t="inlineStr">
        <is>
          <t>✓</t>
        </is>
      </c>
      <c r="G1144" t="inlineStr">
        <is>
          <t>✓</t>
        </is>
      </c>
      <c r="H1144" s="3" t="inlineStr">
        <is>
          <t xml:space="preserve">n (Loop): digunakan ketika algoritme perlu mengulang pelaksanaan instruksi tertentu sampai suatu kondisi yang ditetapkan terpenuhi.  Pertemuan ini berfokus pada pembahasan struktur kontrol percabangan secara mendalam.   </t>
        </is>
      </c>
    </row>
    <row r="1145">
      <c r="A1145" t="n">
        <v>191</v>
      </c>
      <c r="B1145" t="n">
        <v>4</v>
      </c>
      <c r="C1145" t="inlineStr">
        <is>
          <t>GT_CT07.txt</t>
        </is>
      </c>
      <c r="D1145" s="3" t="inlineStr">
        <is>
          <t>Pertemuan 7: Algoritme — Notasi Algoritme</t>
        </is>
      </c>
      <c r="E1145" t="n">
        <v>0.767</v>
      </c>
      <c r="F1145" t="inlineStr">
        <is>
          <t>✓</t>
        </is>
      </c>
      <c r="G1145" t="inlineStr">
        <is>
          <t>✓</t>
        </is>
      </c>
      <c r="H1145" s="3" t="inlineStr">
        <is>
          <t>an nilai alas dengan tinggi, lalu hasilnya dibagi dua.  2. Pseudocode: Pseudocode adalah cara informal untuk menuliskan algoritme atau rancangan program komputer. Tujuan utama pseudocode adalah untuk mendapatkan ide seca</t>
        </is>
      </c>
    </row>
    <row r="1146">
      <c r="A1146" t="n">
        <v>191</v>
      </c>
      <c r="B1146" t="n">
        <v>5</v>
      </c>
      <c r="C1146" t="inlineStr">
        <is>
          <t>GT_CT13.txt</t>
        </is>
      </c>
      <c r="D1146" s="3" t="inlineStr">
        <is>
          <t>Pertemuan 13: Pengenalan Struktur Data</t>
        </is>
      </c>
      <c r="E1146" t="n">
        <v>0.7611</v>
      </c>
      <c r="F1146" t="inlineStr">
        <is>
          <t>✓</t>
        </is>
      </c>
      <c r="G1146" t="inlineStr">
        <is>
          <t>✓</t>
        </is>
      </c>
      <c r="H1146" s="3" t="inlineStr">
        <is>
          <t>entukan kemudahan dan efisiensi pengolahan.  Berbagai aplikasi komputer memerlukan struktur data yang sesuai dengan kebutuhannya. Sebagai contoh, aplikasi perkantoran seperti Microsoft Word atau Google Docs memerlukan st</t>
        </is>
      </c>
    </row>
    <row r="1147">
      <c r="A1147" t="n">
        <v>191</v>
      </c>
      <c r="B1147" t="n">
        <v>6</v>
      </c>
      <c r="C1147" t="inlineStr">
        <is>
          <t>GT_DETAIL_PT10_Percabangan.txt</t>
        </is>
      </c>
      <c r="D1147" s="3" t="inlineStr">
        <is>
          <t>Pertemuan 10: Struktur Kontrol — Percabangan</t>
        </is>
      </c>
      <c r="E1147" t="n">
        <v>0.7562</v>
      </c>
      <c r="F1147" t="inlineStr">
        <is>
          <t>✓</t>
        </is>
      </c>
      <c r="G1147" t="inlineStr">
        <is>
          <t>✓</t>
        </is>
      </c>
      <c r="H1147" s="3" t="inlineStr">
        <is>
          <t>------------ CONTOH SOAL DAN PEMBAHASAN ----------------------------------------------------------------  [SOAL 1 — Maks 2 Bilangan] Tuliskan pseudocode untuk menentukan bilangan terbesar dari dua bilangan a dan b!  JAWA</t>
        </is>
      </c>
    </row>
    <row r="1148">
      <c r="A1148" t="n">
        <v>192</v>
      </c>
      <c r="B1148" t="n">
        <v>1</v>
      </c>
      <c r="C1148" t="inlineStr">
        <is>
          <t>GT_CT01.txt</t>
        </is>
      </c>
      <c r="D1148" s="3" t="inlineStr">
        <is>
          <t>Pertemuan 1: Kontrak Perkuliahan dan Pendahuluan</t>
        </is>
      </c>
      <c r="E1148" t="n">
        <v>0.7451</v>
      </c>
      <c r="F1148" t="inlineStr">
        <is>
          <t>✓</t>
        </is>
      </c>
      <c r="G1148" t="inlineStr">
        <is>
          <t>✓</t>
        </is>
      </c>
      <c r="H1148" s="3" t="inlineStr">
        <is>
          <t>emecah masalah besar menjadi submasalah yang lebih kecil dan mudah ditangani (dekomposisi).  Berdasarkan ketentuan beban SKS, setiap mahasiswa diperkirakan menghabiskan total 340 menit atau sekitar 5 jam 40 menit per min</t>
        </is>
      </c>
    </row>
    <row r="1149">
      <c r="A1149" t="n">
        <v>192</v>
      </c>
      <c r="B1149" t="n">
        <v>2</v>
      </c>
      <c r="C1149" t="inlineStr">
        <is>
          <t>GT_CT06.txt</t>
        </is>
      </c>
      <c r="D1149" s="3" t="inlineStr">
        <is>
          <t>Pertemuan 6: Pengenalan Algoritme &amp; Block Programming</t>
        </is>
      </c>
      <c r="E1149" t="n">
        <v>0.7433</v>
      </c>
      <c r="F1149" t="inlineStr">
        <is>
          <t>✓</t>
        </is>
      </c>
      <c r="G1149" t="inlineStr">
        <is>
          <t>✓</t>
        </is>
      </c>
      <c r="H1149" s="3" t="inlineStr">
        <is>
          <t>a eksis dalam dunia komputasi, tetapi juga dapat ditemukan dalam kehidupan sehari-hari dalam berbagai bentuk instruksi terstruktur, seperti buku manual mesin cuci dan panduan penggunaan perangkat elektronik (misalnya App</t>
        </is>
      </c>
    </row>
    <row r="1150">
      <c r="A1150" t="n">
        <v>192</v>
      </c>
      <c r="B1150" t="n">
        <v>3</v>
      </c>
      <c r="C1150" t="inlineStr">
        <is>
          <t>GT_SUBTOPIK_02_Abstraksi_Formulasi.txt</t>
        </is>
      </c>
      <c r="D1150" s="3" t="inlineStr">
        <is>
          <t>Subtopik: Abstraksi — Formulasi Problem (Problem/Goal/Batasan/Data)</t>
        </is>
      </c>
      <c r="E1150" t="n">
        <v>0.7393999999999999</v>
      </c>
      <c r="F1150" t="inlineStr">
        <is>
          <t>✓</t>
        </is>
      </c>
      <c r="G1150" t="inlineStr">
        <is>
          <t>✓</t>
        </is>
      </c>
      <c r="H1150" s="3" t="inlineStr">
        <is>
          <t>ara dua MK jika ada konflik. Masalah menjadi: cari jumlah warna minimum untuk mewarnai node agar tidak ada dua node terhubung punya warna sama (chromatic number).  [SOAL 6 — Abstraksi vs Symptom] Identifikasi mana ROOT C</t>
        </is>
      </c>
    </row>
    <row r="1151">
      <c r="A1151" t="n">
        <v>192</v>
      </c>
      <c r="B1151" t="n">
        <v>4</v>
      </c>
      <c r="C1151" t="inlineStr">
        <is>
          <t>GT_CT07.txt</t>
        </is>
      </c>
      <c r="D1151" s="3" t="inlineStr">
        <is>
          <t>Pertemuan 7: Algoritme — Notasi Algoritme</t>
        </is>
      </c>
      <c r="E1151" t="n">
        <v>0.7355</v>
      </c>
      <c r="F1151" t="inlineStr">
        <is>
          <t>✓</t>
        </is>
      </c>
      <c r="G1151" t="inlineStr">
        <is>
          <t>✓</t>
        </is>
      </c>
      <c r="H1151" s="3" t="inlineStr">
        <is>
          <t>) dan selisih angka yang dicari (d). Output: banyaknya pasangan bilangan dengan selisih sebesar d (p). Proses: (a) Urutkan n bilangan secara menaik menjadi m1, m2, ..., mn; (b) Inisialisasi p = 0; (c) Untuk setiap i dari</t>
        </is>
      </c>
    </row>
    <row r="1152">
      <c r="A1152" t="n">
        <v>192</v>
      </c>
      <c r="B1152" t="n">
        <v>5</v>
      </c>
      <c r="C1152" t="inlineStr">
        <is>
          <t>GT_CT03.txt</t>
        </is>
      </c>
      <c r="D1152" s="3" t="inlineStr">
        <is>
          <t>Pertemuan 3: Problem Solving — Dekomposisi</t>
        </is>
      </c>
      <c r="E1152" t="n">
        <v>0.7333</v>
      </c>
      <c r="F1152" t="inlineStr">
        <is>
          <t>✓</t>
        </is>
      </c>
      <c r="G1152" t="inlineStr">
        <is>
          <t>✓</t>
        </is>
      </c>
      <c r="H1152" s="3" t="inlineStr">
        <is>
          <t>pertama yang krusial adalah mengidentifikasi goal atau tujuan utama dari masalah tersebut, kemudian menentukan bagaimana masalah itu dapat didekomposisi menjadi sub-masalah yang lebih kecil.  Sebagai contoh latihan, pada</t>
        </is>
      </c>
    </row>
    <row r="1153">
      <c r="A1153" t="n">
        <v>192</v>
      </c>
      <c r="B1153" t="n">
        <v>6</v>
      </c>
      <c r="C1153" t="inlineStr">
        <is>
          <t>GT_DETAIL_PT01_Pendahuluan.txt</t>
        </is>
      </c>
      <c r="D1153" s="3" t="inlineStr">
        <is>
          <t>Pertemuan 1: Pendahuluan &amp; Kontrak Perkuliahan</t>
        </is>
      </c>
      <c r="E1153" t="n">
        <v>0.7333</v>
      </c>
      <c r="F1153" t="inlineStr">
        <is>
          <t>✓</t>
        </is>
      </c>
      <c r="G1153" t="inlineStr">
        <is>
          <t>✓</t>
        </is>
      </c>
      <c r="H1153" s="3" t="inlineStr">
        <is>
          <t xml:space="preserve">erhadap masalah — kemampuan kognitif untuk memformulasikan masalah dan solusinya secara sistematis. Belajar pemrograman adalah keterampilan teknis untuk menuliskan instruksi dalam bahasa pemrograman tertentu.  Mahasiswa </t>
        </is>
      </c>
    </row>
    <row r="1154">
      <c r="A1154" t="n">
        <v>193</v>
      </c>
      <c r="B1154" t="n">
        <v>1</v>
      </c>
      <c r="C1154" t="inlineStr">
        <is>
          <t>GT_SUBTOPIK_11_Rekursi.txt</t>
        </is>
      </c>
      <c r="D1154" s="3" t="inlineStr">
        <is>
          <t>Subtopik: Rekursi (Recursion)</t>
        </is>
      </c>
      <c r="E1154" t="n">
        <v>0.8135</v>
      </c>
      <c r="F1154" t="inlineStr">
        <is>
          <t>✓</t>
        </is>
      </c>
      <c r="G1154" t="inlineStr">
        <is>
          <t>✓</t>
        </is>
      </c>
      <c r="H1154" s="3" t="inlineStr">
        <is>
          <t xml:space="preserve"> or n == 1) then return 1     else return n * faktorial(n - 1)  Trace faktorial(4):   faktorial(4) = 4 * faktorial(3)                = 4 * 3 * faktorial(2)                = 4 * 3 * 2 * faktorial(1)                = 4 * 3</t>
        </is>
      </c>
    </row>
    <row r="1155">
      <c r="A1155" t="n">
        <v>193</v>
      </c>
      <c r="B1155" t="n">
        <v>2</v>
      </c>
      <c r="C1155" t="inlineStr">
        <is>
          <t>GT_DETAIL_PT12_Fungsi.txt</t>
        </is>
      </c>
      <c r="D1155" s="3" t="inlineStr">
        <is>
          <t>Pertemuan 12: Fungsi</t>
        </is>
      </c>
      <c r="E1155" t="n">
        <v>0.802</v>
      </c>
      <c r="F1155" t="inlineStr">
        <is>
          <t>✓</t>
        </is>
      </c>
      <c r="G1155" t="inlineStr">
        <is>
          <t>✓</t>
        </is>
      </c>
      <c r="H1155" s="3" t="inlineStr">
        <is>
          <t>L 8 — Desain Fungsi Lengkap] Buat program yang membaca N bilangan bulat, lalu untuk setiap bilangan: - Jika bilangan prima: cetak "[bilangan] adalah PRIMA" - Jika bukan prima: cetak "[bilangan] BUKAN prima" Gunakan fungs</t>
        </is>
      </c>
    </row>
    <row r="1156">
      <c r="A1156" t="n">
        <v>193</v>
      </c>
      <c r="B1156" t="n">
        <v>3</v>
      </c>
      <c r="C1156" t="inlineStr">
        <is>
          <t>GT_SUBTOPIK_11_Rekursi.txt</t>
        </is>
      </c>
      <c r="D1156" s="3" t="inlineStr">
        <is>
          <t>Subtopik: Rekursi (Recursion)</t>
        </is>
      </c>
      <c r="E1156" t="n">
        <v>0.7969000000000001</v>
      </c>
      <c r="F1156" t="inlineStr">
        <is>
          <t>✓</t>
        </is>
      </c>
      <c r="G1156" t="inlineStr">
        <is>
          <t>✓</t>
        </is>
      </c>
      <c r="H1156" s="3" t="inlineStr">
        <is>
          <t>en return 0     else return n + sumTo(n - 1)  Trace sumTo(4):   sumTo(4) = 4 + sumTo(3)            = 4 + 3 + sumTo(2)            = 4 + 3 + 2 + sumTo(1)            = 4 + 3 + 2 + 1 + sumTo(0)            = 4 + 3 + 2 + 1 + 0</t>
        </is>
      </c>
    </row>
    <row r="1157">
      <c r="A1157" t="n">
        <v>193</v>
      </c>
      <c r="B1157" t="n">
        <v>4</v>
      </c>
      <c r="C1157" t="inlineStr">
        <is>
          <t>GT_SUBTOPIK_11_Rekursi.txt</t>
        </is>
      </c>
      <c r="D1157" s="3" t="inlineStr">
        <is>
          <t>Subtopik: Rekursi (Recursion)</t>
        </is>
      </c>
      <c r="E1157" t="n">
        <v>0.7853</v>
      </c>
      <c r="F1157" t="inlineStr">
        <is>
          <t>✓</t>
        </is>
      </c>
      <c r="G1157" t="inlineStr">
        <is>
          <t>✓</t>
        </is>
      </c>
      <c r="H1157" s="3" t="inlineStr">
        <is>
          <t>O(log n)  [SOAL 7 -- Tower of Hanoi] 3 tiang (A, B, C), n piringan di tiang A (terkecil di atas). Pindahkan semua ke C menggunakan B sebagai tiang bantu. Aturan: tidak boleh menaruh piringan besar di atas kecil.  JAWABAN</t>
        </is>
      </c>
    </row>
    <row r="1158">
      <c r="A1158" t="n">
        <v>193</v>
      </c>
      <c r="B1158" t="n">
        <v>5</v>
      </c>
      <c r="C1158" t="inlineStr">
        <is>
          <t>GT_SUBTOPIK_05_Pseudocode_Algoritme.txt</t>
        </is>
      </c>
      <c r="D1158" s="3" t="inlineStr">
        <is>
          <t>Subtopik: Pseudocode dan Notasi Algoritme</t>
        </is>
      </c>
      <c r="E1158" t="n">
        <v>0.7806</v>
      </c>
      <c r="F1158" t="inlineStr">
        <is>
          <t>✓</t>
        </is>
      </c>
      <c r="G1158" t="inlineStr">
        <is>
          <t>✓</t>
        </is>
      </c>
      <c r="H1158" s="3">
        <f> n / 2                  // pembagian integer   if (biner == "") then biner = "0"   print(biner)  Trace n=13:   13 mod 2 = 1, biner="1", n=6   6 mod 2  = 0, biner="01", n=3   3 mod 2  = 1, biner="101", n=1   1 mod 2  = 1</f>
        <v/>
      </c>
    </row>
    <row r="1159">
      <c r="A1159" t="n">
        <v>193</v>
      </c>
      <c r="B1159" t="n">
        <v>6</v>
      </c>
      <c r="C1159" t="inlineStr">
        <is>
          <t>GT_SUBTOPIK_08_Perulangan_For_While.txt</t>
        </is>
      </c>
      <c r="D1159" s="3" t="inlineStr">
        <is>
          <t>Subtopik: Perulangan — for, while, Sentinel, dan Trace</t>
        </is>
      </c>
      <c r="E1159" t="n">
        <v>0.7781</v>
      </c>
      <c r="F1159" t="inlineStr">
        <is>
          <t>✓</t>
        </is>
      </c>
      <c r="G1159" t="inlineStr">
        <is>
          <t>✓</t>
        </is>
      </c>
      <c r="H1159" s="3" t="inlineStr">
        <is>
          <t xml:space="preserve"> x=5:   5 mod 3=2 ✗   → berhenti  Output: 135, 45, 15, 5 Nilai akhir x = 5  [SOAL 5 — WHILE: Digit Terbalik] Tulis pseudocode untuk membalik digit bilangan positif n! Contoh: n=12345 → output: 54321  JAWABAN:   read(n)  </t>
        </is>
      </c>
    </row>
    <row r="1160">
      <c r="A1160" t="n">
        <v>194</v>
      </c>
      <c r="B1160" t="n">
        <v>1</v>
      </c>
      <c r="C1160" t="inlineStr">
        <is>
          <t>GT_SUBTOPIK_11_Rekursi.txt</t>
        </is>
      </c>
      <c r="D1160" s="3" t="inlineStr">
        <is>
          <t>Subtopik: Rekursi (Recursion)</t>
        </is>
      </c>
      <c r="E1160" t="n">
        <v>0.7639</v>
      </c>
      <c r="F1160" t="inlineStr">
        <is>
          <t>✓</t>
        </is>
      </c>
      <c r="G1160" t="inlineStr">
        <is>
          <t>✓</t>
        </is>
      </c>
      <c r="H1160" s="3" t="inlineStr">
        <is>
          <t xml:space="preserve">turn reverse(substring(s, 2, panjang(s))) + s[1]  Trace reverse("ABCD"):   reverse("ABCD") = reverse("BCD") + "A"                   = (reverse("CD") + "B") + "A"                   = ((reverse("D") + "C") + "B") + "A"    </t>
        </is>
      </c>
    </row>
    <row r="1161">
      <c r="A1161" t="n">
        <v>194</v>
      </c>
      <c r="B1161" t="n">
        <v>2</v>
      </c>
      <c r="C1161" t="inlineStr">
        <is>
          <t>GT_DETAIL_PT11_Perulangan.txt</t>
        </is>
      </c>
      <c r="D1161" s="3" t="inlineStr">
        <is>
          <t>Pertemuan 11: Struktur Kontrol — Perulangan</t>
        </is>
      </c>
      <c r="E1161" t="n">
        <v>0.7577</v>
      </c>
      <c r="F1161" t="inlineStr">
        <is>
          <t>✓</t>
        </is>
      </c>
      <c r="G1161" t="inlineStr">
        <is>
          <t>✓</t>
        </is>
      </c>
      <c r="H1161" s="3" t="inlineStr">
        <is>
          <t>ount = count + 1     read(nilai)   if (count &gt; 0) then     print(sum / count)   else     print("Tidak ada data")  [SOAL 7 — Nested Loop: Segitiga Bintang] Cetak segitiga bintang seperti ini untuk tinggi = 4: * ** *** ***</t>
        </is>
      </c>
    </row>
    <row r="1162">
      <c r="A1162" t="n">
        <v>194</v>
      </c>
      <c r="B1162" t="n">
        <v>3</v>
      </c>
      <c r="C1162" t="inlineStr">
        <is>
          <t>GT_SUBTOPIK_14_Kompleksitas_BigO.txt</t>
        </is>
      </c>
      <c r="D1162" s="3" t="inlineStr">
        <is>
          <t>Subtopik: Kompleksitas Algoritme (Big-O Notation)</t>
        </is>
      </c>
      <c r="E1162" t="n">
        <v>0.7498</v>
      </c>
      <c r="F1162" t="inlineStr">
        <is>
          <t>✓</t>
        </is>
      </c>
      <c r="G1162" t="inlineStr">
        <is>
          <t>✓</t>
        </is>
      </c>
      <c r="H1162" s="3" t="inlineStr">
        <is>
          <t xml:space="preserve"> (sangat cepat)   O(n log n)  : 1.000*10 / 10^8 = 0,0001 detik (cepat)   O(n^2)      : 10^6 / 10^8 = 0,01 detik (masih oke)   O(2^n)      : 2^1000 / 10^8 = TIDAK MUNGKIN selesai (lebih besar dari umur alam semesta!)  Unt</t>
        </is>
      </c>
    </row>
    <row r="1163">
      <c r="A1163" t="n">
        <v>194</v>
      </c>
      <c r="B1163" t="n">
        <v>4</v>
      </c>
      <c r="C1163" t="inlineStr">
        <is>
          <t>GT_CT11.txt</t>
        </is>
      </c>
      <c r="D1163" s="3" t="inlineStr">
        <is>
          <t>Pertemuan 11: Algoritme — Struktur Kontrol Perulangan</t>
        </is>
      </c>
      <c r="E1163" t="n">
        <v>0.7444</v>
      </c>
      <c r="F1163" t="inlineStr">
        <is>
          <t>✓</t>
        </is>
      </c>
      <c r="G1163" t="inlineStr">
        <is>
          <t>✓</t>
        </is>
      </c>
      <c r="H1163" s="3" t="inlineStr">
        <is>
          <t>hir kode adalah 6.  Contoh 2 — Mencetak bilangan dengan penambahan 3:     i = 1     while i &lt;= 10 do         print(i)         i = i + 3     Output: 1, 4, 7, 10. Nilai i di akhir kode adalah 13.  Contoh 3 — Mencetak bilan</t>
        </is>
      </c>
    </row>
    <row r="1164">
      <c r="A1164" t="n">
        <v>194</v>
      </c>
      <c r="B1164" t="n">
        <v>5</v>
      </c>
      <c r="C1164" t="inlineStr">
        <is>
          <t>GT_DETAIL_PT11_Perulangan.txt</t>
        </is>
      </c>
      <c r="D1164" s="3" t="inlineStr">
        <is>
          <t>Pertemuan 11: Struktur Kontrol — Perulangan</t>
        </is>
      </c>
      <c r="E1164" t="n">
        <v>0.7428</v>
      </c>
      <c r="F1164" t="inlineStr">
        <is>
          <t>✓</t>
        </is>
      </c>
      <c r="G1164" t="inlineStr">
        <is>
          <t>✓</t>
        </is>
      </c>
      <c r="H1164" s="3" t="inlineStr">
        <is>
          <t>an: - Kondisi dievaluasi SEBELUM body dijalankan - Jika kondisi False sejak awal → body tidak pernah dijalankan - Jika kondisi tidak pernah False → infinite loop (hindari!) - Body HARUS mengubah sesuatu yang mempengaruhi</t>
        </is>
      </c>
    </row>
    <row r="1165">
      <c r="A1165" t="n">
        <v>194</v>
      </c>
      <c r="B1165" t="n">
        <v>6</v>
      </c>
      <c r="C1165" t="inlineStr">
        <is>
          <t>GT_SUBTOPIK_14_Kompleksitas_BigO.txt</t>
        </is>
      </c>
      <c r="D1165" s="3" t="inlineStr">
        <is>
          <t>Subtopik: Kompleksitas Algoritme (Big-O Notation)</t>
        </is>
      </c>
      <c r="E1165" t="n">
        <v>0.7421</v>
      </c>
      <c r="F1165" t="inlineStr">
        <is>
          <t>✓</t>
        </is>
      </c>
      <c r="G1165" t="inlineStr">
        <is>
          <t>✓</t>
        </is>
      </c>
      <c r="H1165" s="3" t="inlineStr">
        <is>
          <t>l yang terbesar: O(n^2 + n) = O(n^2)   3. Kalikan loop bersarang: O(n) dalam O(n) = O(n^2)  ---------------------------------------------------------------- CONTOH SOAL DAN PEMBAHASAN ------------------------------------</t>
        </is>
      </c>
    </row>
    <row r="1166">
      <c r="A1166" t="n">
        <v>195</v>
      </c>
      <c r="B1166" t="n">
        <v>1</v>
      </c>
      <c r="C1166" t="inlineStr">
        <is>
          <t>GT_SUBTOPIK_14_Kompleksitas_BigO.txt</t>
        </is>
      </c>
      <c r="D1166" s="3" t="inlineStr">
        <is>
          <t>Subtopik: Kompleksitas Algoritme (Big-O Notation)</t>
        </is>
      </c>
      <c r="E1166" t="n">
        <v>0.7748</v>
      </c>
      <c r="F1166" t="inlineStr">
        <is>
          <t>✓</t>
        </is>
      </c>
      <c r="G1166" t="inlineStr">
        <is>
          <t>✓</t>
        </is>
      </c>
      <c r="H1166" s="3" t="inlineStr">
        <is>
          <t>l yang terbesar: O(n^2 + n) = O(n^2)   3. Kalikan loop bersarang: O(n) dalam O(n) = O(n^2)  ---------------------------------------------------------------- CONTOH SOAL DAN PEMBAHASAN ------------------------------------</t>
        </is>
      </c>
    </row>
    <row r="1167">
      <c r="A1167" t="n">
        <v>195</v>
      </c>
      <c r="B1167" t="n">
        <v>2</v>
      </c>
      <c r="C1167" t="inlineStr">
        <is>
          <t>GT_SUBTOPIK_09_Nested_Loop.txt</t>
        </is>
      </c>
      <c r="D1167" s="3" t="inlineStr">
        <is>
          <t>Subtopik: Perulangan Bersarang (Nested Loop)</t>
        </is>
      </c>
      <c r="E1167" t="n">
        <v>0.7668</v>
      </c>
      <c r="F1167" t="inlineStr">
        <is>
          <t>✓</t>
        </is>
      </c>
      <c r="G1167" t="inlineStr">
        <is>
          <t>✓</t>
        </is>
      </c>
      <c r="H1167" s="3" t="inlineStr">
        <is>
          <t xml:space="preserve">awah (tinggi=5)] * ** *** **** *****  JAWABAN:   for i = 1 to 5 do     for j = 1 to i do       print("*", end="")     print()  [SOAL 4 -- Segitiga Terbalik (tinggi=4)] **** *** ** *  JAWABAN:   for i = 4 to 1 step -1 do </t>
        </is>
      </c>
    </row>
    <row r="1168">
      <c r="A1168" t="n">
        <v>195</v>
      </c>
      <c r="B1168" t="n">
        <v>3</v>
      </c>
      <c r="C1168" t="inlineStr">
        <is>
          <t>GT_CT11.txt</t>
        </is>
      </c>
      <c r="D1168" s="3" t="inlineStr">
        <is>
          <t>Pertemuan 11: Algoritme — Struktur Kontrol Perulangan</t>
        </is>
      </c>
      <c r="E1168" t="n">
        <v>0.7668</v>
      </c>
      <c r="F1168" t="inlineStr">
        <is>
          <t>✓</t>
        </is>
      </c>
      <c r="G1168" t="inlineStr">
        <is>
          <t>✓</t>
        </is>
      </c>
      <c r="H1168" s="3" t="inlineStr">
        <is>
          <t>hir kode adalah 6.  Contoh 2 — Mencetak bilangan dengan penambahan 3:     i = 1     while i &lt;= 10 do         print(i)         i = i + 3     Output: 1, 4, 7, 10. Nilai i di akhir kode adalah 13.  Contoh 3 — Mencetak bilan</t>
        </is>
      </c>
    </row>
    <row r="1169">
      <c r="A1169" t="n">
        <v>195</v>
      </c>
      <c r="B1169" t="n">
        <v>4</v>
      </c>
      <c r="C1169" t="inlineStr">
        <is>
          <t>GT_SUBTOPIK_01_Dekomposisi_Optimasi.txt</t>
        </is>
      </c>
      <c r="D1169" s="3" t="inlineStr">
        <is>
          <t>Subtopik: Dekomposisi — Optimasi dan Pemecahan Masalah Terstruktur</t>
        </is>
      </c>
      <c r="E1169" t="n">
        <v>0.7658</v>
      </c>
      <c r="F1169" t="inlineStr">
        <is>
          <t>✓</t>
        </is>
      </c>
      <c r="G1169" t="inlineStr">
        <is>
          <t>✓</t>
        </is>
      </c>
      <c r="H1169" s="3" t="inlineStr">
        <is>
          <t>L 5 — Dekomposisi Algoritme FPB] Dekomposisikan masalah "mencari FPB dari tiga bilangan a, b, c" menjadi sub-masalah yang lebih kecil!  JAWABAN: Dekomposisi: - Sub-masalah 1: cari FPB(a, b) → hasil1 - Sub-masalah 2: cari</t>
        </is>
      </c>
    </row>
    <row r="1170">
      <c r="A1170" t="n">
        <v>195</v>
      </c>
      <c r="B1170" t="n">
        <v>5</v>
      </c>
      <c r="C1170" t="inlineStr">
        <is>
          <t>GT_DETAIL_PT09_Variabel_TipeData_Operator_List.txt</t>
        </is>
      </c>
      <c r="D1170" s="3" t="inlineStr">
        <is>
          <t>Pertemuan 9: Elemen Pseudocode — Variabel, Tipe Data, Operator, List</t>
        </is>
      </c>
      <c r="E1170" t="n">
        <v>0.7604</v>
      </c>
      <c r="F1170" t="inlineStr">
        <is>
          <t>✓</t>
        </is>
      </c>
      <c r="G1170" t="inlineStr">
        <is>
          <t>✓</t>
        </is>
      </c>
      <c r="H1170" s="3" t="inlineStr">
        <is>
          <t>: mengandung tanda minus (-)  [SOAL 2 — Tipe Data] Tentukan tipe data yang paling tepat untuk menyimpan informasi berikut: a) Usia seseorang dalam tahun b) Nilai IPK (misalnya 3.75) c) Nama lengkap mahasiswa d) Status ke</t>
        </is>
      </c>
    </row>
    <row r="1171">
      <c r="A1171" t="n">
        <v>195</v>
      </c>
      <c r="B1171" t="n">
        <v>6</v>
      </c>
      <c r="C1171" t="inlineStr">
        <is>
          <t>GT_DETAIL_PT11_Perulangan.txt</t>
        </is>
      </c>
      <c r="D1171" s="3" t="inlineStr">
        <is>
          <t>Pertemuan 11: Struktur Kontrol — Perulangan</t>
        </is>
      </c>
      <c r="E1171" t="n">
        <v>0.7532</v>
      </c>
      <c r="F1171" t="inlineStr">
        <is>
          <t>✓</t>
        </is>
      </c>
      <c r="G1171" t="inlineStr">
        <is>
          <t>✓</t>
        </is>
      </c>
      <c r="H1171" s="3" t="inlineStr">
        <is>
          <t>an: - Kondisi dievaluasi SEBELUM body dijalankan - Jika kondisi False sejak awal → body tidak pernah dijalankan - Jika kondisi tidak pernah False → infinite loop (hindari!) - Body HARUS mengubah sesuatu yang mempengaruhi</t>
        </is>
      </c>
    </row>
    <row r="1172">
      <c r="A1172" t="n">
        <v>196</v>
      </c>
      <c r="B1172" t="n">
        <v>1</v>
      </c>
      <c r="C1172" t="inlineStr">
        <is>
          <t>GT_CT09.txt</t>
        </is>
      </c>
      <c r="D1172" s="3" t="inlineStr">
        <is>
          <t>Pertemuan 9: Elemen Pseudocode — Variabel, Operator, Tipe Data, dan List</t>
        </is>
      </c>
      <c r="E1172" t="n">
        <v>0.7491</v>
      </c>
      <c r="F1172" t="inlineStr">
        <is>
          <t>✓</t>
        </is>
      </c>
      <c r="G1172" t="inlineStr">
        <is>
          <t>✓</t>
        </is>
      </c>
      <c r="H1172" s="3" t="inlineStr">
        <is>
          <t>ama dengan (==), tidak sama dengan (!=), lebih besar dari (&gt;), lebih kecil dari (&lt;), lebih besar atau sama dengan (&gt;=), dan lebih kecil atau sama dengan (&lt;=).  4. Logical Operator (Operator Logika): Digunakan untuk mengg</t>
        </is>
      </c>
    </row>
    <row r="1173">
      <c r="A1173" t="n">
        <v>196</v>
      </c>
      <c r="B1173" t="n">
        <v>2</v>
      </c>
      <c r="C1173" t="inlineStr">
        <is>
          <t>GT_DETAIL_PT05_Pattern_Recognition.txt</t>
        </is>
      </c>
      <c r="D1173" s="3" t="inlineStr">
        <is>
          <t>Pertemuan 5: Pattern Recognition (Pengenalan Pola)</t>
        </is>
      </c>
      <c r="E1173" t="n">
        <v>0.7478</v>
      </c>
      <c r="F1173" t="inlineStr">
        <is>
          <t>✓</t>
        </is>
      </c>
      <c r="G1173" t="inlineStr">
        <is>
          <t>✓</t>
        </is>
      </c>
      <c r="H1173" s="3" t="inlineStr">
        <is>
          <t>pola konstan manusia.    Warna kulit, bentuk rambut = variabel → diabaikan dalam pengenalan.  2. Wabah Penyakit: ilmuwan mencari kemiripan kasus untuk mengidentifikasi pola penyebaran.    Contoh: COVID-19 vs. Flu Spanyol</t>
        </is>
      </c>
    </row>
    <row r="1174">
      <c r="A1174" t="n">
        <v>196</v>
      </c>
      <c r="B1174" t="n">
        <v>3</v>
      </c>
      <c r="C1174" t="inlineStr">
        <is>
          <t>GT_DETAIL_PT01_Pendahuluan.txt</t>
        </is>
      </c>
      <c r="D1174" s="3" t="inlineStr">
        <is>
          <t>Pertemuan 1: Pendahuluan &amp; Kontrak Perkuliahan</t>
        </is>
      </c>
      <c r="E1174" t="n">
        <v>0.7454</v>
      </c>
      <c r="F1174" t="inlineStr">
        <is>
          <t>✓</t>
        </is>
      </c>
      <c r="G1174" t="inlineStr">
        <is>
          <t>✓</t>
        </is>
      </c>
      <c r="H1174" s="3" t="inlineStr">
        <is>
          <t xml:space="preserve">erhadap masalah — kemampuan kognitif untuk memformulasikan masalah dan solusinya secara sistematis. Belajar pemrograman adalah keterampilan teknis untuk menuliskan instruksi dalam bahasa pemrograman tertentu.  Mahasiswa </t>
        </is>
      </c>
    </row>
    <row r="1175">
      <c r="A1175" t="n">
        <v>196</v>
      </c>
      <c r="B1175" t="n">
        <v>4</v>
      </c>
      <c r="C1175" t="inlineStr">
        <is>
          <t>GT_DETAIL_PT01_Pendahuluan.txt</t>
        </is>
      </c>
      <c r="D1175" s="3" t="inlineStr">
        <is>
          <t>Pertemuan 1: Pendahuluan &amp; Kontrak Perkuliahan</t>
        </is>
      </c>
      <c r="E1175" t="n">
        <v>0.7432</v>
      </c>
      <c r="F1175" t="inlineStr">
        <is>
          <t>✓</t>
        </is>
      </c>
      <c r="G1175" t="inlineStr">
        <is>
          <t>✓</t>
        </is>
      </c>
      <c r="H1175" s="3" t="inlineStr">
        <is>
          <t>n      : Fokus hanya pada informasi penting: nama mata kuliah, jumlah SKS, jadwal                      kuliah tetap, dan preferensi waktu belajar. Mengabaikan detail seperti                      konten setiap mata kuliah</t>
        </is>
      </c>
    </row>
    <row r="1176">
      <c r="A1176" t="n">
        <v>196</v>
      </c>
      <c r="B1176" t="n">
        <v>5</v>
      </c>
      <c r="C1176" t="inlineStr">
        <is>
          <t>GT_CT05.txt</t>
        </is>
      </c>
      <c r="D1176" s="3" t="inlineStr">
        <is>
          <t>Pertemuan 5: Pattern Recognition (Pengenalan Pola)</t>
        </is>
      </c>
      <c r="E1176" t="n">
        <v>0.7341</v>
      </c>
      <c r="F1176" t="inlineStr">
        <is>
          <t>✓</t>
        </is>
      </c>
      <c r="G1176" t="inlineStr">
        <is>
          <t>✓</t>
        </is>
      </c>
      <c r="H1176" s="3" t="inlineStr">
        <is>
          <t xml:space="preserve"> memanggang, waktu penambahan masing-masing bahan, dan peralatan yang diperlukan. Setelah memahami cara memanggang satu jenis kue, seseorang dapat segera melihat bahwa memanggang kue jenis lain tidak jauh berbeda, karena</t>
        </is>
      </c>
    </row>
    <row r="1177">
      <c r="A1177" t="n">
        <v>196</v>
      </c>
      <c r="B1177" t="n">
        <v>6</v>
      </c>
      <c r="C1177" t="inlineStr">
        <is>
          <t>GT_CT07.txt</t>
        </is>
      </c>
      <c r="D1177" s="3" t="inlineStr">
        <is>
          <t>Pertemuan 7: Algoritme — Notasi Algoritme</t>
        </is>
      </c>
      <c r="E1177" t="n">
        <v>0.7316</v>
      </c>
      <c r="F1177" t="inlineStr">
        <is>
          <t>✓</t>
        </is>
      </c>
      <c r="G1177" t="inlineStr">
        <is>
          <t>✓</t>
        </is>
      </c>
      <c r="H1177" s="3" t="inlineStr">
        <is>
          <t>) dan selisih angka yang dicari (d). Output: banyaknya pasangan bilangan dengan selisih sebesar d (p). Proses: (a) Urutkan n bilangan secara menaik menjadi m1, m2, ..., mn; (b) Inisialisasi p = 0; (c) Untuk setiap i dari</t>
        </is>
      </c>
    </row>
    <row r="1178">
      <c r="A1178" t="n">
        <v>197</v>
      </c>
      <c r="B1178" t="n">
        <v>1</v>
      </c>
      <c r="C1178" t="inlineStr">
        <is>
          <t>GT_DETAIL_PT07_Notasi_Algoritme.txt</t>
        </is>
      </c>
      <c r="D1178" s="3" t="inlineStr">
        <is>
          <t>Pertemuan 7: Algoritme — Notasi Algoritme</t>
        </is>
      </c>
      <c r="E1178" t="n">
        <v>0.7504</v>
      </c>
      <c r="F1178" t="inlineStr">
        <is>
          <t>✓</t>
        </is>
      </c>
      <c r="G1178" t="inlineStr">
        <is>
          <t>✓</t>
        </is>
      </c>
      <c r="H1178" s="3" t="inlineStr">
        <is>
          <t xml:space="preserve">put. 2. Space Complexity (Kompleksitas Ruang): memori tambahan yang diperlukan.  Notasi Big-O [O()]: - O(1)    : Konstan — waktu tidak bergantung pada ukuran input - O(log n): Logaritmik — sangat efisien (contoh: binary </t>
        </is>
      </c>
    </row>
    <row r="1179">
      <c r="A1179" t="n">
        <v>197</v>
      </c>
      <c r="B1179" t="n">
        <v>2</v>
      </c>
      <c r="C1179" t="inlineStr">
        <is>
          <t>GT_SUBTOPIK_14_Kompleksitas_BigO.txt</t>
        </is>
      </c>
      <c r="D1179" s="3" t="inlineStr">
        <is>
          <t>Subtopik: Kompleksitas Algoritme (Big-O Notation)</t>
        </is>
      </c>
      <c r="E1179" t="n">
        <v>0.7423</v>
      </c>
      <c r="F1179" t="inlineStr">
        <is>
          <t>✓</t>
        </is>
      </c>
      <c r="G1179" t="inlineStr">
        <is>
          <t>✓</t>
        </is>
      </c>
      <c r="H1179" s="3" t="inlineStr">
        <is>
          <t xml:space="preserve"> (sangat cepat)   O(n log n)  : 1.000*10 / 10^8 = 0,0001 detik (cepat)   O(n^2)      : 10^6 / 10^8 = 0,01 detik (masih oke)   O(2^n)      : 2^1000 / 10^8 = TIDAK MUNGKIN selesai (lebih besar dari umur alam semesta!)  Unt</t>
        </is>
      </c>
    </row>
    <row r="1180">
      <c r="A1180" t="n">
        <v>197</v>
      </c>
      <c r="B1180" t="n">
        <v>3</v>
      </c>
      <c r="C1180" t="inlineStr">
        <is>
          <t>GT_SUBTOPIK_05_Pseudocode_Algoritme.txt</t>
        </is>
      </c>
      <c r="D1180" s="3" t="inlineStr">
        <is>
          <t>Subtopik: Pseudocode dan Notasi Algoritme</t>
        </is>
      </c>
      <c r="E1180" t="n">
        <v>0.7408</v>
      </c>
      <c r="F1180" t="inlineStr">
        <is>
          <t>✓</t>
        </is>
      </c>
      <c r="G1180" t="inlineStr">
        <is>
          <t>✓</t>
        </is>
      </c>
      <c r="H1180" s="3" t="inlineStr">
        <is>
          <t>)   : eksponensial (brute force kombinasi)  ---------------------------------------------------------------- CONTOH SOAL DAN PEMBAHASAN ----------------------------------------------------------------  [SOAL 1 — Pseudoco</t>
        </is>
      </c>
    </row>
    <row r="1181">
      <c r="A1181" t="n">
        <v>197</v>
      </c>
      <c r="B1181" t="n">
        <v>4</v>
      </c>
      <c r="C1181" t="inlineStr">
        <is>
          <t>GT_SUBTOPIK_01_Dekomposisi_Optimasi.txt</t>
        </is>
      </c>
      <c r="D1181" s="3" t="inlineStr">
        <is>
          <t>Subtopik: Dekomposisi — Optimasi dan Pemecahan Masalah Terstruktur</t>
        </is>
      </c>
      <c r="E1181" t="n">
        <v>0.7388</v>
      </c>
      <c r="F1181" t="inlineStr">
        <is>
          <t>✓</t>
        </is>
      </c>
      <c r="G1181" t="inlineStr">
        <is>
          <t>✓</t>
        </is>
      </c>
      <c r="H1181" s="3" t="inlineStr">
        <is>
          <t>nan+P3K = 14 kg, nilai=31 ← terbesar sejauh ini Semua 5 barang = 5+3+4+6+2=20 ✗  JAWABAN: Bawa Tenda+Sleeping bag+Makanan+P3K = 14 kg, nilai total = 31.  [SOAL 7 — Dekomposisi Masalah Pencarian] Jelaskan bagaimana dekomp</t>
        </is>
      </c>
    </row>
    <row r="1182">
      <c r="A1182" t="n">
        <v>197</v>
      </c>
      <c r="B1182" t="n">
        <v>5</v>
      </c>
      <c r="C1182" t="inlineStr">
        <is>
          <t>GT_SUBTOPIK_14_Kompleksitas_BigO.txt</t>
        </is>
      </c>
      <c r="D1182" s="3" t="inlineStr">
        <is>
          <t>Subtopik: Kompleksitas Algoritme (Big-O Notation)</t>
        </is>
      </c>
      <c r="E1182" t="n">
        <v>0.7276</v>
      </c>
      <c r="F1182" t="inlineStr">
        <is>
          <t>✓</t>
        </is>
      </c>
      <c r="G1182" t="inlineStr">
        <is>
          <t>✓</t>
        </is>
      </c>
      <c r="H1182" s="3">
        <f>=============================================================== GROUND TRUTH SUBTOPIK -- KOM2102 COMPUTATIONAL THINKING Subtopik: Kompleksitas Algoritme (Big-O Notation) =================================================</f>
        <v/>
      </c>
    </row>
    <row r="1183">
      <c r="A1183" t="n">
        <v>197</v>
      </c>
      <c r="B1183" t="n">
        <v>6</v>
      </c>
      <c r="C1183" t="inlineStr">
        <is>
          <t>GT_CT10.txt</t>
        </is>
      </c>
      <c r="D1183" s="3" t="inlineStr">
        <is>
          <t>Pertemuan 10: Struktur Kontrol — Percabangan</t>
        </is>
      </c>
      <c r="E1183" t="n">
        <v>0.7214</v>
      </c>
      <c r="F1183" t="inlineStr">
        <is>
          <t>✓</t>
        </is>
      </c>
      <c r="G1183" t="inlineStr">
        <is>
          <t>✓</t>
        </is>
      </c>
      <c r="H1183" s="3" t="inlineStr">
        <is>
          <t xml:space="preserve">n (Loop): digunakan ketika algoritme perlu mengulang pelaksanaan instruksi tertentu sampai suatu kondisi yang ditetapkan terpenuhi.  Pertemuan ini berfokus pada pembahasan struktur kontrol percabangan secara mendalam.   </t>
        </is>
      </c>
    </row>
    <row r="1184">
      <c r="A1184" t="n">
        <v>198</v>
      </c>
      <c r="B1184" t="n">
        <v>1</v>
      </c>
      <c r="C1184" t="inlineStr">
        <is>
          <t>GT_CT13.txt</t>
        </is>
      </c>
      <c r="D1184" s="3" t="inlineStr">
        <is>
          <t>Pertemuan 13: Pengenalan Struktur Data</t>
        </is>
      </c>
      <c r="E1184" t="n">
        <v>0.7564</v>
      </c>
      <c r="F1184" t="inlineStr">
        <is>
          <t>✓</t>
        </is>
      </c>
      <c r="G1184" t="inlineStr">
        <is>
          <t>✓</t>
        </is>
      </c>
      <c r="H1184" s="3" t="inlineStr">
        <is>
          <t>ai urutan kedatangannya. - Sistem kecerdasan buatan dalam permainan catur yang merepresentasikan berbagai kemungkinan langkah ke depan: struktur data yang paling tepat adalah Tree, karena setiap kemungkinan langkah berca</t>
        </is>
      </c>
    </row>
    <row r="1185">
      <c r="A1185" t="n">
        <v>198</v>
      </c>
      <c r="B1185" t="n">
        <v>2</v>
      </c>
      <c r="C1185" t="inlineStr">
        <is>
          <t>GT_SUBTOPIK_13_Graph_Tree.txt</t>
        </is>
      </c>
      <c r="D1185" s="3" t="inlineStr">
        <is>
          <t>Subtopik: Graph dan Tree -- Representasi, Traversal, dan Jalur Terpendek</t>
        </is>
      </c>
      <c r="E1185" t="n">
        <v>0.7367</v>
      </c>
      <c r="F1185" t="inlineStr">
        <is>
          <t>✓</t>
        </is>
      </c>
      <c r="G1185" t="inlineStr">
        <is>
          <t>✓</t>
        </is>
      </c>
      <c r="H1185" s="3" t="inlineStr">
        <is>
          <t>, B, D, G, E, C, F  [SOAL 6 -- Terminologi Tree] Diberikan tree berikut:          A (root)         / \        B   C       / \   \      D   E   F     /    G  Identifikasi: a) Root b) Semua leaf node c) Parent dari D d) Ch</t>
        </is>
      </c>
    </row>
    <row r="1186">
      <c r="A1186" t="n">
        <v>198</v>
      </c>
      <c r="B1186" t="n">
        <v>3</v>
      </c>
      <c r="C1186" t="inlineStr">
        <is>
          <t>GT_CT13.txt</t>
        </is>
      </c>
      <c r="D1186" s="3" t="inlineStr">
        <is>
          <t>Pertemuan 13: Pengenalan Struktur Data</t>
        </is>
      </c>
      <c r="E1186" t="n">
        <v>0.7359</v>
      </c>
      <c r="F1186" t="inlineStr">
        <is>
          <t>✓</t>
        </is>
      </c>
      <c r="G1186" t="inlineStr">
        <is>
          <t>✓</t>
        </is>
      </c>
      <c r="H1186" s="3" t="inlineStr">
        <is>
          <t>entukan kemudahan dan efisiensi pengolahan.  Berbagai aplikasi komputer memerlukan struktur data yang sesuai dengan kebutuhannya. Sebagai contoh, aplikasi perkantoran seperti Microsoft Word atau Google Docs memerlukan st</t>
        </is>
      </c>
    </row>
    <row r="1187">
      <c r="A1187" t="n">
        <v>198</v>
      </c>
      <c r="B1187" t="n">
        <v>4</v>
      </c>
      <c r="C1187" t="inlineStr">
        <is>
          <t>GT_CT13.txt</t>
        </is>
      </c>
      <c r="D1187" s="3" t="inlineStr">
        <is>
          <t>Pertemuan 13: Pengenalan Struktur Data</t>
        </is>
      </c>
      <c r="E1187" t="n">
        <v>0.7332</v>
      </c>
      <c r="F1187" t="inlineStr">
        <is>
          <t>✓</t>
        </is>
      </c>
      <c r="G1187" t="inlineStr">
        <is>
          <t>✓</t>
        </is>
      </c>
      <c r="H1187" s="3" t="inlineStr">
        <is>
          <t>l bobot terkecil (jalur terpendek) antara dua node. Dalam kehidupan sehari-hari, prinsip ini digunakan oleh aplikasi GPS dan aplikasi peta untuk mencari rute terpendek atau tercepat. Salah satu algoritme yang terkenal un</t>
        </is>
      </c>
    </row>
    <row r="1188">
      <c r="A1188" t="n">
        <v>198</v>
      </c>
      <c r="B1188" t="n">
        <v>5</v>
      </c>
      <c r="C1188" t="inlineStr">
        <is>
          <t>GT_CT13.txt</t>
        </is>
      </c>
      <c r="D1188" s="3" t="inlineStr">
        <is>
          <t>Pertemuan 13: Pengenalan Struktur Data</t>
        </is>
      </c>
      <c r="E1188" t="n">
        <v>0.7285</v>
      </c>
      <c r="F1188" t="inlineStr">
        <is>
          <t>✓</t>
        </is>
      </c>
      <c r="G1188" t="inlineStr">
        <is>
          <t>✓</t>
        </is>
      </c>
      <c r="H1188" s="3" t="inlineStr">
        <is>
          <t xml:space="preserve">der) di dalam komputer, di mana folder dapat berisi subfolder dan file di dalamnya. - Struktur organisasi suatu perusahaan atau lembaga, yang menggambarkan hierarki jabatan dari atas ke bawah. - Struktur taksonomi dalam </t>
        </is>
      </c>
    </row>
    <row r="1189">
      <c r="A1189" t="n">
        <v>198</v>
      </c>
      <c r="B1189" t="n">
        <v>6</v>
      </c>
      <c r="C1189" t="inlineStr">
        <is>
          <t>GT_DETAIL_PT13_Struktur_Data.txt</t>
        </is>
      </c>
      <c r="D1189" s="3" t="inlineStr">
        <is>
          <t>Pertemuan 13: Pengenalan Struktur Data</t>
        </is>
      </c>
      <c r="E1189" t="n">
        <v>0.7164</v>
      </c>
      <c r="F1189" t="inlineStr">
        <is>
          <t>✓</t>
        </is>
      </c>
      <c r="G1189" t="inlineStr">
        <is>
          <t>✓</t>
        </is>
      </c>
      <c r="H1189" s="3" t="inlineStr">
        <is>
          <t>D: 5, C-D: 8, C-E: 10, D-E: 2, B-E: 7  Tentukan jalur terpendek dari A ke E beserta total bobotnya!  JAWABAN: Semua jalur dari A ke E: 1. A→B→E           : 4+7 = 11 2. A→B→D→E         : 4+5+2 = 11 3. A→C→E           : 2+</t>
        </is>
      </c>
    </row>
    <row r="1190">
      <c r="A1190" t="n">
        <v>199</v>
      </c>
      <c r="B1190" t="n">
        <v>1</v>
      </c>
      <c r="C1190" t="inlineStr">
        <is>
          <t>GT_DETAIL_PT01_Pendahuluan.txt</t>
        </is>
      </c>
      <c r="D1190" s="3" t="inlineStr">
        <is>
          <t>Pertemuan 1: Pendahuluan &amp; Kontrak Perkuliahan</t>
        </is>
      </c>
      <c r="E1190" t="n">
        <v>0.8100000000000001</v>
      </c>
      <c r="F1190" t="inlineStr">
        <is>
          <t>✓</t>
        </is>
      </c>
      <c r="G1190" t="inlineStr">
        <is>
          <t>✓</t>
        </is>
      </c>
      <c r="H1190" s="3" t="inlineStr">
        <is>
          <t>n      : Fokus hanya pada informasi penting: nama mata kuliah, jumlah SKS, jadwal                      kuliah tetap, dan preferensi waktu belajar. Mengabaikan detail seperti                      konten setiap mata kuliah</t>
        </is>
      </c>
    </row>
    <row r="1191">
      <c r="A1191" t="n">
        <v>199</v>
      </c>
      <c r="B1191" t="n">
        <v>2</v>
      </c>
      <c r="C1191" t="inlineStr">
        <is>
          <t>GT_CT13.txt</t>
        </is>
      </c>
      <c r="D1191" s="3" t="inlineStr">
        <is>
          <t>Pertemuan 13: Pengenalan Struktur Data</t>
        </is>
      </c>
      <c r="E1191" t="n">
        <v>0.7857</v>
      </c>
      <c r="F1191" t="inlineStr">
        <is>
          <t>✓</t>
        </is>
      </c>
      <c r="G1191" t="inlineStr">
        <is>
          <t>✓</t>
        </is>
      </c>
      <c r="H1191" s="3" t="inlineStr">
        <is>
          <t>ai urutan kedatangannya. - Sistem kecerdasan buatan dalam permainan catur yang merepresentasikan berbagai kemungkinan langkah ke depan: struktur data yang paling tepat adalah Tree, karena setiap kemungkinan langkah berca</t>
        </is>
      </c>
    </row>
    <row r="1192">
      <c r="A1192" t="n">
        <v>199</v>
      </c>
      <c r="B1192" t="n">
        <v>3</v>
      </c>
      <c r="C1192" t="inlineStr">
        <is>
          <t>GT_CT13.txt</t>
        </is>
      </c>
      <c r="D1192" s="3" t="inlineStr">
        <is>
          <t>Pertemuan 13: Pengenalan Struktur Data</t>
        </is>
      </c>
      <c r="E1192" t="n">
        <v>0.7556</v>
      </c>
      <c r="F1192" t="inlineStr">
        <is>
          <t>✓</t>
        </is>
      </c>
      <c r="G1192" t="inlineStr">
        <is>
          <t>✓</t>
        </is>
      </c>
      <c r="H1192" s="3" t="inlineStr">
        <is>
          <t>entukan kemudahan dan efisiensi pengolahan.  Berbagai aplikasi komputer memerlukan struktur data yang sesuai dengan kebutuhannya. Sebagai contoh, aplikasi perkantoran seperti Microsoft Word atau Google Docs memerlukan st</t>
        </is>
      </c>
    </row>
    <row r="1193">
      <c r="A1193" t="n">
        <v>199</v>
      </c>
      <c r="B1193" t="n">
        <v>4</v>
      </c>
      <c r="C1193" t="inlineStr">
        <is>
          <t>GT_DETAIL_PT01_Pendahuluan.txt</t>
        </is>
      </c>
      <c r="D1193" s="3" t="inlineStr">
        <is>
          <t>Pertemuan 1: Pendahuluan &amp; Kontrak Perkuliahan</t>
        </is>
      </c>
      <c r="E1193" t="n">
        <v>0.7551</v>
      </c>
      <c r="F1193" t="inlineStr">
        <is>
          <t>✓</t>
        </is>
      </c>
      <c r="G1193" t="inlineStr">
        <is>
          <t>✓</t>
        </is>
      </c>
      <c r="H1193" s="3" t="inlineStr">
        <is>
          <t xml:space="preserve">erhadap masalah — kemampuan kognitif untuk memformulasikan masalah dan solusinya secara sistematis. Belajar pemrograman adalah keterampilan teknis untuk menuliskan instruksi dalam bahasa pemrograman tertentu.  Mahasiswa </t>
        </is>
      </c>
    </row>
    <row r="1194">
      <c r="A1194" t="n">
        <v>199</v>
      </c>
      <c r="B1194" t="n">
        <v>5</v>
      </c>
      <c r="C1194" t="inlineStr">
        <is>
          <t>GT_CT07.txt</t>
        </is>
      </c>
      <c r="D1194" s="3" t="inlineStr">
        <is>
          <t>Pertemuan 7: Algoritme — Notasi Algoritme</t>
        </is>
      </c>
      <c r="E1194" t="n">
        <v>0.755</v>
      </c>
      <c r="F1194" t="inlineStr">
        <is>
          <t>✓</t>
        </is>
      </c>
      <c r="G1194" t="inlineStr">
        <is>
          <t>✓</t>
        </is>
      </c>
      <c r="H1194" s="3" t="inlineStr">
        <is>
          <t>) dan selisih angka yang dicari (d). Output: banyaknya pasangan bilangan dengan selisih sebesar d (p). Proses: (a) Urutkan n bilangan secara menaik menjadi m1, m2, ..., mn; (b) Inisialisasi p = 0; (c) Untuk setiap i dari</t>
        </is>
      </c>
    </row>
    <row r="1195">
      <c r="A1195" t="n">
        <v>199</v>
      </c>
      <c r="B1195" t="n">
        <v>6</v>
      </c>
      <c r="C1195" t="inlineStr">
        <is>
          <t>GT_CT09.txt</t>
        </is>
      </c>
      <c r="D1195" s="3" t="inlineStr">
        <is>
          <t>Pertemuan 9: Elemen Pseudocode — Variabel, Operator, Tipe Data, dan List</t>
        </is>
      </c>
      <c r="E1195" t="n">
        <v>0.7549</v>
      </c>
      <c r="F1195" t="inlineStr">
        <is>
          <t>✓</t>
        </is>
      </c>
      <c r="G1195" t="inlineStr">
        <is>
          <t>✓</t>
        </is>
      </c>
      <c r="H1195" s="3" t="inlineStr">
        <is>
          <t>ama dengan (==), tidak sama dengan (!=), lebih besar dari (&gt;), lebih kecil dari (&lt;), lebih besar atau sama dengan (&gt;=), dan lebih kecil atau sama dengan (&lt;=).  4. Logical Operator (Operator Logika): Digunakan untuk mengg</t>
        </is>
      </c>
    </row>
    <row r="1196">
      <c r="A1196" t="n">
        <v>200</v>
      </c>
      <c r="B1196" t="n">
        <v>1</v>
      </c>
      <c r="C1196" t="inlineStr">
        <is>
          <t>GT_CT13.txt</t>
        </is>
      </c>
      <c r="D1196" s="3" t="inlineStr">
        <is>
          <t>Pertemuan 13: Pengenalan Struktur Data</t>
        </is>
      </c>
      <c r="E1196" t="n">
        <v>0.7658</v>
      </c>
      <c r="F1196" t="inlineStr">
        <is>
          <t>✓</t>
        </is>
      </c>
      <c r="G1196" t="inlineStr">
        <is>
          <t>✓</t>
        </is>
      </c>
      <c r="H1196" s="3" t="inlineStr">
        <is>
          <t>-------------------  Ground Truth:  Sebagai lawan dari stack, terdapat struktur data queue. Queue dalam istilah sehari-hari berarti antrian. Dalam sebuah antrian, urutan pemrosesan harus sesuai dengan urutan kedatangan o</t>
        </is>
      </c>
    </row>
    <row r="1197">
      <c r="A1197" t="n">
        <v>200</v>
      </c>
      <c r="B1197" t="n">
        <v>2</v>
      </c>
      <c r="C1197" t="inlineStr">
        <is>
          <t>GT_CT13.txt</t>
        </is>
      </c>
      <c r="D1197" s="3" t="inlineStr">
        <is>
          <t>Pertemuan 13: Pengenalan Struktur Data</t>
        </is>
      </c>
      <c r="E1197" t="n">
        <v>0.7607</v>
      </c>
      <c r="F1197" t="inlineStr">
        <is>
          <t>✓</t>
        </is>
      </c>
      <c r="G1197" t="inlineStr">
        <is>
          <t>✓</t>
        </is>
      </c>
      <c r="H1197" s="3" t="inlineStr">
        <is>
          <t>teratas, selama stack masih berisi data (tidak kosong). Data yang dikeluarkan melalui operasi pop sekaligus dihapus dari stack sehingga jumlah data yang tersimpan berkurang.  Simulasi rangkaian instruksi: push 5 → push 7</t>
        </is>
      </c>
    </row>
    <row r="1198">
      <c r="A1198" t="n">
        <v>200</v>
      </c>
      <c r="B1198" t="n">
        <v>3</v>
      </c>
      <c r="C1198" t="inlineStr">
        <is>
          <t>GT_CT13.txt</t>
        </is>
      </c>
      <c r="D1198" s="3" t="inlineStr">
        <is>
          <t>Pertemuan 13: Pengenalan Struktur Data</t>
        </is>
      </c>
      <c r="E1198" t="n">
        <v>0.7426</v>
      </c>
      <c r="F1198" t="inlineStr">
        <is>
          <t>✓</t>
        </is>
      </c>
      <c r="G1198" t="inlineStr">
        <is>
          <t>✓</t>
        </is>
      </c>
      <c r="H1198" s="3" t="inlineStr">
        <is>
          <t>es pencetakan saat ini masih berjalan, dokumen yang baru masuk harus menunggu dalam antrian. Jika printer sudah idle (tidak sedang mencetak), printer akan melakukan dequeue untuk mendapatkan dokumen berikutnya yang perlu</t>
        </is>
      </c>
    </row>
    <row r="1199">
      <c r="A1199" t="n">
        <v>200</v>
      </c>
      <c r="B1199" t="n">
        <v>4</v>
      </c>
      <c r="C1199" t="inlineStr">
        <is>
          <t>GT_DETAIL_PT13_Struktur_Data.txt</t>
        </is>
      </c>
      <c r="D1199" s="3" t="inlineStr">
        <is>
          <t>Pertemuan 13: Pengenalan Struktur Data</t>
        </is>
      </c>
      <c r="E1199" t="n">
        <v>0.7326</v>
      </c>
      <c r="F1199" t="inlineStr">
        <is>
          <t>✓</t>
        </is>
      </c>
      <c r="G1199" t="inlineStr">
        <is>
          <t>✓</t>
        </is>
      </c>
      <c r="H1199" s="3" t="inlineStr">
        <is>
          <t>h) → Directed Graph - Butuh perhitungan jalur/biaya → Weighted Graph  ---------------------------------------------------------------- CONTOH SOAL DAN PEMBAHASAN ----------------------------------------------------------</t>
        </is>
      </c>
    </row>
    <row r="1200">
      <c r="A1200" t="n">
        <v>200</v>
      </c>
      <c r="B1200" t="n">
        <v>5</v>
      </c>
      <c r="C1200" t="inlineStr">
        <is>
          <t>GT_CT13.txt</t>
        </is>
      </c>
      <c r="D1200" s="3" t="inlineStr">
        <is>
          <t>Pertemuan 13: Pengenalan Struktur Data</t>
        </is>
      </c>
      <c r="E1200" t="n">
        <v>0.7252999999999999</v>
      </c>
      <c r="F1200" t="inlineStr">
        <is>
          <t>✓</t>
        </is>
      </c>
      <c r="G1200" t="inlineStr">
        <is>
          <t>✓</t>
        </is>
      </c>
      <c r="H1200" s="3" t="inlineStr">
        <is>
          <t>entukan kemudahan dan efisiensi pengolahan.  Berbagai aplikasi komputer memerlukan struktur data yang sesuai dengan kebutuhannya. Sebagai contoh, aplikasi perkantoran seperti Microsoft Word atau Google Docs memerlukan st</t>
        </is>
      </c>
    </row>
    <row r="1201">
      <c r="A1201" t="n">
        <v>200</v>
      </c>
      <c r="B1201" t="n">
        <v>6</v>
      </c>
      <c r="C1201" t="inlineStr">
        <is>
          <t>GT_SUBTOPIK_12_Stack_Queue.txt</t>
        </is>
      </c>
      <c r="D1201" s="3" t="inlineStr">
        <is>
          <t>Subtopik: Stack dan Queue -- Operasi, Simulasi, dan Penerapan</t>
        </is>
      </c>
      <c r="E1201" t="n">
        <v>0.7095</v>
      </c>
      <c r="F1201" t="inlineStr">
        <is>
          <t>✓</t>
        </is>
      </c>
      <c r="G1201" t="inlineStr">
        <is>
          <t>✓</t>
        </is>
      </c>
      <c r="H1201" s="3" t="inlineStr">
        <is>
          <t>sitas     queue[rear] = x   function dequeue():     front = (front + 1) mod kapasitas     return queue[front]  ---------------------------------------------------------------- CONTOH SOAL DAN PEMBAHASAN -----------------</t>
        </is>
      </c>
    </row>
    <row r="1202">
      <c r="A1202" t="n">
        <v>201</v>
      </c>
      <c r="B1202" t="n">
        <v>1</v>
      </c>
      <c r="C1202" t="inlineStr">
        <is>
          <t>GT_DETAIL_PT07_Notasi_Algoritme.txt</t>
        </is>
      </c>
      <c r="D1202" s="3" t="inlineStr">
        <is>
          <t>Pertemuan 7: Algoritme — Notasi Algoritme</t>
        </is>
      </c>
      <c r="E1202" t="n">
        <v>0.7859</v>
      </c>
      <c r="F1202" t="inlineStr">
        <is>
          <t>✓</t>
        </is>
      </c>
      <c r="G1202" t="inlineStr">
        <is>
          <t>✓</t>
        </is>
      </c>
      <c r="H1202" s="3" t="inlineStr">
        <is>
          <t>perasinya linear)  c) Rata-rata n bilangan: baca semua n bilangan + 1 pembagian → O(n) [linear]  [SOAL 5 — Pseudocode: Pesan Sandi] Tuliskan pseudocode untuk MENDEKRIPSI pesan yang dienkripsi dengan tiga langkah: (1) bal</t>
        </is>
      </c>
    </row>
    <row r="1203">
      <c r="A1203" t="n">
        <v>201</v>
      </c>
      <c r="B1203" t="n">
        <v>2</v>
      </c>
      <c r="C1203" t="inlineStr">
        <is>
          <t>GT_SUBTOPIK_05_Pseudocode_Algoritme.txt</t>
        </is>
      </c>
      <c r="D1203" s="3" t="inlineStr">
        <is>
          <t>Subtopik: Pseudocode dan Notasi Algoritme</t>
        </is>
      </c>
      <c r="E1203" t="n">
        <v>0.7855</v>
      </c>
      <c r="F1203" t="inlineStr">
        <is>
          <t>✓</t>
        </is>
      </c>
      <c r="G1203" t="inlineStr">
        <is>
          <t>✓</t>
        </is>
      </c>
      <c r="H1203" s="3" t="inlineStr">
        <is>
          <t xml:space="preserve">,12),(15,17),(18,20) → p=6  [SOAL 3 — Pseudocode: Cek Prima] Tulis pseudocode untuk mengecek apakah bilangan n prima!  JAWABAN: Input : bilangan bulat n Output: "prima" atau "bukan prima"    read(n)   if (n &lt;= 1) then   </t>
        </is>
      </c>
    </row>
    <row r="1204">
      <c r="A1204" t="n">
        <v>201</v>
      </c>
      <c r="B1204" t="n">
        <v>3</v>
      </c>
      <c r="C1204" t="inlineStr">
        <is>
          <t>GT_CT07.txt</t>
        </is>
      </c>
      <c r="D1204" s="3" t="inlineStr">
        <is>
          <t>Pertemuan 7: Algoritme — Notasi Algoritme</t>
        </is>
      </c>
      <c r="E1204" t="n">
        <v>0.782</v>
      </c>
      <c r="F1204" t="inlineStr">
        <is>
          <t>✓</t>
        </is>
      </c>
      <c r="G1204" t="inlineStr">
        <is>
          <t>✓</t>
        </is>
      </c>
      <c r="H1204" s="3" t="inlineStr">
        <is>
          <t>an nilai alas dengan tinggi, lalu hasilnya dibagi dua.  2. Pseudocode: Pseudocode adalah cara informal untuk menuliskan algoritme atau rancangan program komputer. Tujuan utama pseudocode adalah untuk mendapatkan ide seca</t>
        </is>
      </c>
    </row>
    <row r="1205">
      <c r="A1205" t="n">
        <v>201</v>
      </c>
      <c r="B1205" t="n">
        <v>4</v>
      </c>
      <c r="C1205" t="inlineStr">
        <is>
          <t>GT_DETAIL_PT10_Percabangan.txt</t>
        </is>
      </c>
      <c r="D1205" s="3" t="inlineStr">
        <is>
          <t>Pertemuan 10: Struktur Kontrol — Percabangan</t>
        </is>
      </c>
      <c r="E1205" t="n">
        <v>0.7812</v>
      </c>
      <c r="F1205" t="inlineStr">
        <is>
          <t>✓</t>
        </is>
      </c>
      <c r="G1205" t="inlineStr">
        <is>
          <t>✓</t>
        </is>
      </c>
      <c r="H1205" s="3" t="inlineStr">
        <is>
          <t>------------ CONTOH SOAL DAN PEMBAHASAN ----------------------------------------------------------------  [SOAL 1 — Maks 2 Bilangan] Tuliskan pseudocode untuk menentukan bilangan terbesar dari dua bilangan a dan b!  JAWA</t>
        </is>
      </c>
    </row>
    <row r="1206">
      <c r="A1206" t="n">
        <v>201</v>
      </c>
      <c r="B1206" t="n">
        <v>5</v>
      </c>
      <c r="C1206" t="inlineStr">
        <is>
          <t>GT_SUBTOPIK_04_Modulo_Siklus.txt</t>
        </is>
      </c>
      <c r="D1206" s="3" t="inlineStr">
        <is>
          <t>Subtopik: Pattern Recognition — Modulo dan Siklus</t>
        </is>
      </c>
      <c r="E1206" t="n">
        <v>0.7689</v>
      </c>
      <c r="F1206" t="inlineStr">
        <is>
          <t>✓</t>
        </is>
      </c>
      <c r="G1206" t="inlineStr">
        <is>
          <t>✓</t>
        </is>
      </c>
      <c r="H1206" s="3" t="inlineStr">
        <is>
          <t>1×24 = 1000 - 984 = 16 08:00 + 16 jam = 24:00 = 00:00 (tengah malam) JAWABAN: Jam 00:00 (tengah malam)  [SOAL 5 — Masalah Coklat Bebek dengan Modulo] Dengan pola deret segitiga n(n+1)/2, tuliskan pseudocode untuk mencari</t>
        </is>
      </c>
    </row>
    <row r="1207">
      <c r="A1207" t="n">
        <v>201</v>
      </c>
      <c r="B1207" t="n">
        <v>6</v>
      </c>
      <c r="C1207" t="inlineStr">
        <is>
          <t>GT_DETAIL_PT11_Perulangan.txt</t>
        </is>
      </c>
      <c r="D1207" s="3" t="inlineStr">
        <is>
          <t>Pertemuan 11: Struktur Kontrol — Perulangan</t>
        </is>
      </c>
      <c r="E1207" t="n">
        <v>0.7627</v>
      </c>
      <c r="F1207" t="inlineStr">
        <is>
          <t>✓</t>
        </is>
      </c>
      <c r="G1207" t="inlineStr">
        <is>
          <t>✓</t>
        </is>
      </c>
      <c r="H1207" s="3" t="inlineStr">
        <is>
          <t xml:space="preserve">AL 11 — DO-WHILE vs WHILE] Apa perbedaan output dari dua pseudocode berikut? Kode A:   i = 10   while i &lt; 5 do     print(i)     i = i + 1  Kode B:   i = 10   do     print(i)     i = i + 1   while i &lt; 5  JAWABAN: Kode A: </t>
        </is>
      </c>
    </row>
    <row r="1208">
      <c r="A1208" t="n">
        <v>202</v>
      </c>
      <c r="B1208" t="n">
        <v>1</v>
      </c>
      <c r="C1208" t="inlineStr">
        <is>
          <t>GT_DETAIL_PT11_Perulangan.txt</t>
        </is>
      </c>
      <c r="D1208" s="3" t="inlineStr">
        <is>
          <t>Pertemuan 11: Struktur Kontrol — Perulangan</t>
        </is>
      </c>
      <c r="E1208" t="n">
        <v>0.7802</v>
      </c>
      <c r="F1208" t="inlineStr">
        <is>
          <t>✓</t>
        </is>
      </c>
      <c r="G1208" t="inlineStr">
        <is>
          <t>✓</t>
        </is>
      </c>
      <c r="H1208" s="3" t="inlineStr">
        <is>
          <t xml:space="preserve">AL 11 — DO-WHILE vs WHILE] Apa perbedaan output dari dua pseudocode berikut? Kode A:   i = 10   while i &lt; 5 do     print(i)     i = i + 1  Kode B:   i = 10   do     print(i)     i = i + 1   while i &lt; 5  JAWABAN: Kode A: </t>
        </is>
      </c>
    </row>
    <row r="1209">
      <c r="A1209" t="n">
        <v>202</v>
      </c>
      <c r="B1209" t="n">
        <v>2</v>
      </c>
      <c r="C1209" t="inlineStr">
        <is>
          <t>GT_SUBTOPIK_05_Pseudocode_Algoritme.txt</t>
        </is>
      </c>
      <c r="D1209" s="3" t="inlineStr">
        <is>
          <t>Subtopik: Pseudocode dan Notasi Algoritme</t>
        </is>
      </c>
      <c r="E1209" t="n">
        <v>0.7773</v>
      </c>
      <c r="F1209" t="inlineStr">
        <is>
          <t>✓</t>
        </is>
      </c>
      <c r="G1209" t="inlineStr">
        <is>
          <t>✓</t>
        </is>
      </c>
      <c r="H1209" s="3" t="inlineStr">
        <is>
          <t>)   : eksponensial (brute force kombinasi)  ---------------------------------------------------------------- CONTOH SOAL DAN PEMBAHASAN ----------------------------------------------------------------  [SOAL 1 — Pseudoco</t>
        </is>
      </c>
    </row>
    <row r="1210">
      <c r="A1210" t="n">
        <v>202</v>
      </c>
      <c r="B1210" t="n">
        <v>3</v>
      </c>
      <c r="C1210" t="inlineStr">
        <is>
          <t>GT_SUBTOPIK_08_Perulangan_For_While.txt</t>
        </is>
      </c>
      <c r="D1210" s="3" t="inlineStr">
        <is>
          <t>Subtopik: Perulangan — for, while, Sentinel, dan Trace</t>
        </is>
      </c>
      <c r="E1210" t="n">
        <v>0.773</v>
      </c>
      <c r="F1210" t="inlineStr">
        <is>
          <t>✓</t>
        </is>
      </c>
      <c r="G1210" t="inlineStr">
        <is>
          <t>✓</t>
        </is>
      </c>
      <c r="H1210" s="3" t="inlineStr">
        <is>
          <t xml:space="preserve"> x=5:   5 mod 3=2 ✗   → berhenti  Output: 135, 45, 15, 5 Nilai akhir x = 5  [SOAL 5 — WHILE: Digit Terbalik] Tulis pseudocode untuk membalik digit bilangan positif n! Contoh: n=12345 → output: 54321  JAWABAN:   read(n)  </t>
        </is>
      </c>
    </row>
    <row r="1211">
      <c r="A1211" t="n">
        <v>202</v>
      </c>
      <c r="B1211" t="n">
        <v>4</v>
      </c>
      <c r="C1211" t="inlineStr">
        <is>
          <t>GT_SUBTOPIK_04_Modulo_Siklus.txt</t>
        </is>
      </c>
      <c r="D1211" s="3" t="inlineStr">
        <is>
          <t>Subtopik: Pattern Recognition — Modulo dan Siklus</t>
        </is>
      </c>
      <c r="E1211" t="n">
        <v>0.7706</v>
      </c>
      <c r="F1211" t="inlineStr">
        <is>
          <t>✓</t>
        </is>
      </c>
      <c r="G1211" t="inlineStr">
        <is>
          <t>✓</t>
        </is>
      </c>
      <c r="H1211" s="3" t="inlineStr">
        <is>
          <t>1×24 = 1000 - 984 = 16 08:00 + 16 jam = 24:00 = 00:00 (tengah malam) JAWABAN: Jam 00:00 (tengah malam)  [SOAL 5 — Masalah Coklat Bebek dengan Modulo] Dengan pola deret segitiga n(n+1)/2, tuliskan pseudocode untuk mencari</t>
        </is>
      </c>
    </row>
    <row r="1212">
      <c r="A1212" t="n">
        <v>202</v>
      </c>
      <c r="B1212" t="n">
        <v>5</v>
      </c>
      <c r="C1212" t="inlineStr">
        <is>
          <t>GT_SUBTOPIK_05_Pseudocode_Algoritme.txt</t>
        </is>
      </c>
      <c r="D1212" s="3" t="inlineStr">
        <is>
          <t>Subtopik: Pseudocode dan Notasi Algoritme</t>
        </is>
      </c>
      <c r="E1212" t="n">
        <v>0.7657</v>
      </c>
      <c r="F1212" t="inlineStr">
        <is>
          <t>✓</t>
        </is>
      </c>
      <c r="G1212" t="inlineStr">
        <is>
          <t>✓</t>
        </is>
      </c>
      <c r="H1212" s="3" t="inlineStr">
        <is>
          <t xml:space="preserve">,12),(15,17),(18,20) → p=6  [SOAL 3 — Pseudocode: Cek Prima] Tulis pseudocode untuk mengecek apakah bilangan n prima!  JAWABAN: Input : bilangan bulat n Output: "prima" atau "bukan prima"    read(n)   if (n &lt;= 1) then   </t>
        </is>
      </c>
    </row>
    <row r="1213">
      <c r="A1213" t="n">
        <v>202</v>
      </c>
      <c r="B1213" t="n">
        <v>6</v>
      </c>
      <c r="C1213" t="inlineStr">
        <is>
          <t>GT_SUBTOPIK_05_Pseudocode_Algoritme.txt</t>
        </is>
      </c>
      <c r="D1213" s="3" t="inlineStr">
        <is>
          <t>Subtopik: Pseudocode dan Notasi Algoritme</t>
        </is>
      </c>
      <c r="E1213" t="n">
        <v>0.7649</v>
      </c>
      <c r="F1213" t="inlineStr">
        <is>
          <t>✓</t>
        </is>
      </c>
      <c r="G1213" t="inlineStr">
        <is>
          <t>✓</t>
        </is>
      </c>
      <c r="H1213" s="3">
        <f> n / 2                  // pembagian integer   if (biner == "") then biner = "0"   print(biner)  Trace n=13:   13 mod 2 = 1, biner="1", n=6   6 mod 2  = 0, biner="01", n=3   3 mod 2  = 1, biner="101", n=1   1 mod 2  = 1</f>
        <v/>
      </c>
    </row>
    <row r="1214">
      <c r="A1214" t="n">
        <v>203</v>
      </c>
      <c r="B1214" t="n">
        <v>1</v>
      </c>
      <c r="C1214" t="inlineStr">
        <is>
          <t>GT_DETAIL_PT07_Notasi_Algoritme.txt</t>
        </is>
      </c>
      <c r="D1214" s="3" t="inlineStr">
        <is>
          <t>Pertemuan 7: Algoritme — Notasi Algoritme</t>
        </is>
      </c>
      <c r="E1214" t="n">
        <v>0.8227</v>
      </c>
      <c r="F1214" t="inlineStr">
        <is>
          <t>✓</t>
        </is>
      </c>
      <c r="G1214" t="inlineStr">
        <is>
          <t>✓</t>
        </is>
      </c>
      <c r="H1214" s="3" t="inlineStr">
        <is>
          <t>perasinya linear)  c) Rata-rata n bilangan: baca semua n bilangan + 1 pembagian → O(n) [linear]  [SOAL 5 — Pseudocode: Pesan Sandi] Tuliskan pseudocode untuk MENDEKRIPSI pesan yang dienkripsi dengan tiga langkah: (1) bal</t>
        </is>
      </c>
    </row>
    <row r="1215">
      <c r="A1215" t="n">
        <v>203</v>
      </c>
      <c r="B1215" t="n">
        <v>2</v>
      </c>
      <c r="C1215" t="inlineStr">
        <is>
          <t>GT_DETAIL_PT10_Percabangan.txt</t>
        </is>
      </c>
      <c r="D1215" s="3" t="inlineStr">
        <is>
          <t>Pertemuan 10: Struktur Kontrol — Percabangan</t>
        </is>
      </c>
      <c r="E1215" t="n">
        <v>0.804</v>
      </c>
      <c r="F1215" t="inlineStr">
        <is>
          <t>✓</t>
        </is>
      </c>
      <c r="G1215" t="inlineStr">
        <is>
          <t>✓</t>
        </is>
      </c>
      <c r="H1215" s="3" t="inlineStr">
        <is>
          <t>------------ CONTOH SOAL DAN PEMBAHASAN ----------------------------------------------------------------  [SOAL 1 — Maks 2 Bilangan] Tuliskan pseudocode untuk menentukan bilangan terbesar dari dua bilangan a dan b!  JAWA</t>
        </is>
      </c>
    </row>
    <row r="1216">
      <c r="A1216" t="n">
        <v>203</v>
      </c>
      <c r="B1216" t="n">
        <v>3</v>
      </c>
      <c r="C1216" t="inlineStr">
        <is>
          <t>GT_CT10.txt</t>
        </is>
      </c>
      <c r="D1216" s="3" t="inlineStr">
        <is>
          <t>Pertemuan 10: Struktur Kontrol — Percabangan</t>
        </is>
      </c>
      <c r="E1216" t="n">
        <v>0.7895</v>
      </c>
      <c r="F1216" t="inlineStr">
        <is>
          <t>✓</t>
        </is>
      </c>
      <c r="G1216" t="inlineStr">
        <is>
          <t>✓</t>
        </is>
      </c>
      <c r="H1216" s="3" t="inlineStr">
        <is>
          <t xml:space="preserve">n (Loop): digunakan ketika algoritme perlu mengulang pelaksanaan instruksi tertentu sampai suatu kondisi yang ditetapkan terpenuhi.  Pertemuan ini berfokus pada pembahasan struktur kontrol percabangan secara mendalam.   </t>
        </is>
      </c>
    </row>
    <row r="1217">
      <c r="A1217" t="n">
        <v>203</v>
      </c>
      <c r="B1217" t="n">
        <v>4</v>
      </c>
      <c r="C1217" t="inlineStr">
        <is>
          <t>GT_DETAIL_PT11_Perulangan.txt</t>
        </is>
      </c>
      <c r="D1217" s="3" t="inlineStr">
        <is>
          <t>Pertemuan 11: Struktur Kontrol — Perulangan</t>
        </is>
      </c>
      <c r="E1217" t="n">
        <v>0.7851</v>
      </c>
      <c r="F1217" t="inlineStr">
        <is>
          <t>✓</t>
        </is>
      </c>
      <c r="G1217" t="inlineStr">
        <is>
          <t>✓</t>
        </is>
      </c>
      <c r="H1217" s="3" t="inlineStr">
        <is>
          <t>selalu dijalankan MINIMAL SATU KALI  F. PERULANGAN BERSARANG (NESTED LOOP)  Konsep: perulangan di dalam perulangan. - Setiap 1 iterasi luar → dalam menyelesaikan SEMUA iterasinya - Total iterasi = iterasi_luar × iterasi_</t>
        </is>
      </c>
    </row>
    <row r="1218">
      <c r="A1218" t="n">
        <v>203</v>
      </c>
      <c r="B1218" t="n">
        <v>5</v>
      </c>
      <c r="C1218" t="inlineStr">
        <is>
          <t>GT_SUBTOPIK_05_Pseudocode_Algoritme.txt</t>
        </is>
      </c>
      <c r="D1218" s="3" t="inlineStr">
        <is>
          <t>Subtopik: Pseudocode dan Notasi Algoritme</t>
        </is>
      </c>
      <c r="E1218" t="n">
        <v>0.7827</v>
      </c>
      <c r="F1218" t="inlineStr">
        <is>
          <t>✓</t>
        </is>
      </c>
      <c r="G1218" t="inlineStr">
        <is>
          <t>✓</t>
        </is>
      </c>
      <c r="H1218" s="3" t="inlineStr">
        <is>
          <t>)   : eksponensial (brute force kombinasi)  ---------------------------------------------------------------- CONTOH SOAL DAN PEMBAHASAN ----------------------------------------------------------------  [SOAL 1 — Pseudoco</t>
        </is>
      </c>
    </row>
    <row r="1219">
      <c r="A1219" t="n">
        <v>203</v>
      </c>
      <c r="B1219" t="n">
        <v>6</v>
      </c>
      <c r="C1219" t="inlineStr">
        <is>
          <t>GT_CT07.txt</t>
        </is>
      </c>
      <c r="D1219" s="3" t="inlineStr">
        <is>
          <t>Pertemuan 7: Algoritme — Notasi Algoritme</t>
        </is>
      </c>
      <c r="E1219" t="n">
        <v>0.7817</v>
      </c>
      <c r="F1219" t="inlineStr">
        <is>
          <t>✓</t>
        </is>
      </c>
      <c r="G1219" t="inlineStr">
        <is>
          <t>✓</t>
        </is>
      </c>
      <c r="H1219" s="3" t="inlineStr">
        <is>
          <t>an nilai alas dengan tinggi, lalu hasilnya dibagi dua.  2. Pseudocode: Pseudocode adalah cara informal untuk menuliskan algoritme atau rancangan program komputer. Tujuan utama pseudocode adalah untuk mendapatkan ide seca</t>
        </is>
      </c>
    </row>
    <row r="1220">
      <c r="A1220" t="n">
        <v>204</v>
      </c>
      <c r="B1220" t="n">
        <v>1</v>
      </c>
      <c r="C1220" t="inlineStr">
        <is>
          <t>GT_DETAIL_PT10_Percabangan.txt</t>
        </is>
      </c>
      <c r="D1220" s="3" t="inlineStr">
        <is>
          <t>Pertemuan 10: Struktur Kontrol — Percabangan</t>
        </is>
      </c>
      <c r="E1220" t="n">
        <v>0.8319</v>
      </c>
      <c r="F1220" t="inlineStr">
        <is>
          <t>✓</t>
        </is>
      </c>
      <c r="G1220" t="inlineStr">
        <is>
          <t>✓</t>
        </is>
      </c>
      <c r="H1220" s="3" t="inlineStr">
        <is>
          <t>------------ CONTOH SOAL DAN PEMBAHASAN ----------------------------------------------------------------  [SOAL 1 — Maks 2 Bilangan] Tuliskan pseudocode untuk menentukan bilangan terbesar dari dua bilangan a dan b!  JAWA</t>
        </is>
      </c>
    </row>
    <row r="1221">
      <c r="A1221" t="n">
        <v>204</v>
      </c>
      <c r="B1221" t="n">
        <v>2</v>
      </c>
      <c r="C1221" t="inlineStr">
        <is>
          <t>GT_CT07.txt</t>
        </is>
      </c>
      <c r="D1221" s="3" t="inlineStr">
        <is>
          <t>Pertemuan 7: Algoritme — Notasi Algoritme</t>
        </is>
      </c>
      <c r="E1221" t="n">
        <v>0.825</v>
      </c>
      <c r="F1221" t="inlineStr">
        <is>
          <t>✓</t>
        </is>
      </c>
      <c r="G1221" t="inlineStr">
        <is>
          <t>✓</t>
        </is>
      </c>
      <c r="H1221" s="3" t="inlineStr">
        <is>
          <t>an nilai alas dengan tinggi, lalu hasilnya dibagi dua.  2. Pseudocode: Pseudocode adalah cara informal untuk menuliskan algoritme atau rancangan program komputer. Tujuan utama pseudocode adalah untuk mendapatkan ide seca</t>
        </is>
      </c>
    </row>
    <row r="1222">
      <c r="A1222" t="n">
        <v>204</v>
      </c>
      <c r="B1222" t="n">
        <v>3</v>
      </c>
      <c r="C1222" t="inlineStr">
        <is>
          <t>GT_SUBTOPIK_04_Modulo_Siklus.txt</t>
        </is>
      </c>
      <c r="D1222" s="3" t="inlineStr">
        <is>
          <t>Subtopik: Pattern Recognition — Modulo dan Siklus</t>
        </is>
      </c>
      <c r="E1222" t="n">
        <v>0.8149999999999999</v>
      </c>
      <c r="F1222" t="inlineStr">
        <is>
          <t>✓</t>
        </is>
      </c>
      <c r="G1222" t="inlineStr">
        <is>
          <t>✓</t>
        </is>
      </c>
      <c r="H1222" s="3" t="inlineStr">
        <is>
          <t>1×24 = 1000 - 984 = 16 08:00 + 16 jam = 24:00 = 00:00 (tengah malam) JAWABAN: Jam 00:00 (tengah malam)  [SOAL 5 — Masalah Coklat Bebek dengan Modulo] Dengan pola deret segitiga n(n+1)/2, tuliskan pseudocode untuk mencari</t>
        </is>
      </c>
    </row>
    <row r="1223">
      <c r="A1223" t="n">
        <v>204</v>
      </c>
      <c r="B1223" t="n">
        <v>4</v>
      </c>
      <c r="C1223" t="inlineStr">
        <is>
          <t>GT_SUBTOPIK_05_Pseudocode_Algoritme.txt</t>
        </is>
      </c>
      <c r="D1223" s="3" t="inlineStr">
        <is>
          <t>Subtopik: Pseudocode dan Notasi Algoritme</t>
        </is>
      </c>
      <c r="E1223" t="n">
        <v>0.8141</v>
      </c>
      <c r="F1223" t="inlineStr">
        <is>
          <t>✓</t>
        </is>
      </c>
      <c r="G1223" t="inlineStr">
        <is>
          <t>✓</t>
        </is>
      </c>
      <c r="H1223" s="3" t="inlineStr">
        <is>
          <t xml:space="preserve">,12),(15,17),(18,20) → p=6  [SOAL 3 — Pseudocode: Cek Prima] Tulis pseudocode untuk mengecek apakah bilangan n prima!  JAWABAN: Input : bilangan bulat n Output: "prima" atau "bukan prima"    read(n)   if (n &lt;= 1) then   </t>
        </is>
      </c>
    </row>
    <row r="1224">
      <c r="A1224" t="n">
        <v>204</v>
      </c>
      <c r="B1224" t="n">
        <v>5</v>
      </c>
      <c r="C1224" t="inlineStr">
        <is>
          <t>GT_DETAIL_PT07_Notasi_Algoritme.txt</t>
        </is>
      </c>
      <c r="D1224" s="3" t="inlineStr">
        <is>
          <t>Pertemuan 7: Algoritme — Notasi Algoritme</t>
        </is>
      </c>
      <c r="E1224" t="n">
        <v>0.8082</v>
      </c>
      <c r="F1224" t="inlineStr">
        <is>
          <t>✓</t>
        </is>
      </c>
      <c r="G1224" t="inlineStr">
        <is>
          <t>✓</t>
        </is>
      </c>
      <c r="H1224" s="3" t="inlineStr">
        <is>
          <t>perasinya linear)  c) Rata-rata n bilangan: baca semua n bilangan + 1 pembagian → O(n) [linear]  [SOAL 5 — Pseudocode: Pesan Sandi] Tuliskan pseudocode untuk MENDEKRIPSI pesan yang dienkripsi dengan tiga langkah: (1) bal</t>
        </is>
      </c>
    </row>
    <row r="1225">
      <c r="A1225" t="n">
        <v>204</v>
      </c>
      <c r="B1225" t="n">
        <v>6</v>
      </c>
      <c r="C1225" t="inlineStr">
        <is>
          <t>GT_SUBTOPIK_01_Dekomposisi_Optimasi.txt</t>
        </is>
      </c>
      <c r="D1225" s="3" t="inlineStr">
        <is>
          <t>Subtopik: Dekomposisi — Optimasi dan Pemecahan Masalah Terstruktur</t>
        </is>
      </c>
      <c r="E1225" t="n">
        <v>0.8057</v>
      </c>
      <c r="F1225" t="inlineStr">
        <is>
          <t>✓</t>
        </is>
      </c>
      <c r="G1225" t="inlineStr">
        <is>
          <t>✓</t>
        </is>
      </c>
      <c r="H1225" s="3" t="inlineStr">
        <is>
          <t>nan+P3K = 14 kg, nilai=31 ← terbesar sejauh ini Semua 5 barang = 5+3+4+6+2=20 ✗  JAWABAN: Bawa Tenda+Sleeping bag+Makanan+P3K = 14 kg, nilai total = 31.  [SOAL 7 — Dekomposisi Masalah Pencarian] Jelaskan bagaimana dekomp</t>
        </is>
      </c>
    </row>
    <row r="1226">
      <c r="A1226" t="n">
        <v>205</v>
      </c>
      <c r="B1226" t="n">
        <v>1</v>
      </c>
      <c r="C1226" t="inlineStr">
        <is>
          <t>GT_DETAIL_PT07_Notasi_Algoritme.txt</t>
        </is>
      </c>
      <c r="D1226" s="3" t="inlineStr">
        <is>
          <t>Pertemuan 7: Algoritme — Notasi Algoritme</t>
        </is>
      </c>
      <c r="E1226" t="n">
        <v>0.7866</v>
      </c>
      <c r="F1226" t="inlineStr">
        <is>
          <t>✓</t>
        </is>
      </c>
      <c r="G1226" t="inlineStr">
        <is>
          <t>✓</t>
        </is>
      </c>
      <c r="H1226" s="3" t="inlineStr">
        <is>
          <t>perasinya linear)  c) Rata-rata n bilangan: baca semua n bilangan + 1 pembagian → O(n) [linear]  [SOAL 5 — Pseudocode: Pesan Sandi] Tuliskan pseudocode untuk MENDEKRIPSI pesan yang dienkripsi dengan tiga langkah: (1) bal</t>
        </is>
      </c>
    </row>
    <row r="1227">
      <c r="A1227" t="n">
        <v>205</v>
      </c>
      <c r="B1227" t="n">
        <v>2</v>
      </c>
      <c r="C1227" t="inlineStr">
        <is>
          <t>GT_DETAIL_PT11_Perulangan.txt</t>
        </is>
      </c>
      <c r="D1227" s="3" t="inlineStr">
        <is>
          <t>Pertemuan 11: Struktur Kontrol — Perulangan</t>
        </is>
      </c>
      <c r="E1227" t="n">
        <v>0.7835</v>
      </c>
      <c r="F1227" t="inlineStr">
        <is>
          <t>✓</t>
        </is>
      </c>
      <c r="G1227" t="inlineStr">
        <is>
          <t>✓</t>
        </is>
      </c>
      <c r="H1227" s="3" t="inlineStr">
        <is>
          <t>selalu dijalankan MINIMAL SATU KALI  F. PERULANGAN BERSARANG (NESTED LOOP)  Konsep: perulangan di dalam perulangan. - Setiap 1 iterasi luar → dalam menyelesaikan SEMUA iterasinya - Total iterasi = iterasi_luar × iterasi_</t>
        </is>
      </c>
    </row>
    <row r="1228">
      <c r="A1228" t="n">
        <v>205</v>
      </c>
      <c r="B1228" t="n">
        <v>3</v>
      </c>
      <c r="C1228" t="inlineStr">
        <is>
          <t>GT_CT11.txt</t>
        </is>
      </c>
      <c r="D1228" s="3" t="inlineStr">
        <is>
          <t>Pertemuan 11: Algoritme — Struktur Kontrol Perulangan</t>
        </is>
      </c>
      <c r="E1228" t="n">
        <v>0.7812</v>
      </c>
      <c r="F1228" t="inlineStr">
        <is>
          <t>✓</t>
        </is>
      </c>
      <c r="G1228" t="inlineStr">
        <is>
          <t>✓</t>
        </is>
      </c>
      <c r="H1228" s="3" t="inlineStr">
        <is>
          <t>2: x = 0; for i = 1 to 10 do; print(x); x = x + 2   ---------------------------------------------------------------- [MATERI 3: Iterasi Berdasarkan Kondisi (Perulangan "while")] ------------------------------------------</t>
        </is>
      </c>
    </row>
    <row r="1229">
      <c r="A1229" t="n">
        <v>205</v>
      </c>
      <c r="B1229" t="n">
        <v>4</v>
      </c>
      <c r="C1229" t="inlineStr">
        <is>
          <t>GT_CT10.txt</t>
        </is>
      </c>
      <c r="D1229" s="3" t="inlineStr">
        <is>
          <t>Pertemuan 10: Struktur Kontrol — Percabangan</t>
        </is>
      </c>
      <c r="E1229" t="n">
        <v>0.7805</v>
      </c>
      <c r="F1229" t="inlineStr">
        <is>
          <t>✓</t>
        </is>
      </c>
      <c r="G1229" t="inlineStr">
        <is>
          <t>✓</t>
        </is>
      </c>
      <c r="H1229" s="3" t="inlineStr">
        <is>
          <t xml:space="preserve">n (Loop): digunakan ketika algoritme perlu mengulang pelaksanaan instruksi tertentu sampai suatu kondisi yang ditetapkan terpenuhi.  Pertemuan ini berfokus pada pembahasan struktur kontrol percabangan secara mendalam.   </t>
        </is>
      </c>
    </row>
    <row r="1230">
      <c r="A1230" t="n">
        <v>205</v>
      </c>
      <c r="B1230" t="n">
        <v>5</v>
      </c>
      <c r="C1230" t="inlineStr">
        <is>
          <t>GT_DETAIL_PT10_Percabangan.txt</t>
        </is>
      </c>
      <c r="D1230" s="3" t="inlineStr">
        <is>
          <t>Pertemuan 10: Struktur Kontrol — Percabangan</t>
        </is>
      </c>
      <c r="E1230" t="n">
        <v>0.7699</v>
      </c>
      <c r="F1230" t="inlineStr">
        <is>
          <t>✓</t>
        </is>
      </c>
      <c r="G1230" t="inlineStr">
        <is>
          <t>✓</t>
        </is>
      </c>
      <c r="H1230" s="3" t="inlineStr">
        <is>
          <t>------------ CONTOH SOAL DAN PEMBAHASAN ----------------------------------------------------------------  [SOAL 1 — Maks 2 Bilangan] Tuliskan pseudocode untuk menentukan bilangan terbesar dari dua bilangan a dan b!  JAWA</t>
        </is>
      </c>
    </row>
    <row r="1231">
      <c r="A1231" t="n">
        <v>205</v>
      </c>
      <c r="B1231" t="n">
        <v>6</v>
      </c>
      <c r="C1231" t="inlineStr">
        <is>
          <t>GT_SUBTOPIK_05_Pseudocode_Algoritme.txt</t>
        </is>
      </c>
      <c r="D1231" s="3" t="inlineStr">
        <is>
          <t>Subtopik: Pseudocode dan Notasi Algoritme</t>
        </is>
      </c>
      <c r="E1231" t="n">
        <v>0.7663</v>
      </c>
      <c r="F1231" t="inlineStr">
        <is>
          <t>✓</t>
        </is>
      </c>
      <c r="G1231" t="inlineStr">
        <is>
          <t>✓</t>
        </is>
      </c>
      <c r="H1231" s="3" t="inlineStr">
        <is>
          <t>)   : eksponensial (brute force kombinasi)  ---------------------------------------------------------------- CONTOH SOAL DAN PEMBAHASAN ----------------------------------------------------------------  [SOAL 1 — Pseudoco</t>
        </is>
      </c>
    </row>
    <row r="1232">
      <c r="A1232" t="n">
        <v>206</v>
      </c>
      <c r="B1232" t="n">
        <v>1</v>
      </c>
      <c r="C1232" t="inlineStr">
        <is>
          <t>GT_CT07.txt</t>
        </is>
      </c>
      <c r="D1232" s="3" t="inlineStr">
        <is>
          <t>Pertemuan 7: Algoritme — Notasi Algoritme</t>
        </is>
      </c>
      <c r="E1232" t="n">
        <v>0.8488</v>
      </c>
      <c r="F1232" t="inlineStr">
        <is>
          <t>✓</t>
        </is>
      </c>
      <c r="G1232" t="inlineStr">
        <is>
          <t>✓</t>
        </is>
      </c>
      <c r="H1232" s="3" t="inlineStr">
        <is>
          <t>an nilai alas dengan tinggi, lalu hasilnya dibagi dua.  2. Pseudocode: Pseudocode adalah cara informal untuk menuliskan algoritme atau rancangan program komputer. Tujuan utama pseudocode adalah untuk mendapatkan ide seca</t>
        </is>
      </c>
    </row>
    <row r="1233">
      <c r="A1233" t="n">
        <v>206</v>
      </c>
      <c r="B1233" t="n">
        <v>2</v>
      </c>
      <c r="C1233" t="inlineStr">
        <is>
          <t>GT_DETAIL_PT10_Percabangan.txt</t>
        </is>
      </c>
      <c r="D1233" s="3" t="inlineStr">
        <is>
          <t>Pertemuan 10: Struktur Kontrol — Percabangan</t>
        </is>
      </c>
      <c r="E1233" t="n">
        <v>0.8292</v>
      </c>
      <c r="F1233" t="inlineStr">
        <is>
          <t>✓</t>
        </is>
      </c>
      <c r="G1233" t="inlineStr">
        <is>
          <t>✓</t>
        </is>
      </c>
      <c r="H1233" s="3" t="inlineStr">
        <is>
          <t>------------ CONTOH SOAL DAN PEMBAHASAN ----------------------------------------------------------------  [SOAL 1 — Maks 2 Bilangan] Tuliskan pseudocode untuk menentukan bilangan terbesar dari dua bilangan a dan b!  JAWA</t>
        </is>
      </c>
    </row>
    <row r="1234">
      <c r="A1234" t="n">
        <v>206</v>
      </c>
      <c r="B1234" t="n">
        <v>3</v>
      </c>
      <c r="C1234" t="inlineStr">
        <is>
          <t>GT_SUBTOPIK_05_Pseudocode_Algoritme.txt</t>
        </is>
      </c>
      <c r="D1234" s="3" t="inlineStr">
        <is>
          <t>Subtopik: Pseudocode dan Notasi Algoritme</t>
        </is>
      </c>
      <c r="E1234" t="n">
        <v>0.8106</v>
      </c>
      <c r="F1234" t="inlineStr">
        <is>
          <t>✓</t>
        </is>
      </c>
      <c r="G1234" t="inlineStr">
        <is>
          <t>✓</t>
        </is>
      </c>
      <c r="H1234" s="3" t="inlineStr">
        <is>
          <t xml:space="preserve">,12),(15,17),(18,20) → p=6  [SOAL 3 — Pseudocode: Cek Prima] Tulis pseudocode untuk mengecek apakah bilangan n prima!  JAWABAN: Input : bilangan bulat n Output: "prima" atau "bukan prima"    read(n)   if (n &lt;= 1) then   </t>
        </is>
      </c>
    </row>
    <row r="1235">
      <c r="A1235" t="n">
        <v>206</v>
      </c>
      <c r="B1235" t="n">
        <v>4</v>
      </c>
      <c r="C1235" t="inlineStr">
        <is>
          <t>GT_CT07.txt</t>
        </is>
      </c>
      <c r="D1235" s="3" t="inlineStr">
        <is>
          <t>Pertemuan 7: Algoritme — Notasi Algoritme</t>
        </is>
      </c>
      <c r="E1235" t="n">
        <v>0.7964</v>
      </c>
      <c r="F1235" t="inlineStr">
        <is>
          <t>✓</t>
        </is>
      </c>
      <c r="G1235" t="inlineStr">
        <is>
          <t>✓</t>
        </is>
      </c>
      <c r="H1235" s="3" t="inlineStr">
        <is>
          <t>mbigu, artinya setiap tahap hanya memiliki satu makna yang pasti. 3. Finiteness, yaitu memiliki batas jumlah langkah yang terhingga dan tidak berjalan selamanya. 4. Feasibility, artinya sesuai dengan sumber daya yang ter</t>
        </is>
      </c>
    </row>
    <row r="1236">
      <c r="A1236" t="n">
        <v>206</v>
      </c>
      <c r="B1236" t="n">
        <v>5</v>
      </c>
      <c r="C1236" t="inlineStr">
        <is>
          <t>GT_CT09.txt</t>
        </is>
      </c>
      <c r="D1236" s="3" t="inlineStr">
        <is>
          <t>Pertemuan 9: Elemen Pseudocode — Variabel, Operator, Tipe Data, dan List</t>
        </is>
      </c>
      <c r="E1236" t="n">
        <v>0.7904</v>
      </c>
      <c r="F1236" t="inlineStr">
        <is>
          <t>✓</t>
        </is>
      </c>
      <c r="G1236" t="inlineStr">
        <is>
          <t>✓</t>
        </is>
      </c>
      <c r="H1236" s="3" t="inlineStr">
        <is>
          <t>h atau operasi yang dilakukan. 5. Struktur Kendali: mekanisme pengaturan alur eksekusi algoritme.  Pertemuan ini berfokus pada pembahasan mendalam terhadap variabel, instruksi, assignment, tipe data, dan operator sebagai</t>
        </is>
      </c>
    </row>
    <row r="1237">
      <c r="A1237" t="n">
        <v>206</v>
      </c>
      <c r="B1237" t="n">
        <v>6</v>
      </c>
      <c r="C1237" t="inlineStr">
        <is>
          <t>GT_CT10.txt</t>
        </is>
      </c>
      <c r="D1237" s="3" t="inlineStr">
        <is>
          <t>Pertemuan 10: Struktur Kontrol — Percabangan</t>
        </is>
      </c>
      <c r="E1237" t="n">
        <v>0.7893</v>
      </c>
      <c r="F1237" t="inlineStr">
        <is>
          <t>✓</t>
        </is>
      </c>
      <c r="G1237" t="inlineStr">
        <is>
          <t>✓</t>
        </is>
      </c>
      <c r="H1237" s="3" t="inlineStr">
        <is>
          <t xml:space="preserve">n (Loop): digunakan ketika algoritme perlu mengulang pelaksanaan instruksi tertentu sampai suatu kondisi yang ditetapkan terpenuhi.  Pertemuan ini berfokus pada pembahasan struktur kontrol percabangan secara mendalam.   </t>
        </is>
      </c>
    </row>
    <row r="1238">
      <c r="A1238" t="n">
        <v>207</v>
      </c>
      <c r="B1238" t="n">
        <v>1</v>
      </c>
      <c r="C1238" t="inlineStr">
        <is>
          <t>GT_CT07.txt</t>
        </is>
      </c>
      <c r="D1238" s="3" t="inlineStr">
        <is>
          <t>Pertemuan 7: Algoritme — Notasi Algoritme</t>
        </is>
      </c>
      <c r="E1238" t="n">
        <v>0.7368</v>
      </c>
      <c r="F1238" t="inlineStr">
        <is>
          <t>✓</t>
        </is>
      </c>
      <c r="G1238" t="inlineStr">
        <is>
          <t>✓</t>
        </is>
      </c>
      <c r="H1238" s="3" t="inlineStr">
        <is>
          <t>) dan selisih angka yang dicari (d). Output: banyaknya pasangan bilangan dengan selisih sebesar d (p). Proses: (a) Urutkan n bilangan secara menaik menjadi m1, m2, ..., mn; (b) Inisialisasi p = 0; (c) Untuk setiap i dari</t>
        </is>
      </c>
    </row>
    <row r="1239">
      <c r="A1239" t="n">
        <v>207</v>
      </c>
      <c r="B1239" t="n">
        <v>2</v>
      </c>
      <c r="C1239" t="inlineStr">
        <is>
          <t>GT_CT06.txt</t>
        </is>
      </c>
      <c r="D1239" s="3" t="inlineStr">
        <is>
          <t>Pertemuan 6: Pengenalan Algoritme &amp; Block Programming</t>
        </is>
      </c>
      <c r="E1239" t="n">
        <v>0.728</v>
      </c>
      <c r="F1239" t="inlineStr">
        <is>
          <t>✓</t>
        </is>
      </c>
      <c r="G1239" t="inlineStr">
        <is>
          <t>✓</t>
        </is>
      </c>
      <c r="H1239" s="3" t="inlineStr">
        <is>
          <t>ada code.org terdiri dari empat area utama yang saling berinteraksi, yaitu:  1. Area Blok (Block Area): tempat di mana seluruh blok instruksi yang tersedia ditampilkan dan dapat dipilih oleh pengguna. 2. Area Kerja (Work</t>
        </is>
      </c>
    </row>
    <row r="1240">
      <c r="A1240" t="n">
        <v>207</v>
      </c>
      <c r="B1240" t="n">
        <v>3</v>
      </c>
      <c r="C1240" t="inlineStr">
        <is>
          <t>GT_CT06.txt</t>
        </is>
      </c>
      <c r="D1240" s="3" t="inlineStr">
        <is>
          <t>Pertemuan 6: Pengenalan Algoritme &amp; Block Programming</t>
        </is>
      </c>
      <c r="E1240" t="n">
        <v>0.7265</v>
      </c>
      <c r="F1240" t="inlineStr">
        <is>
          <t>✓</t>
        </is>
      </c>
      <c r="G1240" t="inlineStr">
        <is>
          <t>✓</t>
        </is>
      </c>
      <c r="H1240" s="3" t="inlineStr">
        <is>
          <t>a eksis dalam dunia komputasi, tetapi juga dapat ditemukan dalam kehidupan sehari-hari dalam berbagai bentuk instruksi terstruktur, seperti buku manual mesin cuci dan panduan penggunaan perangkat elektronik (misalnya App</t>
        </is>
      </c>
    </row>
    <row r="1241">
      <c r="A1241" t="n">
        <v>207</v>
      </c>
      <c r="B1241" t="n">
        <v>4</v>
      </c>
      <c r="C1241" t="inlineStr">
        <is>
          <t>GT_CT10.txt</t>
        </is>
      </c>
      <c r="D1241" s="3" t="inlineStr">
        <is>
          <t>Pertemuan 10: Struktur Kontrol — Percabangan</t>
        </is>
      </c>
      <c r="E1241" t="n">
        <v>0.7227</v>
      </c>
      <c r="F1241" t="inlineStr">
        <is>
          <t>✓</t>
        </is>
      </c>
      <c r="G1241" t="inlineStr">
        <is>
          <t>✓</t>
        </is>
      </c>
      <c r="H1241" s="3" t="inlineStr">
        <is>
          <t xml:space="preserve">n (Loop): digunakan ketika algoritme perlu mengulang pelaksanaan instruksi tertentu sampai suatu kondisi yang ditetapkan terpenuhi.  Pertemuan ini berfokus pada pembahasan struktur kontrol percabangan secara mendalam.   </t>
        </is>
      </c>
    </row>
    <row r="1242">
      <c r="A1242" t="n">
        <v>207</v>
      </c>
      <c r="B1242" t="n">
        <v>5</v>
      </c>
      <c r="C1242" t="inlineStr">
        <is>
          <t>GT_CT06.txt</t>
        </is>
      </c>
      <c r="D1242" s="3" t="inlineStr">
        <is>
          <t>Pertemuan 6: Pengenalan Algoritme &amp; Block Programming</t>
        </is>
      </c>
      <c r="E1242" t="n">
        <v>0.7187</v>
      </c>
      <c r="F1242" t="inlineStr">
        <is>
          <t>✓</t>
        </is>
      </c>
      <c r="G1242" t="inlineStr">
        <is>
          <t>✓</t>
        </is>
      </c>
      <c r="H1242" s="3" t="inlineStr">
        <is>
          <t xml:space="preserve"> Dari sisi target pengguna, block programming cocok untuk anak-anak dan pemula, sedangkan text programming lebih sesuai untuk kalangan profesional. Dari sisi fleksibilitas, block programming bersifat terbatas dan lebih d</t>
        </is>
      </c>
    </row>
    <row r="1243">
      <c r="A1243" t="n">
        <v>207</v>
      </c>
      <c r="B1243" t="n">
        <v>6</v>
      </c>
      <c r="C1243" t="inlineStr">
        <is>
          <t>GT_DETAIL_PT12_Fungsi.txt</t>
        </is>
      </c>
      <c r="D1243" s="3" t="inlineStr">
        <is>
          <t>Pertemuan 12: Fungsi</t>
        </is>
      </c>
      <c r="E1243" t="n">
        <v>0.7141999999999999</v>
      </c>
      <c r="F1243" t="inlineStr">
        <is>
          <t>✓</t>
        </is>
      </c>
      <c r="G1243" t="inlineStr">
        <is>
          <t>✓</t>
        </is>
      </c>
      <c r="H1243" s="3" t="inlineStr">
        <is>
          <t>EDUR vs. FUNGSI  Prosedur: - Blok kode yang melakukan sesuatu tanpa mengembalikan nilai - Contoh: print(), prosedur meowing() yang langsung print - Tidak ada return type / return type void  Fungsi: - Blok kode yang mengh</t>
        </is>
      </c>
    </row>
    <row r="1244">
      <c r="A1244" t="n">
        <v>208</v>
      </c>
      <c r="B1244" t="n">
        <v>1</v>
      </c>
      <c r="C1244" t="inlineStr">
        <is>
          <t>2TGR.txt</t>
        </is>
      </c>
      <c r="D1244" s="3" t="inlineStr">
        <is>
          <t>Profil Kognitif 2TGR</t>
        </is>
      </c>
      <c r="E1244" t="n">
        <v>0.7311</v>
      </c>
      <c r="F1244" t="inlineStr">
        <is>
          <t>✓</t>
        </is>
      </c>
      <c r="G1244" t="inlineStr">
        <is>
          <t>✓</t>
        </is>
      </c>
      <c r="H1244" s="3" t="inlineStr">
        <is>
          <t>KOMBINASI KOGNITIF: 2TGR Pedagogi: Connect learning Tipe Kognitif: TGR  1. Deskripsi User menunjukkan pendekatan reflektif saat hubungan antara materi baru dan konsep besar disampaikan melalui teks. User merenungkan rele</t>
        </is>
      </c>
    </row>
    <row r="1245">
      <c r="A1245" t="n">
        <v>208</v>
      </c>
      <c r="B1245" t="n">
        <v>2</v>
      </c>
      <c r="C1245" t="inlineStr">
        <is>
          <t>2TAR.txt</t>
        </is>
      </c>
      <c r="D1245" s="3" t="inlineStr">
        <is>
          <t>Profil Kognitif 2TAR</t>
        </is>
      </c>
      <c r="E1245" t="n">
        <v>0.7282</v>
      </c>
      <c r="F1245" t="inlineStr">
        <is>
          <t>✓</t>
        </is>
      </c>
      <c r="G1245" t="inlineStr">
        <is>
          <t>✓</t>
        </is>
      </c>
      <c r="H1245" s="3" t="inlineStr">
        <is>
          <t>KOMBINASI KOGNITIF: 2TAR Pedagogi: Connect learning Tipe Kognitif: TAR  1. Deskripsi User menunjukkan pemikiran analitis ketika keterkaitan materi lama dan baru dijelaskan secara rinci melalui teks. User secara aktif mem</t>
        </is>
      </c>
    </row>
    <row r="1246">
      <c r="A1246" t="n">
        <v>208</v>
      </c>
      <c r="B1246" t="n">
        <v>3</v>
      </c>
      <c r="C1246" t="inlineStr">
        <is>
          <t>2PGR.txt</t>
        </is>
      </c>
      <c r="D1246" s="3" t="inlineStr">
        <is>
          <t>Profil Kognitif 2PGR</t>
        </is>
      </c>
      <c r="E1246" t="n">
        <v>0.7271</v>
      </c>
      <c r="F1246" t="inlineStr">
        <is>
          <t>✓</t>
        </is>
      </c>
      <c r="G1246" t="inlineStr">
        <is>
          <t>✓</t>
        </is>
      </c>
      <c r="H1246" s="3" t="inlineStr">
        <is>
          <t>KOMBINASI KOGNITIF: 2PGR Pedagogi: Connect learning Tipe Kognitif: PGR  1. Deskripsi User menunjukkan kecenderungan reflektif ketika hubungan materi divisualisasikan. User mengamati visual secara menyeluruh dan merenungk</t>
        </is>
      </c>
    </row>
    <row r="1247">
      <c r="A1247" t="n">
        <v>208</v>
      </c>
      <c r="B1247" t="n">
        <v>4</v>
      </c>
      <c r="C1247" t="inlineStr">
        <is>
          <t>2TGI.txt</t>
        </is>
      </c>
      <c r="D1247" s="3" t="inlineStr">
        <is>
          <t>Profil Kognitif 2TGI</t>
        </is>
      </c>
      <c r="E1247" t="n">
        <v>0.7269</v>
      </c>
      <c r="F1247" t="inlineStr">
        <is>
          <t>✓</t>
        </is>
      </c>
      <c r="G1247" t="inlineStr">
        <is>
          <t>✓</t>
        </is>
      </c>
      <c r="H1247" s="3" t="inlineStr">
        <is>
          <t>KOMBINASI KOGNITIF: 2TGI Pedagogi: Connect learning Tipe Kognitif: TGI  1. Deskripsi User menunjukkan kemampuan mengenali pola dan konteks dengan cepat ketika materi baru dihubungkan dengan konsep umum atau pengalaman pr</t>
        </is>
      </c>
    </row>
    <row r="1248">
      <c r="A1248" t="n">
        <v>208</v>
      </c>
      <c r="B1248" t="n">
        <v>5</v>
      </c>
      <c r="C1248" t="inlineStr">
        <is>
          <t>2PAR.txt</t>
        </is>
      </c>
      <c r="D1248" s="3" t="inlineStr">
        <is>
          <t>Profil Kognitif 2PAR</t>
        </is>
      </c>
      <c r="E1248" t="n">
        <v>0.7202</v>
      </c>
      <c r="F1248" t="inlineStr">
        <is>
          <t>✓</t>
        </is>
      </c>
      <c r="G1248" t="inlineStr">
        <is>
          <t>✓</t>
        </is>
      </c>
      <c r="H1248" s="3" t="inlineStr">
        <is>
          <t>KOMBINASI KOGNITIF: 2PAR Pedagogi: Connect learning Tipe Kognitif: PAR  1. Deskripsi User menunjukkan pendekatan analitis mendalam saat hubungan materi baru divisualisasikan secara rinci. User menganalisis setiap kompone</t>
        </is>
      </c>
    </row>
    <row r="1249">
      <c r="A1249" t="n">
        <v>208</v>
      </c>
      <c r="B1249" t="n">
        <v>6</v>
      </c>
      <c r="C1249" t="inlineStr">
        <is>
          <t>2PAI.txt</t>
        </is>
      </c>
      <c r="D1249" s="3" t="inlineStr">
        <is>
          <t>Profil Kognitif 2PAI</t>
        </is>
      </c>
      <c r="E1249" t="n">
        <v>0.7171999999999999</v>
      </c>
      <c r="F1249" t="inlineStr">
        <is>
          <t>✓</t>
        </is>
      </c>
      <c r="G1249" t="inlineStr">
        <is>
          <t>✓</t>
        </is>
      </c>
      <c r="H1249" s="3" t="inlineStr">
        <is>
          <t>KOMBINASI KOGNITIF: 2PAI Pedagogi: Connect learning Tipe Kognitif: PAI  1. Deskripsi User menunjukkan kemampuan menangkap detail penting secara cepat ketika hubungan rinci antara materi lama dan baru divisualisasikan. Us</t>
        </is>
      </c>
    </row>
    <row r="1250">
      <c r="A1250" t="n">
        <v>209</v>
      </c>
      <c r="B1250" t="n">
        <v>1</v>
      </c>
      <c r="C1250" t="inlineStr">
        <is>
          <t>GT_CT01.txt</t>
        </is>
      </c>
      <c r="D1250" s="3" t="inlineStr">
        <is>
          <t>Pertemuan 1: Kontrak Perkuliahan dan Pendahuluan</t>
        </is>
      </c>
      <c r="E1250" t="n">
        <v>0.7614</v>
      </c>
      <c r="F1250" t="inlineStr">
        <is>
          <t>✓</t>
        </is>
      </c>
      <c r="G1250" t="inlineStr">
        <is>
          <t>✓</t>
        </is>
      </c>
      <c r="H1250" s="3" t="inlineStr">
        <is>
          <t>emecah masalah besar menjadi submasalah yang lebih kecil dan mudah ditangani (dekomposisi).  Berdasarkan ketentuan beban SKS, setiap mahasiswa diperkirakan menghabiskan total 340 menit atau sekitar 5 jam 40 menit per min</t>
        </is>
      </c>
    </row>
    <row r="1251">
      <c r="A1251" t="n">
        <v>209</v>
      </c>
      <c r="B1251" t="n">
        <v>2</v>
      </c>
      <c r="C1251" t="inlineStr">
        <is>
          <t>GT_DETAIL_PT06_Block_Programming.txt</t>
        </is>
      </c>
      <c r="D1251" s="3" t="inlineStr">
        <is>
          <t>Pertemuan 6: Pengenalan Algoritme &amp; Block Programming</t>
        </is>
      </c>
      <c r="E1251" t="n">
        <v>0.7498</v>
      </c>
      <c r="F1251" t="inlineStr">
        <is>
          <t>✓</t>
        </is>
      </c>
      <c r="G1251" t="inlineStr">
        <is>
          <t>✓</t>
        </is>
      </c>
      <c r="H1251" s="3" t="inlineStr">
        <is>
          <t>nkan komputer untuk melakukan tugas tertentu. Bahasa pemrograman: Python, Java, C++, JavaScript, dll.  Tantangan belajar pemrograman: 1. Memahami sintaks bahasa pemrograman 2. Membangun logika berpikir algoritmik 3. Kema</t>
        </is>
      </c>
    </row>
    <row r="1252">
      <c r="A1252" t="n">
        <v>209</v>
      </c>
      <c r="B1252" t="n">
        <v>3</v>
      </c>
      <c r="C1252" t="inlineStr">
        <is>
          <t>GT_CT01.txt</t>
        </is>
      </c>
      <c r="D1252" s="3" t="inlineStr">
        <is>
          <t>Pertemuan 1: Kontrak Perkuliahan dan Pendahuluan</t>
        </is>
      </c>
      <c r="E1252" t="n">
        <v>0.7497</v>
      </c>
      <c r="F1252" t="inlineStr">
        <is>
          <t>✓</t>
        </is>
      </c>
      <c r="G1252" t="inlineStr">
        <is>
          <t>✓</t>
        </is>
      </c>
      <c r="H1252" s="3" t="inlineStr">
        <is>
          <t>gi; (3) Dekomposisi — pengertian, teori, dan penerapan dekomposisi dalam problem solving; (4) Abstraksi — definisi dan penerapan abstraction dalam problem solving; (5) Pengenalan Pola — definisi dan penerapan pattern rec</t>
        </is>
      </c>
    </row>
    <row r="1253">
      <c r="A1253" t="n">
        <v>209</v>
      </c>
      <c r="B1253" t="n">
        <v>4</v>
      </c>
      <c r="C1253" t="inlineStr">
        <is>
          <t>GT_CT03.txt</t>
        </is>
      </c>
      <c r="D1253" s="3" t="inlineStr">
        <is>
          <t>Pertemuan 3: Problem Solving — Dekomposisi</t>
        </is>
      </c>
      <c r="E1253" t="n">
        <v>0.7403999999999999</v>
      </c>
      <c r="F1253" t="inlineStr">
        <is>
          <t>✓</t>
        </is>
      </c>
      <c r="G1253" t="inlineStr">
        <is>
          <t>✓</t>
        </is>
      </c>
      <c r="H1253" s="3" t="inlineStr">
        <is>
          <t xml:space="preserve"> terstruktur dan sistematis. Kata kunci dari konsep dekomposisi adalah: BREAKING BIG PROBLEMS INTO SMALLER AND EASIER TO MANAGE PROBLEMS.  Prinsip dekomposisi mengikuti pola hierarkis, di mana sebuah masalah besar (misal</t>
        </is>
      </c>
    </row>
    <row r="1254">
      <c r="A1254" t="n">
        <v>209</v>
      </c>
      <c r="B1254" t="n">
        <v>5</v>
      </c>
      <c r="C1254" t="inlineStr">
        <is>
          <t>GT_CT13.txt</t>
        </is>
      </c>
      <c r="D1254" s="3" t="inlineStr">
        <is>
          <t>Pertemuan 13: Pengenalan Struktur Data</t>
        </is>
      </c>
      <c r="E1254" t="n">
        <v>0.7397</v>
      </c>
      <c r="F1254" t="inlineStr">
        <is>
          <t>✓</t>
        </is>
      </c>
      <c r="G1254" t="inlineStr">
        <is>
          <t>✓</t>
        </is>
      </c>
      <c r="H1254" s="3" t="inlineStr">
        <is>
          <t>ai urutan kedatangannya. - Sistem kecerdasan buatan dalam permainan catur yang merepresentasikan berbagai kemungkinan langkah ke depan: struktur data yang paling tepat adalah Tree, karena setiap kemungkinan langkah berca</t>
        </is>
      </c>
    </row>
    <row r="1255">
      <c r="A1255" t="n">
        <v>209</v>
      </c>
      <c r="B1255" t="n">
        <v>6</v>
      </c>
      <c r="C1255" t="inlineStr">
        <is>
          <t>GT_CT06.txt</t>
        </is>
      </c>
      <c r="D1255" s="3" t="inlineStr">
        <is>
          <t>Pertemuan 6: Pengenalan Algoritme &amp; Block Programming</t>
        </is>
      </c>
      <c r="E1255" t="n">
        <v>0.737</v>
      </c>
      <c r="F1255" t="inlineStr">
        <is>
          <t>✓</t>
        </is>
      </c>
      <c r="G1255" t="inlineStr">
        <is>
          <t>✓</t>
        </is>
      </c>
      <c r="H1255" s="3" t="inlineStr">
        <is>
          <t>mudah dan lebih mudah diakses, terutama bagi pemula.  Block programming adalah metode pemrograman yang menggunakan blok-blok visual berbentuk puzzle yang dapat disusun dengan cara drag and drop, sehingga relatif lebih mu</t>
        </is>
      </c>
    </row>
    <row r="1256">
      <c r="A1256" t="n">
        <v>210</v>
      </c>
      <c r="B1256" t="n">
        <v>1</v>
      </c>
      <c r="C1256" t="inlineStr">
        <is>
          <t>GT_CT03.txt</t>
        </is>
      </c>
      <c r="D1256" s="3" t="inlineStr">
        <is>
          <t>Pertemuan 3: Problem Solving — Dekomposisi</t>
        </is>
      </c>
      <c r="E1256" t="n">
        <v>0.7881</v>
      </c>
      <c r="F1256" t="inlineStr">
        <is>
          <t>✓</t>
        </is>
      </c>
      <c r="G1256" t="inlineStr">
        <is>
          <t>✓</t>
        </is>
      </c>
      <c r="H1256" s="3" t="inlineStr">
        <is>
          <t xml:space="preserve"> terstruktur dan sistematis. Kata kunci dari konsep dekomposisi adalah: BREAKING BIG PROBLEMS INTO SMALLER AND EASIER TO MANAGE PROBLEMS.  Prinsip dekomposisi mengikuti pola hierarkis, di mana sebuah masalah besar (misal</t>
        </is>
      </c>
    </row>
    <row r="1257">
      <c r="A1257" t="n">
        <v>210</v>
      </c>
      <c r="B1257" t="n">
        <v>2</v>
      </c>
      <c r="C1257" t="inlineStr">
        <is>
          <t>GT_CT01.txt</t>
        </is>
      </c>
      <c r="D1257" s="3" t="inlineStr">
        <is>
          <t>Pertemuan 1: Kontrak Perkuliahan dan Pendahuluan</t>
        </is>
      </c>
      <c r="E1257" t="n">
        <v>0.7853</v>
      </c>
      <c r="F1257" t="inlineStr">
        <is>
          <t>✓</t>
        </is>
      </c>
      <c r="G1257" t="inlineStr">
        <is>
          <t>✓</t>
        </is>
      </c>
      <c r="H1257" s="3" t="inlineStr">
        <is>
          <t>emecah masalah besar menjadi submasalah yang lebih kecil dan mudah ditangani (dekomposisi).  Berdasarkan ketentuan beban SKS, setiap mahasiswa diperkirakan menghabiskan total 340 menit atau sekitar 5 jam 40 menit per min</t>
        </is>
      </c>
    </row>
    <row r="1258">
      <c r="A1258" t="n">
        <v>210</v>
      </c>
      <c r="B1258" t="n">
        <v>3</v>
      </c>
      <c r="C1258" t="inlineStr">
        <is>
          <t>5PGI.txt</t>
        </is>
      </c>
      <c r="D1258" s="3" t="inlineStr">
        <is>
          <t>Profil Kognitif 5PGI</t>
        </is>
      </c>
      <c r="E1258" t="n">
        <v>0.7596000000000001</v>
      </c>
      <c r="F1258" t="inlineStr">
        <is>
          <t>✓</t>
        </is>
      </c>
      <c r="G1258" t="inlineStr">
        <is>
          <t>✓</t>
        </is>
      </c>
      <c r="H1258" s="3" t="inlineStr">
        <is>
          <t>uatan aspek CT sesuai profil ini. - Pertanyaan perlu diarahkan untuk memperdalam analisis, refleksi, dan pemecahan masalah. - Gunakan pendekatan akademik dan scaffolding kognitif. - Tipe feedback yang disarankan: nan</t>
        </is>
      </c>
    </row>
    <row r="1259">
      <c r="A1259" t="n">
        <v>210</v>
      </c>
      <c r="B1259" t="n">
        <v>4</v>
      </c>
      <c r="C1259" t="inlineStr">
        <is>
          <t>6TAI.txt</t>
        </is>
      </c>
      <c r="D1259" s="3" t="inlineStr">
        <is>
          <t>Profil Kognitif 6TAI</t>
        </is>
      </c>
      <c r="E1259" t="n">
        <v>0.7595</v>
      </c>
      <c r="F1259" t="inlineStr">
        <is>
          <t>✓</t>
        </is>
      </c>
      <c r="G1259" t="inlineStr">
        <is>
          <t>✓</t>
        </is>
      </c>
      <c r="H1259" s="3" t="inlineStr">
        <is>
          <t>nguatan aspek CT sesuai profil ini. - Pertanyaan perlu diarahkan untuk memperdalam analisis, refleksi, dan pemecahan masalah. - Gunakan pendekatan akademik dan scaffolding kognitif. - Tipe feedback yang disarankan: nan</t>
        </is>
      </c>
    </row>
    <row r="1260">
      <c r="A1260" t="n">
        <v>210</v>
      </c>
      <c r="B1260" t="n">
        <v>5</v>
      </c>
      <c r="C1260" t="inlineStr">
        <is>
          <t>6PGR.txt</t>
        </is>
      </c>
      <c r="D1260" s="3" t="inlineStr">
        <is>
          <t>Profil Kognitif 6PGR</t>
        </is>
      </c>
      <c r="E1260" t="n">
        <v>0.7592</v>
      </c>
      <c r="F1260" t="inlineStr">
        <is>
          <t>✓</t>
        </is>
      </c>
      <c r="G1260" t="inlineStr">
        <is>
          <t>✓</t>
        </is>
      </c>
      <c r="H1260" s="3" t="inlineStr">
        <is>
          <t>gesti Fokus untuk LLM - Fokus pada penguatan aspek CT sesuai profil ini. - Pertanyaan perlu diarahkan untuk memperdalam analisis, refleksi, dan pemecahan masalah. - Gunakan pendekatan akademik dan scaffolding kognitif. -</t>
        </is>
      </c>
    </row>
    <row r="1261">
      <c r="A1261" t="n">
        <v>210</v>
      </c>
      <c r="B1261" t="n">
        <v>6</v>
      </c>
      <c r="C1261" t="inlineStr">
        <is>
          <t>GT_SUBTOPIK_02_Abstraksi_Formulasi.txt</t>
        </is>
      </c>
      <c r="D1261" s="3" t="inlineStr">
        <is>
          <t>Subtopik: Abstraksi — Formulasi Problem (Problem/Goal/Batasan/Data)</t>
        </is>
      </c>
      <c r="E1261" t="n">
        <v>0.7592</v>
      </c>
      <c r="F1261" t="inlineStr">
        <is>
          <t>✓</t>
        </is>
      </c>
      <c r="G1261" t="inlineStr">
        <is>
          <t>✓</t>
        </is>
      </c>
      <c r="H1261" s="3" t="inlineStr">
        <is>
          <t>ara dua MK jika ada konflik. Masalah menjadi: cari jumlah warna minimum untuk mewarnai node agar tidak ada dua node terhubung punya warna sama (chromatic number).  [SOAL 6 — Abstraksi vs Symptom] Identifikasi mana ROOT 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4" customWidth="1" min="3" max="3"/>
    <col width="26" customWidth="1" min="4" max="4"/>
    <col width="11" customWidth="1" min="5" max="5"/>
    <col width="15" customWidth="1" min="6" max="6"/>
    <col width="90" customWidth="1" min="7" max="7"/>
  </cols>
  <sheetData>
    <row r="1">
      <c r="A1" s="1" t="inlineStr">
        <is>
          <t>test_id</t>
        </is>
      </c>
      <c r="B1" s="1" t="inlineStr">
        <is>
          <t>kondisi</t>
        </is>
      </c>
      <c r="C1" s="1" t="inlineStr">
        <is>
          <t>jenis</t>
        </is>
      </c>
      <c r="D1" s="1" t="inlineStr">
        <is>
          <t>frasa terdeteksi</t>
        </is>
      </c>
      <c r="E1" s="1" t="inlineStr">
        <is>
          <t>kalimat ke-</t>
        </is>
      </c>
      <c r="F1" s="1" t="inlineStr">
        <is>
          <t>posisi karakter</t>
        </is>
      </c>
      <c r="G1" s="1" t="inlineStr">
        <is>
          <t>kutipan kalimat</t>
        </is>
      </c>
    </row>
    <row r="2">
      <c r="A2" t="n">
        <v>3</v>
      </c>
      <c r="B2" t="inlineStr">
        <is>
          <t>A</t>
        </is>
      </c>
      <c r="C2" t="inlineStr">
        <is>
          <t>Uncertainty</t>
        </is>
      </c>
      <c r="D2" t="inlineStr">
        <is>
          <t>mungkin</t>
        </is>
      </c>
      <c r="E2" t="n">
        <v>5</v>
      </c>
      <c r="F2" t="inlineStr">
        <is>
          <t>526–533</t>
        </is>
      </c>
      <c r="G2" s="3" t="inlineStr">
        <is>
          <t>Misalnya, sebagai dokter, Anda mungkin harus mengidentifikasi pola-pola kesehatan yang terjadi diantara pasien.</t>
        </is>
      </c>
    </row>
    <row r="3">
      <c r="A3" t="n">
        <v>3</v>
      </c>
      <c r="B3" t="inlineStr">
        <is>
          <t>A</t>
        </is>
      </c>
      <c r="C3" t="inlineStr">
        <is>
          <t>Uncertainty</t>
        </is>
      </c>
      <c r="D3" t="inlineStr">
        <is>
          <t>mungkin</t>
        </is>
      </c>
      <c r="E3" t="n">
        <v>7</v>
      </c>
      <c r="F3" t="inlineStr">
        <is>
          <t>746–753</t>
        </is>
      </c>
      <c r="G3" s="3" t="inlineStr">
        <is>
          <t>Selain itu, Anda juga mungkin harus menyusun langkah-langkah sistematis untuk menyelesaikan masalah-masalah kesehatan.</t>
        </is>
      </c>
    </row>
    <row r="4">
      <c r="A4" t="n">
        <v>3</v>
      </c>
      <c r="B4" t="inlineStr">
        <is>
          <t>B</t>
        </is>
      </c>
      <c r="C4" t="inlineStr">
        <is>
          <t>Uncertainty</t>
        </is>
      </c>
      <c r="D4" t="inlineStr">
        <is>
          <t>mungkin</t>
        </is>
      </c>
      <c r="E4" t="n">
        <v>1</v>
      </c>
      <c r="F4" t="inlineStr">
        <is>
          <t>49–56</t>
        </is>
      </c>
      <c r="G4" s="3" t="inlineStr">
        <is>
          <t>Saya akan menjawab pertanyaan Anda dengan sebaik mungkin.</t>
        </is>
      </c>
    </row>
    <row r="5">
      <c r="A5" t="n">
        <v>3</v>
      </c>
      <c r="B5" t="inlineStr">
        <is>
          <t>B</t>
        </is>
      </c>
      <c r="C5" t="inlineStr">
        <is>
          <t>Uncertainty</t>
        </is>
      </c>
      <c r="D5" t="inlineStr">
        <is>
          <t>tidak pasti</t>
        </is>
      </c>
      <c r="E5" t="n">
        <v>12</v>
      </c>
      <c r="F5" t="inlineStr">
        <is>
          <t>747–758</t>
        </is>
      </c>
      <c r="G5" s="3" t="inlineStr">
        <is>
          <t>Membuat keputusan etis dan profesional dalam situasi-situasi yang tidak pasti.</t>
        </is>
      </c>
    </row>
    <row r="6">
      <c r="A6" t="n">
        <v>5</v>
      </c>
      <c r="B6" t="inlineStr">
        <is>
          <t>A</t>
        </is>
      </c>
      <c r="C6" t="inlineStr">
        <is>
          <t>Uncertainty</t>
        </is>
      </c>
      <c r="D6" t="inlineStr">
        <is>
          <t>mungkin</t>
        </is>
      </c>
      <c r="E6" t="n">
        <v>6</v>
      </c>
      <c r="F6" t="inlineStr">
        <is>
          <t>571–578</t>
        </is>
      </c>
      <c r="G6" s="3" t="inlineStr">
        <is>
          <t>Contohnya, algoritma sosial media mungkin akan memantau kebiasaan Anda dalam mengikuti akun tertentu atau melihat video yang lebih sering, sehingga membantu platform tersebut menawarkan rekomendasi konten yang sesuai dengan preferensi Anda.</t>
        </is>
      </c>
    </row>
    <row r="7">
      <c r="A7" t="n">
        <v>5</v>
      </c>
      <c r="B7" t="inlineStr">
        <is>
          <t>A</t>
        </is>
      </c>
      <c r="C7" t="inlineStr">
        <is>
          <t>Uncertainty</t>
        </is>
      </c>
      <c r="D7" t="inlineStr">
        <is>
          <t>mungkin</t>
        </is>
      </c>
      <c r="E7" t="n">
        <v>8</v>
      </c>
      <c r="F7" t="inlineStr">
        <is>
          <t>882–889</t>
        </is>
      </c>
      <c r="G7" s="3" t="inlineStr">
        <is>
          <t>Misalnya, Anda mungkin telah melakukan pencarian dan mengakses berbagai sumber informasi melalui search engine atau aplikasi lainnya.</t>
        </is>
      </c>
    </row>
    <row r="8">
      <c r="A8" t="n">
        <v>5</v>
      </c>
      <c r="B8" t="inlineStr">
        <is>
          <t>B</t>
        </is>
      </c>
      <c r="C8" t="inlineStr">
        <is>
          <t>Uncertainty</t>
        </is>
      </c>
      <c r="D8" t="inlineStr">
        <is>
          <t>mungkin</t>
        </is>
      </c>
      <c r="E8" t="n">
        <v>11</v>
      </c>
      <c r="F8" t="inlineStr">
        <is>
          <t>875–882</t>
        </is>
      </c>
      <c r="G8" s="3" t="inlineStr">
        <is>
          <t>Interaksi dengan pengguna lain: Dalam beberapa kasus, Anda mungkin memberikan like, komen, atau share postingan orang lain, yang akan meninggalkan jejak digital.</t>
        </is>
      </c>
    </row>
    <row r="9">
      <c r="A9" t="n">
        <v>9</v>
      </c>
      <c r="B9" t="inlineStr">
        <is>
          <t>A</t>
        </is>
      </c>
      <c r="C9" t="inlineStr">
        <is>
          <t>Uncertainty</t>
        </is>
      </c>
      <c r="D9" t="inlineStr">
        <is>
          <t>mungkin</t>
        </is>
      </c>
      <c r="E9" t="n">
        <v>6</v>
      </c>
      <c r="F9" t="inlineStr">
        <is>
          <t>435–442</t>
        </is>
      </c>
      <c r="G9" s="3" t="inlineStr">
        <is>
          <t>(Tujuan yang ingin dicapai): Memuat sebanyak mungkin berang dalam 1 kali perjalanan, tidak memaksimalkan berat tetapi jumlah individu.</t>
        </is>
      </c>
    </row>
    <row r="10">
      <c r="A10" t="n">
        <v>12</v>
      </c>
      <c r="B10" t="inlineStr">
        <is>
          <t>A</t>
        </is>
      </c>
      <c r="C10" t="inlineStr">
        <is>
          <t>Uncertainty</t>
        </is>
      </c>
      <c r="D10" t="inlineStr">
        <is>
          <t>mungkin</t>
        </is>
      </c>
      <c r="E10" t="n">
        <v>5</v>
      </c>
      <c r="F10" t="inlineStr">
        <is>
          <t>370–377</t>
        </is>
      </c>
      <c r="G10" s="3" t="inlineStr">
        <is>
          <t>Goal/tujuan yang ingin dicapai: Memuat sebanyak mungkin berang dalam 1 kali perjalanan, bukan memaksimalkan berat.</t>
        </is>
      </c>
    </row>
    <row r="11">
      <c r="A11" t="n">
        <v>13</v>
      </c>
      <c r="B11" t="inlineStr">
        <is>
          <t>A</t>
        </is>
      </c>
      <c r="C11" t="inlineStr">
        <is>
          <t>Uncertainty</t>
        </is>
      </c>
      <c r="D11" t="inlineStr">
        <is>
          <t>mungkin</t>
        </is>
      </c>
      <c r="E11" t="n">
        <v>2</v>
      </c>
      <c r="F11" t="inlineStr">
        <is>
          <t>107–114</t>
        </is>
      </c>
      <c r="G11" s="3" t="inlineStr">
        <is>
          <t>Abstraksi tidak hanya berarti membuang detail sebanyak mungkin, melainkan juga memberikan prioritas paling rendah untuk diperhatikan pada bagian tersebut.</t>
        </is>
      </c>
    </row>
    <row r="12">
      <c r="A12" t="n">
        <v>13</v>
      </c>
      <c r="B12" t="inlineStr">
        <is>
          <t>B</t>
        </is>
      </c>
      <c r="C12" t="inlineStr">
        <is>
          <t>Uncertainty</t>
        </is>
      </c>
      <c r="D12" t="inlineStr">
        <is>
          <t>mungkin</t>
        </is>
      </c>
      <c r="E12" t="n">
        <v>4</v>
      </c>
      <c r="F12" t="inlineStr">
        <is>
          <t>583–590</t>
        </is>
      </c>
      <c r="G12" s="3" t="inlineStr">
        <is>
          <t>Abstraksi sebenarnya berarti mengumpulkan informasi yang paling penting dan relevan untuk tujuan analisis atau penyelesaian masalah, bukan membuang detail sebanyak mungkin.</t>
        </is>
      </c>
    </row>
    <row r="13">
      <c r="A13" t="n">
        <v>13</v>
      </c>
      <c r="B13" t="inlineStr">
        <is>
          <t>B</t>
        </is>
      </c>
      <c r="C13" t="inlineStr">
        <is>
          <t>Uncertainty</t>
        </is>
      </c>
      <c r="D13" t="inlineStr">
        <is>
          <t>mungkin</t>
        </is>
      </c>
      <c r="E13" t="n">
        <v>6</v>
      </c>
      <c r="F13" t="inlineStr">
        <is>
          <t>911–918</t>
        </is>
      </c>
      <c r="G13" s="3" t="inlineStr">
        <is>
          <t>Dalam pengajaran statistik atau data analysis, abstraksi biasanya berarti mengumpulkan informasi yang paling relevan dan penting untuk tujuan analisis, namun tidak berarti membuang detail sebanyak mungkin.</t>
        </is>
      </c>
    </row>
    <row r="14">
      <c r="A14" t="n">
        <v>17</v>
      </c>
      <c r="B14" t="inlineStr">
        <is>
          <t>A</t>
        </is>
      </c>
      <c r="C14" t="inlineStr">
        <is>
          <t>Uncertainty</t>
        </is>
      </c>
      <c r="D14" t="inlineStr">
        <is>
          <t>mungkin</t>
        </is>
      </c>
      <c r="E14" t="n">
        <v>3</v>
      </c>
      <c r="F14" t="inlineStr">
        <is>
          <t>113–120</t>
        </is>
      </c>
      <c r="G14" s="3" t="inlineStr">
        <is>
          <t>Saya tidak mungkin hitung 2^2003 secara langsung.</t>
        </is>
      </c>
    </row>
    <row r="15">
      <c r="A15" t="n">
        <v>21</v>
      </c>
      <c r="B15" t="inlineStr">
        <is>
          <t>B</t>
        </is>
      </c>
      <c r="C15" t="inlineStr">
        <is>
          <t>Uncertainty</t>
        </is>
      </c>
      <c r="D15" t="inlineStr">
        <is>
          <t>mungkin</t>
        </is>
      </c>
      <c r="E15" t="n">
        <v>1</v>
      </c>
      <c r="F15" t="inlineStr">
        <is>
          <t>42–49</t>
        </is>
      </c>
      <c r="G15" s="3" t="inlineStr">
        <is>
          <t>Saya akan menjawab pertanyaan Anda sebaik mungkin.</t>
        </is>
      </c>
    </row>
    <row r="16">
      <c r="A16" t="n">
        <v>21</v>
      </c>
      <c r="B16" t="inlineStr">
        <is>
          <t>B</t>
        </is>
      </c>
      <c r="C16" t="inlineStr">
        <is>
          <t>Uncertainty</t>
        </is>
      </c>
      <c r="D16" t="inlineStr">
        <is>
          <t>mungkin</t>
        </is>
      </c>
      <c r="E16" t="n">
        <v>14</v>
      </c>
      <c r="F16" t="inlineStr">
        <is>
          <t>1595–1602</t>
        </is>
      </c>
      <c r="G16" s="3" t="inlineStr">
        <is>
          <t>Dosen mungkin lebih prefer pseudocode karena pseudocode lebih dapat menjelaskan bagaimana algoritme bekerja tanpa perlu memperhatikan detail-detail teknis.</t>
        </is>
      </c>
    </row>
    <row r="17">
      <c r="A17" t="n">
        <v>23</v>
      </c>
      <c r="B17" t="inlineStr">
        <is>
          <t>A</t>
        </is>
      </c>
      <c r="C17" t="inlineStr">
        <is>
          <t>Uncertainty</t>
        </is>
      </c>
      <c r="D17" t="inlineStr">
        <is>
          <t>mungkin</t>
        </is>
      </c>
      <c r="E17" t="n">
        <v>12</v>
      </c>
      <c r="F17" t="inlineStr">
        <is>
          <t>1192–1199</t>
        </is>
      </c>
      <c r="G17" s="3" t="inlineStr">
        <is>
          <t>Dalam kasus Anda, meski algoritme Anda dapat mencari nilai terbesar dari array dan hasilnya benar, namun dosen Anda mungkin menolak algoritme Anda karena efisiensinya yang kurang baik.</t>
        </is>
      </c>
    </row>
    <row r="18">
      <c r="A18" t="n">
        <v>23</v>
      </c>
      <c r="B18" t="inlineStr">
        <is>
          <t>B</t>
        </is>
      </c>
      <c r="C18" t="inlineStr">
        <is>
          <t>Uncertainty</t>
        </is>
      </c>
      <c r="D18" t="inlineStr">
        <is>
          <t>mungkin</t>
        </is>
      </c>
      <c r="E18" t="n">
        <v>23</v>
      </c>
      <c r="F18" t="inlineStr">
        <is>
          <t>1715–1722</t>
        </is>
      </c>
      <c r="G18" s="3" t="inlineStr">
        <is>
          <t>Dalam kasus Anda, meski algoritme Anda dapat menghasilkan output yang benar, namun dosen Anda mungkin memiliki beberapa masalah dengan efisiensi waktu, stabilitas, atau simplicity algoritme Anda.</t>
        </is>
      </c>
    </row>
    <row r="19">
      <c r="A19" t="n">
        <v>25</v>
      </c>
      <c r="B19" t="inlineStr">
        <is>
          <t>A</t>
        </is>
      </c>
      <c r="C19" t="inlineStr">
        <is>
          <t>Uncertainty</t>
        </is>
      </c>
      <c r="D19" t="inlineStr">
        <is>
          <t>mungkin</t>
        </is>
      </c>
      <c r="E19" t="n">
        <v>2</v>
      </c>
      <c r="F19" t="inlineStr">
        <is>
          <t>150–157</t>
        </is>
      </c>
      <c r="G19" s="3" t="inlineStr">
        <is>
          <t>Saya percaya bahwa Anda mungkin pernah berpikir bahwa "int x = 5" dan "x = 5" adalah dua cara yang benar untuk mendeklarasikan variabel.</t>
        </is>
      </c>
    </row>
    <row r="20">
      <c r="A20" t="n">
        <v>29</v>
      </c>
      <c r="B20" t="inlineStr">
        <is>
          <t>B</t>
        </is>
      </c>
      <c r="C20" t="inlineStr">
        <is>
          <t>Contradiction</t>
        </is>
      </c>
      <c r="D20" t="inlineStr">
        <is>
          <t>yang benar adalah</t>
        </is>
      </c>
      <c r="E20" t="n">
        <v>13</v>
      </c>
      <c r="F20" t="inlineStr">
        <is>
          <t>754–771</t>
        </is>
      </c>
      <c r="G20" s="3" t="inlineStr">
        <is>
          <t>Jadi, tabel kebenaran yang benar adalah:</t>
        </is>
      </c>
    </row>
    <row r="21">
      <c r="A21" t="n">
        <v>31</v>
      </c>
      <c r="B21" t="inlineStr">
        <is>
          <t>A</t>
        </is>
      </c>
      <c r="C21" t="inlineStr">
        <is>
          <t>Contradiction</t>
        </is>
      </c>
      <c r="D21" t="inlineStr">
        <is>
          <t>yang benar adalah</t>
        </is>
      </c>
      <c r="E21" t="n">
        <v>14</v>
      </c>
      <c r="F21" t="inlineStr">
        <is>
          <t>563–580</t>
        </is>
      </c>
      <c r="G21" s="3" t="inlineStr">
        <is>
          <t>Oleh karena itu, jawaban yang benar adalah Q2.</t>
        </is>
      </c>
    </row>
    <row r="22">
      <c r="A22" t="n">
        <v>31</v>
      </c>
      <c r="B22" t="inlineStr">
        <is>
          <t>B</t>
        </is>
      </c>
      <c r="C22" t="inlineStr">
        <is>
          <t>Contradiction</t>
        </is>
      </c>
      <c r="D22" t="inlineStr">
        <is>
          <t>yang benar adalah</t>
        </is>
      </c>
      <c r="E22" t="n">
        <v>10</v>
      </c>
      <c r="F22" t="inlineStr">
        <is>
          <t>335–352</t>
        </is>
      </c>
      <c r="G22" s="3" t="inlineStr">
        <is>
          <t>Jadi, jawaban yang benar adalah Q2, tapi tidak ada yang salah karena pseudocode telah dieksekusi dengan benar untuk input x = -3 dan y = 5.</t>
        </is>
      </c>
    </row>
    <row r="23">
      <c r="A23" t="n">
        <v>32</v>
      </c>
      <c r="B23" t="inlineStr">
        <is>
          <t>B</t>
        </is>
      </c>
      <c r="C23" t="inlineStr">
        <is>
          <t>Uncertainty</t>
        </is>
      </c>
      <c r="D23" t="inlineStr">
        <is>
          <t>mungkin</t>
        </is>
      </c>
      <c r="E23" t="n">
        <v>1</v>
      </c>
      <c r="F23" t="inlineStr">
        <is>
          <t>46–53</t>
        </is>
      </c>
      <c r="G23" s="3" t="inlineStr">
        <is>
          <t>Saya akan menjawab pertanyaan tersebut sebaik mungkin.</t>
        </is>
      </c>
    </row>
    <row r="24">
      <c r="A24" t="n">
        <v>32</v>
      </c>
      <c r="B24" t="inlineStr">
        <is>
          <t>B</t>
        </is>
      </c>
      <c r="C24" t="inlineStr">
        <is>
          <t>Contradiction</t>
        </is>
      </c>
      <c r="D24" t="inlineStr">
        <is>
          <t>tidak benar</t>
        </is>
      </c>
      <c r="E24" t="n">
        <v>20</v>
      </c>
      <c r="F24" t="inlineStr">
        <is>
          <t>925–936</t>
        </is>
      </c>
      <c r="G24" s="3" t="inlineStr">
        <is>
          <t>Jika salah satu kondisi tidak benar, maka sintaks AND tidak akan menghasilkan output.</t>
        </is>
      </c>
    </row>
    <row r="25">
      <c r="A25" t="n">
        <v>34</v>
      </c>
      <c r="B25" t="inlineStr">
        <is>
          <t>A</t>
        </is>
      </c>
      <c r="C25" t="inlineStr">
        <is>
          <t>Contradiction</t>
        </is>
      </c>
      <c r="D25" t="inlineStr">
        <is>
          <t>yang benar adalah</t>
        </is>
      </c>
      <c r="E25" t="n">
        <v>9</v>
      </c>
      <c r="F25" t="inlineStr">
        <is>
          <t>492–509</t>
        </is>
      </c>
      <c r="G25" s="3" t="inlineStr">
        <is>
          <t>Jadi, jawaban yang benar adalah C.</t>
        </is>
      </c>
    </row>
    <row r="26">
      <c r="A26" t="n">
        <v>34</v>
      </c>
      <c r="B26" t="inlineStr">
        <is>
          <t>B</t>
        </is>
      </c>
      <c r="C26" t="inlineStr">
        <is>
          <t>Contradiction</t>
        </is>
      </c>
      <c r="D26" t="inlineStr">
        <is>
          <t>yang benar adalah</t>
        </is>
      </c>
      <c r="E26" t="n">
        <v>15</v>
      </c>
      <c r="F26" t="inlineStr">
        <is>
          <t>715–732</t>
        </is>
      </c>
      <c r="G26" s="3" t="inlineStr">
        <is>
          <t>Jadi, jawaban yang benar adalah C.</t>
        </is>
      </c>
    </row>
    <row r="27">
      <c r="A27" t="n">
        <v>36</v>
      </c>
      <c r="B27" t="inlineStr">
        <is>
          <t>A</t>
        </is>
      </c>
      <c r="C27" t="inlineStr">
        <is>
          <t>Uncertainty</t>
        </is>
      </c>
      <c r="D27" t="inlineStr">
        <is>
          <t>saya tidak tahu</t>
        </is>
      </c>
      <c r="E27" t="n">
        <v>3</v>
      </c>
      <c r="F27" t="inlineStr">
        <is>
          <t>139–154</t>
        </is>
      </c>
      <c r="G27" s="3" t="inlineStr">
        <is>
          <t>Saya tidak tahu ada berapa baris di file itu.</t>
        </is>
      </c>
    </row>
    <row r="28">
      <c r="A28" t="n">
        <v>36</v>
      </c>
      <c r="B28" t="inlineStr">
        <is>
          <t>B</t>
        </is>
      </c>
      <c r="C28" t="inlineStr">
        <is>
          <t>Uncertainty</t>
        </is>
      </c>
      <c r="D28" t="inlineStr">
        <is>
          <t>mungkin</t>
        </is>
      </c>
      <c r="E28" t="n">
        <v>1</v>
      </c>
      <c r="F28" t="inlineStr">
        <is>
          <t>42–49</t>
        </is>
      </c>
      <c r="G28" s="3" t="inlineStr">
        <is>
          <t>Saya akan menjawab pertanyaan Anda sebaik mungkin!</t>
        </is>
      </c>
    </row>
    <row r="29">
      <c r="A29" t="n">
        <v>36</v>
      </c>
      <c r="B29" t="inlineStr">
        <is>
          <t>B</t>
        </is>
      </c>
      <c r="C29" t="inlineStr">
        <is>
          <t>Uncertainty</t>
        </is>
      </c>
      <c r="D29" t="inlineStr">
        <is>
          <t>mungkin</t>
        </is>
      </c>
      <c r="E29" t="n">
        <v>22</v>
      </c>
      <c r="F29" t="inlineStr">
        <is>
          <t>1061–1068</t>
        </is>
      </c>
      <c r="G29" s="3" t="inlineStr">
        <is>
          <t>Namun, dalam kasus lain, while loop mungkin lebih sesuai jika Anda ingin mengontrol iterasi lebih ketat.</t>
        </is>
      </c>
    </row>
    <row r="30">
      <c r="A30" t="n">
        <v>44</v>
      </c>
      <c r="B30" t="inlineStr">
        <is>
          <t>B</t>
        </is>
      </c>
      <c r="C30" t="inlineStr">
        <is>
          <t>Uncertainty</t>
        </is>
      </c>
      <c r="D30" t="inlineStr">
        <is>
          <t>mungkin</t>
        </is>
      </c>
      <c r="E30" t="n">
        <v>8</v>
      </c>
      <c r="F30" t="inlineStr">
        <is>
          <t>492–499</t>
        </is>
      </c>
      <c r="G30" s="3" t="inlineStr">
        <is>
          <t>Dosen mungkin salah jika mengatakan bahwa nested loop selalu O(n²).</t>
        </is>
      </c>
    </row>
    <row r="31">
      <c r="A31" t="n">
        <v>45</v>
      </c>
      <c r="B31" t="inlineStr">
        <is>
          <t>B</t>
        </is>
      </c>
      <c r="C31" t="inlineStr">
        <is>
          <t>Uncertainty</t>
        </is>
      </c>
      <c r="D31" t="inlineStr">
        <is>
          <t>kemungkinan</t>
        </is>
      </c>
      <c r="E31" t="n">
        <v>12</v>
      </c>
      <c r="F31" t="inlineStr">
        <is>
          <t>1199–1210</t>
        </is>
      </c>
      <c r="G31" s="3" t="inlineStr">
        <is>
          <t>Menghindari kemungkinan error karena tidak jelas tujuan dari blok kode.</t>
        </is>
      </c>
    </row>
    <row r="32">
      <c r="A32" t="n">
        <v>50</v>
      </c>
      <c r="B32" t="inlineStr">
        <is>
          <t>B</t>
        </is>
      </c>
      <c r="C32" t="inlineStr">
        <is>
          <t>Uncertainty</t>
        </is>
      </c>
      <c r="D32" t="inlineStr">
        <is>
          <t>kemungkinan besar</t>
        </is>
      </c>
      <c r="E32" t="n">
        <v>3</v>
      </c>
      <c r="F32" t="inlineStr">
        <is>
          <t>333–350</t>
        </is>
      </c>
      <c r="G32" s="3" t="inlineStr">
        <is>
          <t>Namun, pada kasus Anda yang sudah menambahkan base case, kemungkinan besar ada salah satu hal berikut:</t>
        </is>
      </c>
    </row>
    <row r="33">
      <c r="A33" t="n">
        <v>50</v>
      </c>
      <c r="B33" t="inlineStr">
        <is>
          <t>B</t>
        </is>
      </c>
      <c r="C33" t="inlineStr">
        <is>
          <t>Uncertainty</t>
        </is>
      </c>
      <c r="D33" t="inlineStr">
        <is>
          <t>kemungkinan</t>
        </is>
      </c>
      <c r="E33" t="n">
        <v>8</v>
      </c>
      <c r="F33" t="inlineStr">
        <is>
          <t>696–707</t>
        </is>
      </c>
      <c r="G33" s="3" t="inlineStr">
        <is>
          <t>Fungsi rekursif Anda memiliki jalur pengulangan yang tak terhingga: Ada kemungkinan bahwa fungsi rekursif Anda memiliki jalur pengulangan yang tidak pernah mencapai base case, sehingga fungsi rekursif akan terus berulang dan menghabiskan batas kemampuan berulang.</t>
        </is>
      </c>
    </row>
    <row r="34">
      <c r="A34" t="n">
        <v>52</v>
      </c>
      <c r="B34" t="inlineStr">
        <is>
          <t>A</t>
        </is>
      </c>
      <c r="C34" t="inlineStr">
        <is>
          <t>Uncertainty</t>
        </is>
      </c>
      <c r="D34" t="inlineStr">
        <is>
          <t>tampaknya</t>
        </is>
      </c>
      <c r="E34" t="n">
        <v>4</v>
      </c>
      <c r="F34" t="inlineStr">
        <is>
          <t>267–276</t>
        </is>
      </c>
      <c r="G34" s="3" t="inlineStr">
        <is>
          <t>Hal ini tampaknya tidak sesuai dengan logika yang sederhana.</t>
        </is>
      </c>
    </row>
    <row r="35">
      <c r="A35" t="n">
        <v>54</v>
      </c>
      <c r="B35" t="inlineStr">
        <is>
          <t>B</t>
        </is>
      </c>
      <c r="C35" t="inlineStr">
        <is>
          <t>Uncertainty</t>
        </is>
      </c>
      <c r="D35" t="inlineStr">
        <is>
          <t>mungkin</t>
        </is>
      </c>
      <c r="E35" t="n">
        <v>1</v>
      </c>
      <c r="F35" t="inlineStr">
        <is>
          <t>49–56</t>
        </is>
      </c>
      <c r="G35" s="3" t="inlineStr">
        <is>
          <t>Saya akan menjawab pertanyaan Anda dengan sebaik mungkin.</t>
        </is>
      </c>
    </row>
    <row r="36">
      <c r="A36" t="n">
        <v>56</v>
      </c>
      <c r="B36" t="inlineStr">
        <is>
          <t>B</t>
        </is>
      </c>
      <c r="C36" t="inlineStr">
        <is>
          <t>Uncertainty</t>
        </is>
      </c>
      <c r="D36" t="inlineStr">
        <is>
          <t>mungkin</t>
        </is>
      </c>
      <c r="E36" t="n">
        <v>2</v>
      </c>
      <c r="F36" t="inlineStr">
        <is>
          <t>72–79</t>
        </is>
      </c>
      <c r="G36" s="3" t="inlineStr">
        <is>
          <t>Kita akan coba menjawabnya dengan sebaik mungkin.</t>
        </is>
      </c>
    </row>
    <row r="37">
      <c r="A37" t="n">
        <v>70</v>
      </c>
      <c r="B37" t="inlineStr">
        <is>
          <t>A</t>
        </is>
      </c>
      <c r="C37" t="inlineStr">
        <is>
          <t>Contradiction</t>
        </is>
      </c>
      <c r="D37" t="inlineStr">
        <is>
          <t>yang benar adalah</t>
        </is>
      </c>
      <c r="E37" t="n">
        <v>8</v>
      </c>
      <c r="F37" t="inlineStr">
        <is>
          <t>934–951</t>
        </is>
      </c>
      <c r="G37" s="3" t="inlineStr">
        <is>
          <t>Jadi, jawaban yang benar adalah O(n²), tidak O(n²+n).</t>
        </is>
      </c>
    </row>
    <row r="38">
      <c r="A38" t="n">
        <v>74</v>
      </c>
      <c r="B38" t="inlineStr">
        <is>
          <t>B</t>
        </is>
      </c>
      <c r="C38" t="inlineStr">
        <is>
          <t>Uncertainty</t>
        </is>
      </c>
      <c r="D38" t="inlineStr">
        <is>
          <t>mungkin</t>
        </is>
      </c>
      <c r="E38" t="n">
        <v>10</v>
      </c>
      <c r="F38" t="inlineStr">
        <is>
          <t>1278–1285</t>
        </is>
      </c>
      <c r="G38" s="3" t="inlineStr">
        <is>
          <t>Dalam sintesis, amortized complexity mengambil akun bahwa beberapa operasi mungkin memerlukan waktu yang lebih lama untuk melihat efeknya, namun rata-rata waktu yang dibutuhkan masih tetap menjadi O(1).</t>
        </is>
      </c>
    </row>
    <row r="39">
      <c r="A39" t="n">
        <v>83</v>
      </c>
      <c r="B39" t="inlineStr">
        <is>
          <t>A</t>
        </is>
      </c>
      <c r="C39" t="inlineStr">
        <is>
          <t>Uncertainty</t>
        </is>
      </c>
      <c r="D39" t="inlineStr">
        <is>
          <t>mungkin</t>
        </is>
      </c>
      <c r="E39" t="n">
        <v>6</v>
      </c>
      <c r="F39" t="inlineStr">
        <is>
          <t>690–697</t>
        </is>
      </c>
      <c r="G39" s="3" t="inlineStr">
        <is>
          <t>Fungsi yang mengimplementasikan abstraksi memang mencoba mengabaikan hal-hal yang tidak relevan dan fokus pada hal-hal yang penting, sedangkan fungsi yang tidak mengimplementasikan abstraksi mungkin hanya fokus pada detail-detail kecil tanpa memperhatikan konteks keseluruhan.</t>
        </is>
      </c>
    </row>
    <row r="40">
      <c r="A40" t="n">
        <v>83</v>
      </c>
      <c r="B40" t="inlineStr">
        <is>
          <t>B</t>
        </is>
      </c>
      <c r="C40" t="inlineStr">
        <is>
          <t>Uncertainty</t>
        </is>
      </c>
      <c r="D40" t="inlineStr">
        <is>
          <t>mungkin</t>
        </is>
      </c>
      <c r="E40" t="n">
        <v>8</v>
      </c>
      <c r="F40" t="inlineStr">
        <is>
          <t>825–832</t>
        </is>
      </c>
      <c r="G40" s="3" t="inlineStr">
        <is>
          <t>* Fungsi `calculatePayment(amount, taxRate)` mungkin menggunakan cara yang lebih umum dan fleksibel untuk menghitung pajak.</t>
        </is>
      </c>
    </row>
    <row r="41">
      <c r="A41" t="n">
        <v>88</v>
      </c>
      <c r="B41" t="inlineStr">
        <is>
          <t>B</t>
        </is>
      </c>
      <c r="C41" t="inlineStr">
        <is>
          <t>Uncertainty</t>
        </is>
      </c>
      <c r="D41" t="inlineStr">
        <is>
          <t>mungkin</t>
        </is>
      </c>
      <c r="E41" t="n">
        <v>1</v>
      </c>
      <c r="F41" t="inlineStr">
        <is>
          <t>42–49</t>
        </is>
      </c>
      <c r="G41" s="3" t="inlineStr">
        <is>
          <t>Saya akan menjawab pertanyaan Anda sebaik mungkin!</t>
        </is>
      </c>
    </row>
    <row r="42">
      <c r="A42" t="n">
        <v>89</v>
      </c>
      <c r="B42" t="inlineStr">
        <is>
          <t>A</t>
        </is>
      </c>
      <c r="C42" t="inlineStr">
        <is>
          <t>Uncertainty</t>
        </is>
      </c>
      <c r="D42" t="inlineStr">
        <is>
          <t>saya tidak tahu</t>
        </is>
      </c>
      <c r="E42" t="n">
        <v>65</v>
      </c>
      <c r="F42" t="inlineStr">
        <is>
          <t>2730–2745</t>
        </is>
      </c>
      <c r="G42" s="3" t="inlineStr">
        <is>
          <t>Saya tidak tahu cara trace-nya dan tidak yakin berapa hasilnya.</t>
        </is>
      </c>
    </row>
    <row r="43">
      <c r="A43" t="n">
        <v>92</v>
      </c>
      <c r="B43" t="inlineStr">
        <is>
          <t>A</t>
        </is>
      </c>
      <c r="C43" t="inlineStr">
        <is>
          <t>Uncertainty</t>
        </is>
      </c>
      <c r="D43" t="inlineStr">
        <is>
          <t>mungkin</t>
        </is>
      </c>
      <c r="E43" t="n">
        <v>3</v>
      </c>
      <c r="F43" t="inlineStr">
        <is>
          <t>252–259</t>
        </is>
      </c>
      <c r="G43" s="3" t="inlineStr">
        <is>
          <t>Teman Anda mungkin mengajukan saran untuk menambahkan n==1 sebagai base case kedua karena beberapa alasan, seperti memastikan fungsi dapat berfungsi dengan benar pada input awal.</t>
        </is>
      </c>
    </row>
    <row r="44">
      <c r="A44" t="n">
        <v>93</v>
      </c>
      <c r="B44" t="inlineStr">
        <is>
          <t>B</t>
        </is>
      </c>
      <c r="C44" t="inlineStr">
        <is>
          <t>Uncertainty</t>
        </is>
      </c>
      <c r="D44" t="inlineStr">
        <is>
          <t>mungkin</t>
        </is>
      </c>
      <c r="E44" t="n">
        <v>1</v>
      </c>
      <c r="F44" t="inlineStr">
        <is>
          <t>42–49</t>
        </is>
      </c>
      <c r="G44" s="3" t="inlineStr">
        <is>
          <t>Saya akan menjawab pertanyaan Anda sebaik mungkin.</t>
        </is>
      </c>
    </row>
    <row r="45">
      <c r="A45" t="n">
        <v>93</v>
      </c>
      <c r="B45" t="inlineStr">
        <is>
          <t>B</t>
        </is>
      </c>
      <c r="C45" t="inlineStr">
        <is>
          <t>Uncertainty</t>
        </is>
      </c>
      <c r="D45" t="inlineStr">
        <is>
          <t>kemungkinan besar</t>
        </is>
      </c>
      <c r="E45" t="n">
        <v>2</v>
      </c>
      <c r="F45" t="inlineStr">
        <is>
          <t>196–213</t>
        </is>
      </c>
      <c r="G45" s="3" t="inlineStr">
        <is>
          <t>Dalam program komputer, jika suatu program tidak menyelesaikan input besar dan berlangsung lama (lebih dari 5 menit), namun belum selesai, maka kemungkinan besar itu bukan infinite loop.</t>
        </is>
      </c>
    </row>
    <row r="46">
      <c r="A46" t="n">
        <v>93</v>
      </c>
      <c r="B46" t="inlineStr">
        <is>
          <t>B</t>
        </is>
      </c>
      <c r="C46" t="inlineStr">
        <is>
          <t>Uncertainty</t>
        </is>
      </c>
      <c r="D46" t="inlineStr">
        <is>
          <t>mungkin</t>
        </is>
      </c>
      <c r="E46" t="n">
        <v>4</v>
      </c>
      <c r="F46" t="inlineStr">
        <is>
          <t>475–482</t>
        </is>
      </c>
      <c r="G46" s="3" t="inlineStr">
        <is>
          <t>Jika program Anda lambat tetapi masih dapat menyelesaikan input, maka algoritme tersebut mungkin hanya memerlukan waktu yang lama untuk menyelesaikan tugas, namun bukan infinite loop.</t>
        </is>
      </c>
    </row>
    <row r="47">
      <c r="A47" t="n">
        <v>93</v>
      </c>
      <c r="B47" t="inlineStr">
        <is>
          <t>B</t>
        </is>
      </c>
      <c r="C47" t="inlineStr">
        <is>
          <t>Uncertainty</t>
        </is>
      </c>
      <c r="D47" t="inlineStr">
        <is>
          <t>mungkin</t>
        </is>
      </c>
      <c r="E47" t="n">
        <v>7</v>
      </c>
      <c r="F47" t="inlineStr">
        <is>
          <t>811–818</t>
        </is>
      </c>
      <c r="G47" s="3" t="inlineStr">
        <is>
          <t>Kompleksitas algoritme: Jika algoritme Anda terlalu kompleks dan memerlukan banyak sumber daya sistem (seperti CPU, RAM, atau disk space), maka program tersebut mungkin akan berlangsung lama.</t>
        </is>
      </c>
    </row>
    <row r="48">
      <c r="A48" t="n">
        <v>93</v>
      </c>
      <c r="B48" t="inlineStr">
        <is>
          <t>B</t>
        </is>
      </c>
      <c r="C48" t="inlineStr">
        <is>
          <t>Uncertainty</t>
        </is>
      </c>
      <c r="D48" t="inlineStr">
        <is>
          <t>mungkin</t>
        </is>
      </c>
      <c r="E48" t="n">
        <v>9</v>
      </c>
      <c r="F48" t="inlineStr">
        <is>
          <t>910–917</t>
        </is>
      </c>
      <c r="G48" s="3" t="inlineStr">
        <is>
          <t>Input besar: Jika input Anda sangat besar, maka program tersebut mungkin akan memerlukan waktu yang lama untuk menyelesaikan tugas.</t>
        </is>
      </c>
    </row>
    <row r="49">
      <c r="A49" t="n">
        <v>93</v>
      </c>
      <c r="B49" t="inlineStr">
        <is>
          <t>B</t>
        </is>
      </c>
      <c r="C49" t="inlineStr">
        <is>
          <t>Uncertainty</t>
        </is>
      </c>
      <c r="D49" t="inlineStr">
        <is>
          <t>mungkin</t>
        </is>
      </c>
      <c r="E49" t="n">
        <v>11</v>
      </c>
      <c r="F49" t="inlineStr">
        <is>
          <t>1110–1117</t>
        </is>
      </c>
      <c r="G49" s="3" t="inlineStr">
        <is>
          <t>Keterbatasan sumber daya sistem: Jika sistem Anda memiliki keterbatasan sumber daya (seperti RAM atau CPU), maka program tersebut mungkin tidak dapat berjalan dengan cepat.</t>
        </is>
      </c>
    </row>
    <row r="50">
      <c r="A50" t="n">
        <v>93</v>
      </c>
      <c r="B50" t="inlineStr">
        <is>
          <t>B</t>
        </is>
      </c>
      <c r="C50" t="inlineStr">
        <is>
          <t>Uncertainty</t>
        </is>
      </c>
      <c r="D50" t="inlineStr">
        <is>
          <t>kemungkinan besar</t>
        </is>
      </c>
      <c r="E50" t="n">
        <v>14</v>
      </c>
      <c r="F50" t="inlineStr">
        <is>
          <t>1410–1427</t>
        </is>
      </c>
      <c r="G50" s="3" t="inlineStr">
        <is>
          <t>Cek jalur logika: Jika Anda melihat bahwa program Anda terus-menerus menjalankan cycle yang sama tanpa pernah berhenti, maka kemungkinan besar itu infinite loop.</t>
        </is>
      </c>
    </row>
    <row r="51">
      <c r="A51" t="n">
        <v>93</v>
      </c>
      <c r="B51" t="inlineStr">
        <is>
          <t>B</t>
        </is>
      </c>
      <c r="C51" t="inlineStr">
        <is>
          <t>Uncertainty</t>
        </is>
      </c>
      <c r="D51" t="inlineStr">
        <is>
          <t>kemungkinan besar</t>
        </is>
      </c>
      <c r="E51" t="n">
        <v>16</v>
      </c>
      <c r="F51" t="inlineStr">
        <is>
          <t>1534–1551</t>
        </is>
      </c>
      <c r="G51" s="3" t="inlineStr">
        <is>
          <t>Cek ketergantungan: Jika program Anda bergantung pada input yang sangat besar, maka kemungkinan besar itu algoritme lambat dan tidak infinite loop.</t>
        </is>
      </c>
    </row>
    <row r="52">
      <c r="A52" t="n">
        <v>93</v>
      </c>
      <c r="B52" t="inlineStr">
        <is>
          <t>B</t>
        </is>
      </c>
      <c r="C52" t="inlineStr">
        <is>
          <t>Uncertainty</t>
        </is>
      </c>
      <c r="D52" t="inlineStr">
        <is>
          <t>kemungkinan besar</t>
        </is>
      </c>
      <c r="E52" t="n">
        <v>20</v>
      </c>
      <c r="F52" t="inlineStr">
        <is>
          <t>1893–1910</t>
        </is>
      </c>
      <c r="G52" s="3" t="inlineStr">
        <is>
          <t>Dalam kasus Anda, jika program Anda telah berjalan 5 menit dan belum selesai, maka kemungkinan besar itu algoritme lambat dan bukan infinite loop.</t>
        </is>
      </c>
    </row>
    <row r="53">
      <c r="A53" t="n">
        <v>94</v>
      </c>
      <c r="B53" t="inlineStr">
        <is>
          <t>A</t>
        </is>
      </c>
      <c r="C53" t="inlineStr">
        <is>
          <t>Uncertainty</t>
        </is>
      </c>
      <c r="D53" t="inlineStr">
        <is>
          <t>it seems</t>
        </is>
      </c>
      <c r="E53" t="n">
        <v>4</v>
      </c>
      <c r="F53" t="inlineStr">
        <is>
          <t>204–212</t>
        </is>
      </c>
      <c r="G53" s="3" t="inlineStr">
        <is>
          <t>At first glance, it seems that there's a discrepancy between your answer (11) and your friend's answer (8).</t>
        </is>
      </c>
    </row>
    <row r="54">
      <c r="A54" t="n">
        <v>105</v>
      </c>
      <c r="B54" t="inlineStr">
        <is>
          <t>A</t>
        </is>
      </c>
      <c r="C54" t="inlineStr">
        <is>
          <t>Uncertainty</t>
        </is>
      </c>
      <c r="D54" t="inlineStr">
        <is>
          <t>mungkin</t>
        </is>
      </c>
      <c r="E54" t="n">
        <v>6</v>
      </c>
      <c r="F54" t="inlineStr">
        <is>
          <t>512–519</t>
        </is>
      </c>
      <c r="G54" s="3" t="inlineStr">
        <is>
          <t>Contohnya, dalam pengembangan aplikasi mobile, kita mungkin ingin membuat aplikasi yang berjalan terus-menerus untuk mengumpulkan data atau melakukan proses lainnya.</t>
        </is>
      </c>
    </row>
    <row r="55">
      <c r="A55" t="n">
        <v>109</v>
      </c>
      <c r="B55" t="inlineStr">
        <is>
          <t>A</t>
        </is>
      </c>
      <c r="C55" t="inlineStr">
        <is>
          <t>Uncertainty</t>
        </is>
      </c>
      <c r="D55" t="inlineStr">
        <is>
          <t>kemungkinan</t>
        </is>
      </c>
      <c r="E55" t="n">
        <v>3</v>
      </c>
      <c r="F55" t="inlineStr">
        <is>
          <t>286–297</t>
        </is>
      </c>
      <c r="G55" s="3" t="inlineStr">
        <is>
          <t>Tree adalah struktur data yang sesuai untuk mencapai pencarian O(1) karena setiap kemungkinan langkah bercabang secara hierarkis dari kondisi papan saat ini.</t>
        </is>
      </c>
    </row>
    <row r="56">
      <c r="A56" t="n">
        <v>110</v>
      </c>
      <c r="B56" t="inlineStr">
        <is>
          <t>B</t>
        </is>
      </c>
      <c r="C56" t="inlineStr">
        <is>
          <t>Uncertainty</t>
        </is>
      </c>
      <c r="D56" t="inlineStr">
        <is>
          <t>mungkin</t>
        </is>
      </c>
      <c r="E56" t="n">
        <v>1</v>
      </c>
      <c r="F56" t="inlineStr">
        <is>
          <t>46–53</t>
        </is>
      </c>
      <c r="G56" s="3" t="inlineStr">
        <is>
          <t>Saya akan menjawab pertanyaan tersebut sebaik mungkin.</t>
        </is>
      </c>
    </row>
    <row r="57">
      <c r="A57" t="n">
        <v>116</v>
      </c>
      <c r="B57" t="inlineStr">
        <is>
          <t>A</t>
        </is>
      </c>
      <c r="C57" t="inlineStr">
        <is>
          <t>Uncertainty</t>
        </is>
      </c>
      <c r="D57" t="inlineStr">
        <is>
          <t>mungkin</t>
        </is>
      </c>
      <c r="E57" t="n">
        <v>8</v>
      </c>
      <c r="F57" t="inlineStr">
        <is>
          <t>788–795</t>
        </is>
      </c>
      <c r="G57" s="3" t="inlineStr">
        <is>
          <t>Jika Anda ingin membuat aplikasi kalkulator sederhana, mungkin 15 sub-masalah yang sangat kecil-kecil lebih sesuai untuk memecahkan masalah tersebut.</t>
        </is>
      </c>
    </row>
    <row r="58">
      <c r="A58" t="n">
        <v>116</v>
      </c>
      <c r="B58" t="inlineStr">
        <is>
          <t>B</t>
        </is>
      </c>
      <c r="C58" t="inlineStr">
        <is>
          <t>Uncertainty</t>
        </is>
      </c>
      <c r="D58" t="inlineStr">
        <is>
          <t>mungkin</t>
        </is>
      </c>
      <c r="E58" t="n">
        <v>17</v>
      </c>
      <c r="F58" t="inlineStr">
        <is>
          <t>1370–1377</t>
        </is>
      </c>
      <c r="G58" s="3" t="inlineStr">
        <is>
          <t>Dalam kasus Anda, mungkin lebih baik jika Anda mencoba untuk menemukan keseimbangan antara detail dan kompleksitas.</t>
        </is>
      </c>
    </row>
    <row r="59">
      <c r="A59" t="n">
        <v>119</v>
      </c>
      <c r="B59" t="inlineStr">
        <is>
          <t>A</t>
        </is>
      </c>
      <c r="C59" t="inlineStr">
        <is>
          <t>Uncertainty</t>
        </is>
      </c>
      <c r="D59" t="inlineStr">
        <is>
          <t>mungkin</t>
        </is>
      </c>
      <c r="E59" t="n">
        <v>4</v>
      </c>
      <c r="F59" t="inlineStr">
        <is>
          <t>363–370</t>
        </is>
      </c>
      <c r="G59" s="3" t="inlineStr">
        <is>
          <t>Dalam kasus ini, goal yang lebih sesuai mungkin adalah "menentukan sistem peminjaman buku perpustakaan yang efektif" atau "mengoptimalkan penggunaan buku perpustakaan".</t>
        </is>
      </c>
    </row>
    <row r="60">
      <c r="A60" t="n">
        <v>119</v>
      </c>
      <c r="B60" t="inlineStr">
        <is>
          <t>A</t>
        </is>
      </c>
      <c r="C60" t="inlineStr">
        <is>
          <t>Uncertainty</t>
        </is>
      </c>
      <c r="D60" t="inlineStr">
        <is>
          <t>mungkin</t>
        </is>
      </c>
      <c r="E60" t="n">
        <v>6</v>
      </c>
      <c r="F60" t="inlineStr">
        <is>
          <t>644–651</t>
        </is>
      </c>
      <c r="G60" s="3" t="inlineStr">
        <is>
          <t>Dalam kasus sistem peminjaman buku perpustakaan, problema mungkin adalah kekurangan ruang penyimpanan atau biaya pengelolaan buku.</t>
        </is>
      </c>
    </row>
    <row r="61">
      <c r="A61" t="n">
        <v>119</v>
      </c>
      <c r="B61" t="inlineStr">
        <is>
          <t>A</t>
        </is>
      </c>
      <c r="C61" t="inlineStr">
        <is>
          <t>Uncertainty</t>
        </is>
      </c>
      <c r="D61" t="inlineStr">
        <is>
          <t>mungkin</t>
        </is>
      </c>
      <c r="E61" t="n">
        <v>7</v>
      </c>
      <c r="F61" t="inlineStr">
        <is>
          <t>722–729</t>
        </is>
      </c>
      <c r="G61" s="3" t="inlineStr">
        <is>
          <t>Goal mungkin adalah menentukan sistem yang efektif untuk mengatur peminjaman buku tanpa merugi.</t>
        </is>
      </c>
    </row>
    <row r="62">
      <c r="A62" t="n">
        <v>119</v>
      </c>
      <c r="B62" t="inlineStr">
        <is>
          <t>A</t>
        </is>
      </c>
      <c r="C62" t="inlineStr">
        <is>
          <t>Uncertainty</t>
        </is>
      </c>
      <c r="D62" t="inlineStr">
        <is>
          <t>mungkin</t>
        </is>
      </c>
      <c r="E62" t="n">
        <v>8</v>
      </c>
      <c r="F62" t="inlineStr">
        <is>
          <t>821–828</t>
        </is>
      </c>
      <c r="G62" s="3" t="inlineStr">
        <is>
          <t>Batasan mungkin adalah waktu pinjam, jumlah buku yang dapat dipinjam, atau keterbatasan kemampuan perpustakaan.</t>
        </is>
      </c>
    </row>
    <row r="63">
      <c r="A63" t="n">
        <v>119</v>
      </c>
      <c r="B63" t="inlineStr">
        <is>
          <t>A</t>
        </is>
      </c>
      <c r="C63" t="inlineStr">
        <is>
          <t>Uncertainty</t>
        </is>
      </c>
      <c r="D63" t="inlineStr">
        <is>
          <t>mungkin</t>
        </is>
      </c>
      <c r="E63" t="n">
        <v>9</v>
      </c>
      <c r="F63" t="inlineStr">
        <is>
          <t>930–937</t>
        </is>
      </c>
      <c r="G63" s="3" t="inlineStr">
        <is>
          <t>Data mungkin adalah informasi tentang buku, seperti jumlah buku, jenis buku, dan popularitas buku.</t>
        </is>
      </c>
    </row>
    <row r="64">
      <c r="A64" t="n">
        <v>119</v>
      </c>
      <c r="B64" t="inlineStr">
        <is>
          <t>B</t>
        </is>
      </c>
      <c r="C64" t="inlineStr">
        <is>
          <t>Uncertainty</t>
        </is>
      </c>
      <c r="D64" t="inlineStr">
        <is>
          <t>mungkin</t>
        </is>
      </c>
      <c r="E64" t="n">
        <v>15</v>
      </c>
      <c r="F64" t="inlineStr">
        <is>
          <t>734–741</t>
        </is>
      </c>
      <c r="G64" s="3" t="inlineStr">
        <is>
          <t>Sebagai contoh, goal yang lebih baik dalam abstraksi CT mungkin adalah: "Menjamin 80% pengguna perpustakaan dapat meminjam buku secara efektif dan efisien dalam jangka waktu tertentu".</t>
        </is>
      </c>
    </row>
    <row r="65">
      <c r="A65" t="n">
        <v>120</v>
      </c>
      <c r="B65" t="inlineStr">
        <is>
          <t>A</t>
        </is>
      </c>
      <c r="C65" t="inlineStr">
        <is>
          <t>Uncertainty</t>
        </is>
      </c>
      <c r="D65" t="inlineStr">
        <is>
          <t>mungkin</t>
        </is>
      </c>
      <c r="E65" t="n">
        <v>6</v>
      </c>
      <c r="F65" t="inlineStr">
        <is>
          <t>821–828</t>
        </is>
      </c>
      <c r="G65" s="3" t="inlineStr">
        <is>
          <t>Dalam soal ini, goal adalah memuat sebanyak mungkin berang-berang dalam satu kali perjalanan, sementara batasan adalah kapasitas masing-masing lift dan total berat berang-berang yang tidak dapat terangkut dalam satu kali perjalanan.</t>
        </is>
      </c>
    </row>
    <row r="66">
      <c r="A66" t="n">
        <v>120</v>
      </c>
      <c r="B66" t="inlineStr">
        <is>
          <t>B</t>
        </is>
      </c>
      <c r="C66" t="inlineStr">
        <is>
          <t>Uncertainty</t>
        </is>
      </c>
      <c r="D66" t="inlineStr">
        <is>
          <t>mungkin</t>
        </is>
      </c>
      <c r="E66" t="n">
        <v>1</v>
      </c>
      <c r="F66" t="inlineStr">
        <is>
          <t>42–49</t>
        </is>
      </c>
      <c r="G66" s="3" t="inlineStr">
        <is>
          <t>Saya akan menjawab pertanyaan Anda sebaik mungkin.</t>
        </is>
      </c>
    </row>
    <row r="67">
      <c r="A67" t="n">
        <v>121</v>
      </c>
      <c r="B67" t="inlineStr">
        <is>
          <t>B</t>
        </is>
      </c>
      <c r="C67" t="inlineStr">
        <is>
          <t>Uncertainty</t>
        </is>
      </c>
      <c r="D67" t="inlineStr">
        <is>
          <t>mungkin</t>
        </is>
      </c>
      <c r="E67" t="n">
        <v>8</v>
      </c>
      <c r="F67" t="inlineStr">
        <is>
          <t>802–809</t>
        </is>
      </c>
      <c r="G67" s="3" t="inlineStr">
        <is>
          <t>Contohnya, jika Anda sedang merancang sistem operasi, Anda mungkin perlu memahami bagaimana CPU bekerja dan bagaimana data diolah.</t>
        </is>
      </c>
    </row>
    <row r="68">
      <c r="A68" t="n">
        <v>121</v>
      </c>
      <c r="B68" t="inlineStr">
        <is>
          <t>B</t>
        </is>
      </c>
      <c r="C68" t="inlineStr">
        <is>
          <t>Uncertainty</t>
        </is>
      </c>
      <c r="D68" t="inlineStr">
        <is>
          <t>mungkin</t>
        </is>
      </c>
      <c r="E68" t="n">
        <v>11</v>
      </c>
      <c r="F68" t="inlineStr">
        <is>
          <t>1067–1074</t>
        </is>
      </c>
      <c r="G68" s="3" t="inlineStr">
        <is>
          <t>Contohnya, jika Anda sedang membuat aplikasi, Anda mungkin perlu memahami konsep programming, seperti loop, variabel, dan conditional statements.</t>
        </is>
      </c>
    </row>
    <row r="69">
      <c r="A69" t="n">
        <v>121</v>
      </c>
      <c r="B69" t="inlineStr">
        <is>
          <t>B</t>
        </is>
      </c>
      <c r="C69" t="inlineStr">
        <is>
          <t>Uncertainty</t>
        </is>
      </c>
      <c r="D69" t="inlineStr">
        <is>
          <t>mungkin</t>
        </is>
      </c>
      <c r="E69" t="n">
        <v>14</v>
      </c>
      <c r="F69" t="inlineStr">
        <is>
          <t>1373–1380</t>
        </is>
      </c>
      <c r="G69" s="3" t="inlineStr">
        <is>
          <t>Contohnya, jika Anda sedang membuat aplikasi untuk perusahaan, Anda mungkin perlu memahami bagaimana bisnis bekerja, seperti analisis data, strategi marketing, dan manajemen kantor.</t>
        </is>
      </c>
    </row>
    <row r="70">
      <c r="A70" t="n">
        <v>121</v>
      </c>
      <c r="B70" t="inlineStr">
        <is>
          <t>B</t>
        </is>
      </c>
      <c r="C70" t="inlineStr">
        <is>
          <t>Uncertainty</t>
        </is>
      </c>
      <c r="D70" t="inlineStr">
        <is>
          <t>mungkin</t>
        </is>
      </c>
      <c r="E70" t="n">
        <v>19</v>
      </c>
      <c r="F70" t="inlineStr">
        <is>
          <t>1745–1752</t>
        </is>
      </c>
      <c r="G70" s="3" t="inlineStr">
        <is>
          <t>Jika Anda ingin membuat aplikasi yang dapat berinteraksi dengan pengguna, maka level abstraksi tinggi mungkin lebih relevan.</t>
        </is>
      </c>
    </row>
    <row r="71">
      <c r="A71" t="n">
        <v>121</v>
      </c>
      <c r="B71" t="inlineStr">
        <is>
          <t>B</t>
        </is>
      </c>
      <c r="C71" t="inlineStr">
        <is>
          <t>Uncertainty</t>
        </is>
      </c>
      <c r="D71" t="inlineStr">
        <is>
          <t>mungkin</t>
        </is>
      </c>
      <c r="E71" t="n">
        <v>22</v>
      </c>
      <c r="F71" t="inlineStr">
        <is>
          <t>1899–1906</t>
        </is>
      </c>
      <c r="G71" s="3" t="inlineStr">
        <is>
          <t>Jika Anda sedang menghadapi masalah hardware, maka level rendah mungkin lebih relevan.</t>
        </is>
      </c>
    </row>
    <row r="72">
      <c r="A72" t="n">
        <v>121</v>
      </c>
      <c r="B72" t="inlineStr">
        <is>
          <t>B</t>
        </is>
      </c>
      <c r="C72" t="inlineStr">
        <is>
          <t>Uncertainty</t>
        </is>
      </c>
      <c r="D72" t="inlineStr">
        <is>
          <t>mungkin</t>
        </is>
      </c>
      <c r="E72" t="n">
        <v>25</v>
      </c>
      <c r="F72" t="inlineStr">
        <is>
          <t>2046–2053</t>
        </is>
      </c>
      <c r="G72" s="3" t="inlineStr">
        <is>
          <t>Jika Anda memiliki waktu terbatas, maka Anda mungkin perlu memfokuskan pada level yang lebih tinggi.</t>
        </is>
      </c>
    </row>
    <row r="73">
      <c r="A73" t="n">
        <v>131</v>
      </c>
      <c r="B73" t="inlineStr">
        <is>
          <t>A</t>
        </is>
      </c>
      <c r="C73" t="inlineStr">
        <is>
          <t>Contradiction</t>
        </is>
      </c>
      <c r="D73" t="inlineStr">
        <is>
          <t>yang benar adalah</t>
        </is>
      </c>
      <c r="E73" t="n">
        <v>29</v>
      </c>
      <c r="F73" t="inlineStr">
        <is>
          <t>2361–2378</t>
        </is>
      </c>
      <c r="G73" s="3" t="inlineStr">
        <is>
          <t>Jawaban yang benar adalah bahwa (2**3)**2 = 8**2 = 64, karena perpangkatan bersifat right-associative.</t>
        </is>
      </c>
    </row>
    <row r="74">
      <c r="A74" t="n">
        <v>131</v>
      </c>
      <c r="B74" t="inlineStr">
        <is>
          <t>B</t>
        </is>
      </c>
      <c r="C74" t="inlineStr">
        <is>
          <t>Contradiction</t>
        </is>
      </c>
      <c r="D74" t="inlineStr">
        <is>
          <t>yang benar adalah</t>
        </is>
      </c>
      <c r="E74" t="n">
        <v>8</v>
      </c>
      <c r="F74" t="inlineStr">
        <is>
          <t>450–467</t>
        </is>
      </c>
      <c r="G74" s="3" t="inlineStr">
        <is>
          <t>Jadi, jawaban yang benar adalah 64.</t>
        </is>
      </c>
    </row>
    <row r="75">
      <c r="A75" t="n">
        <v>131</v>
      </c>
      <c r="B75" t="inlineStr">
        <is>
          <t>B</t>
        </is>
      </c>
      <c r="C75" t="inlineStr">
        <is>
          <t>Contradiction</t>
        </is>
      </c>
      <c r="D75" t="inlineStr">
        <is>
          <t>tidak benar</t>
        </is>
      </c>
      <c r="E75" t="n">
        <v>9</v>
      </c>
      <c r="F75" t="inlineStr">
        <is>
          <t>483–494</t>
        </is>
      </c>
      <c r="G75" s="3" t="inlineStr">
        <is>
          <t>Teman Anda tidak benar karena mereka menghitung dengan cara yang salah, yaitu dengan menghitung (2**3)**2 = 8**2 = 64, tetapi tidak mempertimbangkan prioritas perpangkatan.</t>
        </is>
      </c>
    </row>
    <row r="76">
      <c r="A76" t="n">
        <v>139</v>
      </c>
      <c r="B76" t="inlineStr">
        <is>
          <t>A</t>
        </is>
      </c>
      <c r="C76" t="inlineStr">
        <is>
          <t>Contradiction</t>
        </is>
      </c>
      <c r="D76" t="inlineStr">
        <is>
          <t>yang benar adalah</t>
        </is>
      </c>
      <c r="E76" t="n">
        <v>26</v>
      </c>
      <c r="F76" t="inlineStr">
        <is>
          <t>1051–1068</t>
        </is>
      </c>
      <c r="G76" s="3" t="inlineStr">
        <is>
          <t>Dengan demikian, hasil yang benar adalah 151, bukan 55 atau 15!</t>
        </is>
      </c>
    </row>
    <row r="77">
      <c r="A77" t="n">
        <v>141</v>
      </c>
      <c r="B77" t="inlineStr">
        <is>
          <t>A</t>
        </is>
      </c>
      <c r="C77" t="inlineStr">
        <is>
          <t>Uncertainty</t>
        </is>
      </c>
      <c r="D77" t="inlineStr">
        <is>
          <t>mungkin</t>
        </is>
      </c>
      <c r="E77" t="n">
        <v>3</v>
      </c>
      <c r="F77" t="inlineStr">
        <is>
          <t>282–289</t>
        </is>
      </c>
      <c r="G77" s="3" t="inlineStr">
        <is>
          <t>Perulangan bersarang adalah suatu struktur kontrol yang memungkinkan algoritme untuk mengulangi pelaksanaan instruksi tertentu sebanyak mungkin, bergantung pada kondisi tertentu.</t>
        </is>
      </c>
    </row>
    <row r="78">
      <c r="A78" t="n">
        <v>141</v>
      </c>
      <c r="B78" t="inlineStr">
        <is>
          <t>A</t>
        </is>
      </c>
      <c r="C78" t="inlineStr">
        <is>
          <t>Uncertainty</t>
        </is>
      </c>
      <c r="D78" t="inlineStr">
        <is>
          <t>mungkin</t>
        </is>
      </c>
      <c r="E78" t="n">
        <v>19</v>
      </c>
      <c r="F78" t="inlineStr">
        <is>
          <t>981–988</t>
        </is>
      </c>
      <c r="G78" s="3" t="inlineStr">
        <is>
          <t>Kita harus menghitung jumlah bintang yang dibutuhkan pada setiap baris dan mengulangi pelaksanaan instruksi tertentu sebanyak mungkin.</t>
        </is>
      </c>
    </row>
    <row r="79">
      <c r="A79" t="n">
        <v>142</v>
      </c>
      <c r="B79" t="inlineStr">
        <is>
          <t>A</t>
        </is>
      </c>
      <c r="C79" t="inlineStr">
        <is>
          <t>Contradiction</t>
        </is>
      </c>
      <c r="D79" t="inlineStr">
        <is>
          <t>yang benar adalah</t>
        </is>
      </c>
      <c r="E79" t="n">
        <v>17</v>
      </c>
      <c r="F79" t="inlineStr">
        <is>
          <t>1107–1124</t>
        </is>
      </c>
      <c r="G79" s="3" t="inlineStr">
        <is>
          <t>Oleh karena itu, jawaban yang benar adalah 16.</t>
        </is>
      </c>
    </row>
    <row r="80">
      <c r="A80" t="n">
        <v>142</v>
      </c>
      <c r="B80" t="inlineStr">
        <is>
          <t>B</t>
        </is>
      </c>
      <c r="C80" t="inlineStr">
        <is>
          <t>Contradiction</t>
        </is>
      </c>
      <c r="D80" t="inlineStr">
        <is>
          <t>yang benar adalah</t>
        </is>
      </c>
      <c r="E80" t="n">
        <v>14</v>
      </c>
      <c r="F80" t="inlineStr">
        <is>
          <t>616–633</t>
        </is>
      </c>
      <c r="G80" s="3" t="inlineStr">
        <is>
          <t>Jadi, jawaban yang benar adalah 10.</t>
        </is>
      </c>
    </row>
    <row r="81">
      <c r="A81" t="n">
        <v>151</v>
      </c>
      <c r="B81" t="inlineStr">
        <is>
          <t>A</t>
        </is>
      </c>
      <c r="C81" t="inlineStr">
        <is>
          <t>Uncertainty</t>
        </is>
      </c>
      <c r="D81" t="inlineStr">
        <is>
          <t>tampaknya</t>
        </is>
      </c>
      <c r="E81" t="n">
        <v>2</v>
      </c>
      <c r="F81" t="inlineStr">
        <is>
          <t>43–52</t>
        </is>
      </c>
      <c r="G81" s="3" t="inlineStr">
        <is>
          <t>Pertanyaan mahasiswa yang diajukan tampaknya terkait dengan konsep stack dan queue sebagai struktur data.</t>
        </is>
      </c>
    </row>
    <row r="82">
      <c r="A82" t="n">
        <v>161</v>
      </c>
      <c r="B82" t="inlineStr">
        <is>
          <t>A</t>
        </is>
      </c>
      <c r="C82" t="inlineStr">
        <is>
          <t>Uncertainty</t>
        </is>
      </c>
      <c r="D82" t="inlineStr">
        <is>
          <t>mungkin</t>
        </is>
      </c>
      <c r="E82" t="n">
        <v>6</v>
      </c>
      <c r="F82" t="inlineStr">
        <is>
          <t>734–741</t>
        </is>
      </c>
      <c r="G82" s="3" t="inlineStr">
        <is>
          <t>Dalam situasi ini, Algoritme B dengan O(n²) time complexity dan O(1) space complexity mungkin lebih baik karena memori terbatas.</t>
        </is>
      </c>
    </row>
    <row r="83">
      <c r="A83" t="n">
        <v>161</v>
      </c>
      <c r="B83" t="inlineStr">
        <is>
          <t>B</t>
        </is>
      </c>
      <c r="C83" t="inlineStr">
        <is>
          <t>Uncertainty</t>
        </is>
      </c>
      <c r="D83" t="inlineStr">
        <is>
          <t>mungkin</t>
        </is>
      </c>
      <c r="E83" t="n">
        <v>4</v>
      </c>
      <c r="F83" t="inlineStr">
        <is>
          <t>280–287</t>
        </is>
      </c>
      <c r="G83" s="3" t="inlineStr">
        <is>
          <t>Ukuran input (n): Jika n kecil, maka algoritme B dengan kompleksitas waktu O(n²) mungkin lebih cepat daripada algoritme A dengan kompleksitas waktu O(n log n).</t>
        </is>
      </c>
    </row>
    <row r="84">
      <c r="A84" t="n">
        <v>161</v>
      </c>
      <c r="B84" t="inlineStr">
        <is>
          <t>B</t>
        </is>
      </c>
      <c r="C84" t="inlineStr">
        <is>
          <t>Uncertainty</t>
        </is>
      </c>
      <c r="D84" t="inlineStr">
        <is>
          <t>mungkin</t>
        </is>
      </c>
      <c r="E84" t="n">
        <v>7</v>
      </c>
      <c r="F84" t="inlineStr">
        <is>
          <t>532–539</t>
        </is>
      </c>
      <c r="G84" s="3" t="inlineStr">
        <is>
          <t>Kapasitas memori: Karena Anda memiliki memori terbatas, maka algoritme B yang hanya memerlukan ruang O(1) mungkin lebih cocok daripada algoritme A yang memerlukan ruang O(n).</t>
        </is>
      </c>
    </row>
    <row r="85">
      <c r="A85" t="n">
        <v>161</v>
      </c>
      <c r="B85" t="inlineStr">
        <is>
          <t>B</t>
        </is>
      </c>
      <c r="C85" t="inlineStr">
        <is>
          <t>Uncertainty</t>
        </is>
      </c>
      <c r="D85" t="inlineStr">
        <is>
          <t>mungkin</t>
        </is>
      </c>
      <c r="E85" t="n">
        <v>9</v>
      </c>
      <c r="F85" t="inlineStr">
        <is>
          <t>686–693</t>
        </is>
      </c>
      <c r="G85" s="3" t="inlineStr">
        <is>
          <t>Prioritas waktu vs ruang: Jika Anda lebih memprioritaskan waktu, maka algoritme A mungkin lebih baik.</t>
        </is>
      </c>
    </row>
    <row r="86">
      <c r="A86" t="n">
        <v>161</v>
      </c>
      <c r="B86" t="inlineStr">
        <is>
          <t>B</t>
        </is>
      </c>
      <c r="C86" t="inlineStr">
        <is>
          <t>Uncertainty</t>
        </is>
      </c>
      <c r="D86" t="inlineStr">
        <is>
          <t>mungkin</t>
        </is>
      </c>
      <c r="E86" t="n">
        <v>10</v>
      </c>
      <c r="F86" t="inlineStr">
        <is>
          <t>808–815</t>
        </is>
      </c>
      <c r="G86" s="3" t="inlineStr">
        <is>
          <t>Namun, jika Anda lebih memprioritaskan ruang dan memiliki batasan memori yang ketat, maka algoritme B mungkin lebih cocok.</t>
        </is>
      </c>
    </row>
    <row r="87">
      <c r="A87" t="n">
        <v>161</v>
      </c>
      <c r="B87" t="inlineStr">
        <is>
          <t>B</t>
        </is>
      </c>
      <c r="C87" t="inlineStr">
        <is>
          <t>Uncertainty</t>
        </is>
      </c>
      <c r="D87" t="inlineStr">
        <is>
          <t>mungkin</t>
        </is>
      </c>
      <c r="E87" t="n">
        <v>11</v>
      </c>
      <c r="F87" t="inlineStr">
        <is>
          <t>910–917</t>
        </is>
      </c>
      <c r="G87" s="3" t="inlineStr">
        <is>
          <t>Dalam kasus ini, karena n=100, maka algoritme B dengan kompleksitas waktu O(n²) mungkin menjadi pilihan yang lebih baik daripada algoritme A dengan kompleksitas waktu O(n log n).</t>
        </is>
      </c>
    </row>
    <row r="88">
      <c r="A88" t="n">
        <v>161</v>
      </c>
      <c r="B88" t="inlineStr">
        <is>
          <t>B</t>
        </is>
      </c>
      <c r="C88" t="inlineStr">
        <is>
          <t>Uncertainty</t>
        </is>
      </c>
      <c r="D88" t="inlineStr">
        <is>
          <t>mungkin</t>
        </is>
      </c>
      <c r="E88" t="n">
        <v>22</v>
      </c>
      <c r="F88" t="inlineStr">
        <is>
          <t>1572–1579</t>
        </is>
      </c>
      <c r="G88" s="3" t="inlineStr">
        <is>
          <t>Dengan demikian, dalam kasus ini, algoritme B mungkin menjadi pilihan yang lebih baik untuk n=100 dan memori terbatas.</t>
        </is>
      </c>
    </row>
    <row r="89">
      <c r="A89" t="n">
        <v>164</v>
      </c>
      <c r="B89" t="inlineStr">
        <is>
          <t>A</t>
        </is>
      </c>
      <c r="C89" t="inlineStr">
        <is>
          <t>Uncertainty</t>
        </is>
      </c>
      <c r="D89" t="inlineStr">
        <is>
          <t>kemungkinan</t>
        </is>
      </c>
      <c r="E89" t="n">
        <v>15</v>
      </c>
      <c r="F89" t="inlineStr">
        <is>
          <t>1740–1751</t>
        </is>
      </c>
      <c r="G89" s="3" t="inlineStr">
        <is>
          <t>Sebagai tutor CT, saya merekomendasikan penggunaan Big-O (O) sebagai dasar, namun juga tidak menutup kemungkinan untuk menggunakan Big-Ω dan Big-Θ dalam analisis algoritme yang lebih lanjut.</t>
        </is>
      </c>
    </row>
    <row r="90">
      <c r="A90" t="n">
        <v>168</v>
      </c>
      <c r="B90" t="inlineStr">
        <is>
          <t>A</t>
        </is>
      </c>
      <c r="C90" t="inlineStr">
        <is>
          <t>Uncertainty</t>
        </is>
      </c>
      <c r="D90" t="inlineStr">
        <is>
          <t>tampaknya</t>
        </is>
      </c>
      <c r="E90" t="n">
        <v>9</v>
      </c>
      <c r="F90" t="inlineStr">
        <is>
          <t>1034–1043</t>
        </is>
      </c>
      <c r="G90" s="3" t="inlineStr">
        <is>
          <t>Algoritme merge sort tampaknya paling efisien karena memiliki kompleksitas waktu O(n log n) yang relatif lebih cepat daripada algoritme lainnya.</t>
        </is>
      </c>
    </row>
    <row r="91">
      <c r="A91" t="n">
        <v>177</v>
      </c>
      <c r="B91" t="inlineStr">
        <is>
          <t>B</t>
        </is>
      </c>
      <c r="C91" t="inlineStr">
        <is>
          <t>Contradiction</t>
        </is>
      </c>
      <c r="D91" t="inlineStr">
        <is>
          <t>yang benar adalah</t>
        </is>
      </c>
      <c r="E91" t="n">
        <v>8</v>
      </c>
      <c r="F91" t="inlineStr">
        <is>
          <t>856–873</t>
        </is>
      </c>
      <c r="G91" s="3" t="inlineStr">
        <is>
          <t>Jadi, jawaban yang benar adalah bahwa Saya yang benar.</t>
        </is>
      </c>
    </row>
    <row r="92">
      <c r="A92" t="n">
        <v>182</v>
      </c>
      <c r="B92" t="inlineStr">
        <is>
          <t>B</t>
        </is>
      </c>
      <c r="C92" t="inlineStr">
        <is>
          <t>Uncertainty</t>
        </is>
      </c>
      <c r="D92" t="inlineStr">
        <is>
          <t>mungkin</t>
        </is>
      </c>
      <c r="E92" t="n">
        <v>1</v>
      </c>
      <c r="F92" t="inlineStr">
        <is>
          <t>46–53</t>
        </is>
      </c>
      <c r="G92" s="3" t="inlineStr">
        <is>
          <t>Saya akan menjawab pertanyaan tersebut sebaik mungkin.</t>
        </is>
      </c>
    </row>
    <row r="93">
      <c r="A93" t="n">
        <v>186</v>
      </c>
      <c r="B93" t="inlineStr">
        <is>
          <t>A</t>
        </is>
      </c>
      <c r="C93" t="inlineStr">
        <is>
          <t>Uncertainty</t>
        </is>
      </c>
      <c r="D93" t="inlineStr">
        <is>
          <t>might be</t>
        </is>
      </c>
      <c r="E93" t="n">
        <v>12</v>
      </c>
      <c r="F93" t="inlineStr">
        <is>
          <t>1021–1029</t>
        </is>
      </c>
      <c r="G93" s="3" t="inlineStr">
        <is>
          <t>The Problem might be related to changes in consumer behavior, competition among retailers, or economic downturns.</t>
        </is>
      </c>
    </row>
    <row r="94">
      <c r="A94" t="n">
        <v>186</v>
      </c>
      <c r="B94" t="inlineStr">
        <is>
          <t>B</t>
        </is>
      </c>
      <c r="C94" t="inlineStr">
        <is>
          <t>Uncertainty</t>
        </is>
      </c>
      <c r="D94" t="inlineStr">
        <is>
          <t>tidak pasti</t>
        </is>
      </c>
      <c r="E94" t="n">
        <v>7</v>
      </c>
      <c r="F94" t="inlineStr">
        <is>
          <t>1049–1060</t>
        </is>
      </c>
      <c r="G94" s="3" t="inlineStr">
        <is>
          <t>* NP (Nondeterministic Polynomial Time) adalah kelas masalah yang dapat dipecahkan secara cepat oleh mesin, tetapi tidak pasti apakah hasilnya benar.</t>
        </is>
      </c>
    </row>
    <row r="95">
      <c r="A95" t="n">
        <v>187</v>
      </c>
      <c r="B95" t="inlineStr">
        <is>
          <t>A</t>
        </is>
      </c>
      <c r="C95" t="inlineStr">
        <is>
          <t>Uncertainty</t>
        </is>
      </c>
      <c r="D95" t="inlineStr">
        <is>
          <t>mungkin</t>
        </is>
      </c>
      <c r="E95" t="n">
        <v>16</v>
      </c>
      <c r="F95" t="inlineStr">
        <is>
          <t>1377–1384</t>
        </is>
      </c>
      <c r="G95" s="3" t="inlineStr">
        <is>
          <t>Namun, dalam beberapa kasus, cara rekursi biasa atau iterasi for loop mungkin lebih cocok bergantung pada kebutuhan aplikasinya.</t>
        </is>
      </c>
    </row>
    <row r="96">
      <c r="A96" t="n">
        <v>188</v>
      </c>
      <c r="B96" t="inlineStr">
        <is>
          <t>B</t>
        </is>
      </c>
      <c r="C96" t="inlineStr">
        <is>
          <t>Uncertainty</t>
        </is>
      </c>
      <c r="D96" t="inlineStr">
        <is>
          <t>mungkin</t>
        </is>
      </c>
      <c r="E96" t="n">
        <v>24</v>
      </c>
      <c r="F96" t="inlineStr">
        <is>
          <t>1202–1209</t>
        </is>
      </c>
      <c r="G96" s="3" t="inlineStr">
        <is>
          <t>Oleh karena itu, jika Anda memiliki banyak kondisi yang harus diperiksa, maka penggunaan `switch/case` mungkin akan lebih efektif dan mudah dipahami.</t>
        </is>
      </c>
    </row>
    <row r="97">
      <c r="A97" t="n">
        <v>189</v>
      </c>
      <c r="B97" t="inlineStr">
        <is>
          <t>A</t>
        </is>
      </c>
      <c r="C97" t="inlineStr">
        <is>
          <t>Uncertainty</t>
        </is>
      </c>
      <c r="D97" t="inlineStr">
        <is>
          <t>mungkin</t>
        </is>
      </c>
      <c r="E97" t="n">
        <v>10</v>
      </c>
      <c r="F97" t="inlineStr">
        <is>
          <t>1131–1138</t>
        </is>
      </c>
      <c r="G97" s="3" t="inlineStr">
        <is>
          <t>Namun, dalam kasus-kasus lainnya, sorting dulu lalu ambil elemen terakhir mungkin lebih efektif, terutama jika ukuran input besar dan algoritme sorting yang digunakan memiliki kompleksitas waktu yang lebih baik.</t>
        </is>
      </c>
    </row>
    <row r="98">
      <c r="A98" t="n">
        <v>190</v>
      </c>
      <c r="B98" t="inlineStr">
        <is>
          <t>A</t>
        </is>
      </c>
      <c r="C98" t="inlineStr">
        <is>
          <t>Uncertainty</t>
        </is>
      </c>
      <c r="D98" t="inlineStr">
        <is>
          <t>may be</t>
        </is>
      </c>
      <c r="E98" t="n">
        <v>40</v>
      </c>
      <c r="F98" t="inlineStr">
        <is>
          <t>2192–2198</t>
        </is>
      </c>
      <c r="G98" s="3" t="inlineStr">
        <is>
          <t>If this is not the case, additional steps may be required to gather the necessary data.</t>
        </is>
      </c>
    </row>
    <row r="99">
      <c r="A99" t="n">
        <v>192</v>
      </c>
      <c r="B99" t="inlineStr">
        <is>
          <t>A</t>
        </is>
      </c>
      <c r="C99" t="inlineStr">
        <is>
          <t>Uncertainty</t>
        </is>
      </c>
      <c r="D99" t="inlineStr">
        <is>
          <t>might be</t>
        </is>
      </c>
      <c r="E99" t="n">
        <v>5</v>
      </c>
      <c r="F99" t="inlineStr">
        <is>
          <t>672–680</t>
        </is>
      </c>
      <c r="G99" s="3" t="inlineStr">
        <is>
          <t>Alternatively, it might be due to external factors such as changes in student motivation or socio-economic conditions.</t>
        </is>
      </c>
    </row>
    <row r="100">
      <c r="A100" t="n">
        <v>194</v>
      </c>
      <c r="B100" t="inlineStr">
        <is>
          <t>B</t>
        </is>
      </c>
      <c r="C100" t="inlineStr">
        <is>
          <t>Uncertainty</t>
        </is>
      </c>
      <c r="D100" t="inlineStr">
        <is>
          <t>mungkin</t>
        </is>
      </c>
      <c r="E100" t="n">
        <v>1</v>
      </c>
      <c r="F100" t="inlineStr">
        <is>
          <t>49–56</t>
        </is>
      </c>
      <c r="G100" s="3" t="inlineStr">
        <is>
          <t>Saya akan menjawab pertanyaan Anda dengan sebaik mungkin.</t>
        </is>
      </c>
    </row>
    <row r="101">
      <c r="A101" t="n">
        <v>195</v>
      </c>
      <c r="B101" t="inlineStr">
        <is>
          <t>A</t>
        </is>
      </c>
      <c r="C101" t="inlineStr">
        <is>
          <t>Uncertainty</t>
        </is>
      </c>
      <c r="D101" t="inlineStr">
        <is>
          <t>mungkin</t>
        </is>
      </c>
      <c r="E101" t="n">
        <v>10</v>
      </c>
      <c r="F101" t="inlineStr">
        <is>
          <t>763–770</t>
        </is>
      </c>
      <c r="G101" s="3" t="inlineStr">
        <is>
          <t>Namun, teman Anda yang mendapatkan hasil x=5, y=3 mungkin tidak paham bagaimana kode tersebut bekerja.</t>
        </is>
      </c>
    </row>
    <row r="102">
      <c r="A102" t="n">
        <v>198</v>
      </c>
      <c r="B102" t="inlineStr">
        <is>
          <t>A</t>
        </is>
      </c>
      <c r="C102" t="inlineStr">
        <is>
          <t>Uncertainty</t>
        </is>
      </c>
      <c r="D102" t="inlineStr">
        <is>
          <t>kemungkinan</t>
        </is>
      </c>
      <c r="E102" t="n">
        <v>7</v>
      </c>
      <c r="F102" t="inlineStr">
        <is>
          <t>607–618</t>
        </is>
      </c>
      <c r="G102" s="3" t="inlineStr">
        <is>
          <t>Contoh konkretnya, dalam permainan catur berbasis kecerdasan buatan, setiap node merepresentasikan satu kondisi papan catur dan setiap edge merepresentasikan satu kemungkinan langkah.</t>
        </is>
      </c>
    </row>
    <row r="103">
      <c r="A103" t="n">
        <v>198</v>
      </c>
      <c r="B103" t="inlineStr">
        <is>
          <t>A</t>
        </is>
      </c>
      <c r="C103" t="inlineStr">
        <is>
          <t>Uncertainty</t>
        </is>
      </c>
      <c r="D103" t="inlineStr">
        <is>
          <t>kemungkinan</t>
        </is>
      </c>
      <c r="E103" t="n">
        <v>8</v>
      </c>
      <c r="F103" t="inlineStr">
        <is>
          <t>711–722</t>
        </is>
      </c>
      <c r="G103" s="3" t="inlineStr">
        <is>
          <t>Dalam tree catur, kita dapat melakukan traversal rekursif untuk menghasilkan semua kemungkinan langkah yang tersedia.</t>
        </is>
      </c>
    </row>
    <row r="104">
      <c r="A104" t="n">
        <v>199</v>
      </c>
      <c r="B104" t="inlineStr">
        <is>
          <t>A</t>
        </is>
      </c>
      <c r="C104" t="inlineStr">
        <is>
          <t>Uncertainty</t>
        </is>
      </c>
      <c r="D104" t="inlineStr">
        <is>
          <t>kemungkinan</t>
        </is>
      </c>
      <c r="E104" t="n">
        <v>7</v>
      </c>
      <c r="F104" t="inlineStr">
        <is>
          <t>890–901</t>
        </is>
      </c>
      <c r="G104" s="3" t="inlineStr">
        <is>
          <t>Contohnya, dalam materi GT_CT13.txt, kita menggunakan Tree sebagai struktur data untuk merepresentasikan berbagai kemungkinan langkah ke depan dalam permainan catur, tanpa perlu mempertahankan detail-detail implementasi.</t>
        </is>
      </c>
    </row>
    <row r="105">
      <c r="A105" t="n">
        <v>206</v>
      </c>
      <c r="B105" t="inlineStr">
        <is>
          <t>B</t>
        </is>
      </c>
      <c r="C105" t="inlineStr">
        <is>
          <t>Uncertainty</t>
        </is>
      </c>
      <c r="D105" t="inlineStr">
        <is>
          <t>mungkin</t>
        </is>
      </c>
      <c r="E105" t="n">
        <v>5</v>
      </c>
      <c r="F105" t="inlineStr">
        <is>
          <t>746–753</t>
        </is>
      </c>
      <c r="G105" s="3" t="inlineStr">
        <is>
          <t>Oleh karena itu, dalam contoh Anda, komentar yang lebih baik mungkin seperti: # digunakan untuk menghitung jumlah iterasi yang telah terjadi.</t>
        </is>
      </c>
    </row>
    <row r="106">
      <c r="A106" t="n">
        <v>209</v>
      </c>
      <c r="B106" t="inlineStr">
        <is>
          <t>A</t>
        </is>
      </c>
      <c r="C106" t="inlineStr">
        <is>
          <t>Uncertainty</t>
        </is>
      </c>
      <c r="D106" t="inlineStr">
        <is>
          <t>mungkin</t>
        </is>
      </c>
      <c r="E106" t="n">
        <v>1</v>
      </c>
      <c r="F106" t="inlineStr">
        <is>
          <t>14–21</t>
        </is>
      </c>
      <c r="G106" s="3" t="inlineStr">
        <is>
          <t>Pada awalnya, mungkin terlihat bahwa debugging kode tidak langsung terkait dengan dekomposisi dan pattern recognition seperti yang diceritakan oleh dosen Anda.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87"/>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9" customWidth="1" min="3" max="3"/>
    <col width="100" customWidth="1" min="4" max="4"/>
    <col width="20" customWidth="1" min="5" max="5"/>
  </cols>
  <sheetData>
    <row r="1">
      <c r="A1" s="1" t="inlineStr">
        <is>
          <t>test_id</t>
        </is>
      </c>
      <c r="B1" s="1" t="inlineStr">
        <is>
          <t>kondisi</t>
        </is>
      </c>
      <c r="C1" s="1" t="inlineStr">
        <is>
          <t>klaim ke-</t>
        </is>
      </c>
      <c r="D1" s="1" t="inlineStr">
        <is>
          <t>klaim (kalimat respons LLM)</t>
        </is>
      </c>
      <c r="E1" s="1" t="inlineStr">
        <is>
          <t>verdict LLM-as-Judge</t>
        </is>
      </c>
    </row>
    <row r="2">
      <c r="A2" t="n">
        <v>1</v>
      </c>
      <c r="B2" t="inlineStr">
        <is>
          <t>A</t>
        </is>
      </c>
      <c r="C2" t="n">
        <v>1</v>
      </c>
      <c r="D2" s="3" t="inlineStr">
        <is>
          <t>Misalnya, pada soal tentang pasangan bilangan bulat, kita perlu mengidentifikasi goal (menghitung berapa banyak pasangan yang memenuhi syarat) dan kemudian memecah proses penyelesaiannya menjadi langkah-langkah lebih kec</t>
        </is>
      </c>
      <c r="E2" t="inlineStr">
        <is>
          <t>YA (didukung konteks)</t>
        </is>
      </c>
    </row>
    <row r="3">
      <c r="A3" t="n">
        <v>1</v>
      </c>
      <c r="B3" t="inlineStr">
        <is>
          <t>A</t>
        </is>
      </c>
      <c r="C3" t="n">
        <v>2</v>
      </c>
      <c r="D3" s="3" t="inlineStr">
        <is>
          <t>Berpikir logis yang kita pelajari di matematika SMA juga tentang formulasi masalah, tapi bedanya adalah CT memungkinkan kita untuk mengidentifikasi pattern dan pola dalam data, serta menggunakan logika dan analisis untuk</t>
        </is>
      </c>
      <c r="E3" t="inlineStr">
        <is>
          <t>YA (didukung konteks)</t>
        </is>
      </c>
    </row>
    <row r="4">
      <c r="A4" t="n">
        <v>1</v>
      </c>
      <c r="B4" t="inlineStr">
        <is>
          <t>A</t>
        </is>
      </c>
      <c r="C4" t="n">
        <v>3</v>
      </c>
      <c r="D4" s="3" t="inlineStr">
        <is>
          <t>Dalam kaitan ini, juga penting untuk memahami struktur data seperti list (array/sequence of values) yang menyimpan sekumpulan nilai secara berurutan di bawah satu nama variabel.</t>
        </is>
      </c>
      <c r="E4" t="inlineStr">
        <is>
          <t>YA (didukung konteks)</t>
        </is>
      </c>
    </row>
    <row r="5">
      <c r="A5" t="n">
        <v>1</v>
      </c>
      <c r="B5" t="inlineStr">
        <is>
          <t>A</t>
        </is>
      </c>
      <c r="C5" t="n">
        <v>4</v>
      </c>
      <c r="D5" s="3" t="inlineStr">
        <is>
          <t>CT tidak hanya sekadar mencari solusi, tapi juga melibatkan identifikasi goal dan tujuan utama dari masalah, kemudian dekomposisi menjadi sub-masalah yang lebih kecil.</t>
        </is>
      </c>
      <c r="E5" t="inlineStr">
        <is>
          <t>YA (didukung konteks)</t>
        </is>
      </c>
    </row>
    <row r="6">
      <c r="A6" t="n">
        <v>1</v>
      </c>
      <c r="B6" t="inlineStr">
        <is>
          <t>A</t>
        </is>
      </c>
      <c r="C6" t="n">
        <v>5</v>
      </c>
      <c r="D6" s="3" t="inlineStr">
        <is>
          <t>Contohnya adalah menggunakan operator logika AND dan OR untuk menyelesaikan masalah, serta Is Operator untuk memeriksa tipe atau identitas suatu nilai/objek.</t>
        </is>
      </c>
      <c r="E6" t="inlineStr">
        <is>
          <t>YA (didukung konteks)</t>
        </is>
      </c>
    </row>
    <row r="7">
      <c r="A7" t="n">
        <v>1</v>
      </c>
      <c r="B7" t="inlineStr">
        <is>
          <t>A</t>
        </is>
      </c>
      <c r="C7" t="n">
        <v>6</v>
      </c>
      <c r="D7" s="3" t="inlineStr">
        <is>
          <t>Mahasiswa, kalian pasti telah memahami definisi Computational Thinking (CT) sebagai "formulasi masalah dan solusi" dari berbagai sumber.</t>
        </is>
      </c>
      <c r="E7" t="inlineStr">
        <is>
          <t>YA (didukung konteks)</t>
        </is>
      </c>
    </row>
    <row r="8">
      <c r="A8" t="n">
        <v>1</v>
      </c>
      <c r="B8" t="inlineStr">
        <is>
          <t>B</t>
        </is>
      </c>
      <c r="C8" t="n">
        <v>1</v>
      </c>
      <c r="D8" s="3" t="inlineStr">
        <is>
          <t>Ketiga, CT tidak hanya tentang mencari solusi yang tepat, tapi juga tentang mengembangkan kemampuan untuk memahami konsep-konsep dasar seperti variables, data types, loops, conditional statements, dan lain-lain.</t>
        </is>
      </c>
      <c r="E8" t="inlineStr">
        <is>
          <t>YA (didukung konteks)</t>
        </is>
      </c>
    </row>
    <row r="9">
      <c r="A9" t="n">
        <v>1</v>
      </c>
      <c r="B9" t="inlineStr">
        <is>
          <t>B</t>
        </is>
      </c>
      <c r="C9" t="n">
        <v>2</v>
      </c>
      <c r="D9" s="3" t="inlineStr">
        <is>
          <t>Keempat, CT tidak hanya tentang meningkatkan kemampuan problem-solving, tapi juga tentang mengembangkan kemampuan-kemampuan lain seperti critical thinking, creativity, communication, dan collaboration.</t>
        </is>
      </c>
      <c r="E9" t="inlineStr">
        <is>
          <t>YA (didukung konteks)</t>
        </is>
      </c>
    </row>
    <row r="10">
      <c r="A10" t="n">
        <v>1</v>
      </c>
      <c r="B10" t="inlineStr">
        <is>
          <t>B</t>
        </is>
      </c>
      <c r="C10" t="n">
        <v>3</v>
      </c>
      <c r="D10" s="3" t="inlineStr">
        <is>
          <t>Walaupun definisi Computational Thinking (CT) dan berpikir logis biasa sebenarnya memiliki unsur formulasi masalah, namun ada beberapa perbedaan yang membuat CT menjadi lebih spesifik dan unik.</t>
        </is>
      </c>
      <c r="E10" t="inlineStr">
        <is>
          <t>YA (didukung konteks)</t>
        </is>
      </c>
    </row>
    <row r="11">
      <c r="A11" t="n">
        <v>1</v>
      </c>
      <c r="B11" t="inlineStr">
        <is>
          <t>B</t>
        </is>
      </c>
      <c r="C11" t="n">
        <v>4</v>
      </c>
      <c r="D11" s="3" t="inlineStr">
        <is>
          <t>Dalam CT, siswa diajarkan untuk berpikir secara sistematis, metodologis, dan analitis dalam menghadapi masalah, sehingga mereka dapat menemukan solusi yang efektif dan efisiensi.</t>
        </is>
      </c>
      <c r="E11" t="inlineStr">
        <is>
          <t>YA (didukung konteks)</t>
        </is>
      </c>
    </row>
    <row r="12">
      <c r="A12" t="n">
        <v>1</v>
      </c>
      <c r="B12" t="inlineStr">
        <is>
          <t>B</t>
        </is>
      </c>
      <c r="C12" t="n">
        <v>5</v>
      </c>
      <c r="D12" s="3" t="inlineStr">
        <is>
          <t>CT tidak hanya tentang formulasi masalah, tapi juga tentang mengembangkan kemampuan-kemampuan yang diperlukan untuk menyelesaikan masalah secara efektif dan efisiensi.</t>
        </is>
      </c>
      <c r="E12" t="inlineStr">
        <is>
          <t>YA (didukung konteks)</t>
        </is>
      </c>
    </row>
    <row r="13">
      <c r="A13" t="n">
        <v>1</v>
      </c>
      <c r="B13" t="inlineStr">
        <is>
          <t>B</t>
        </is>
      </c>
      <c r="C13" t="n">
        <v>6</v>
      </c>
      <c r="D13" s="3" t="inlineStr">
        <is>
          <t>Dalam kata lain, Computational Thinking adalah suatu pendekatan yang lebih luas dan holistik untuk menghadapi masalah, dibandingkan dengan berpikir logis biasa.</t>
        </is>
      </c>
      <c r="E13" t="inlineStr">
        <is>
          <t>YA (didukung konteks)</t>
        </is>
      </c>
    </row>
    <row r="14">
      <c r="A14" t="n">
        <v>2</v>
      </c>
      <c r="B14" t="inlineStr">
        <is>
          <t>A</t>
        </is>
      </c>
      <c r="C14" t="n">
        <v>1</v>
      </c>
      <c r="D14" s="3" t="inlineStr">
        <is>
          <t>Namun, perlu diingat bahwa AADP bukanlah urutan magis yang harus diikuti, tapi lebih seperti framework atau panduan untuk menyelesaikan masalah computational thinking.</t>
        </is>
      </c>
      <c r="E14" t="inlineStr">
        <is>
          <t>YA (didukung konteks)</t>
        </is>
      </c>
    </row>
    <row r="15">
      <c r="A15" t="n">
        <v>2</v>
      </c>
      <c r="B15" t="inlineStr">
        <is>
          <t>A</t>
        </is>
      </c>
      <c r="C15" t="n">
        <v>2</v>
      </c>
      <c r="D15" s="3" t="inlineStr">
        <is>
          <t>Dengan menggunakan AADP, mahasiswa dapat memahami masalah dengan lebih baik, mencari solusi, dan mengkomponeninya menjadi beberapa bagian yang lebih kecil.</t>
        </is>
      </c>
      <c r="E15" t="inlineStr">
        <is>
          <t>YA (didukung konteks)</t>
        </is>
      </c>
    </row>
    <row r="16">
      <c r="A16" t="n">
        <v>2</v>
      </c>
      <c r="B16" t="inlineStr">
        <is>
          <t>A</t>
        </is>
      </c>
      <c r="C16" t="n">
        <v>3</v>
      </c>
      <c r="D16" s="3" t="inlineStr">
        <is>
          <t>Saya berharap jawaban saya dapat membantu mahasiswa memahami konsep AADP dan menggunakan secara efektif dalam menyelesaikan masalah computational thinking.</t>
        </is>
      </c>
      <c r="E16" t="inlineStr">
        <is>
          <t>YA (didukung konteks)</t>
        </is>
      </c>
    </row>
    <row r="17">
      <c r="A17" t="n">
        <v>2</v>
      </c>
      <c r="B17" t="inlineStr">
        <is>
          <t>A</t>
        </is>
      </c>
      <c r="C17" t="n">
        <v>4</v>
      </c>
      <c r="D17" s="3" t="inlineStr">
        <is>
          <t>AADP (Abstraksi → Algoritme → Dekomposisi → Pattern Recognition) adalah urutan proses yang digunakan untuk menyelesaikan masalah computational thinking.</t>
        </is>
      </c>
      <c r="E17" t="inlineStr">
        <is>
          <t>YA (didukung konteks)</t>
        </is>
      </c>
    </row>
    <row r="18">
      <c r="A18" t="n">
        <v>2</v>
      </c>
      <c r="B18" t="inlineStr">
        <is>
          <t>A</t>
        </is>
      </c>
      <c r="C18" t="n">
        <v>5</v>
      </c>
      <c r="D18" s="3" t="inlineStr">
        <is>
          <t>AADP tidak hanya sekadar urutan, tapi juga representasi konsep dan langkah-langkah yang digunakan untuk memahami dan menyelesaikan masalah.</t>
        </is>
      </c>
      <c r="E18" t="inlineStr">
        <is>
          <t>YA (didukung konteks)</t>
        </is>
      </c>
    </row>
    <row r="19">
      <c r="A19" t="n">
        <v>2</v>
      </c>
      <c r="B19" t="inlineStr">
        <is>
          <t>A</t>
        </is>
      </c>
      <c r="C19" t="n">
        <v>6</v>
      </c>
      <c r="D19" s="3" t="inlineStr">
        <is>
          <t>Abstraksi (Abstrak) berarti mengidentifikasi unsur-unsur penting dalam suatu masalah dan meninggalkan unsur-unsur yang tidak relevan.</t>
        </is>
      </c>
      <c r="E19" t="inlineStr">
        <is>
          <t>YA (didukung konteks)</t>
        </is>
      </c>
    </row>
    <row r="20">
      <c r="A20" t="n">
        <v>2</v>
      </c>
      <c r="B20" t="inlineStr">
        <is>
          <t>B</t>
        </is>
      </c>
      <c r="C20" t="n">
        <v>1</v>
      </c>
      <c r="D20" s="3" t="inlineStr">
        <is>
          <t>AADP tidak hanya berarti Abstraksi → Algoritme → Dekomposisi → Pattern Recognition, melainkan merupakan suatu metode pemecahan masalah yang dikenal sebagai Analyze, Abstract, Decompose, dan Produce (AADP).</t>
        </is>
      </c>
      <c r="E20" t="inlineStr">
        <is>
          <t>YA (didukung konteks)</t>
        </is>
      </c>
    </row>
    <row r="21">
      <c r="A21" t="n">
        <v>2</v>
      </c>
      <c r="B21" t="inlineStr">
        <is>
          <t>B</t>
        </is>
      </c>
      <c r="C21" t="n">
        <v>2</v>
      </c>
      <c r="D21" s="3" t="inlineStr">
        <is>
          <t>Metode AADP ini digunakan untuk mengatasi masalah kompleks dengan cara menganalisis, memahami, dan mendekomposisi masalah tersebut menjadi bagian-bagian yang lebih kecil.</t>
        </is>
      </c>
      <c r="E21" t="inlineStr">
        <is>
          <t>YA (didukung konteks)</t>
        </is>
      </c>
    </row>
    <row r="22">
      <c r="A22" t="n">
        <v>2</v>
      </c>
      <c r="B22" t="inlineStr">
        <is>
          <t>B</t>
        </is>
      </c>
      <c r="C22" t="n">
        <v>3</v>
      </c>
      <c r="D22" s="3" t="inlineStr">
        <is>
          <t>Jadi, AADP tidak hanya berupa urutan proses, tapi juga suatu metode sistematis dan struktural untuk mengatasi masalah kompleks.</t>
        </is>
      </c>
      <c r="E22" t="inlineStr">
        <is>
          <t>YA (didukung konteks)</t>
        </is>
      </c>
    </row>
    <row r="23">
      <c r="A23" t="n">
        <v>2</v>
      </c>
      <c r="B23" t="inlineStr">
        <is>
          <t>B</t>
        </is>
      </c>
      <c r="C23" t="n">
        <v>4</v>
      </c>
      <c r="D23" s="3" t="inlineStr">
        <is>
          <t>Lalu, setelah itu, Anda dapat mengembangkan algoritme atau strategi untuk menyelesaikan masalah tersebut.</t>
        </is>
      </c>
      <c r="E23" t="inlineStr">
        <is>
          <t>YA (didukung konteks)</t>
        </is>
      </c>
    </row>
    <row r="24">
      <c r="A24" t="n">
        <v>2</v>
      </c>
      <c r="B24" t="inlineStr">
        <is>
          <t>B</t>
        </is>
      </c>
      <c r="C24" t="n">
        <v>5</v>
      </c>
      <c r="D24" s="3" t="inlineStr">
        <is>
          <t>Saya dapat membantu Anda menjawab pertanyaan ini!</t>
        </is>
      </c>
      <c r="E24" t="inlineStr">
        <is>
          <t>YA (didukung konteks)</t>
        </is>
      </c>
    </row>
    <row r="25">
      <c r="A25" t="n">
        <v>3</v>
      </c>
      <c r="B25" t="inlineStr">
        <is>
          <t>A</t>
        </is>
      </c>
      <c r="C25" t="n">
        <v>1</v>
      </c>
      <c r="D25" s="3" t="inlineStr">
        <is>
          <t>Meskipun CT sebagian besar diperkenalkan dalam bidang teknologi, konsep-konsep dasar seperti pattern recognition, algorithm, dan problem-solving adalah umum dan dapat digunakan dalam berbagai bidang.</t>
        </is>
      </c>
      <c r="E25" t="inlineStr">
        <is>
          <t>YA (didukung konteks)</t>
        </is>
      </c>
    </row>
    <row r="26">
      <c r="A26" t="n">
        <v>3</v>
      </c>
      <c r="B26" t="inlineStr">
        <is>
          <t>A</t>
        </is>
      </c>
      <c r="C26" t="n">
        <v>2</v>
      </c>
      <c r="D26" s="3" t="inlineStr">
        <is>
          <t>Selain itu, saya juga ingin menyarankan Anda untuk belajar tentang block programming, karena metode ini dapat membantu Anda menjadi lebih fleksibel dan kreatif dalam cara berpikir dan bekerja.</t>
        </is>
      </c>
      <c r="E26" t="inlineStr">
        <is>
          <t>YA (didukung konteks)</t>
        </is>
      </c>
    </row>
    <row r="27">
      <c r="A27" t="n">
        <v>3</v>
      </c>
      <c r="B27" t="inlineStr">
        <is>
          <t>A</t>
        </is>
      </c>
      <c r="C27" t="n">
        <v>3</v>
      </c>
      <c r="D27" s="3" t="inlineStr">
        <is>
          <t>Saya akan menjawab pertanyaan Anda dengan menggunakan konsep-konsep yang relevan dari Computational Thinking (CT) dan materinya.</t>
        </is>
      </c>
      <c r="E27" t="inlineStr">
        <is>
          <t>YA (didukung konteks)</t>
        </is>
      </c>
    </row>
    <row r="28">
      <c r="A28" t="n">
        <v>3</v>
      </c>
      <c r="B28" t="inlineStr">
        <is>
          <t>A</t>
        </is>
      </c>
      <c r="C28" t="n">
        <v>4</v>
      </c>
      <c r="D28" s="3" t="inlineStr">
        <is>
          <t>Selain itu, Anda juga mungkin harus menyusun langkah-langkah sistematis untuk menyelesaikan masalah-masalah kesehatan.</t>
        </is>
      </c>
      <c r="E28" t="inlineStr">
        <is>
          <t>YA (didukung konteks)</t>
        </is>
      </c>
    </row>
    <row r="29">
      <c r="A29" t="n">
        <v>3</v>
      </c>
      <c r="B29" t="inlineStr">
        <is>
          <t>A</t>
        </is>
      </c>
      <c r="C29" t="n">
        <v>5</v>
      </c>
      <c r="D29" s="3" t="inlineStr">
        <is>
          <t>Dengan menggunakan CT, Anda dapat membuat model atau algoritma untuk menentukan diagnosis dan perawatan yang sesuai.</t>
        </is>
      </c>
      <c r="E29" t="inlineStr">
        <is>
          <t>YA (didukung konteks)</t>
        </is>
      </c>
    </row>
    <row r="30">
      <c r="A30" t="n">
        <v>3</v>
      </c>
      <c r="B30" t="inlineStr">
        <is>
          <t>A</t>
        </is>
      </c>
      <c r="C30" t="n">
        <v>6</v>
      </c>
      <c r="D30" s="3" t="inlineStr">
        <is>
          <t>Misalnya, sebagai dokter, Anda mungkin harus mengidentifikasi pola-pola kesehatan yang terjadi diantara pasien.</t>
        </is>
      </c>
      <c r="E30" t="inlineStr">
        <is>
          <t>YA (didukung konteks)</t>
        </is>
      </c>
    </row>
    <row r="31">
      <c r="A31" t="n">
        <v>3</v>
      </c>
      <c r="B31" t="inlineStr">
        <is>
          <t>B</t>
        </is>
      </c>
      <c r="C31" t="n">
        <v>1</v>
      </c>
      <c r="D31" s="3" t="inlineStr">
        <is>
          <t xml:space="preserve">Dalam era VUCA (Volatility, Uncertainty, Complexity, Ambiguity), CT (Critical Thinking) memang sangat penting untuk karir, tidak hanya bagi orang teknis seperti programmer, tetapi juga bagi profesional lainnya, termasuk </t>
        </is>
      </c>
      <c r="E31" t="inlineStr">
        <is>
          <t>YA (didukung konteks)</t>
        </is>
      </c>
    </row>
    <row r="32">
      <c r="A32" t="n">
        <v>3</v>
      </c>
      <c r="B32" t="inlineStr">
        <is>
          <t>B</t>
        </is>
      </c>
      <c r="C32" t="n">
        <v>2</v>
      </c>
      <c r="D32" s="3" t="inlineStr">
        <is>
          <t>Dalam era VUCA, dokter harus mampu beradaptasi dengan cepat terhadap perubahan epidemiologis, teknologi medis, dan kebijakan klinis yang selalu berkembang.</t>
        </is>
      </c>
      <c r="E32" t="inlineStr">
        <is>
          <t>YA (didukung konteks)</t>
        </is>
      </c>
    </row>
    <row r="33">
      <c r="A33" t="n">
        <v>3</v>
      </c>
      <c r="B33" t="inlineStr">
        <is>
          <t>B</t>
        </is>
      </c>
      <c r="C33" t="n">
        <v>3</v>
      </c>
      <c r="D33" s="3" t="inlineStr">
        <is>
          <t>Sebagai dokter, Anda harus mampu berpikir kritis dan membuat keputusan yang cepat serta efektif dalam situasi-situasi medis yang kompleks.</t>
        </is>
      </c>
      <c r="E33" t="inlineStr">
        <is>
          <t>YA (didukung konteks)</t>
        </is>
      </c>
    </row>
    <row r="34">
      <c r="A34" t="n">
        <v>3</v>
      </c>
      <c r="B34" t="inlineStr">
        <is>
          <t>B</t>
        </is>
      </c>
      <c r="C34" t="n">
        <v>4</v>
      </c>
      <c r="D34" s="3" t="inlineStr">
        <is>
          <t>Oleh karena itu, CT menjadi penting untuk memungkinkan Anda menjadi seorang dokter yang handal dan profesional.</t>
        </is>
      </c>
      <c r="E34" t="inlineStr">
        <is>
          <t>TIDAK (tidak didukung)</t>
        </is>
      </c>
    </row>
    <row r="35">
      <c r="A35" t="n">
        <v>3</v>
      </c>
      <c r="B35" t="inlineStr">
        <is>
          <t>B</t>
        </is>
      </c>
      <c r="C35" t="n">
        <v>5</v>
      </c>
      <c r="D35" s="3" t="inlineStr">
        <is>
          <t>Jadi, jawaban saya adalah: CT sangat relevan untuk dokter di era VUCA, tidak hanya bagi orang teknis saja.</t>
        </is>
      </c>
      <c r="E35" t="inlineStr">
        <is>
          <t>YA (didukung konteks)</t>
        </is>
      </c>
    </row>
    <row r="36">
      <c r="A36" t="n">
        <v>3</v>
      </c>
      <c r="B36" t="inlineStr">
        <is>
          <t>B</t>
        </is>
      </c>
      <c r="C36" t="n">
        <v>6</v>
      </c>
      <c r="D36" s="3" t="inlineStr">
        <is>
          <t>Mengidentifikasi potensi risiko dan berpikir strategis untuk mengelola krisis medis.</t>
        </is>
      </c>
      <c r="E36" t="inlineStr">
        <is>
          <t>YA (didukung konteks)</t>
        </is>
      </c>
    </row>
    <row r="37">
      <c r="A37" t="n">
        <v>4</v>
      </c>
      <c r="B37" t="inlineStr">
        <is>
          <t>A</t>
        </is>
      </c>
      <c r="C37" t="n">
        <v>1</v>
      </c>
      <c r="D37" s="3" t="inlineStr">
        <is>
          <t>CT lebih fokus pada kemampuan berpikir sistematis dan logis untuk menghadapi masalah, sementara ICT Literacy lebih fokus pada kemampuan menggunakan teknologi informasi untuk mencari dan menggunakan informasi.</t>
        </is>
      </c>
      <c r="E37" t="inlineStr">
        <is>
          <t>YA (didukung konteks)</t>
        </is>
      </c>
    </row>
    <row r="38">
      <c r="A38" t="n">
        <v>4</v>
      </c>
      <c r="B38" t="inlineStr">
        <is>
          <t>A</t>
        </is>
      </c>
      <c r="C38" t="n">
        <v>2</v>
      </c>
      <c r="D38" s="3" t="inlineStr">
        <is>
          <t>Sementara itu, Computational Thinking (Pemikiran Komputasional) adalah keterampilan berpikir yang digunakan untuk memahami dan menyelesaikan masalah melalui analisis, dekomposisi, dan sintesis.</t>
        </is>
      </c>
      <c r="E38" t="inlineStr">
        <is>
          <t>YA (didukung konteks)</t>
        </is>
      </c>
    </row>
    <row r="39">
      <c r="A39" t="n">
        <v>4</v>
      </c>
      <c r="B39" t="inlineStr">
        <is>
          <t>A</t>
        </is>
      </c>
      <c r="C39" t="n">
        <v>3</v>
      </c>
      <c r="D39" s="3" t="inlineStr">
        <is>
          <t>Sementara ICT Literacy lebih fokus pada kemampuan menggunakan teknologi informasi untuk mengakses dan mencari informasi, seperti dalam materi referensi [GT_DETAIL_PT01_Pendahuluan.txt].</t>
        </is>
      </c>
      <c r="E39" t="inlineStr">
        <is>
          <t>YA (didukung konteks)</t>
        </is>
      </c>
    </row>
    <row r="40">
      <c r="A40" t="n">
        <v>4</v>
      </c>
      <c r="B40" t="inlineStr">
        <is>
          <t>A</t>
        </is>
      </c>
      <c r="C40" t="n">
        <v>4</v>
      </c>
      <c r="D40" s="3" t="inlineStr">
        <is>
          <t>ICT Literacy (Literate Komputasi Informasi) referensi pada kemampuan menggunakan teknologi informasi untuk mengakses, mencari, dan menggunakan informasi dengan efektif dan efisien.</t>
        </is>
      </c>
      <c r="E40" t="inlineStr">
        <is>
          <t>YA (didukung konteks)</t>
        </is>
      </c>
    </row>
    <row r="41">
      <c r="A41" t="n">
        <v>4</v>
      </c>
      <c r="B41" t="inlineStr">
        <is>
          <t>A</t>
        </is>
      </c>
      <c r="C41" t="n">
        <v>5</v>
      </c>
      <c r="D41" s="3" t="inlineStr">
        <is>
          <t>Sebagai contoh, dalam materi referensi CT (Pemikiran Komputasional), Anda belajar tentang dekomposisi algoritme FPB, operator logika, serta latihan pesan sandi.</t>
        </is>
      </c>
      <c r="E41" t="inlineStr">
        <is>
          <t>YA (didukung konteks)</t>
        </is>
      </c>
    </row>
    <row r="42">
      <c r="A42" t="n">
        <v>4</v>
      </c>
      <c r="B42" t="inlineStr">
        <is>
          <t>A</t>
        </is>
      </c>
      <c r="C42" t="n">
        <v>6</v>
      </c>
      <c r="D42" s="3" t="inlineStr">
        <is>
          <t>Dalam kaitannya dengan materi referensi, CT (Pemikiran Komputasional) dapat diartikan sebagai kemampuan berpikir sistematis dan logis untuk menghadapi masalah.</t>
        </is>
      </c>
      <c r="E42" t="inlineStr">
        <is>
          <t>YA (didukung konteks)</t>
        </is>
      </c>
    </row>
    <row r="43">
      <c r="A43" t="n">
        <v>4</v>
      </c>
      <c r="B43" t="inlineStr">
        <is>
          <t>B</t>
        </is>
      </c>
      <c r="C43" t="n">
        <v>1</v>
      </c>
      <c r="D43" s="3" t="inlineStr">
        <is>
          <t>Sementara ICT Literacy (Information and Communication Technology Literacy) mengacu pada materi pelajaran tentang kemampuan seseorang untuk menggunakan teknologi informasi dan komunikasi dalam berbagai aspek kehidupan.</t>
        </is>
      </c>
      <c r="E43" t="inlineStr">
        <is>
          <t>YA (didukung konteks)</t>
        </is>
      </c>
    </row>
    <row r="44">
      <c r="A44" t="n">
        <v>4</v>
      </c>
      <c r="B44" t="inlineStr">
        <is>
          <t>B</t>
        </is>
      </c>
      <c r="C44" t="n">
        <v>2</v>
      </c>
      <c r="D44" s="3" t="inlineStr">
        <is>
          <t>ICT Literacy adalah hasil dari penggunaan teknologi informasi dan komunikasi yang dilakukan dalam rangka mencapai tujuan, sedangkan CT adalah materi dasar untuk mengembangkan kemampuan ICT Literacy.</t>
        </is>
      </c>
      <c r="E44" t="inlineStr">
        <is>
          <t>YA (didukung konteks)</t>
        </is>
      </c>
    </row>
    <row r="45">
      <c r="A45" t="n">
        <v>4</v>
      </c>
      <c r="B45" t="inlineStr">
        <is>
          <t>B</t>
        </is>
      </c>
      <c r="C45" t="n">
        <v>3</v>
      </c>
      <c r="D45" s="3" t="inlineStr">
        <is>
          <t>Seorang siswa atau individu harus memiliki pengetahuan dasar tentang teknologi komputer (CT) sebelum dapat menggunakan teknologi informasi dan komunikasi dengan efektif (ICT Literacy).</t>
        </is>
      </c>
      <c r="E45" t="inlineStr">
        <is>
          <t>YA (didukung konteks)</t>
        </is>
      </c>
    </row>
    <row r="46">
      <c r="A46" t="n">
        <v>4</v>
      </c>
      <c r="B46" t="inlineStr">
        <is>
          <t>B</t>
        </is>
      </c>
      <c r="C46" t="n">
        <v>4</v>
      </c>
      <c r="D46" s="3" t="inlineStr">
        <is>
          <t>CT (Computer Technology) mengacu pada materi pelajaran tentang teknologi komputer, seperti fungsi-fungsi dasar sistem operasi, penggunaan aplikasi, pemrograman, dan jaringan komputer.</t>
        </is>
      </c>
      <c r="E46" t="inlineStr">
        <is>
          <t>YA (didukung konteks)</t>
        </is>
      </c>
    </row>
    <row r="47">
      <c r="A47" t="n">
        <v>4</v>
      </c>
      <c r="B47" t="inlineStr">
        <is>
          <t>B</t>
        </is>
      </c>
      <c r="C47" t="n">
        <v>5</v>
      </c>
      <c r="D47" s="3" t="inlineStr">
        <is>
          <t>Materi ICT Literacy lebih fokus pada bagaimana menggunakan teknologi informasi dan komunikasi untuk mencapai tujuan, serta berkomunikasi efektif dengan cara-cara yang tepat.</t>
        </is>
      </c>
      <c r="E47" t="inlineStr">
        <is>
          <t>YA (didukung konteks)</t>
        </is>
      </c>
    </row>
    <row r="48">
      <c r="A48" t="n">
        <v>4</v>
      </c>
      <c r="B48" t="inlineStr">
        <is>
          <t>B</t>
        </is>
      </c>
      <c r="C48" t="n">
        <v>6</v>
      </c>
      <c r="D48" s="3" t="inlineStr">
        <is>
          <t>Dalam sintaks lainnya, CT dapat dilihat sebagai "input" untuk mengembangkan ICT Literacy.</t>
        </is>
      </c>
      <c r="E48" t="inlineStr">
        <is>
          <t>YA (didukung konteks)</t>
        </is>
      </c>
    </row>
    <row r="49">
      <c r="A49" t="n">
        <v>5</v>
      </c>
      <c r="B49" t="inlineStr">
        <is>
          <t>A</t>
        </is>
      </c>
      <c r="C49" t="n">
        <v>1</v>
      </c>
      <c r="D49" s="3" t="inlineStr">
        <is>
          <t>Contohnya, algoritma sosial media mungkin akan memantau kebiasaan Anda dalam mengikuti akun tertentu atau melihat video yang lebih sering, sehingga membantu platform tersebut menawarkan rekomendasi konten yang sesuai den</t>
        </is>
      </c>
      <c r="E49" t="inlineStr">
        <is>
          <t>YA (didukung konteks)</t>
        </is>
      </c>
    </row>
    <row r="50">
      <c r="A50" t="n">
        <v>5</v>
      </c>
      <c r="B50" t="inlineStr">
        <is>
          <t>A</t>
        </is>
      </c>
      <c r="C50" t="n">
        <v>2</v>
      </c>
      <c r="D50" s="3" t="inlineStr">
        <is>
          <t>Berdasarkan definisi digital footprint sebagai jejak digital yang ditinggalkan oleh seseorang melalui aktivitas online, maka jawaban pada pertanyaan ini adalah YA, Anda tetap memiliki digital footprint meski tidak pernah</t>
        </is>
      </c>
      <c r="E50" t="inlineStr">
        <is>
          <t>YA (didukung konteks)</t>
        </is>
      </c>
    </row>
    <row r="51">
      <c r="A51" t="n">
        <v>5</v>
      </c>
      <c r="B51" t="inlineStr">
        <is>
          <t>A</t>
        </is>
      </c>
      <c r="C51" t="n">
        <v>3</v>
      </c>
      <c r="D51" s="3" t="inlineStr">
        <is>
          <t>Dalam konteks keterlibatan masyarakat dalam era digital, penting bagi kita untuk memahami konsep digital footprint dan bagaimana jejak digital tersebut dapat digunakan oleh pihak lain.</t>
        </is>
      </c>
      <c r="E51" t="inlineStr">
        <is>
          <t>YA (didukung konteks)</t>
        </is>
      </c>
    </row>
    <row r="52">
      <c r="A52" t="n">
        <v>5</v>
      </c>
      <c r="B52" t="inlineStr">
        <is>
          <t>A</t>
        </is>
      </c>
      <c r="C52" t="n">
        <v>4</v>
      </c>
      <c r="D52" s="3" t="inlineStr">
        <is>
          <t>Misalnya, Anda mungkin telah melakukan pencarian dan mengakses berbagai sumber informasi melalui search engine atau aplikasi lainnya.</t>
        </is>
      </c>
      <c r="E52" t="inlineStr">
        <is>
          <t>YA (didukung konteks)</t>
        </is>
      </c>
    </row>
    <row r="53">
      <c r="A53" t="n">
        <v>5</v>
      </c>
      <c r="B53" t="inlineStr">
        <is>
          <t>A</t>
        </is>
      </c>
      <c r="C53" t="n">
        <v>5</v>
      </c>
      <c r="D53" s="3" t="inlineStr">
        <is>
          <t>Oleh karena itu, perlu diutamakan kesadaran dan keterampilan dalam menggunakan teknologi secara bijak dan bertanggung jawab.</t>
        </is>
      </c>
      <c r="E53" t="inlineStr">
        <is>
          <t>YA (didukung konteks)</t>
        </is>
      </c>
    </row>
    <row r="54">
      <c r="A54" t="n">
        <v>5</v>
      </c>
      <c r="B54" t="inlineStr">
        <is>
          <t>A</t>
        </is>
      </c>
      <c r="C54" t="n">
        <v>6</v>
      </c>
      <c r="D54" s="3" t="inlineStr">
        <is>
          <t>Pertanyaan teman Anda memungkinkan kita untuk mengembangkan pengetahuan tentang digital footprint.</t>
        </is>
      </c>
      <c r="E54" t="inlineStr">
        <is>
          <t>YA (didukung konteks)</t>
        </is>
      </c>
    </row>
    <row r="55">
      <c r="A55" t="n">
        <v>5</v>
      </c>
      <c r="B55" t="inlineStr">
        <is>
          <t>B</t>
        </is>
      </c>
      <c r="C55" t="n">
        <v>1</v>
      </c>
      <c r="D55" s="3" t="inlineStr">
        <is>
          <t>Digital footprint referensial pada semua data dan informasi yang terkait dengan kita, termasuk aktivitas online yang dilakukan, seperti browsing, scrolling, nonton video, serta interaksi dengan orang lain.</t>
        </is>
      </c>
      <c r="E55" t="inlineStr">
        <is>
          <t>YA (didukung konteks)</t>
        </is>
      </c>
    </row>
    <row r="56">
      <c r="A56" t="n">
        <v>5</v>
      </c>
      <c r="B56" t="inlineStr">
        <is>
          <t>B</t>
        </is>
      </c>
      <c r="C56" t="n">
        <v>2</v>
      </c>
      <c r="D56" s="3" t="inlineStr">
        <is>
          <t>Interaksi dengan pengguna lain: Dalam beberapa kasus, Anda mungkin memberikan like, komen, atau share postingan orang lain, yang akan meninggalkan jejak digital.</t>
        </is>
      </c>
      <c r="E56" t="inlineStr">
        <is>
          <t>YA (didukung konteks)</t>
        </is>
      </c>
    </row>
    <row r="57">
      <c r="A57" t="n">
        <v>5</v>
      </c>
      <c r="B57" t="inlineStr">
        <is>
          <t>B</t>
        </is>
      </c>
      <c r="C57" t="n">
        <v>3</v>
      </c>
      <c r="D57" s="3" t="inlineStr">
        <is>
          <t>Meskipun demikian, Anda masih memiliki digital footprint, karena Anda telah berpartisipasi dalam jaringan sosial dan meninggalkan jejak online.</t>
        </is>
      </c>
      <c r="E57" t="inlineStr">
        <is>
          <t>YA (didukung konteks)</t>
        </is>
      </c>
    </row>
    <row r="58">
      <c r="A58" t="n">
        <v>5</v>
      </c>
      <c r="B58" t="inlineStr">
        <is>
          <t>B</t>
        </is>
      </c>
      <c r="C58" t="n">
        <v>4</v>
      </c>
      <c r="D58" s="3" t="inlineStr">
        <is>
          <t>Dalam hal ini, karena Anda sering menggunakan Instagram untuk mengakses konten orang lain, maka Anda meninggalkan jejak digital.</t>
        </is>
      </c>
      <c r="E58" t="inlineStr">
        <is>
          <t>TIDAK (tidak didukung)</t>
        </is>
      </c>
    </row>
    <row r="59">
      <c r="A59" t="n">
        <v>5</v>
      </c>
      <c r="B59" t="inlineStr">
        <is>
          <t>B</t>
        </is>
      </c>
      <c r="C59" t="n">
        <v>5</v>
      </c>
      <c r="D59" s="3" t="inlineStr">
        <is>
          <t>Ketika Anda mengakses dan menonton video orang lain di Instagram, Anda memberikan informasi tentang diri Anda sendiri, seperti:</t>
        </is>
      </c>
      <c r="E59" t="inlineStr">
        <is>
          <t>YA (didukung konteks)</t>
        </is>
      </c>
    </row>
    <row r="60">
      <c r="A60" t="n">
        <v>5</v>
      </c>
      <c r="B60" t="inlineStr">
        <is>
          <t>B</t>
        </is>
      </c>
      <c r="C60" t="n">
        <v>6</v>
      </c>
      <c r="D60" s="3" t="inlineStr">
        <is>
          <t>Jadi, jawaban saya adalah: Ya, Anda masih memiliki digital footprint meski tidak pernah upload apapun di Instagram!</t>
        </is>
      </c>
      <c r="E60" t="inlineStr">
        <is>
          <t>YA (didukung konteks)</t>
        </is>
      </c>
    </row>
    <row r="61">
      <c r="A61" t="n">
        <v>6</v>
      </c>
      <c r="B61" t="inlineStr">
        <is>
          <t>A</t>
        </is>
      </c>
      <c r="C61" t="n">
        <v>1</v>
      </c>
      <c r="D61" s="3" t="inlineStr">
        <is>
          <t>Sementara itu, 'Literacy with ICT' lebih menekankan pada kemampuan individu untuk memahami dasar-dasar teknologi informasi dan komunikasi, serta bagaimana teknologi tersebut dapat digunakan untuk meningkatkan kualitas hi</t>
        </is>
      </c>
      <c r="E61" t="inlineStr">
        <is>
          <t>TIDAK (tidak didukung)</t>
        </is>
      </c>
    </row>
    <row r="62">
      <c r="A62" t="n">
        <v>6</v>
      </c>
      <c r="B62" t="inlineStr">
        <is>
          <t>A</t>
        </is>
      </c>
      <c r="C62" t="n">
        <v>2</v>
      </c>
      <c r="D62" s="3" t="inlineStr">
        <is>
          <t>'ICT Literacy' merujuk pada kemampuan individu untuk memahami dan menggunakan teknologi informasi dan komunikasi (TIK) dalam kehidupan sehari-hari, seperti mengakses internet, menggunakan aplikasi mobile, atau membuat pr</t>
        </is>
      </c>
      <c r="E62" t="inlineStr">
        <is>
          <t>YA (didukung konteks)</t>
        </is>
      </c>
    </row>
    <row r="63">
      <c r="A63" t="n">
        <v>6</v>
      </c>
      <c r="B63" t="inlineStr">
        <is>
          <t>A</t>
        </is>
      </c>
      <c r="C63" t="n">
        <v>3</v>
      </c>
      <c r="D63" s="3" t="inlineStr">
        <is>
          <t>Dalam Computational Thinking, kedua istilah tersebut memiliki peran penting dalam membangun kemampuan individu untuk memformulasikan masalah dan menemukan solusinya melalui penggunaan teknologi informasi dan komunikasi.</t>
        </is>
      </c>
      <c r="E63" t="inlineStr">
        <is>
          <t>YA (didukung konteks)</t>
        </is>
      </c>
    </row>
    <row r="64">
      <c r="A64" t="n">
        <v>6</v>
      </c>
      <c r="B64" t="inlineStr">
        <is>
          <t>A</t>
        </is>
      </c>
      <c r="C64" t="n">
        <v>4</v>
      </c>
      <c r="D64" s="3" t="inlineStr">
        <is>
          <t>Sebagai tutor Computational Thinking, saya akan menjawab pertanyaan mahasiswa dengan menggunakan istilah teknis yang ada dalam materi referensi.</t>
        </is>
      </c>
      <c r="E64" t="inlineStr">
        <is>
          <t>YA (didukung konteks)</t>
        </is>
      </c>
    </row>
    <row r="65">
      <c r="A65" t="n">
        <v>6</v>
      </c>
      <c r="B65" t="inlineStr">
        <is>
          <t>A</t>
        </is>
      </c>
      <c r="C65" t="n">
        <v>5</v>
      </c>
      <c r="D65" s="3" t="inlineStr">
        <is>
          <t>Oleh karena itu, keduanya harus dipahami dan digunakan secara efektif untuk meningkatkan kemampuan Computational Thinking.</t>
        </is>
      </c>
      <c r="E65" t="inlineStr">
        <is>
          <t>TIDAK (tidak didukung)</t>
        </is>
      </c>
    </row>
    <row r="66">
      <c r="A66" t="n">
        <v>6</v>
      </c>
      <c r="B66" t="inlineStr">
        <is>
          <t>A</t>
        </is>
      </c>
      <c r="C66" t="n">
        <v>6</v>
      </c>
      <c r="D66" s="3" t="inlineStr">
        <is>
          <t>Istilah 'ICT Literacy' dan 'Literacy with ICT' memang terlihat sama, tapi memiliki perbedaan yang signifikan.</t>
        </is>
      </c>
      <c r="E66" t="inlineStr">
        <is>
          <t>YA (didukung konteks)</t>
        </is>
      </c>
    </row>
    <row r="67">
      <c r="A67" t="n">
        <v>6</v>
      </c>
      <c r="B67" t="inlineStr">
        <is>
          <t>B</t>
        </is>
      </c>
      <c r="C67" t="n">
        <v>1</v>
      </c>
      <c r="D67" s="3" t="inlineStr">
        <is>
          <t>Dalam sintesis, "ICT Literacy" lebih menitikberatkan pada aspek praktis penggunaan teknologi, sedangkan "Literacy with ICT" lebih berfokus pada bagaimana seseorang dapat menggunakan teknologi sebagai alat bantu untuk men</t>
        </is>
      </c>
      <c r="E67" t="inlineStr">
        <is>
          <t>TIDAK (tidak didukung)</t>
        </is>
      </c>
    </row>
    <row r="68">
      <c r="A68" t="n">
        <v>6</v>
      </c>
      <c r="B68" t="inlineStr">
        <is>
          <t>B</t>
        </is>
      </c>
      <c r="C68" t="n">
        <v>2</v>
      </c>
      <c r="D68" s="3" t="inlineStr">
        <is>
          <t xml:space="preserve">Dalam hal ini, orang yang memiliki ICT Literacy harus memiliki kemampuan dasar untuk mengoperasikan perangkat komputer dan internet, serta memahami bagaimana cara menggunakan teknologi tersebut untuk menyelesaikan tugas </t>
        </is>
      </c>
      <c r="E68" t="inlineStr">
        <is>
          <t>YA (didukung konteks)</t>
        </is>
      </c>
    </row>
    <row r="69">
      <c r="A69" t="n">
        <v>6</v>
      </c>
      <c r="B69" t="inlineStr">
        <is>
          <t>B</t>
        </is>
      </c>
      <c r="C69" t="n">
        <v>3</v>
      </c>
      <c r="D69" s="3" t="inlineStr">
        <is>
          <t>Sementara itu, "Literacy with ICT" lebih berfokus pada penggunaan teknologi ICT sebagai alat bantu untuk meningkatkan kemampuan literasi (reading, writing, dan critical thinking) individu.</t>
        </is>
      </c>
      <c r="E69" t="inlineStr">
        <is>
          <t>TIDAK (tidak didukung)</t>
        </is>
      </c>
    </row>
    <row r="70">
      <c r="A70" t="n">
        <v>6</v>
      </c>
      <c r="B70" t="inlineStr">
        <is>
          <t>B</t>
        </is>
      </c>
      <c r="C70" t="n">
        <v>4</v>
      </c>
      <c r="D70" s="3" t="inlineStr">
        <is>
          <t>Dalam hal ini, orang yang memiliki Literacy with ICT harus memiliki kemampuan untuk menginterpretasikan informasi, membuat keputusan yang tepat, serta menganalisis data dengan benar.</t>
        </is>
      </c>
      <c r="E70" t="inlineStr">
        <is>
          <t>YA (didukung konteks)</t>
        </is>
      </c>
    </row>
    <row r="71">
      <c r="A71" t="n">
        <v>6</v>
      </c>
      <c r="B71" t="inlineStr">
        <is>
          <t>B</t>
        </is>
      </c>
      <c r="C71" t="n">
        <v>5</v>
      </c>
      <c r="D71" s="3" t="inlineStr">
        <is>
          <t>Istilah ini lebih menitikberatkan pada bagaimana seseorang dapat menggunakan ICT untuk memahami, mencari, dan menggunakan informasi yang diperoleh dari berbagai sumber.</t>
        </is>
      </c>
      <c r="E71" t="inlineStr">
        <is>
          <t>YA (didukung konteks)</t>
        </is>
      </c>
    </row>
    <row r="72">
      <c r="A72" t="n">
        <v>6</v>
      </c>
      <c r="B72" t="inlineStr">
        <is>
          <t>B</t>
        </is>
      </c>
      <c r="C72" t="n">
        <v>6</v>
      </c>
      <c r="D72" s="3" t="inlineStr">
        <is>
          <t>"ICT Literacy" lebih menitikberatkan pada kemampuan individu untuk menggunakan teknologi informasi dan komunikasi (ICT) dengan benar.</t>
        </is>
      </c>
      <c r="E72" t="inlineStr">
        <is>
          <t>YA (didukung konteks)</t>
        </is>
      </c>
    </row>
    <row r="73">
      <c r="A73" t="n">
        <v>7</v>
      </c>
      <c r="B73" t="inlineStr">
        <is>
          <t>A</t>
        </is>
      </c>
      <c r="C73" t="n">
        <v>1</v>
      </c>
      <c r="D73" s="3" t="inlineStr">
        <is>
          <t>Dalam kasus Anda, jika Anda telah mengumpulkan data tersebut tanpa izin, maka Anda harus mengembalikan data tersebut kepada mereka dan memberikan pilihan untuk dihapus atau tidak.</t>
        </is>
      </c>
      <c r="E73" t="inlineStr">
        <is>
          <t>YA (didukung konteks)</t>
        </is>
      </c>
    </row>
    <row r="74">
      <c r="A74" t="n">
        <v>7</v>
      </c>
      <c r="B74" t="inlineStr">
        <is>
          <t>A</t>
        </is>
      </c>
      <c r="C74" t="n">
        <v>2</v>
      </c>
      <c r="D74" s="3" t="inlineStr">
        <is>
          <t>Dalam penjelasan saya, saya menggunakan istilah teknis seperti "informed consent" dan "perlindungan data pribadi" untuk menjelaskan konsep utama secara langsung dan akurat.</t>
        </is>
      </c>
      <c r="E74" t="inlineStr">
        <is>
          <t>YA (didukung konteks)</t>
        </is>
      </c>
    </row>
    <row r="75">
      <c r="A75" t="n">
        <v>7</v>
      </c>
      <c r="B75" t="inlineStr">
        <is>
          <t>A</t>
        </is>
      </c>
      <c r="C75" t="n">
        <v>3</v>
      </c>
      <c r="D75" s="3" t="inlineStr">
        <is>
          <t>Dalam materi etika digital, kita belajar bahwa privasi adalah salah satu aspek penting dalam penggunaan teknologi informasi.</t>
        </is>
      </c>
      <c r="E75" t="inlineStr">
        <is>
          <t>YA (didukung konteks)</t>
        </is>
      </c>
    </row>
    <row r="76">
      <c r="A76" t="n">
        <v>7</v>
      </c>
      <c r="B76" t="inlineStr">
        <is>
          <t>A</t>
        </is>
      </c>
      <c r="C76" t="n">
        <v>4</v>
      </c>
      <c r="D76" s="3" t="inlineStr">
        <is>
          <t>Oleh karena itu, sebelum menyimpan data nama dan email teman, Anda perlu minta izin dulu.</t>
        </is>
      </c>
      <c r="E76" t="inlineStr">
        <is>
          <t>YA (didukung konteks)</t>
        </is>
      </c>
    </row>
    <row r="77">
      <c r="A77" t="n">
        <v>7</v>
      </c>
      <c r="B77" t="inlineStr">
        <is>
          <t>A</t>
        </is>
      </c>
      <c r="C77" t="n">
        <v>5</v>
      </c>
      <c r="D77" s="3" t="inlineStr">
        <is>
          <t>27 Tahun 2022 tentang Perlindungan Data Pribadi yang berlaku di Indonesia.</t>
        </is>
      </c>
      <c r="E77" t="inlineStr">
        <is>
          <t>YA (didukung konteks)</t>
        </is>
      </c>
    </row>
    <row r="78">
      <c r="A78" t="n">
        <v>7</v>
      </c>
      <c r="B78" t="inlineStr">
        <is>
          <t>A</t>
        </is>
      </c>
      <c r="C78" t="n">
        <v>6</v>
      </c>
      <c r="D78" s="3" t="inlineStr">
        <is>
          <t>Saya juga menggunakan contoh konkret dalam menjawab pertanyaan Anda.</t>
        </is>
      </c>
      <c r="E78" t="inlineStr">
        <is>
          <t>YA (didukung konteks)</t>
        </is>
      </c>
    </row>
    <row r="79">
      <c r="A79" t="n">
        <v>7</v>
      </c>
      <c r="B79" t="inlineStr">
        <is>
          <t>B</t>
        </is>
      </c>
      <c r="C79" t="n">
        <v>1</v>
      </c>
      <c r="D79" s="3" t="inlineStr">
        <is>
          <t xml:space="preserve">Selain itu, Anda juga perlu memperhatikan keamanan data dan mengikuti pedoman etika digital lainnya, seperti tidak menjual atau membagikan data pribadi tanpa izin, serta tidak menggunakan data tersebut untuk tujuan yang </t>
        </is>
      </c>
      <c r="E79" t="inlineStr">
        <is>
          <t>YA (didukung konteks)</t>
        </is>
      </c>
    </row>
    <row r="80">
      <c r="A80" t="n">
        <v>7</v>
      </c>
      <c r="B80" t="inlineStr">
        <is>
          <t>B</t>
        </is>
      </c>
      <c r="C80" t="n">
        <v>2</v>
      </c>
      <c r="D80" s="3" t="inlineStr">
        <is>
          <t>Dalam aplikasi Anda, Anda juga perlu menampilkan informasi tentang privasi dan perlindungan data, serta memberikan opsi bagi pengguna untuk memilih apakah mereka ingin berbagi data atau tidak.</t>
        </is>
      </c>
      <c r="E80" t="inlineStr">
        <is>
          <t>YA (didukung konteks)</t>
        </is>
      </c>
    </row>
    <row r="81">
      <c r="A81" t="n">
        <v>7</v>
      </c>
      <c r="B81" t="inlineStr">
        <is>
          <t>B</t>
        </is>
      </c>
      <c r="C81" t="n">
        <v>3</v>
      </c>
      <c r="D81" s="3" t="inlineStr">
        <is>
          <t>Menurut materi etika digital, sebelum mengumpulkan dan menyimpan data nama dan email teman, Anda perlu meminta izin atau persetujuan dari mereka terlebih dahulu.</t>
        </is>
      </c>
      <c r="E81" t="inlineStr">
        <is>
          <t>YA (didukung konteks)</t>
        </is>
      </c>
    </row>
    <row r="82">
      <c r="A82" t="n">
        <v>7</v>
      </c>
      <c r="B82" t="inlineStr">
        <is>
          <t>B</t>
        </is>
      </c>
      <c r="C82" t="n">
        <v>4</v>
      </c>
      <c r="D82" s="3" t="inlineStr">
        <is>
          <t>Jika mereka setuju untuk memberikan data tersebut, maka Anda dapat mengumpulkan dan menyimpan data mereka dengan cara yang sesuai dengan keamanan data.</t>
        </is>
      </c>
      <c r="E82" t="inlineStr">
        <is>
          <t>YA (didukung konteks)</t>
        </is>
      </c>
    </row>
    <row r="83">
      <c r="A83" t="n">
        <v>7</v>
      </c>
      <c r="B83" t="inlineStr">
        <is>
          <t>B</t>
        </is>
      </c>
      <c r="C83" t="n">
        <v>5</v>
      </c>
      <c r="D83" s="3" t="inlineStr">
        <is>
          <t>Namun, jika Anda sudah terlanjur mengumpulkan data tanpa izin dari teman-teman, maka Anda harus segera menghubungi mereka untuk meminta persetujuan.</t>
        </is>
      </c>
      <c r="E83" t="inlineStr">
        <is>
          <t>YA (didukung konteks)</t>
        </is>
      </c>
    </row>
    <row r="84">
      <c r="A84" t="n">
        <v>7</v>
      </c>
      <c r="B84" t="inlineStr">
        <is>
          <t>B</t>
        </is>
      </c>
      <c r="C84" t="n">
        <v>6</v>
      </c>
      <c r="D84" s="3" t="inlineStr">
        <is>
          <t>Pada saat Anda mengumpulkan data, Anda harus menjelaskan kepada mereka bagaimana data tersebut akan digunakan dan disimpan.</t>
        </is>
      </c>
      <c r="E84" t="inlineStr">
        <is>
          <t>YA (didukung konteks)</t>
        </is>
      </c>
    </row>
    <row r="85">
      <c r="A85" t="n">
        <v>8</v>
      </c>
      <c r="B85" t="inlineStr">
        <is>
          <t>A</t>
        </is>
      </c>
      <c r="C85" t="n">
        <v>1</v>
      </c>
      <c r="D85" s="3" t="inlineStr">
        <is>
          <t xml:space="preserve">In conclusion, decomposition is a fundamental concept in Computational Thinking that involves breaking down complex problems into smaller sub-problems, solving each one independently, and then combining the solutions to </t>
        </is>
      </c>
      <c r="E85" t="inlineStr">
        <is>
          <t>YA (didukung konteks)</t>
        </is>
      </c>
    </row>
    <row r="86">
      <c r="A86" t="n">
        <v>8</v>
      </c>
      <c r="B86" t="inlineStr">
        <is>
          <t>A</t>
        </is>
      </c>
      <c r="C86" t="n">
        <v>2</v>
      </c>
      <c r="D86" s="3" t="inlineStr">
        <is>
          <t>It's a fundamental idea that can be applied to various problems, from simple tasks like making breakfast to more complex issues like recognizing patterns or designing algorithms.</t>
        </is>
      </c>
      <c r="E86" t="inlineStr">
        <is>
          <t>YA (didukung konteks)</t>
        </is>
      </c>
    </row>
    <row r="87">
      <c r="A87" t="n">
        <v>8</v>
      </c>
      <c r="B87" t="inlineStr">
        <is>
          <t>A</t>
        </is>
      </c>
      <c r="C87" t="n">
        <v>3</v>
      </c>
      <c r="D87" s="3" t="inlineStr">
        <is>
          <t>This approach helps us identify patterns, recognize relationships between components, and develop algorithms that can be applied to solve similar problems in the future.</t>
        </is>
      </c>
      <c r="E87" t="inlineStr">
        <is>
          <t>YA (didukung konteks)</t>
        </is>
      </c>
    </row>
    <row r="88">
      <c r="A88" t="n">
        <v>8</v>
      </c>
      <c r="B88" t="inlineStr">
        <is>
          <t>A</t>
        </is>
      </c>
      <c r="C88" t="n">
        <v>4</v>
      </c>
      <c r="D88" s="3" t="inlineStr">
        <is>
          <t>It doesn't necessarily involve breaking down complex problems into smaller ones or finding solutions that can be combined to solve the original problem.</t>
        </is>
      </c>
      <c r="E88" t="inlineStr">
        <is>
          <t>TIDAK (tidak didukung)</t>
        </is>
      </c>
    </row>
    <row r="89">
      <c r="A89" t="n">
        <v>8</v>
      </c>
      <c r="B89" t="inlineStr">
        <is>
          <t>A</t>
        </is>
      </c>
      <c r="C89" t="n">
        <v>5</v>
      </c>
      <c r="D89" s="3" t="inlineStr">
        <is>
          <t>At first glance, it may seem like a simple task, but it actually involves several sub-tasks, such as preparing ingredients, cooking food, and serving.</t>
        </is>
      </c>
      <c r="E89" t="inlineStr">
        <is>
          <t>YA (didukung konteks)</t>
        </is>
      </c>
    </row>
    <row r="90">
      <c r="A90" t="n">
        <v>8</v>
      </c>
      <c r="B90" t="inlineStr">
        <is>
          <t>A</t>
        </is>
      </c>
      <c r="C90" t="n">
        <v>6</v>
      </c>
      <c r="D90" s="3" t="inlineStr">
        <is>
          <t>This process follows a hierarchical pattern, where the main problem is divided into smaller sub-problems until each one can be solved independently.</t>
        </is>
      </c>
      <c r="E90" t="inlineStr">
        <is>
          <t>YA (didukung konteks)</t>
        </is>
      </c>
    </row>
    <row r="91">
      <c r="A91" t="n">
        <v>8</v>
      </c>
      <c r="B91" t="inlineStr">
        <is>
          <t>B</t>
        </is>
      </c>
      <c r="C91" t="n">
        <v>1</v>
      </c>
      <c r="D91" s="3" t="inlineStr">
        <is>
          <t>Meski demikian, teman Anda memiliki poin yang berbeda karena dalam CT, dekomposisi harus dilakukan dengan cara mengidentifikasi komponen-komponen sistem atau proses yang terlibat, bukan hanya membagi tugas menjadi bebera</t>
        </is>
      </c>
      <c r="E91" t="inlineStr">
        <is>
          <t>YA (didukung konteks)</t>
        </is>
      </c>
    </row>
    <row r="92">
      <c r="A92" t="n">
        <v>8</v>
      </c>
      <c r="B92" t="inlineStr">
        <is>
          <t>B</t>
        </is>
      </c>
      <c r="C92" t="n">
        <v>2</v>
      </c>
      <c r="D92" s="3" t="inlineStr">
        <is>
          <t>Dalam arti lain, dekomposisi dalam CT memiliki tujuan yang jelas yaitu untuk memahami sistem atau proses yang akan diuji, sedangkan "bagi tugas" biasa hanya berfokus pada bagian-bagian tugas yang harus dikerjakan.</t>
        </is>
      </c>
      <c r="E92" t="inlineStr">
        <is>
          <t>YA (didukung konteks)</t>
        </is>
      </c>
    </row>
    <row r="93">
      <c r="A93" t="n">
        <v>8</v>
      </c>
      <c r="B93" t="inlineStr">
        <is>
          <t>B</t>
        </is>
      </c>
      <c r="C93" t="n">
        <v>3</v>
      </c>
      <c r="D93" s="3" t="inlineStr">
        <is>
          <t>* Dekomposisi dalam CT: memecahkan down sebuah tugas menjadi beberapa bagian yang lebih kecil dan dapat dikerjakan secara independen, dengan mengidentifikasi komponen-komponen sistem atau proses yang terlibat.</t>
        </is>
      </c>
      <c r="E93" t="inlineStr">
        <is>
          <t>YA (didukung konteks)</t>
        </is>
      </c>
    </row>
    <row r="94">
      <c r="A94" t="n">
        <v>8</v>
      </c>
      <c r="B94" t="inlineStr">
        <is>
          <t>B</t>
        </is>
      </c>
      <c r="C94" t="n">
        <v>4</v>
      </c>
      <c r="D94" s="3" t="inlineStr">
        <is>
          <t>Dekomposisi dilakukan dengan cara mengidentifikasi komponen-komponen yang terlibat dalam suatu sistem atau proses, sehingga masing-masing komponen tersebut dapat diuji secara terpisah.</t>
        </is>
      </c>
      <c r="E94" t="inlineStr">
        <is>
          <t>YA (didukung konteks)</t>
        </is>
      </c>
    </row>
    <row r="95">
      <c r="A95" t="n">
        <v>8</v>
      </c>
      <c r="B95" t="inlineStr">
        <is>
          <t>B</t>
        </is>
      </c>
      <c r="C95" t="n">
        <v>5</v>
      </c>
      <c r="D95" s="3" t="inlineStr">
        <is>
          <t>Dalam Continuous Testing (CT), dekomposisi adalah teknik untuk memecahkan down sebuah tugas menjadi beberapa bagian yang lebih kecil dan dapat dikerjakan secara independen.</t>
        </is>
      </c>
      <c r="E95" t="inlineStr">
        <is>
          <t>YA (didukung konteks)</t>
        </is>
      </c>
    </row>
    <row r="96">
      <c r="A96" t="n">
        <v>8</v>
      </c>
      <c r="B96" t="inlineStr">
        <is>
          <t>B</t>
        </is>
      </c>
      <c r="C96" t="n">
        <v>6</v>
      </c>
      <c r="D96" s="3" t="inlineStr">
        <is>
          <t>* Bagi tugas biasa: hanya membagi tugas menjadi beberapa bagian, tanpa mengarah pada identifikasi komponen-komponen sistem atau proses yang terlibat.</t>
        </is>
      </c>
      <c r="E96" t="inlineStr">
        <is>
          <t>TIDAK (tidak didukung)</t>
        </is>
      </c>
    </row>
    <row r="97">
      <c r="A97" t="n">
        <v>9</v>
      </c>
      <c r="B97" t="inlineStr">
        <is>
          <t>A</t>
        </is>
      </c>
      <c r="C97" t="n">
        <v>1</v>
      </c>
      <c r="D97" s="3" t="inlineStr">
        <is>
          <t>Dengan menggunakan konsep abstraksi, kita dapat dekomposisi masalah menjadi bagian-bagian yang lebih kecil dan mengoptimalkan isi Lift 1 dan Lift 2 untuk memaksimalkan jumlah berang yang terangkut.</t>
        </is>
      </c>
      <c r="E97" t="inlineStr">
        <is>
          <t>YA (didukung konteks)</t>
        </is>
      </c>
    </row>
    <row r="98">
      <c r="A98" t="n">
        <v>9</v>
      </c>
      <c r="B98" t="inlineStr">
        <is>
          <t>A</t>
        </is>
      </c>
      <c r="C98" t="n">
        <v>2</v>
      </c>
      <c r="D98" s="3" t="inlineStr">
        <is>
          <t>Pada umumnya, abstraksi adalah proses mengidentifikasi komponen-komponen utama dari suatu masalah dan membagi menjadi bagian-bagian yang lebih kecil untuk dipahami dan diselesaikan.</t>
        </is>
      </c>
      <c r="E98" t="inlineStr">
        <is>
          <t>YA (didukung konteks)</t>
        </is>
      </c>
    </row>
    <row r="99">
      <c r="A99" t="n">
        <v>9</v>
      </c>
      <c r="B99" t="inlineStr">
        <is>
          <t>A</t>
        </is>
      </c>
      <c r="C99" t="n">
        <v>3</v>
      </c>
      <c r="D99" s="3" t="inlineStr">
        <is>
          <t>Misalnya, dalam kasus ini, kita dapat mengoptimalkan isi Lift 1 dengan memuat berang-berang A, B, C, D, E, dan F sebelum memuat berang-berang G, H, dan I di Lift 2.</t>
        </is>
      </c>
      <c r="E99" t="inlineStr">
        <is>
          <t>YA (didukung konteks)</t>
        </is>
      </c>
    </row>
    <row r="100">
      <c r="A100" t="n">
        <v>9</v>
      </c>
      <c r="B100" t="inlineStr">
        <is>
          <t>A</t>
        </is>
      </c>
      <c r="C100" t="n">
        <v>4</v>
      </c>
      <c r="D100" s="3" t="inlineStr">
        <is>
          <t>Oleh karena itu, dengan menggunakan konsep abstraksi, kita dapat mengoptimalkan isi lift dan memaksimalkan jumlah berang yang terangkut dalam 1 kali perjalanan.</t>
        </is>
      </c>
      <c r="E100" t="inlineStr">
        <is>
          <t>YA (didukung konteks)</t>
        </is>
      </c>
    </row>
    <row r="101">
      <c r="A101" t="n">
        <v>9</v>
      </c>
      <c r="B101" t="inlineStr">
        <is>
          <t>A</t>
        </is>
      </c>
      <c r="C101" t="n">
        <v>5</v>
      </c>
      <c r="D101" s="3" t="inlineStr">
        <is>
          <t>(Tujuan yang ingin dicapai): Memuat sebanyak mungkin berang dalam 1 kali perjalanan, tidak memaksimalkan berat tetapi jumlah individu.</t>
        </is>
      </c>
      <c r="E101" t="inlineStr">
        <is>
          <t>YA (didukung konteks)</t>
        </is>
      </c>
    </row>
    <row r="102">
      <c r="A102" t="n">
        <v>9</v>
      </c>
      <c r="B102" t="inlineStr">
        <is>
          <t>A</t>
        </is>
      </c>
      <c r="C102" t="n">
        <v>6</v>
      </c>
      <c r="D102" s="3" t="inlineStr">
        <is>
          <t>(Constraint yang membatasi ruang solusi): Hanya ada 2 lift dengan kapasitas masing-masing 30 kg dan hanya 1 kali perjalanan.</t>
        </is>
      </c>
      <c r="E102" t="inlineStr">
        <is>
          <t>YA (didukung konteks)</t>
        </is>
      </c>
    </row>
    <row r="103">
      <c r="A103" t="n">
        <v>9</v>
      </c>
      <c r="B103" t="inlineStr">
        <is>
          <t>B</t>
        </is>
      </c>
      <c r="C103" t="n">
        <v>1</v>
      </c>
      <c r="D103" s="3" t="inlineStr">
        <is>
          <t>Lift pertama dapat mengangkut 3 burung dengan total berat 2 + 3 + 5 = 10 kg, sementara lift kedua dapat mengangkut 6 burung dengan total berat 8 + 9 + 9 + 12 + 12 + 22 = 70 kg.</t>
        </is>
      </c>
      <c r="E103" t="inlineStr">
        <is>
          <t>YA (didukung konteks)</t>
        </is>
      </c>
    </row>
    <row r="104">
      <c r="A104" t="n">
        <v>9</v>
      </c>
      <c r="B104" t="inlineStr">
        <is>
          <t>B</t>
        </is>
      </c>
      <c r="C104" t="n">
        <v>2</v>
      </c>
      <c r="D104" s="3" t="inlineStr">
        <is>
          <t>Untuk memaksimalkan jumlah burung yang terangkut, kita perlu menghitung total berat burung dan kemudian mencari cara terbaik untuk mengangkutnya menggunakan dua lift.</t>
        </is>
      </c>
      <c r="E104" t="inlineStr">
        <is>
          <t>YA (didukung konteks)</t>
        </is>
      </c>
    </row>
    <row r="105">
      <c r="A105" t="n">
        <v>9</v>
      </c>
      <c r="B105" t="inlineStr">
        <is>
          <t>B</t>
        </is>
      </c>
      <c r="C105" t="n">
        <v>3</v>
      </c>
      <c r="D105" s="3" t="inlineStr">
        <is>
          <t>Dengan demikian, kita dapat memaksimalkan jumlah burung yang terangkut sebanyak 9 burung.</t>
        </is>
      </c>
      <c r="E105" t="inlineStr">
        <is>
          <t>YA (didukung konteks)</t>
        </is>
      </c>
    </row>
    <row r="106">
      <c r="A106" t="n">
        <v>9</v>
      </c>
      <c r="B106" t="inlineStr">
        <is>
          <t>B</t>
        </is>
      </c>
      <c r="C106" t="n">
        <v>4</v>
      </c>
      <c r="D106" s="3" t="inlineStr">
        <is>
          <t>A + B + C + D + E + F + G + H + I = 2 + 3 + 5 + 8 + 9 + 9 + 12 + 12 + 22 = 82 kg</t>
        </is>
      </c>
      <c r="E106" t="inlineStr">
        <is>
          <t>YA (didukung konteks)</t>
        </is>
      </c>
    </row>
    <row r="107">
      <c r="A107" t="n">
        <v>9</v>
      </c>
      <c r="B107" t="inlineStr">
        <is>
          <t>B</t>
        </is>
      </c>
      <c r="C107" t="n">
        <v>5</v>
      </c>
      <c r="D107" s="3" t="inlineStr">
        <is>
          <t>Kita pertama-tama membagi total berat burung menjadi dua bagian yang setimbang:</t>
        </is>
      </c>
      <c r="E107" t="inlineStr">
        <is>
          <t>YA (didukung konteks)</t>
        </is>
      </c>
    </row>
    <row r="108">
      <c r="A108" t="n">
        <v>9</v>
      </c>
      <c r="B108" t="inlineStr">
        <is>
          <t>B</t>
        </is>
      </c>
      <c r="C108" t="n">
        <v>6</v>
      </c>
      <c r="D108" s="3" t="inlineStr">
        <is>
          <t>Kemudian, kita akan mengangkut burung dalam dua lift.</t>
        </is>
      </c>
      <c r="E108" t="inlineStr">
        <is>
          <t>YA (didukung konteks)</t>
        </is>
      </c>
    </row>
    <row r="109">
      <c r="A109" t="n">
        <v>10</v>
      </c>
      <c r="B109" t="inlineStr">
        <is>
          <t>A</t>
        </is>
      </c>
      <c r="C109" t="n">
        <v>1</v>
      </c>
      <c r="D109" s="3" t="inlineStr">
        <is>
          <t>Fungsi sendiri dapat diartikan sebagai sebuah kode yang dapat digunakan kembali tanpa ditulis ulang (reusable), blok kode diberi nama sehingga mudah dipanggil kapan pun dibutuhkan, dan perubahan logika cukup dilakukan di</t>
        </is>
      </c>
      <c r="E109" t="inlineStr">
        <is>
          <t>YA (didukung konteks)</t>
        </is>
      </c>
    </row>
    <row r="110">
      <c r="A110" t="n">
        <v>10</v>
      </c>
      <c r="B110" t="inlineStr">
        <is>
          <t>A</t>
        </is>
      </c>
      <c r="C110" t="n">
        <v>2</v>
      </c>
      <c r="D110" s="3" t="inlineStr">
        <is>
          <t>Hal ini berhubungan dengan konsep dekomposisi CT, karena fungsi dapat digunakan sebagai alat untuk memecah algoritme besar menjadi bagian-bagian yang lebih kecil dan terfokus.</t>
        </is>
      </c>
      <c r="E110" t="inlineStr">
        <is>
          <t>YA (didukung konteks)</t>
        </is>
      </c>
    </row>
    <row r="111">
      <c r="A111" t="n">
        <v>10</v>
      </c>
      <c r="B111" t="inlineStr">
        <is>
          <t>A</t>
        </is>
      </c>
      <c r="C111" t="n">
        <v>3</v>
      </c>
      <c r="D111" s="3" t="inlineStr">
        <is>
          <t>Dalam contoh latihan seperti [GT_CT12.txt], fungsi "habis_dibagi" misalnya, hanya melakukan satu hal, yaitu menghitung apakah sebuah bilangan habis dibagi oleh bilangan lain.</t>
        </is>
      </c>
      <c r="E111" t="inlineStr">
        <is>
          <t>YA (didukung konteks)</t>
        </is>
      </c>
    </row>
    <row r="112">
      <c r="A112" t="n">
        <v>10</v>
      </c>
      <c r="B112" t="inlineStr">
        <is>
          <t>A</t>
        </is>
      </c>
      <c r="C112" t="n">
        <v>4</v>
      </c>
      <c r="D112" s="3" t="inlineStr">
        <is>
          <t>Fungsi membantu memecah algoritme besar menjadi bagian-bagian yang lebih kecil dan terfokus, sehingga membuat kode lebih mudah dipahami, dikelola, dan dikembangkan.</t>
        </is>
      </c>
      <c r="E112" t="inlineStr">
        <is>
          <t>YA (didukung konteks)</t>
        </is>
      </c>
    </row>
    <row r="113">
      <c r="A113" t="n">
        <v>10</v>
      </c>
      <c r="B113" t="inlineStr">
        <is>
          <t>A</t>
        </is>
      </c>
      <c r="C113" t="n">
        <v>5</v>
      </c>
      <c r="D113" s="3" t="inlineStr">
        <is>
          <t>Dekomposisi adalah proses memecah algoritme besar menjadi fungsi-fungsi kecil yang terfokus, seperti yang diterangkan dalam [GT_CT03.txt].</t>
        </is>
      </c>
      <c r="E113" t="inlineStr">
        <is>
          <t>YA (didukung konteks)</t>
        </is>
      </c>
    </row>
    <row r="114">
      <c r="A114" t="n">
        <v>10</v>
      </c>
      <c r="B114" t="inlineStr">
        <is>
          <t>A</t>
        </is>
      </c>
      <c r="C114" t="n">
        <v>6</v>
      </c>
      <c r="D114" s="3" t="inlineStr">
        <is>
          <t>Dalam [GT_CT12.txt], fungsi dianggap sebagai resep masakan yang dapat digunakan kembali tanpa harus menulis ulang setiap langkahnya.</t>
        </is>
      </c>
      <c r="E114" t="inlineStr">
        <is>
          <t>YA (didukung konteks)</t>
        </is>
      </c>
    </row>
    <row r="115">
      <c r="A115" t="n">
        <v>10</v>
      </c>
      <c r="B115" t="inlineStr">
        <is>
          <t>B</t>
        </is>
      </c>
      <c r="C115" t="n">
        <v>1</v>
      </c>
      <c r="D115" s="3" t="inlineStr">
        <is>
          <t xml:space="preserve">Contohnya, jika Anda ingin membuat program untuk menghitung luas segiempat, maka Anda dapat membuat fungsi untuk menghitung panjang sisi-sisinya, fungsi lain untuk menghitung ketinggian sudut, dan fungsi lain lagi untuk </t>
        </is>
      </c>
      <c r="E115" t="inlineStr">
        <is>
          <t>YA (didukung konteks)</t>
        </is>
      </c>
    </row>
    <row r="116">
      <c r="A116" t="n">
        <v>10</v>
      </c>
      <c r="B116" t="inlineStr">
        <is>
          <t>B</t>
        </is>
      </c>
      <c r="C116" t="n">
        <v>2</v>
      </c>
      <c r="D116" s="3" t="inlineStr">
        <is>
          <t>Dekomposisi membantu memecahkan masalah menjadi bagian-bagian yang lebih kecil dan lebih mudah dikelola, sehingga Anda dapat membuat kode yang lebih efektif, efisien, dan mudah dipahami.</t>
        </is>
      </c>
      <c r="E116" t="inlineStr">
        <is>
          <t>YA (didukung konteks)</t>
        </is>
      </c>
    </row>
    <row r="117">
      <c r="A117" t="n">
        <v>10</v>
      </c>
      <c r="B117" t="inlineStr">
        <is>
          <t>B</t>
        </is>
      </c>
      <c r="C117" t="n">
        <v>3</v>
      </c>
      <c r="D117" s="3" t="inlineStr">
        <is>
          <t>Fungsi dapat dianggap sebagai sebuah blok kode yang melakukan satu hal spesifik, sehingga membantu memecahkan masalah menjadi bagian-bagian yang lebih kecil dan lebih mudah dikelola.</t>
        </is>
      </c>
      <c r="E117" t="inlineStr">
        <is>
          <t>YA (didukung konteks)</t>
        </is>
      </c>
    </row>
    <row r="118">
      <c r="A118" t="n">
        <v>10</v>
      </c>
      <c r="B118" t="inlineStr">
        <is>
          <t>B</t>
        </is>
      </c>
      <c r="C118" t="n">
        <v>4</v>
      </c>
      <c r="D118" s="3" t="inlineStr">
        <is>
          <t>Hal ini terkait dengan konsep dekomposisi dalam ilmu komputasi, yaitu membagi masalah menjadi bagian-bagian yang lebih kecil dan lebih mudah dikelola.</t>
        </is>
      </c>
      <c r="E118" t="inlineStr">
        <is>
          <t>YA (didukung konteks)</t>
        </is>
      </c>
    </row>
    <row r="119">
      <c r="A119" t="n">
        <v>10</v>
      </c>
      <c r="B119" t="inlineStr">
        <is>
          <t>B</t>
        </is>
      </c>
      <c r="C119" t="n">
        <v>5</v>
      </c>
      <c r="D119" s="3" t="inlineStr">
        <is>
          <t>Dosenmu ingin mengajarkan Anda bahwa setiap fungsi seharusnya hanya memiliki satu tugas atau satu kegunaan, sehingga mudah dipahami dan dikontrol.</t>
        </is>
      </c>
      <c r="E119" t="inlineStr">
        <is>
          <t>YA (didukung konteks)</t>
        </is>
      </c>
    </row>
    <row r="120">
      <c r="A120" t="n">
        <v>10</v>
      </c>
      <c r="B120" t="inlineStr">
        <is>
          <t>B</t>
        </is>
      </c>
      <c r="C120" t="n">
        <v>6</v>
      </c>
      <c r="D120" s="3" t="inlineStr">
        <is>
          <t>Dalam pemrograman, fungsi sebenarnya adalah implementasi dari dekomposisi, namun tidak sembarangan.</t>
        </is>
      </c>
      <c r="E120" t="inlineStr">
        <is>
          <t>YA (didukung konteks)</t>
        </is>
      </c>
    </row>
    <row r="121">
      <c r="A121" t="n">
        <v>11</v>
      </c>
      <c r="B121" t="inlineStr">
        <is>
          <t>A</t>
        </is>
      </c>
      <c r="C121" t="n">
        <v>1</v>
      </c>
      <c r="D121" s="3" t="inlineStr">
        <is>
          <t>Dalam contoh "bikin kue", kita tidak perlu memecahkan prosesnya sampai level "campurkan bahan" sebaliknya, tapi kita harus memahami bagaimana cara membuat kue jenis lain, yaitu dengan mengidentifikasi pola umum bahwa set</t>
        </is>
      </c>
      <c r="E121" t="inlineStr">
        <is>
          <t>YA (didukung konteks)</t>
        </is>
      </c>
    </row>
    <row r="122">
      <c r="A122" t="n">
        <v>11</v>
      </c>
      <c r="B122" t="inlineStr">
        <is>
          <t>A</t>
        </is>
      </c>
      <c r="C122" t="n">
        <v>2</v>
      </c>
      <c r="D122" s="3" t="inlineStr">
        <is>
          <t>Kriteria kapan dekomposisi sudah cukup adalah ketika kita dapat mengidentifikasi goal atau tujuan utama dari masalah tersebut, kemudian memecah proses penyelesaiannya menjadi langkah-langkah lebih kecil yang dapat disele</t>
        </is>
      </c>
      <c r="E122" t="inlineStr">
        <is>
          <t>YA (didukung konteks)</t>
        </is>
      </c>
    </row>
    <row r="123">
      <c r="A123" t="n">
        <v>11</v>
      </c>
      <c r="B123" t="inlineStr">
        <is>
          <t>A</t>
        </is>
      </c>
      <c r="C123" t="n">
        <v>3</v>
      </c>
      <c r="D123" s="3" t="inlineStr">
        <is>
          <t>Jadi, pada dasarnya, dekomposisi tidak perlu dilakukan sampai level "gerakkan jari" sebaliknya, tapi harus berdasarkan pola hierarkis dan mengidentifikasi goal atau tujuan utama dari masalah.</t>
        </is>
      </c>
      <c r="E123" t="inlineStr">
        <is>
          <t>YA (didukung konteks)</t>
        </is>
      </c>
    </row>
    <row r="124">
      <c r="A124" t="n">
        <v>11</v>
      </c>
      <c r="B124" t="inlineStr">
        <is>
          <t>A</t>
        </is>
      </c>
      <c r="C124" t="n">
        <v>4</v>
      </c>
      <c r="D124" s="3" t="inlineStr">
        <is>
          <t>Pecahannya harus berdasarkan pola hierarkis, di mana masalah besar dipecah menjadi sub-masalah yang lebih kecil, dan setiap sub-masalah diselesaikan secara terpisah.</t>
        </is>
      </c>
      <c r="E124" t="inlineStr">
        <is>
          <t>YA (didukung konteks)</t>
        </is>
      </c>
    </row>
    <row r="125">
      <c r="A125" t="n">
        <v>11</v>
      </c>
      <c r="B125" t="inlineStr">
        <is>
          <t>A</t>
        </is>
      </c>
      <c r="C125" t="n">
        <v>5</v>
      </c>
      <c r="D125" s="3" t="inlineStr">
        <is>
          <t>Dengan demikian, dekomposisi harus dilakukan sampai kita dapat mengidentifikasi pattern atau pola yang membantu kita menyelesaikan masalah.</t>
        </is>
      </c>
      <c r="E125" t="inlineStr">
        <is>
          <t>YA (didukung konteks)</t>
        </is>
      </c>
    </row>
    <row r="126">
      <c r="A126" t="n">
        <v>11</v>
      </c>
      <c r="B126" t="inlineStr">
        <is>
          <t>A</t>
        </is>
      </c>
      <c r="C126" t="n">
        <v>6</v>
      </c>
      <c r="D126" s="3" t="inlineStr">
        <is>
          <t>Jika kita sudah memahami pola tersebut, maka kita dapat menggunakan general solution yang dapat diterapkan untuk berbagai masalah.</t>
        </is>
      </c>
      <c r="E126" t="inlineStr">
        <is>
          <t>YA (didukung konteks)</t>
        </is>
      </c>
    </row>
    <row r="127">
      <c r="A127" t="n">
        <v>11</v>
      </c>
      <c r="B127" t="inlineStr">
        <is>
          <t>B</t>
        </is>
      </c>
      <c r="C127" t="n">
        <v>1</v>
      </c>
      <c r="D127" s="3" t="inlineStr">
        <is>
          <t>Keterampilan memecah masalah efektif adalah kemampuan untuk menemukan level dekomposisi yang tepat, sehingga kita dapat mengurangi kompleksitas dan meningkatkan kesempatan untuk menyelesaikan masalah.</t>
        </is>
      </c>
      <c r="E127" t="inlineStr">
        <is>
          <t>YA (didukung konteks)</t>
        </is>
      </c>
    </row>
    <row r="128">
      <c r="A128" t="n">
        <v>11</v>
      </c>
      <c r="B128" t="inlineStr">
        <is>
          <t>B</t>
        </is>
      </c>
      <c r="C128" t="n">
        <v>2</v>
      </c>
      <c r="D128" s="3" t="inlineStr">
        <is>
          <t>Pada level ini, kita telah membagi tugas menjadi bagian-bagian yang lebih kecil dan lebih mudah diurus, seperti mencampur adonan, mengukur bahan-bahan, dan menyiapkan oven.</t>
        </is>
      </c>
      <c r="E128" t="inlineStr">
        <is>
          <t>YA (didukung konteks)</t>
        </is>
      </c>
    </row>
    <row r="129">
      <c r="A129" t="n">
        <v>11</v>
      </c>
      <c r="B129" t="inlineStr">
        <is>
          <t>B</t>
        </is>
      </c>
      <c r="C129" t="n">
        <v>3</v>
      </c>
      <c r="D129" s="3" t="inlineStr">
        <is>
          <t>Tidak ada kriteria pasti tentang seberapa dalam kita harus dekomposisi masalah, karena itu tergantung pada jenis masalah, tingkat kompleksitas, dan tujuan akhir.</t>
        </is>
      </c>
      <c r="E129" t="inlineStr">
        <is>
          <t>YA (didukung konteks)</t>
        </is>
      </c>
    </row>
    <row r="130">
      <c r="A130" t="n">
        <v>11</v>
      </c>
      <c r="B130" t="inlineStr">
        <is>
          <t>B</t>
        </is>
      </c>
      <c r="C130" t="n">
        <v>4</v>
      </c>
      <c r="D130" s="3" t="inlineStr">
        <is>
          <t>Menemukan hubungan-hubungan: Proses dekomposisi dapat memungkinkan kita untuk menemukan hubungan antara variabel-variabel dan bagaimana mereka berinteraksi.</t>
        </is>
      </c>
      <c r="E130" t="inlineStr">
        <is>
          <t>YA (didukung konteks)</t>
        </is>
      </c>
    </row>
    <row r="131">
      <c r="A131" t="n">
        <v>11</v>
      </c>
      <c r="B131" t="inlineStr">
        <is>
          <t>B</t>
        </is>
      </c>
      <c r="C131" t="n">
        <v>5</v>
      </c>
      <c r="D131" s="3" t="inlineStr">
        <is>
          <t>Pengalaman dekomposisi masalah, juga dikenal sebagai "breakdown" atau "decomposition", adalah langkah awal dalam proses pemecahan masalah yang efektif.</t>
        </is>
      </c>
      <c r="E131" t="inlineStr">
        <is>
          <t>YA (didukung konteks)</t>
        </is>
      </c>
    </row>
    <row r="132">
      <c r="A132" t="n">
        <v>11</v>
      </c>
      <c r="B132" t="inlineStr">
        <is>
          <t>B</t>
        </is>
      </c>
      <c r="C132" t="n">
        <v>6</v>
      </c>
      <c r="D132" s="3" t="inlineStr">
        <is>
          <t>Mengidentifikasi unsur-unsur penting: Dekomposisi dapat membantu kita mengidentifikasi komponen-komponen utama yang terkait dengan masalah.</t>
        </is>
      </c>
      <c r="E132" t="inlineStr">
        <is>
          <t>YA (didukung konteks)</t>
        </is>
      </c>
    </row>
    <row r="133">
      <c r="A133" t="n">
        <v>12</v>
      </c>
      <c r="B133" t="inlineStr">
        <is>
          <t>A</t>
        </is>
      </c>
      <c r="C133" t="n">
        <v>1</v>
      </c>
      <c r="D133" s="3" t="inlineStr">
        <is>
          <t>Dalam soal lift 2 buah kapasitas 30 kg dengan 9 berang (A:2, B:3, C:5, D:8, E:9, F:9, G:12, H:12, I:22), abstraksi pertama yang perlu dilakukan adalah mengidentifikasi empat komponen utama, yaitu:</t>
        </is>
      </c>
      <c r="E133" t="inlineStr">
        <is>
          <t>YA (didukung konteks)</t>
        </is>
      </c>
    </row>
    <row r="134">
      <c r="A134" t="n">
        <v>12</v>
      </c>
      <c r="B134" t="inlineStr">
        <is>
          <t>A</t>
        </is>
      </c>
      <c r="C134" t="n">
        <v>2</v>
      </c>
      <c r="D134" s="3" t="inlineStr">
        <is>
          <t>Dengan melakukan abstraksi ini, kita dapat memfokuskan perhatian pada hal-hal esensial dan mencari solusi yang optimal.</t>
        </is>
      </c>
      <c r="E134" t="inlineStr">
        <is>
          <t>YA (didukung konteks)</t>
        </is>
      </c>
    </row>
    <row r="135">
      <c r="A135" t="n">
        <v>12</v>
      </c>
      <c r="B135" t="inlineStr">
        <is>
          <t>A</t>
        </is>
      </c>
      <c r="C135" t="n">
        <v>3</v>
      </c>
      <c r="D135" s="3" t="inlineStr">
        <is>
          <t>Data/informasi yang tersedia: Berat berang-berang (A:2, B:3, C:5, D:8, E:9, F:9, G:12, H:12, I:22) dan kapasitas lift.</t>
        </is>
      </c>
      <c r="E135" t="inlineStr">
        <is>
          <t>YA (didukung konteks)</t>
        </is>
      </c>
    </row>
    <row r="136">
      <c r="A136" t="n">
        <v>12</v>
      </c>
      <c r="B136" t="inlineStr">
        <is>
          <t>A</t>
        </is>
      </c>
      <c r="C136" t="n">
        <v>4</v>
      </c>
      <c r="D136" s="3" t="inlineStr">
        <is>
          <t>Root cause/akar masalah: Tidak semua berang muat karena total berat berang (82 kg) melebihi kapasitas 2 lift (60 kg).</t>
        </is>
      </c>
      <c r="E136" t="inlineStr">
        <is>
          <t>YA (didukung konteks)</t>
        </is>
      </c>
    </row>
    <row r="137">
      <c r="A137" t="n">
        <v>12</v>
      </c>
      <c r="B137" t="inlineStr">
        <is>
          <t>A</t>
        </is>
      </c>
      <c r="C137" t="n">
        <v>5</v>
      </c>
      <c r="D137" s="3" t="inlineStr">
        <is>
          <t>Goal/tujuan yang ingin dicapai: Memuat sebanyak mungkin berang dalam 1 kali perjalanan, bukan memaksimalkan berat.</t>
        </is>
      </c>
      <c r="E137" t="inlineStr">
        <is>
          <t>YA (didukung konteks)</t>
        </is>
      </c>
    </row>
    <row r="138">
      <c r="A138" t="n">
        <v>12</v>
      </c>
      <c r="B138" t="inlineStr">
        <is>
          <t>A</t>
        </is>
      </c>
      <c r="C138" t="n">
        <v>6</v>
      </c>
      <c r="D138" s="3" t="inlineStr">
        <is>
          <t>Constraints/batasan: Hanya ada 2 lift dengan kapasitas masing-masing 30 kg dan hanya 1 kali perjalanan.</t>
        </is>
      </c>
      <c r="E138" t="inlineStr">
        <is>
          <t>YA (didukung konteks)</t>
        </is>
      </c>
    </row>
    <row r="139">
      <c r="A139" t="n">
        <v>12</v>
      </c>
      <c r="B139" t="inlineStr">
        <is>
          <t>B</t>
        </is>
      </c>
      <c r="C139" t="n">
        <v>1</v>
      </c>
      <c r="D139" s="3" t="inlineStr">
        <is>
          <t>Abstraksi pada soal lift ini berarti mencoba untuk mengidentifikasi unsur-unsur utama yang terkait dengan masalah lift dan mengabaikan unsur-unsur lainnya.</t>
        </is>
      </c>
      <c r="E139" t="inlineStr">
        <is>
          <t>YA (didukung konteks)</t>
        </is>
      </c>
    </row>
    <row r="140">
      <c r="A140" t="n">
        <v>12</v>
      </c>
      <c r="B140" t="inlineStr">
        <is>
          <t>B</t>
        </is>
      </c>
      <c r="C140" t="n">
        <v>2</v>
      </c>
      <c r="D140" s="3" t="inlineStr">
        <is>
          <t>Sementara itu, unsur-unsur lain yang tidak terkait dengan masalah lift, seperti nama-nama berang (A, B, C, D, E, F, G, H, I), dapat diabaikan.</t>
        </is>
      </c>
      <c r="E140" t="inlineStr">
        <is>
          <t>YA (didukung konteks)</t>
        </is>
      </c>
    </row>
    <row r="141">
      <c r="A141" t="n">
        <v>12</v>
      </c>
      <c r="B141" t="inlineStr">
        <is>
          <t>B</t>
        </is>
      </c>
      <c r="C141" t="n">
        <v>3</v>
      </c>
      <c r="D141" s="3" t="inlineStr">
        <is>
          <t>Untuk melakukan abstraksi, kita perlu memahami apa yang ingin ditanyakan oleh dosen melalui soal tersebut.</t>
        </is>
      </c>
      <c r="E141" t="inlineStr">
        <is>
          <t>YA (didukung konteks)</t>
        </is>
      </c>
    </row>
    <row r="142">
      <c r="A142" t="n">
        <v>12</v>
      </c>
      <c r="B142" t="inlineStr">
        <is>
          <t>B</t>
        </is>
      </c>
      <c r="C142" t="n">
        <v>4</v>
      </c>
      <c r="D142" s="3" t="inlineStr">
        <is>
          <t>Dengan demikian, hasil abstraksi soal lift 2 buah kapasitas 30 kg dengan 9 berang adalah:</t>
        </is>
      </c>
      <c r="E142" t="inlineStr">
        <is>
          <t>YA (didukung konteks)</t>
        </is>
      </c>
    </row>
    <row r="143">
      <c r="A143" t="n">
        <v>12</v>
      </c>
      <c r="B143" t="inlineStr">
        <is>
          <t>B</t>
        </is>
      </c>
      <c r="C143" t="n">
        <v>5</v>
      </c>
      <c r="D143" s="3" t="inlineStr">
        <is>
          <t>* Jumlah berang (9) yang memiliki nilai kapasitas berbeda-beda</t>
        </is>
      </c>
      <c r="E143" t="inlineStr">
        <is>
          <t>YA (didukung konteks)</t>
        </is>
      </c>
    </row>
    <row r="144">
      <c r="A144" t="n">
        <v>12</v>
      </c>
      <c r="B144" t="inlineStr">
        <is>
          <t>B</t>
        </is>
      </c>
      <c r="C144" t="n">
        <v>6</v>
      </c>
      <c r="D144" s="3" t="inlineStr">
        <is>
          <t>Mengabaikan unsur-unsur lainnya, seperti nama-nama berang.</t>
        </is>
      </c>
      <c r="E144" t="inlineStr">
        <is>
          <t>YA (didukung konteks)</t>
        </is>
      </c>
    </row>
    <row r="145">
      <c r="A145" t="n">
        <v>13</v>
      </c>
      <c r="B145" t="inlineStr">
        <is>
          <t>A</t>
        </is>
      </c>
      <c r="C145" t="n">
        <v>1</v>
      </c>
      <c r="D145" s="3" t="inlineStr">
        <is>
          <t xml:space="preserve">Dalam kasus Anda, jika Anda ingin membuat model data sistem nilai mahasiswa, maka abstraksi berarti memberikan prioritas paling rendah untuk mengetahui informasi seperti nilai ujian dan kehadiran, karena mereka bukanlah </t>
        </is>
      </c>
      <c r="E145" t="inlineStr">
        <is>
          <t>YA (didukung konteks)</t>
        </is>
      </c>
    </row>
    <row r="146">
      <c r="A146" t="n">
        <v>13</v>
      </c>
      <c r="B146" t="inlineStr">
        <is>
          <t>A</t>
        </is>
      </c>
      <c r="C146" t="n">
        <v>2</v>
      </c>
      <c r="D146" s="3" t="inlineStr">
        <is>
          <t>Untuk menjawab pertanyaan ini, saya menggunakan konsep utama abstraksi sebagai berikut: fokus pada hal-hal yang penting, mengabaikan hal-hal yang tidak relevan, dan memberikan prioritas paling rendah untuk diperhatikan p</t>
        </is>
      </c>
      <c r="E146" t="inlineStr">
        <is>
          <t>YA (didukung konteks)</t>
        </is>
      </c>
    </row>
    <row r="147">
      <c r="A147" t="n">
        <v>13</v>
      </c>
      <c r="B147" t="inlineStr">
        <is>
          <t>A</t>
        </is>
      </c>
      <c r="C147" t="n">
        <v>3</v>
      </c>
      <c r="D147" s="3" t="inlineStr">
        <is>
          <t>Abstraksi adalah kemampuan untuk fokus pada hal-hal yang penting, mengidentifikasi dan memusatkan perhatian pada detail yang relevan, serta mengabaikan hal-hal yang tidak relevan dan hanya menjadi gangguan (distraction).</t>
        </is>
      </c>
      <c r="E147" t="inlineStr">
        <is>
          <t>YA (didukung konteks)</t>
        </is>
      </c>
    </row>
    <row r="148">
      <c r="A148" t="n">
        <v>13</v>
      </c>
      <c r="B148" t="inlineStr">
        <is>
          <t>A</t>
        </is>
      </c>
      <c r="C148" t="n">
        <v>4</v>
      </c>
      <c r="D148" s="3" t="inlineStr">
        <is>
          <t>Dengan demikian, Anda dapat membuat model data sistem nilai mahasiswa dengan fokus pada nama dan NIM mahasiswa, tanpa perlu mengetahui informasi lainnya seperti nilai ujian dan kehadiran.</t>
        </is>
      </c>
      <c r="E148" t="inlineStr">
        <is>
          <t>YA (didukung konteks)</t>
        </is>
      </c>
    </row>
    <row r="149">
      <c r="A149" t="n">
        <v>13</v>
      </c>
      <c r="B149" t="inlineStr">
        <is>
          <t>A</t>
        </is>
      </c>
      <c r="C149" t="n">
        <v>5</v>
      </c>
      <c r="D149" s="3" t="inlineStr">
        <is>
          <t>Dalam contoh Anda, nama dan NIM mahasiswa adalah informasi yang paling penting, sehingga Anda dapat meninggalkan informasi lainnya seperti nilai ujian dan kehadiran.</t>
        </is>
      </c>
      <c r="E149" t="inlineStr">
        <is>
          <t>YA (didukung konteks)</t>
        </is>
      </c>
    </row>
    <row r="150">
      <c r="A150" t="n">
        <v>13</v>
      </c>
      <c r="B150" t="inlineStr">
        <is>
          <t>A</t>
        </is>
      </c>
      <c r="C150" t="n">
        <v>6</v>
      </c>
      <c r="D150" s="3" t="inlineStr">
        <is>
          <t>Abstraksi tidak hanya berarti membuang detail sebanyak mungkin, melainkan juga memberikan prioritas paling rendah untuk diperhatikan pada bagian tersebut.</t>
        </is>
      </c>
      <c r="E150" t="inlineStr">
        <is>
          <t>YA (didukung konteks)</t>
        </is>
      </c>
    </row>
    <row r="151">
      <c r="A151" t="n">
        <v>13</v>
      </c>
      <c r="B151" t="inlineStr">
        <is>
          <t>B</t>
        </is>
      </c>
      <c r="C151" t="n">
        <v>1</v>
      </c>
      <c r="D151" s="3" t="inlineStr">
        <is>
          <t>Dalam pengajaran statistik atau data analysis, abstraksi biasanya berarti mengumpulkan informasi yang paling relevan dan penting untuk tujuan analisis, namun tidak berarti membuang detail sebanyak mungkin.</t>
        </is>
      </c>
      <c r="E151" t="inlineStr">
        <is>
          <t>YA (didukung konteks)</t>
        </is>
      </c>
    </row>
    <row r="152">
      <c r="A152" t="n">
        <v>13</v>
      </c>
      <c r="B152" t="inlineStr">
        <is>
          <t>B</t>
        </is>
      </c>
      <c r="C152" t="n">
        <v>2</v>
      </c>
      <c r="D152" s="3" t="inlineStr">
        <is>
          <t>Abstraksi sebenarnya berarti mengumpulkan informasi yang paling penting dan relevan untuk tujuan analisis atau penyelesaian masalah, bukan membuang detail sebanyak mungkin.</t>
        </is>
      </c>
      <c r="E152" t="inlineStr">
        <is>
          <t>YA (didukung konteks)</t>
        </is>
      </c>
    </row>
    <row r="153">
      <c r="A153" t="n">
        <v>13</v>
      </c>
      <c r="B153" t="inlineStr">
        <is>
          <t>B</t>
        </is>
      </c>
      <c r="C153" t="n">
        <v>3</v>
      </c>
      <c r="D153" s="3" t="inlineStr">
        <is>
          <t>Abstraksi pada dasarnya berarti menghilangkan atau mengabaikan informasi yang tidak relevan atau tidak penting untuk tujuan analisis atau penyelesaian masalah.</t>
        </is>
      </c>
      <c r="E153" t="inlineStr">
        <is>
          <t>YA (didukung konteks)</t>
        </is>
      </c>
    </row>
    <row r="154">
      <c r="A154" t="n">
        <v>13</v>
      </c>
      <c r="B154" t="inlineStr">
        <is>
          <t>B</t>
        </is>
      </c>
      <c r="C154" t="n">
        <v>4</v>
      </c>
      <c r="D154" s="3" t="inlineStr">
        <is>
          <t>Dalam kasus Anda, jika Anda membuang semua field kecuali nama dan NIM karena itu "itu abstraksi", maka Anda memiliki salah pengertian tentang konsep abstraksi.</t>
        </is>
      </c>
      <c r="E154" t="inlineStr">
        <is>
          <t>TIDAK (tidak didukung)</t>
        </is>
      </c>
    </row>
    <row r="155">
      <c r="A155" t="n">
        <v>13</v>
      </c>
      <c r="B155" t="inlineStr">
        <is>
          <t>B</t>
        </is>
      </c>
      <c r="C155" t="n">
        <v>5</v>
      </c>
      <c r="D155" s="3" t="inlineStr">
        <is>
          <t>Sebaliknya, abstraksi juga dapat berarti menghilangkan noise atau gangguan dalam data, sehingga Anda dapat melihat pola atau pattern yang sebenarnya.</t>
        </is>
      </c>
      <c r="E155" t="inlineStr">
        <is>
          <t>YA (didukung konteks)</t>
        </is>
      </c>
    </row>
    <row r="156">
      <c r="A156" t="n">
        <v>13</v>
      </c>
      <c r="B156" t="inlineStr">
        <is>
          <t>B</t>
        </is>
      </c>
      <c r="C156" t="n">
        <v>6</v>
      </c>
      <c r="D156" s="3" t="inlineStr">
        <is>
          <t>Jadi, untuk menjawab pertanyaan dosen Anda, nilai ujian dan kehadiran itu memang penting sebagai bagian dari sistem nilai mahasiswa.</t>
        </is>
      </c>
      <c r="E156" t="inlineStr">
        <is>
          <t>YA (didukung konteks)</t>
        </is>
      </c>
    </row>
    <row r="157">
      <c r="A157" t="n">
        <v>14</v>
      </c>
      <c r="B157" t="inlineStr">
        <is>
          <t>A</t>
        </is>
      </c>
      <c r="C157" t="n">
        <v>1</v>
      </c>
      <c r="D157" s="3" t="inlineStr">
        <is>
          <t>Dalam mengerjakan soal, Anda dapat menerapkan "helicopter view" dengan melakukan langkah-langkah berikut: 1) pertama-tama melihat masalah dari atas, 2) identifikasi tujuan dan sifat masalah, 3) fokus pada hal-hal yang pa</t>
        </is>
      </c>
      <c r="E157" t="inlineStr">
        <is>
          <t>YA (didukung konteks)</t>
        </is>
      </c>
    </row>
    <row r="158">
      <c r="A158" t="n">
        <v>14</v>
      </c>
      <c r="B158" t="inlineStr">
        <is>
          <t>A</t>
        </is>
      </c>
      <c r="C158" t="n">
        <v>2</v>
      </c>
      <c r="D158" s="3" t="inlineStr">
        <is>
          <t>Dalam contoh soal 7, "helicopter view" dapat digunakan untuk melihat dataset 10.000 transaksi penjualan toko online dari atas, yaitu dengan memahami tren temporal penjualan per bulan, produk dengan penjualan tertinggi da</t>
        </is>
      </c>
      <c r="E158" t="inlineStr">
        <is>
          <t>YA (didukung konteks)</t>
        </is>
      </c>
    </row>
    <row r="159">
      <c r="A159" t="n">
        <v>14</v>
      </c>
      <c r="B159" t="inlineStr">
        <is>
          <t>A</t>
        </is>
      </c>
      <c r="C159" t="n">
        <v>3</v>
      </c>
      <c r="D159" s="3" t="inlineStr">
        <is>
          <t>Istilah ini berasal dari pandangan yang lebih luas dan menyeluruh, seperti jika kita sedang terbang di atas udara menggunakan helikopter.</t>
        </is>
      </c>
      <c r="E159" t="inlineStr">
        <is>
          <t>YA (didukung konteks)</t>
        </is>
      </c>
    </row>
    <row r="160">
      <c r="A160" t="n">
        <v>14</v>
      </c>
      <c r="B160" t="inlineStr">
        <is>
          <t>A</t>
        </is>
      </c>
      <c r="C160" t="n">
        <v>4</v>
      </c>
      <c r="D160" s="3" t="inlineStr">
        <is>
          <t>Dalam CT, "helicopter view" berarti melihat suatu masalah atau situasi dari atas, secara menyeluruh, sebelum memahami detailnya.</t>
        </is>
      </c>
      <c r="E160" t="inlineStr">
        <is>
          <t>YA (didukung konteks)</t>
        </is>
      </c>
    </row>
    <row r="161">
      <c r="A161" t="n">
        <v>14</v>
      </c>
      <c r="B161" t="inlineStr">
        <is>
          <t>A</t>
        </is>
      </c>
      <c r="C161" t="n">
        <v>5</v>
      </c>
      <c r="D161" s="3" t="inlineStr">
        <is>
          <t>Dengan demikian, "helicopter view" dalam CT berfungsi sebagai langkah awal untuk mengidentifikasi tujuan dan sifat masalah.</t>
        </is>
      </c>
      <c r="E161" t="inlineStr">
        <is>
          <t>YA (didukung konteks)</t>
        </is>
      </c>
    </row>
    <row r="162">
      <c r="A162" t="n">
        <v>14</v>
      </c>
      <c r="B162" t="inlineStr">
        <is>
          <t>A</t>
        </is>
      </c>
      <c r="C162" t="n">
        <v>6</v>
      </c>
      <c r="D162" s="3" t="inlineStr">
        <is>
          <t>Hal ini membantu kita untuk fokus pada hal-hal yang paling penting dan meninggalkan hal-hal yang tidak relevan.</t>
        </is>
      </c>
      <c r="E162" t="inlineStr">
        <is>
          <t>YA (didukung konteks)</t>
        </is>
      </c>
    </row>
    <row r="163">
      <c r="A163" t="n">
        <v>14</v>
      </c>
      <c r="B163" t="inlineStr">
        <is>
          <t>B</t>
        </is>
      </c>
      <c r="C163" t="n">
        <v>1</v>
      </c>
      <c r="D163" s="3" t="inlineStr">
        <is>
          <t>Istilah "helicopter view" pada slide abstraksi tidak memiliki kaitan langsung dengan helikopter, melainkan lebih berhubungan dengan pandangan yang Anda miliki ketika sedang mengerjakan soal.</t>
        </is>
      </c>
      <c r="E163" t="inlineStr">
        <is>
          <t>YA (didukung konteks)</t>
        </is>
      </c>
    </row>
    <row r="164">
      <c r="A164" t="n">
        <v>14</v>
      </c>
      <c r="B164" t="inlineStr">
        <is>
          <t>B</t>
        </is>
      </c>
      <c r="C164" t="n">
        <v>2</v>
      </c>
      <c r="D164" s="3" t="inlineStr">
        <is>
          <t>Dalam arti lain, Anda harus memiliki pandangan yang membantu Anda melihat gambaran besar dari suatu sistem, proses, atau masalah, serta bagaimana berbagai komponen tersebut saling terkait.</t>
        </is>
      </c>
      <c r="E164" t="inlineStr">
        <is>
          <t>YA (didukung konteks)</t>
        </is>
      </c>
    </row>
    <row r="165">
      <c r="A165" t="n">
        <v>14</v>
      </c>
      <c r="B165" t="inlineStr">
        <is>
          <t>B</t>
        </is>
      </c>
      <c r="C165" t="n">
        <v>3</v>
      </c>
      <c r="D165" s="3" t="inlineStr">
        <is>
          <t>Identifikasi komponen-komponen utama: Coba identifikasi bagaimana komponen-komponen tersebut saling terkait dan bagaimana mereka mempengaruhi satu sama lain.</t>
        </is>
      </c>
      <c r="E165" t="inlineStr">
        <is>
          <t>YA (didukung konteks)</t>
        </is>
      </c>
    </row>
    <row r="166">
      <c r="A166" t="n">
        <v>14</v>
      </c>
      <c r="B166" t="inlineStr">
        <is>
          <t>B</t>
        </is>
      </c>
      <c r="C166" t="n">
        <v>4</v>
      </c>
      <c r="D166" s="3" t="inlineStr">
        <is>
          <t>Analisis hubungan antar komponen: Pahami bagaimana berbagai komponen tersebut bekerja sama untuk mencapai tujuan atau memecahkan masalah.</t>
        </is>
      </c>
      <c r="E166" t="inlineStr">
        <is>
          <t>YA (didukung konteks)</t>
        </is>
      </c>
    </row>
    <row r="167">
      <c r="A167" t="n">
        <v>14</v>
      </c>
      <c r="B167" t="inlineStr">
        <is>
          <t>B</t>
        </is>
      </c>
      <c r="C167" t="n">
        <v>5</v>
      </c>
      <c r="D167" s="3" t="inlineStr">
        <is>
          <t>Jangan terlalu fokus pada detail: Sementara Anda harus mengetahui detail-detail, jangan lupa memiliki pandangan yang lebih luas dan umum.</t>
        </is>
      </c>
      <c r="E167" t="inlineStr">
        <is>
          <t>YA (didukung konteks)</t>
        </is>
      </c>
    </row>
    <row r="168">
      <c r="A168" t="n">
        <v>14</v>
      </c>
      <c r="B168" t="inlineStr">
        <is>
          <t>B</t>
        </is>
      </c>
      <c r="C168" t="n">
        <v>6</v>
      </c>
      <c r="D168" s="3" t="inlineStr">
        <is>
          <t>Dengan demikian, Anda akan memiliki "helicopter view" yang membantu Anda memahami suatu masalah atau topik secara lebih baik.</t>
        </is>
      </c>
      <c r="E168" t="inlineStr">
        <is>
          <t>YA (didukung konteks)</t>
        </is>
      </c>
    </row>
    <row r="169">
      <c r="A169" t="n">
        <v>15</v>
      </c>
      <c r="B169" t="inlineStr">
        <is>
          <t>A</t>
        </is>
      </c>
      <c r="C169" t="n">
        <v>1</v>
      </c>
      <c r="D169" s="3" t="inlineStr">
        <is>
          <t>Dalam konteks analisis data, pattern recognition dapat dilakukan dengan menggunakan struktur data seperti list (array) untuk menyimpan sekumpulan nilai secara berurutan.</t>
        </is>
      </c>
      <c r="E169" t="inlineStr">
        <is>
          <t>YA (didukung konteks)</t>
        </is>
      </c>
    </row>
    <row r="170">
      <c r="A170" t="n">
        <v>15</v>
      </c>
      <c r="B170" t="inlineStr">
        <is>
          <t>A</t>
        </is>
      </c>
      <c r="C170" t="n">
        <v>2</v>
      </c>
      <c r="D170" s="3" t="inlineStr">
        <is>
          <t>Membuang outlier dapat diartikan sebagai proses abstraksi, yaitu mengurangi noisy data untuk mendapatkan gambaran yang lebih jelas tentang pola pada data.</t>
        </is>
      </c>
      <c r="E170" t="inlineStr">
        <is>
          <t>YA (didukung konteks)</t>
        </is>
      </c>
    </row>
    <row r="171">
      <c r="A171" t="n">
        <v>15</v>
      </c>
      <c r="B171" t="inlineStr">
        <is>
          <t>A</t>
        </is>
      </c>
      <c r="C171" t="n">
        <v>3</v>
      </c>
      <c r="D171" s="3" t="inlineStr">
        <is>
          <t>Dalam kasus analisis data nilai ujian, membuang outlier dapat diartikan sebagai proses abstraksi yang membantu kita mendapatkan pola pada data.</t>
        </is>
      </c>
      <c r="E171" t="inlineStr">
        <is>
          <t>YA (didukung konteks)</t>
        </is>
      </c>
    </row>
    <row r="172">
      <c r="A172" t="n">
        <v>15</v>
      </c>
      <c r="B172" t="inlineStr">
        <is>
          <t>A</t>
        </is>
      </c>
      <c r="C172" t="n">
        <v>4</v>
      </c>
      <c r="D172" s="3" t="inlineStr">
        <is>
          <t>Kita juga dapat menggunakan operator logika OR (atau) untuk menggabungkan dua atau lebih ekspresi boolean dan menghasilkan nilai boolean.</t>
        </is>
      </c>
      <c r="E172" t="inlineStr">
        <is>
          <t>YA (didukung konteks)</t>
        </is>
      </c>
    </row>
    <row r="173">
      <c r="A173" t="n">
        <v>15</v>
      </c>
      <c r="B173" t="inlineStr">
        <is>
          <t>A</t>
        </is>
      </c>
      <c r="C173" t="n">
        <v>5</v>
      </c>
      <c r="D173" s="3" t="inlineStr">
        <is>
          <t>Selanjutnya, pattern recognition dapat dilakukan untuk mengidentifikasi korelasi antara variabel dan menemukan hubungan yang relevan.</t>
        </is>
      </c>
      <c r="E173" t="inlineStr">
        <is>
          <t>YA (didukung konteks)</t>
        </is>
      </c>
    </row>
    <row r="174">
      <c r="A174" t="n">
        <v>15</v>
      </c>
      <c r="B174" t="inlineStr">
        <is>
          <t>A</t>
        </is>
      </c>
      <c r="C174" t="n">
        <v>6</v>
      </c>
      <c r="D174" s="3" t="inlineStr">
        <is>
          <t>Dalam konteks Computational Thinking (CT), kita harus mampu memahami konsep abstraksi dan pattern recognition.</t>
        </is>
      </c>
      <c r="E174" t="inlineStr">
        <is>
          <t>YA (didukung konteks)</t>
        </is>
      </c>
    </row>
    <row r="175">
      <c r="A175" t="n">
        <v>15</v>
      </c>
      <c r="B175" t="inlineStr">
        <is>
          <t>B</t>
        </is>
      </c>
      <c r="C175" t="n">
        <v>1</v>
      </c>
      <c r="D175" s="3" t="inlineStr">
        <is>
          <t>(Note: However, it's worth noting that simply removing outliers without careful consideration of their potential implications for the analysis and conclusions drawn from it is generally not a recommended practice.</t>
        </is>
      </c>
      <c r="E175" t="inlineStr">
        <is>
          <t>YA (didukung konteks)</t>
        </is>
      </c>
    </row>
    <row r="176">
      <c r="A176" t="n">
        <v>15</v>
      </c>
      <c r="B176" t="inlineStr">
        <is>
          <t>B</t>
        </is>
      </c>
      <c r="C176" t="n">
        <v>2</v>
      </c>
      <c r="D176" s="3" t="inlineStr">
        <is>
          <t>It's essential to carefully evaluate the effects of outliers on the analysis and consider alternative approaches, such as using robust statistical methods or visualizing the data to understand their impact.)</t>
        </is>
      </c>
      <c r="E176" t="inlineStr">
        <is>
          <t>YA (didukung konteks)</t>
        </is>
      </c>
    </row>
    <row r="177">
      <c r="A177" t="n">
        <v>15</v>
      </c>
      <c r="B177" t="inlineStr">
        <is>
          <t>B</t>
        </is>
      </c>
      <c r="C177" t="n">
        <v>3</v>
      </c>
      <c r="D177" s="3" t="inlineStr">
        <is>
          <t>Abstraction refers to the process of focusing on specific aspects or features of the data that are relevant for analysis, while ignoring or removing irrelevant information (in this case, the outliers).</t>
        </is>
      </c>
      <c r="E177" t="inlineStr">
        <is>
          <t>YA (didukung konteks)</t>
        </is>
      </c>
    </row>
    <row r="178">
      <c r="A178" t="n">
        <v>15</v>
      </c>
      <c r="B178" t="inlineStr">
        <is>
          <t>B</t>
        </is>
      </c>
      <c r="C178" t="n">
        <v>4</v>
      </c>
      <c r="D178" s="3" t="inlineStr">
        <is>
          <t>In your case, by analyzing the remaining data after removing outliers, you're recognizing patterns that might not be immediately apparent when considering the entire dataset (including outliers).</t>
        </is>
      </c>
      <c r="E178" t="inlineStr">
        <is>
          <t>YA (didukung konteks)</t>
        </is>
      </c>
    </row>
    <row r="179">
      <c r="A179" t="n">
        <v>15</v>
      </c>
      <c r="B179" t="inlineStr">
        <is>
          <t>B</t>
        </is>
      </c>
      <c r="C179" t="n">
        <v>5</v>
      </c>
      <c r="D179" s="3" t="inlineStr">
        <is>
          <t>When you remove outliers from the dataset before analyzing patterns, it's a combination of both abstraction and pattern recognition.</t>
        </is>
      </c>
      <c r="E179" t="inlineStr">
        <is>
          <t>TIDAK (tidak didukung)</t>
        </is>
      </c>
    </row>
    <row r="180">
      <c r="A180" t="n">
        <v>15</v>
      </c>
      <c r="B180" t="inlineStr">
        <is>
          <t>B</t>
        </is>
      </c>
      <c r="C180" t="n">
        <v>6</v>
      </c>
      <c r="D180" s="3" t="inlineStr">
        <is>
          <t>By removing the outliers, you're abstracting away from the noise and focusing on the underlying patterns in the remaining data.</t>
        </is>
      </c>
      <c r="E180" t="inlineStr">
        <is>
          <t>YA (didukung konteks)</t>
        </is>
      </c>
    </row>
    <row r="181">
      <c r="A181" t="n">
        <v>16</v>
      </c>
      <c r="B181" t="inlineStr">
        <is>
          <t>A</t>
        </is>
      </c>
      <c r="C181" t="n">
        <v>1</v>
      </c>
      <c r="D181" s="3" t="inlineStr">
        <is>
          <t>Jika kita berhenti pada bebek ke-32, maka jumlah coklat yang terbagikan menjadi 32(32+1)/2 = 528, yang melebihi batas total coklat 500.</t>
        </is>
      </c>
      <c r="E181" t="inlineStr">
        <is>
          <t>YA (didukung konteks)</t>
        </is>
      </c>
    </row>
    <row r="182">
      <c r="A182" t="n">
        <v>16</v>
      </c>
      <c r="B182" t="inlineStr">
        <is>
          <t>A</t>
        </is>
      </c>
      <c r="C182" t="n">
        <v>2</v>
      </c>
      <c r="D182" s="3" t="inlineStr">
        <is>
          <t>Dengan demikian, jika total coklat 500, maka kita dapat mencari nilai n yang memenuhi persamaan di atas.</t>
        </is>
      </c>
      <c r="E182" t="inlineStr">
        <is>
          <t>YA (didukung konteks)</t>
        </is>
      </c>
    </row>
    <row r="183">
      <c r="A183" t="n">
        <v>16</v>
      </c>
      <c r="B183" t="inlineStr">
        <is>
          <t>A</t>
        </is>
      </c>
      <c r="C183" t="n">
        <v>3</v>
      </c>
      <c r="D183" s="3" t="inlineStr">
        <is>
          <t>Namun, jika kita lanjutkan ke bebek ke-31, maka jumlah coklat yang terbagikan menjadi 31(31+1)/2 = 496.</t>
        </is>
      </c>
      <c r="E183" t="inlineStr">
        <is>
          <t>YA (didukung konteks)</t>
        </is>
      </c>
    </row>
    <row r="184">
      <c r="A184" t="n">
        <v>16</v>
      </c>
      <c r="B184" t="inlineStr">
        <is>
          <t>A</t>
        </is>
      </c>
      <c r="C184" t="n">
        <v>4</v>
      </c>
      <c r="D184" s="3" t="inlineStr">
        <is>
          <t>Jika kita berhenti pada bebek ke-30, maka jumlah coklat yang terbagikan adalah 30(30+1)/2 = 465.</t>
        </is>
      </c>
      <c r="E184" t="inlineStr">
        <is>
          <t>YA (didukung konteks)</t>
        </is>
      </c>
    </row>
    <row r="185">
      <c r="A185" t="n">
        <v>16</v>
      </c>
      <c r="B185" t="inlineStr">
        <is>
          <t>A</t>
        </is>
      </c>
      <c r="C185" t="n">
        <v>5</v>
      </c>
      <c r="D185" s="3" t="inlineStr">
        <is>
          <t>Bapak, saya akan menjelaskan soal coklat bebek dengan menggunakan pola deret segitiga.</t>
        </is>
      </c>
      <c r="E185" t="inlineStr">
        <is>
          <t>YA (didukung konteks)</t>
        </is>
      </c>
    </row>
    <row r="186">
      <c r="A186" t="n">
        <v>16</v>
      </c>
      <c r="B186" t="inlineStr">
        <is>
          <t>A</t>
        </is>
      </c>
      <c r="C186" t="n">
        <v>6</v>
      </c>
      <c r="D186" s="3" t="inlineStr">
        <is>
          <t>Tujuan adalah menemukan bebek nomor berapa yang pertama kali tidak mendapat coklat.</t>
        </is>
      </c>
      <c r="E186" t="inlineStr">
        <is>
          <t>YA (didukung konteks)</t>
        </is>
      </c>
    </row>
    <row r="187">
      <c r="A187" t="n">
        <v>16</v>
      </c>
      <c r="B187" t="inlineStr">
        <is>
          <t>B</t>
        </is>
      </c>
      <c r="C187" t="n">
        <v>1</v>
      </c>
      <c r="D187" s="3" t="inlineStr">
        <is>
          <t>Tidak perlu menghitung manual, karena kita dapat menggunakan rumus matematika untuk menyelesaikan masalah ini!</t>
        </is>
      </c>
      <c r="E187" t="inlineStr">
        <is>
          <t>YA (didukung konteks)</t>
        </is>
      </c>
    </row>
    <row r="188">
      <c r="A188" t="n">
        <v>16</v>
      </c>
      <c r="B188" t="inlineStr">
        <is>
          <t>B</t>
        </is>
      </c>
      <c r="C188" t="n">
        <v>2</v>
      </c>
      <c r="D188" s="3" t="inlineStr">
        <is>
          <t>Namun, perlu diingat bahwa rumus di atas hanya berlaku jika distribusi coklat secara acak dan independen.</t>
        </is>
      </c>
      <c r="E188" t="inlineStr">
        <is>
          <t>YA (didukung konteks)</t>
        </is>
      </c>
    </row>
    <row r="189">
      <c r="A189" t="n">
        <v>16</v>
      </c>
      <c r="B189" t="inlineStr">
        <is>
          <t>B</t>
        </is>
      </c>
      <c r="C189" t="n">
        <v>3</v>
      </c>
      <c r="D189" s="3" t="inlineStr">
        <is>
          <t>Hal ini berarti bahwa bebek ke-25 adalah yang pertama kali tidak mendapat coklat.</t>
        </is>
      </c>
      <c r="E189" t="inlineStr">
        <is>
          <t>TIDAK (tidak didukung)</t>
        </is>
      </c>
    </row>
    <row r="190">
      <c r="A190" t="n">
        <v>16</v>
      </c>
      <c r="B190" t="inlineStr">
        <is>
          <t>B</t>
        </is>
      </c>
      <c r="C190" t="n">
        <v>4</v>
      </c>
      <c r="D190" s="3" t="inlineStr">
        <is>
          <t>Jumlah bebek yang mendapat coklat adalah n, dan total coklat adalah 500 buah.</t>
        </is>
      </c>
      <c r="E190" t="inlineStr">
        <is>
          <t>YA (didukung konteks)</t>
        </is>
      </c>
    </row>
    <row r="191">
      <c r="A191" t="n">
        <v>16</v>
      </c>
      <c r="B191" t="inlineStr">
        <is>
          <t>B</t>
        </is>
      </c>
      <c r="C191" t="n">
        <v>5</v>
      </c>
      <c r="D191" s="3" t="inlineStr">
        <is>
          <t>Karena itulah, kita dapat menggunakan rumus penyelesaian untuk masalah ini:</t>
        </is>
      </c>
      <c r="E191" t="inlineStr">
        <is>
          <t>YA (didukung konteks)</t>
        </is>
      </c>
    </row>
    <row r="192">
      <c r="A192" t="n">
        <v>16</v>
      </c>
      <c r="B192" t="inlineStr">
        <is>
          <t>B</t>
        </is>
      </c>
      <c r="C192" t="n">
        <v>6</v>
      </c>
      <c r="D192" s="3" t="inlineStr">
        <is>
          <t>Jika terdapat keterbatasan lainnya, maka perlu diolah ulang masalah ini.</t>
        </is>
      </c>
      <c r="E192" t="inlineStr">
        <is>
          <t>YA (didukung konteks)</t>
        </is>
      </c>
    </row>
    <row r="193">
      <c r="A193" t="n">
        <v>17</v>
      </c>
      <c r="B193" t="inlineStr">
        <is>
          <t>A</t>
        </is>
      </c>
      <c r="C193" t="n">
        <v>1</v>
      </c>
      <c r="D193" s="3" t="inlineStr">
        <is>
          <t>Kita dapat menggunakan pola pengulangan yang ditemukan dalam materi referensi, yaitu: jika N mod 4 = 1 maka digit terakhir 2; jika N mod 4 = 2 maka digit terakhir 4; jika N mod 4 = 3 maka digit terakhir 8; dan jika N mod</t>
        </is>
      </c>
      <c r="E193" t="inlineStr">
        <is>
          <t>YA (didukung konteks)</t>
        </is>
      </c>
    </row>
    <row r="194">
      <c r="A194" t="n">
        <v>17</v>
      </c>
      <c r="B194" t="inlineStr">
        <is>
          <t>A</t>
        </is>
      </c>
      <c r="C194" t="n">
        <v>2</v>
      </c>
      <c r="D194" s="3" t="inlineStr">
        <is>
          <t>Dalam konsep pattern recognition, kita mempelajari pola-pola yang terjadi dalam data dan menggunakan pengetahuan tersebut untuk membuat prediksi atau membuat keputusan.</t>
        </is>
      </c>
      <c r="E194" t="inlineStr">
        <is>
          <t>YA (didukung konteks)</t>
        </is>
      </c>
    </row>
    <row r="195">
      <c r="A195" t="n">
        <v>17</v>
      </c>
      <c r="B195" t="inlineStr">
        <is>
          <t>A</t>
        </is>
      </c>
      <c r="C195" t="n">
        <v>3</v>
      </c>
      <c r="D195" s="3" t="inlineStr">
        <is>
          <t>Dalam kasus ini, pola pengulangan digunakan untuk menemukan digit terakhir dari 2 pangkat 2003 tanpa perlu menghitung nilai 2^2003 secara langsung.</t>
        </is>
      </c>
      <c r="E195" t="inlineStr">
        <is>
          <t>YA (didukung konteks)</t>
        </is>
      </c>
    </row>
    <row r="196">
      <c r="A196" t="n">
        <v>17</v>
      </c>
      <c r="B196" t="inlineStr">
        <is>
          <t>A</t>
        </is>
      </c>
      <c r="C196" t="n">
        <v>4</v>
      </c>
      <c r="D196" s="3" t="inlineStr">
        <is>
          <t>Dengan menggunakan pola pengulangan ini, kita tidak perlu menghitung nilai 2^2003 secara langsung.</t>
        </is>
      </c>
      <c r="E196" t="inlineStr">
        <is>
          <t>YA (didukung konteks)</t>
        </is>
      </c>
    </row>
    <row r="197">
      <c r="A197" t="n">
        <v>17</v>
      </c>
      <c r="B197" t="inlineStr">
        <is>
          <t>A</t>
        </is>
      </c>
      <c r="C197" t="n">
        <v>5</v>
      </c>
      <c r="D197" s="3" t="inlineStr">
        <is>
          <t>Pola pengulangan juga membantu kita untuk menemukan solusi yang efisien dan akurat.</t>
        </is>
      </c>
      <c r="E197" t="inlineStr">
        <is>
          <t>YA (didukung konteks)</t>
        </is>
      </c>
    </row>
    <row r="198">
      <c r="A198" t="n">
        <v>17</v>
      </c>
      <c r="B198" t="inlineStr">
        <is>
          <t>A</t>
        </is>
      </c>
      <c r="C198" t="n">
        <v>6</v>
      </c>
      <c r="D198" s="3" t="inlineStr">
        <is>
          <t>Dalam soal ini, kita diminta untuk menentukan digit terakhir dari 2 pangkat 2003.</t>
        </is>
      </c>
      <c r="E198" t="inlineStr">
        <is>
          <t>YA (didukung konteks)</t>
        </is>
      </c>
    </row>
    <row r="199">
      <c r="A199" t="n">
        <v>17</v>
      </c>
      <c r="B199" t="inlineStr">
        <is>
          <t>B</t>
        </is>
      </c>
      <c r="C199" t="n">
        <v>1</v>
      </c>
      <c r="D199" s="3" t="inlineStr">
        <is>
          <t>Berdasarkan langkah-langkah di atas, kita dapat menentukan bahwa digit terakhir dari 2 pangkat 2003 adalah hasil kali digit terakhir dari 2^332 dengan 4, yaitu 8 × 4 = 32.</t>
        </is>
      </c>
      <c r="E199" t="inlineStr">
        <is>
          <t>TIDAK (tidak didukung)</t>
        </is>
      </c>
    </row>
    <row r="200">
      <c r="A200" t="n">
        <v>17</v>
      </c>
      <c r="B200" t="inlineStr">
        <is>
          <t>B</t>
        </is>
      </c>
      <c r="C200" t="n">
        <v>2</v>
      </c>
      <c r="D200" s="3" t="inlineStr">
        <is>
          <t>Kita juga perlu mengetahui bahwa jika kita memiliki 2 pangkat yang berbeda dengan perbedaan hanya satu unit, maka digit terakhir akan meningkat sebesar 1.</t>
        </is>
      </c>
      <c r="E200" t="inlineStr">
        <is>
          <t>YA (didukung konteks)</t>
        </is>
      </c>
    </row>
    <row r="201">
      <c r="A201" t="n">
        <v>17</v>
      </c>
      <c r="B201" t="inlineStr">
        <is>
          <t>B</t>
        </is>
      </c>
      <c r="C201" t="n">
        <v>3</v>
      </c>
      <c r="D201" s="3" t="inlineStr">
        <is>
          <t>Jadi, kita dapat melihat bahwa digit terakhir dari 2 pangkat yang berikut akan meningkat sebesar 1 untuk setiap perubahan yang terjadi dalam eksponen.</t>
        </is>
      </c>
      <c r="E201" t="inlineStr">
        <is>
          <t>TIDAK (tidak didukung)</t>
        </is>
      </c>
    </row>
    <row r="202">
      <c r="A202" t="n">
        <v>17</v>
      </c>
      <c r="B202" t="inlineStr">
        <is>
          <t>B</t>
        </is>
      </c>
      <c r="C202" t="n">
        <v>4</v>
      </c>
      <c r="D202" s="3" t="inlineStr">
        <is>
          <t>Kita tahu bahwa digit terakhir dari 2 pangkat yang berikut akan meningkat sebesar 1 untuk setiap perubahan yang terjadi dalam eksponen.</t>
        </is>
      </c>
      <c r="E202" t="inlineStr">
        <is>
          <t>TIDAK (tidak didukung)</t>
        </is>
      </c>
    </row>
    <row r="203">
      <c r="A203" t="n">
        <v>17</v>
      </c>
      <c r="B203" t="inlineStr">
        <is>
          <t>B</t>
        </is>
      </c>
      <c r="C203" t="n">
        <v>5</v>
      </c>
      <c r="D203" s="3" t="inlineStr">
        <is>
          <t>Kita lihat bahwa 1001 = 3 × 333 + 2, maka kita dapat melihat bahwa 2^1001 adalah hasil kali 2 dengan 2^332 dan 2^2 (karena 2^2 = 4).</t>
        </is>
      </c>
      <c r="E203" t="inlineStr">
        <is>
          <t>YA (didukung konteks)</t>
        </is>
      </c>
    </row>
    <row r="204">
      <c r="A204" t="n">
        <v>17</v>
      </c>
      <c r="B204" t="inlineStr">
        <is>
          <t>B</t>
        </is>
      </c>
      <c r="C204" t="n">
        <v>6</v>
      </c>
      <c r="D204" s="3" t="inlineStr">
        <is>
          <t>Jadi, kita dapat melihat bahwa digit terakhir dari 2^332 adalah 8 (karena 2^3 = 8) dan digit terakhir dari 2^2 adalah 4.</t>
        </is>
      </c>
      <c r="E204" t="inlineStr">
        <is>
          <t>YA (didukung konteks)</t>
        </is>
      </c>
    </row>
    <row r="205">
      <c r="A205" t="n">
        <v>18</v>
      </c>
      <c r="B205" t="inlineStr">
        <is>
          <t>A</t>
        </is>
      </c>
      <c r="C205" t="n">
        <v>1</v>
      </c>
      <c r="D205" s="3" t="inlineStr">
        <is>
          <t>In contrast, CT's pattern recognition focuses on developing students' ability to recognize and understand patterns through visual representations, abstract thinking, and logical reasoning.</t>
        </is>
      </c>
      <c r="E205" t="inlineStr">
        <is>
          <t>YA (didukung konteks)</t>
        </is>
      </c>
    </row>
    <row r="206">
      <c r="A206" t="n">
        <v>18</v>
      </c>
      <c r="B206" t="inlineStr">
        <is>
          <t>A</t>
        </is>
      </c>
      <c r="C206" t="n">
        <v>2</v>
      </c>
      <c r="D206" s="3" t="inlineStr">
        <is>
          <t>In the context of CT, pattern recognition is a fundamental skill that enables individuals to analyze complex problems, identify relevant information, and develop creative solutions.</t>
        </is>
      </c>
      <c r="E206" t="inlineStr">
        <is>
          <t>YA (didukung konteks)</t>
        </is>
      </c>
    </row>
    <row r="207">
      <c r="A207" t="n">
        <v>18</v>
      </c>
      <c r="B207" t="inlineStr">
        <is>
          <t>A</t>
        </is>
      </c>
      <c r="C207" t="n">
        <v>3</v>
      </c>
      <c r="D207" s="3" t="inlineStr">
        <is>
          <t>So, in short, while both machine learning pattern recognition and CT's pattern recognition involve identifying patterns, they differ in scope, methodology, and application.</t>
        </is>
      </c>
      <c r="E207" t="inlineStr">
        <is>
          <t>YA (didukung konteks)</t>
        </is>
      </c>
    </row>
    <row r="208">
      <c r="A208" t="n">
        <v>18</v>
      </c>
      <c r="B208" t="inlineStr">
        <is>
          <t>A</t>
        </is>
      </c>
      <c r="C208" t="n">
        <v>4</v>
      </c>
      <c r="D208" s="3" t="inlineStr">
        <is>
          <t>Machine learning pattern recognition typically involves more advanced techniques, such as neural networks or decision trees, to recognize patterns in data.</t>
        </is>
      </c>
      <c r="E208" t="inlineStr">
        <is>
          <t>YA (didukung konteks)</t>
        </is>
      </c>
    </row>
    <row r="209">
      <c r="A209" t="n">
        <v>18</v>
      </c>
      <c r="B209" t="inlineStr">
        <is>
          <t>A</t>
        </is>
      </c>
      <c r="C209" t="n">
        <v>5</v>
      </c>
      <c r="D209" s="3" t="inlineStr">
        <is>
          <t>In CT, pattern recognition refers to the ability to identify and classify patterns, trends, or relationships within a dataset, regardless of its format.</t>
        </is>
      </c>
      <c r="E209" t="inlineStr">
        <is>
          <t>YA (didukung konteks)</t>
        </is>
      </c>
    </row>
    <row r="210">
      <c r="A210" t="n">
        <v>18</v>
      </c>
      <c r="B210" t="inlineStr">
        <is>
          <t>A</t>
        </is>
      </c>
      <c r="C210" t="n">
        <v>6</v>
      </c>
      <c r="D210" s="3" t="inlineStr">
        <is>
          <t>By recognizing patterns, students can make informed decisions, simplify complex systems, and improve their problem-solving skills.</t>
        </is>
      </c>
      <c r="E210" t="inlineStr">
        <is>
          <t>YA (didukung konteks)</t>
        </is>
      </c>
    </row>
    <row r="211">
      <c r="A211" t="n">
        <v>18</v>
      </c>
      <c r="B211" t="inlineStr">
        <is>
          <t>B</t>
        </is>
      </c>
      <c r="C211" t="n">
        <v>1</v>
      </c>
      <c r="D211" s="3" t="inlineStr">
        <is>
          <t>Algoritma: CT menggunakan algoritma analisis visual atau statistik sederhana, seperti thresholding atau filtering, sedangkan Machine Learning menggunakan algoritma kompleks seperti neural networks atau decision trees.</t>
        </is>
      </c>
      <c r="E211" t="inlineStr">
        <is>
          <t>YA (didukung konteks)</t>
        </is>
      </c>
    </row>
    <row r="212">
      <c r="A212" t="n">
        <v>18</v>
      </c>
      <c r="B212" t="inlineStr">
        <is>
          <t>B</t>
        </is>
      </c>
      <c r="C212" t="n">
        <v>2</v>
      </c>
      <c r="D212" s="3" t="inlineStr">
        <is>
          <t>Tujuan: CT biasanya digunakan untuk mengklasifikasikan objek atau mendeteksi patologi, sedangkan Machine Learning digunakan untuk membuat model yang dapat memprediksi perilaku atau hasil.</t>
        </is>
      </c>
      <c r="E212" t="inlineStr">
        <is>
          <t>YA (didukung konteks)</t>
        </is>
      </c>
    </row>
    <row r="213">
      <c r="A213" t="n">
        <v>18</v>
      </c>
      <c r="B213" t="inlineStr">
        <is>
          <t>B</t>
        </is>
      </c>
      <c r="C213" t="n">
        <v>3</v>
      </c>
      <c r="D213" s="3" t="inlineStr">
        <is>
          <t>Pada CT, pattern recognition biasanya berupa proses analisis visual atau statistik untuk mengidentifikasi pola-pola dalam data dua-dimensional seperti gambar, citra, atau grafik.</t>
        </is>
      </c>
      <c r="E213" t="inlineStr">
        <is>
          <t>YA (didukung konteks)</t>
        </is>
      </c>
    </row>
    <row r="214">
      <c r="A214" t="n">
        <v>18</v>
      </c>
      <c r="B214" t="inlineStr">
        <is>
          <t>B</t>
        </is>
      </c>
      <c r="C214" t="n">
        <v>4</v>
      </c>
      <c r="D214" s="3" t="inlineStr">
        <is>
          <t>Di sisi lain, Machine Learning pattern recognition lebih berfokus pada pengenalan pola-pola dalam data yang kompleks dan tidak terstruktur, seperti teks, suara, atau video.</t>
        </is>
      </c>
      <c r="E214" t="inlineStr">
        <is>
          <t>YA (didukung konteks)</t>
        </is>
      </c>
    </row>
    <row r="215">
      <c r="A215" t="n">
        <v>18</v>
      </c>
      <c r="B215" t="inlineStr">
        <is>
          <t>B</t>
        </is>
      </c>
      <c r="C215" t="n">
        <v>5</v>
      </c>
      <c r="D215" s="3" t="inlineStr">
        <is>
          <t>Pattern recognition pada Computer Tomography (CT) tidak sepenuhnya sama dengan Machine Learning pattern recognition, meskipun keduanya berfokus pada pengenalan pola.</t>
        </is>
      </c>
      <c r="E215" t="inlineStr">
        <is>
          <t>YA (didukung konteks)</t>
        </is>
      </c>
    </row>
    <row r="216">
      <c r="A216" t="n">
        <v>18</v>
      </c>
      <c r="B216" t="inlineStr">
        <is>
          <t>B</t>
        </is>
      </c>
      <c r="C216" t="n">
        <v>6</v>
      </c>
      <c r="D216" s="3" t="inlineStr">
        <is>
          <t>Data input: CT menggunakan data dua-dimensional seperti gambar, sementara Machine Learning dapat menggunakan data satu-dimensional seperti teks atau suara.</t>
        </is>
      </c>
      <c r="E216" t="inlineStr">
        <is>
          <t>YA (didukung konteks)</t>
        </is>
      </c>
    </row>
    <row r="217">
      <c r="A217" t="n">
        <v>19</v>
      </c>
      <c r="B217" t="inlineStr">
        <is>
          <t>A</t>
        </is>
      </c>
      <c r="C217" t="n">
        <v>1</v>
      </c>
      <c r="D217" s="3" t="inlineStr">
        <is>
          <t>Langkah sistematis yang dapat diambil adalah sebagai berikut: (1) list semua data absensi, (2) tentukan prioritas, (3) bagi total jam belajar, (4) tempatkan di slot waktu, dan (5) verifikasi.</t>
        </is>
      </c>
      <c r="E217" t="inlineStr">
        <is>
          <t>YA (didukung konteks)</t>
        </is>
      </c>
    </row>
    <row r="218">
      <c r="A218" t="n">
        <v>19</v>
      </c>
      <c r="B218" t="inlineStr">
        <is>
          <t>A</t>
        </is>
      </c>
      <c r="C218" t="n">
        <v>2</v>
      </c>
      <c r="D218" s="3" t="inlineStr">
        <is>
          <t>Jadi, dengan menggunakan kemampuan Pattern Recognition dan Algorithm, Anda dapat memvalidasi pola absensi yang Anda temukan dan mengetahui apakah itu bukan kebetulan.</t>
        </is>
      </c>
      <c r="E218" t="inlineStr">
        <is>
          <t>YA (didukung konteks)</t>
        </is>
      </c>
    </row>
    <row r="219">
      <c r="A219" t="n">
        <v>19</v>
      </c>
      <c r="B219" t="inlineStr">
        <is>
          <t>A</t>
        </is>
      </c>
      <c r="C219" t="n">
        <v>3</v>
      </c>
      <c r="D219" s="3" t="inlineStr">
        <is>
          <t>Anda dapat mengidentifikasi pola dengan menggunakan kemampuan pattern recognition, yaitu memprediksi atau memperoleh cara cepat dalam memandang suatu persoalan.</t>
        </is>
      </c>
      <c r="E219" t="inlineStr">
        <is>
          <t>YA (didukung konteks)</t>
        </is>
      </c>
    </row>
    <row r="220">
      <c r="A220" t="n">
        <v>19</v>
      </c>
      <c r="B220" t="inlineStr">
        <is>
          <t>A</t>
        </is>
      </c>
      <c r="C220" t="n">
        <v>4</v>
      </c>
      <c r="D220" s="3" t="inlineStr">
        <is>
          <t>Dalam contoh Anda, Anda dapat menggunakan Tabel Kebenaran OR dari materi referensi [GT_DETAIL_PT09_Variabel_TipeData_Operator_List.txt] untuk memvalidasi pola.</t>
        </is>
      </c>
      <c r="E220" t="inlineStr">
        <is>
          <t>YA (didukung konteks)</t>
        </is>
      </c>
    </row>
    <row r="221">
      <c r="A221" t="n">
        <v>19</v>
      </c>
      <c r="B221" t="inlineStr">
        <is>
          <t>A</t>
        </is>
      </c>
      <c r="C221" t="n">
        <v>5</v>
      </c>
      <c r="D221" s="3" t="inlineStr">
        <is>
          <t>Misalnya, Anda dapat membuat tabel kebenaran OR untuk mengetahui apakah nilai absensi turun setiap minggu ke-5 masih tetap benar atau tidak.</t>
        </is>
      </c>
      <c r="E221" t="inlineStr">
        <is>
          <t>YA (didukung konteks)</t>
        </is>
      </c>
    </row>
    <row r="222">
      <c r="A222" t="n">
        <v>19</v>
      </c>
      <c r="B222" t="inlineStr">
        <is>
          <t>A</t>
        </is>
      </c>
      <c r="C222" t="n">
        <v>6</v>
      </c>
      <c r="D222" s="3" t="inlineStr">
        <is>
          <t>Saya senang membantu Anda memahami konsep Computational Thinking (CT) untuk memvalidasi pola absensi yang Anda temukan.</t>
        </is>
      </c>
      <c r="E222" t="inlineStr">
        <is>
          <t>YA (didukung konteks)</t>
        </is>
      </c>
    </row>
    <row r="223">
      <c r="A223" t="n">
        <v>19</v>
      </c>
      <c r="B223" t="inlineStr">
        <is>
          <t>B</t>
        </is>
      </c>
      <c r="C223" t="n">
        <v>1</v>
      </c>
      <c r="D223" s="3" t="inlineStr">
        <is>
          <t>Misalnya, Anda dapat menggunakan metode ARIMA (AutoRegressive Integrated Moving Average) atau Exponential Smoothing (ETS) untuk memprediksi nilai berikutnya dan menentukan seberapa besar deviasi dari prediksi.</t>
        </is>
      </c>
      <c r="E223" t="inlineStr">
        <is>
          <t>YA (didukung konteks)</t>
        </is>
      </c>
    </row>
    <row r="224">
      <c r="A224" t="n">
        <v>19</v>
      </c>
      <c r="B224" t="inlineStr">
        <is>
          <t>B</t>
        </is>
      </c>
      <c r="C224" t="n">
        <v>2</v>
      </c>
      <c r="D224" s="3" t="inlineStr">
        <is>
          <t>Misalnya, Anda dapat menggunakan plot residuals versus fitted values atau Q-Q plot untuk memeriksa apakah residuals memiliki distribusi yang sesuai dengan hipotesis.</t>
        </is>
      </c>
      <c r="E224" t="inlineStr">
        <is>
          <t>TIDAK (tidak didukung)</t>
        </is>
      </c>
    </row>
    <row r="225">
      <c r="A225" t="n">
        <v>19</v>
      </c>
      <c r="B225" t="inlineStr">
        <is>
          <t>B</t>
        </is>
      </c>
      <c r="C225" t="n">
        <v>3</v>
      </c>
      <c r="D225" s="3" t="inlineStr">
        <is>
          <t>**Time Series Analysis**: Anda dapat melakukan analisis time series untuk mengetahui apakah pola turun nilai tersebut sesuai dengan pengamatan data yang dilakukan.</t>
        </is>
      </c>
      <c r="E225" t="inlineStr">
        <is>
          <t>YA (didukung konteks)</t>
        </is>
      </c>
    </row>
    <row r="226">
      <c r="A226" t="n">
        <v>19</v>
      </c>
      <c r="B226" t="inlineStr">
        <is>
          <t>B</t>
        </is>
      </c>
      <c r="C226" t="n">
        <v>4</v>
      </c>
      <c r="D226" s="3" t="inlineStr">
        <is>
          <t>Misalnya, Anda dapat menggunakan uji t-test atau Wilcoxon signed-rank test untuk membandingkan rata-rata nilai minggu ke-5 dengan nilai minggu lainnya.</t>
        </is>
      </c>
      <c r="E226" t="inlineStr">
        <is>
          <t>TIDAK (tidak didukung)</t>
        </is>
      </c>
    </row>
    <row r="227">
      <c r="A227" t="n">
        <v>19</v>
      </c>
      <c r="B227" t="inlineStr">
        <is>
          <t>B</t>
        </is>
      </c>
      <c r="C227" t="n">
        <v>5</v>
      </c>
      <c r="D227" s="3" t="inlineStr">
        <is>
          <t>Dalam praktiknya, Anda dapat mengkombinasikan beberapa cara di atas untuk meningkatkan kepastian bahwa pola turun nilai tersebut bukan hanya kebetulan.</t>
        </is>
      </c>
      <c r="E227" t="inlineStr">
        <is>
          <t>YA (didukung konteks)</t>
        </is>
      </c>
    </row>
    <row r="228">
      <c r="A228" t="n">
        <v>19</v>
      </c>
      <c r="B228" t="inlineStr">
        <is>
          <t>B</t>
        </is>
      </c>
      <c r="C228" t="n">
        <v>6</v>
      </c>
      <c r="D228" s="3" t="inlineStr">
        <is>
          <t>Misalnya, Anda dapat menggunakan 10-fold cross-validation untuk membagi data menjadi 10 bagian dan melakukan analisis statistik pada setiap bagian.</t>
        </is>
      </c>
      <c r="E228" t="inlineStr">
        <is>
          <t>TIDAK (tidak didukung)</t>
        </is>
      </c>
    </row>
    <row r="229">
      <c r="A229" t="n">
        <v>20</v>
      </c>
      <c r="B229" t="inlineStr">
        <is>
          <t>A</t>
        </is>
      </c>
      <c r="C229" t="n">
        <v>1</v>
      </c>
      <c r="D229" s="3" t="inlineStr">
        <is>
          <t>Based on the provided material references and the level of cognitive thinking required for this task (Level 3 Menengah / Teoritis / Global / Reflektif), I will provide an explanation that is concise, accurate, and releva</t>
        </is>
      </c>
      <c r="E229" t="inlineStr">
        <is>
          <t>YA (didukung konteks)</t>
        </is>
      </c>
    </row>
    <row r="230">
      <c r="A230" t="n">
        <v>20</v>
      </c>
      <c r="B230" t="inlineStr">
        <is>
          <t>A</t>
        </is>
      </c>
      <c r="C230" t="n">
        <v>2</v>
      </c>
      <c r="D230" s="3" t="inlineStr">
        <is>
          <t>However, since this sequence appears to be starting from 3, we can set up an equation using the first two terms:</t>
        </is>
      </c>
      <c r="E230" t="inlineStr">
        <is>
          <t>YA (didukung konteks)</t>
        </is>
      </c>
    </row>
    <row r="231">
      <c r="A231" t="n">
        <v>20</v>
      </c>
      <c r="B231" t="inlineStr">
        <is>
          <t>A</t>
        </is>
      </c>
      <c r="C231" t="n">
        <v>3</v>
      </c>
      <c r="D231" s="3" t="inlineStr">
        <is>
          <t>Therefore, we can identify this as a geometric progression with a common ratio (r) of 2.</t>
        </is>
      </c>
      <c r="E231" t="inlineStr">
        <is>
          <t>YA (didukung konteks)</t>
        </is>
      </c>
    </row>
    <row r="232">
      <c r="A232" t="n">
        <v>20</v>
      </c>
      <c r="B232" t="inlineStr">
        <is>
          <t>A</t>
        </is>
      </c>
      <c r="C232" t="n">
        <v>4</v>
      </c>
      <c r="D232" s="3" t="inlineStr">
        <is>
          <t>Since the first term (a) is not given, we need to find it by solving the equation for a.</t>
        </is>
      </c>
      <c r="E232" t="inlineStr">
        <is>
          <t>YA (didukung konteks)</t>
        </is>
      </c>
    </row>
    <row r="233">
      <c r="A233" t="n">
        <v>20</v>
      </c>
      <c r="B233" t="inlineStr">
        <is>
          <t>A</t>
        </is>
      </c>
      <c r="C233" t="n">
        <v>5</v>
      </c>
      <c r="D233" s="3" t="inlineStr">
        <is>
          <t>Now that we have found 'r', we can use the formula above to calculate the 10th term:</t>
        </is>
      </c>
      <c r="E233" t="inlineStr">
        <is>
          <t>YA (didukung konteks)</t>
        </is>
      </c>
    </row>
    <row r="234">
      <c r="A234" t="n">
        <v>20</v>
      </c>
      <c r="B234" t="inlineStr">
        <is>
          <t>A</t>
        </is>
      </c>
      <c r="C234" t="n">
        <v>6</v>
      </c>
      <c r="D234" s="3" t="inlineStr">
        <is>
          <t>This appears to be a sequence of numbers that increases by a factor of 2 each time.</t>
        </is>
      </c>
      <c r="E234" t="inlineStr">
        <is>
          <t>YA (didukung konteks)</t>
        </is>
      </c>
    </row>
    <row r="235">
      <c r="A235" t="n">
        <v>20</v>
      </c>
      <c r="B235" t="inlineStr">
        <is>
          <t>B</t>
        </is>
      </c>
      <c r="C235" t="n">
        <v>1</v>
      </c>
      <c r="D235" s="3" t="inlineStr">
        <is>
          <t>Rumus suku ke-n pada deret geometric adalah rn = a × r^(n-1), di mana a adalah suku pertama dan r adalah koefisien pangkat.</t>
        </is>
      </c>
      <c r="E235" t="inlineStr">
        <is>
          <t>YA (didukung konteks)</t>
        </is>
      </c>
    </row>
    <row r="236">
      <c r="A236" t="n">
        <v>20</v>
      </c>
      <c r="B236" t="inlineStr">
        <is>
          <t>B</t>
        </is>
      </c>
      <c r="C236" t="n">
        <v>2</v>
      </c>
      <c r="D236" s="3" t="inlineStr">
        <is>
          <t>Suku-suku berikutnya diperoleh dengan mengalikan 2 pada suku sebelumnya, karena faktor pangkat adalah 2 (r = 2).</t>
        </is>
      </c>
      <c r="E236" t="inlineStr">
        <is>
          <t>YA (didukung konteks)</t>
        </is>
      </c>
    </row>
    <row r="237">
      <c r="A237" t="n">
        <v>20</v>
      </c>
      <c r="B237" t="inlineStr">
        <is>
          <t>B</t>
        </is>
      </c>
      <c r="C237" t="n">
        <v>3</v>
      </c>
      <c r="D237" s="3" t="inlineStr">
        <is>
          <t>Diberikan barisan 3, 6, 12, 24, 48, maka jenis deretnya adalah deret bilangan ganda (deret geometric).</t>
        </is>
      </c>
      <c r="E237" t="inlineStr">
        <is>
          <t>YA (didukung konteks)</t>
        </is>
      </c>
    </row>
    <row r="238">
      <c r="A238" t="n">
        <v>20</v>
      </c>
      <c r="B238" t="inlineStr">
        <is>
          <t>B</t>
        </is>
      </c>
      <c r="C238" t="n">
        <v>4</v>
      </c>
      <c r="D238" s="3" t="inlineStr">
        <is>
          <t>Dalam kasus ini, suku pertama adalah 3, sehingga a = 3.</t>
        </is>
      </c>
      <c r="E238" t="inlineStr">
        <is>
          <t>YA (didukung konteks)</t>
        </is>
      </c>
    </row>
    <row r="239">
      <c r="A239" t="n">
        <v>20</v>
      </c>
      <c r="B239" t="inlineStr">
        <is>
          <t>B</t>
        </is>
      </c>
      <c r="C239" t="n">
        <v>5</v>
      </c>
      <c r="D239" s="3" t="inlineStr">
        <is>
          <t>Rumus suku ke-n dapat ditulis sebagai rn = 3 × 2^(n-1).</t>
        </is>
      </c>
      <c r="E239" t="inlineStr">
        <is>
          <t>YA (didukung konteks)</t>
        </is>
      </c>
    </row>
    <row r="240">
      <c r="A240" t="n">
        <v>20</v>
      </c>
      <c r="B240" t="inlineStr">
        <is>
          <t>B</t>
        </is>
      </c>
      <c r="C240" t="n">
        <v>6</v>
      </c>
      <c r="D240" s="3" t="inlineStr">
        <is>
          <t>Jadi, suku ke-10 dari deret tersebut adalah 1536.</t>
        </is>
      </c>
      <c r="E240" t="inlineStr">
        <is>
          <t>YA (didukung konteks)</t>
        </is>
      </c>
    </row>
    <row r="241">
      <c r="A241" t="n">
        <v>21</v>
      </c>
      <c r="B241" t="inlineStr">
        <is>
          <t>A</t>
        </is>
      </c>
      <c r="C241" t="n">
        <v>1</v>
      </c>
      <c r="D241" s="3" t="inlineStr">
        <is>
          <t>Pseudocode dan flowchart adalah dua bentuk representasi algoritme yang berbeda, tetapi keduanya memiliki tujuan yang sama, yaitu untuk mendapatkan ide secara cepat dan memudahkan pembacaan algoritme tanpa harus mengikuti</t>
        </is>
      </c>
      <c r="E241" t="inlineStr">
        <is>
          <t>YA (didukung konteks)</t>
        </is>
      </c>
    </row>
    <row r="242">
      <c r="A242" t="n">
        <v>21</v>
      </c>
      <c r="B242" t="inlineStr">
        <is>
          <t>A</t>
        </is>
      </c>
      <c r="C242" t="n">
        <v>2</v>
      </c>
      <c r="D242" s="3" t="inlineStr">
        <is>
          <t>Tujuan utama pseudocode adalah untuk mendapatkan ide secara cepat sekaligus memudahkan pembacaan algoritme tanpa harus mengikuti aturan grammar (sintaks) bahasa pemrograman yang ketat.</t>
        </is>
      </c>
      <c r="E242" t="inlineStr">
        <is>
          <t>YA (didukung konteks)</t>
        </is>
      </c>
    </row>
    <row r="243">
      <c r="A243" t="n">
        <v>21</v>
      </c>
      <c r="B243" t="inlineStr">
        <is>
          <t>A</t>
        </is>
      </c>
      <c r="C243" t="n">
        <v>3</v>
      </c>
      <c r="D243" s="3" t="inlineStr">
        <is>
          <t>Dalam beberapa hal, pseudocode lebih sesuai untuk pengembangan algoritme, karena dapat memberikan deskripsi yang lebih detail dan mudah dipahami.</t>
        </is>
      </c>
      <c r="E243" t="inlineStr">
        <is>
          <t>YA (didukung konteks)</t>
        </is>
      </c>
    </row>
    <row r="244">
      <c r="A244" t="n">
        <v>21</v>
      </c>
      <c r="B244" t="inlineStr">
        <is>
          <t>A</t>
        </is>
      </c>
      <c r="C244" t="n">
        <v>4</v>
      </c>
      <c r="D244" s="3" t="inlineStr">
        <is>
          <t>Sementara itu, flowchart lebih sesuai untuk visualisasi algoritme, karena dapat membantu dalam memvisualisasikan bagaimana algoritme berjalan.</t>
        </is>
      </c>
      <c r="E244" t="inlineStr">
        <is>
          <t>YA (didukung konteks)</t>
        </is>
      </c>
    </row>
    <row r="245">
      <c r="A245" t="n">
        <v>21</v>
      </c>
      <c r="B245" t="inlineStr">
        <is>
          <t>A</t>
        </is>
      </c>
      <c r="C245" t="n">
        <v>5</v>
      </c>
      <c r="D245" s="3" t="inlineStr">
        <is>
          <t>Namun, flowchart juga memiliki kelebihannya sendiri, seperti dapat membantu dalam memvisualisasikan bagaimana algoritme berjalan.</t>
        </is>
      </c>
      <c r="E245" t="inlineStr">
        <is>
          <t>YA (didukung konteks)</t>
        </is>
      </c>
    </row>
    <row r="246">
      <c r="A246" t="n">
        <v>21</v>
      </c>
      <c r="B246" t="inlineStr">
        <is>
          <t>A</t>
        </is>
      </c>
      <c r="C246" t="n">
        <v>6</v>
      </c>
      <c r="D246" s="3" t="inlineStr">
        <is>
          <t>Pseudocode tidak memiliki aturan penulisan yang baku, namun untuk mengurangi ambiguitas, dibuat konvensi-konvensi tertentu.</t>
        </is>
      </c>
      <c r="E246" t="inlineStr">
        <is>
          <t>YA (didukung konteks)</t>
        </is>
      </c>
    </row>
    <row r="247">
      <c r="A247" t="n">
        <v>21</v>
      </c>
      <c r="B247" t="inlineStr">
        <is>
          <t>B</t>
        </is>
      </c>
      <c r="C247" t="n">
        <v>1</v>
      </c>
      <c r="D247" s="3" t="inlineStr">
        <is>
          <t>Pseudocode lebih cocok jika Anda ingin menjelaskan bagaimana algoritme bekerja tanpa perlu memperhatikan detail-detail teknis, sedangkan flowchart lebih cocok jika Anda ingin menggambarkan struktur logika algoritme secar</t>
        </is>
      </c>
      <c r="E247" t="inlineStr">
        <is>
          <t>YA (didukung konteks)</t>
        </is>
      </c>
    </row>
    <row r="248">
      <c r="A248" t="n">
        <v>21</v>
      </c>
      <c r="B248" t="inlineStr">
        <is>
          <t>B</t>
        </is>
      </c>
      <c r="C248" t="n">
        <v>2</v>
      </c>
      <c r="D248" s="3" t="inlineStr">
        <is>
          <t>Flowchart lebih fokus pada struktur logika algoritme dan menggunakan simbol-simbol seperti "START", "END", "IF-THEN", atau "LOOP" untuk menunjukkan arah aliran program.</t>
        </is>
      </c>
      <c r="E248" t="inlineStr">
        <is>
          <t>YA (didukung konteks)</t>
        </is>
      </c>
    </row>
    <row r="249">
      <c r="A249" t="n">
        <v>21</v>
      </c>
      <c r="B249" t="inlineStr">
        <is>
          <t>B</t>
        </is>
      </c>
      <c r="C249" t="n">
        <v>3</v>
      </c>
      <c r="D249" s="3" t="inlineStr">
        <is>
          <t>Pseudocode dan flowchart adalah dua metode yang digunakan untuk menggambarkan algoritme, yaitu langkah-langkah yang diperlukan untuk mencapai tujuan tertentu.</t>
        </is>
      </c>
      <c r="E249" t="inlineStr">
        <is>
          <t>YA (didukung konteks)</t>
        </is>
      </c>
    </row>
    <row r="250">
      <c r="A250" t="n">
        <v>21</v>
      </c>
      <c r="B250" t="inlineStr">
        <is>
          <t>B</t>
        </is>
      </c>
      <c r="C250" t="n">
        <v>4</v>
      </c>
      <c r="D250" s="3" t="inlineStr">
        <is>
          <t>Pseudocode lebih fokus pada logika algoritme dan menggunakan kata-kata atau frase yang mirip dengan bahasa pemrograman, seperti "IF statement" atau "LOOP".</t>
        </is>
      </c>
      <c r="E250" t="inlineStr">
        <is>
          <t>YA (didukung konteks)</t>
        </is>
      </c>
    </row>
    <row r="251">
      <c r="A251" t="n">
        <v>21</v>
      </c>
      <c r="B251" t="inlineStr">
        <is>
          <t>B</t>
        </is>
      </c>
      <c r="C251" t="n">
        <v>5</v>
      </c>
      <c r="D251" s="3" t="inlineStr">
        <is>
          <t>Dosen mungkin lebih prefer pseudocode karena pseudocode lebih dapat menjelaskan bagaimana algoritme bekerja tanpa perlu memperhatikan detail-detail teknis.</t>
        </is>
      </c>
      <c r="E251" t="inlineStr">
        <is>
          <t>YA (didukung konteks)</t>
        </is>
      </c>
    </row>
    <row r="252">
      <c r="A252" t="n">
        <v>21</v>
      </c>
      <c r="B252" t="inlineStr">
        <is>
          <t>B</t>
        </is>
      </c>
      <c r="C252" t="n">
        <v>6</v>
      </c>
      <c r="D252" s="3" t="inlineStr">
        <is>
          <t>Namun, jika Anda ingin menggambarkan struktur logika algoritme secara lebih rinci, maka flowchart masih menjadi pilihan yang sangat baik.</t>
        </is>
      </c>
      <c r="E252" t="inlineStr">
        <is>
          <t>YA (didukung konteks)</t>
        </is>
      </c>
    </row>
    <row r="253">
      <c r="A253" t="n">
        <v>22</v>
      </c>
      <c r="B253" t="inlineStr">
        <is>
          <t>A</t>
        </is>
      </c>
      <c r="C253" t="n">
        <v>1</v>
      </c>
      <c r="D253" s="3" t="inlineStr">
        <is>
          <t>Saya harap pseudocode di atas membantu Anda memahami konsep FPB dan bagaimana algoritme Euclidean digunakan untuk mencarinya.</t>
        </is>
      </c>
      <c r="E253" t="inlineStr">
        <is>
          <t>YA (didukung konteks)</t>
        </is>
      </c>
    </row>
    <row r="254">
      <c r="A254" t="n">
        <v>22</v>
      </c>
      <c r="B254" t="inlineStr">
        <is>
          <t>A</t>
        </is>
      </c>
      <c r="C254" t="n">
        <v>2</v>
      </c>
      <c r="D254" s="3" t="inlineStr">
        <is>
          <t>FPB (Faktor Perbesar Besar) dari dua bilangan adalah bilangan terkecil yang membagi keduanya tanpa sisihan.</t>
        </is>
      </c>
      <c r="E254" t="inlineStr">
        <is>
          <t>YA (didukung konteks)</t>
        </is>
      </c>
    </row>
    <row r="255">
      <c r="A255" t="n">
        <v>22</v>
      </c>
      <c r="B255" t="inlineStr">
        <is>
          <t>A</t>
        </is>
      </c>
      <c r="C255" t="n">
        <v>3</v>
      </c>
      <c r="D255" s="3" t="inlineStr">
        <is>
          <t>Saya akan membantu Anda menulis pseudocode algoritme Euclidean untuk mencari FPB dua bilangan.</t>
        </is>
      </c>
      <c r="E255" t="inlineStr">
        <is>
          <t>YA (didukung konteks)</t>
        </is>
      </c>
    </row>
    <row r="256">
      <c r="A256" t="n">
        <v>22</v>
      </c>
      <c r="B256" t="inlineStr">
        <is>
          <t>A</t>
        </is>
      </c>
      <c r="C256" t="n">
        <v>4</v>
      </c>
      <c r="D256" s="3" t="inlineStr">
        <is>
          <t>Algoritme Euclidean bekerja dengan cara menghitung sisa (`r`) dari pembagian `a` dengan `b`.</t>
        </is>
      </c>
      <c r="E256" t="inlineStr">
        <is>
          <t>YA (didukung konteks)</t>
        </is>
      </c>
    </row>
    <row r="257">
      <c r="A257" t="n">
        <v>22</v>
      </c>
      <c r="B257" t="inlineStr">
        <is>
          <t>A</t>
        </is>
      </c>
      <c r="C257" t="n">
        <v>5</v>
      </c>
      <c r="D257" s="3" t="inlineStr">
        <is>
          <t>Keterangan: Pseudocode di atas menggunakan variabel `a` dan `b` sebagai input.</t>
        </is>
      </c>
      <c r="E257" t="inlineStr">
        <is>
          <t>YA (didukung konteks)</t>
        </is>
      </c>
    </row>
    <row r="258">
      <c r="A258" t="n">
        <v>22</v>
      </c>
      <c r="B258" t="inlineStr">
        <is>
          <t>A</t>
        </is>
      </c>
      <c r="C258" t="n">
        <v>6</v>
      </c>
      <c r="D258" s="3" t="inlineStr">
        <is>
          <t>Pseudocode algoritme Euclidean menggunakan perulangan while, seperti berikut:</t>
        </is>
      </c>
      <c r="E258" t="inlineStr">
        <is>
          <t>YA (didukung konteks)</t>
        </is>
      </c>
    </row>
    <row r="259">
      <c r="A259" t="n">
        <v>22</v>
      </c>
      <c r="B259" t="inlineStr">
        <is>
          <t>B</t>
        </is>
      </c>
      <c r="C259" t="n">
        <v>1</v>
      </c>
      <c r="D259" s="3" t="inlineStr">
        <is>
          <t>Kita memanggil fungsi `Euklides` kembali dengan argumen `b` dan `r`, yang akan mengulangi proses tersebut hingga `b` menjadi 0.</t>
        </is>
      </c>
      <c r="E259" t="inlineStr">
        <is>
          <t>YA (didukung konteks)</t>
        </is>
      </c>
    </row>
    <row r="260">
      <c r="A260" t="n">
        <v>22</v>
      </c>
      <c r="B260" t="inlineStr">
        <is>
          <t>B</t>
        </is>
      </c>
      <c r="C260" t="n">
        <v>2</v>
      </c>
      <c r="D260" s="3" t="inlineStr">
        <is>
          <t>Proses algoritme Euclidean sama seperti sebelumnya, tetapi menggunakan while loop yang lebih jelas dan lebih mudah dipahami.</t>
        </is>
      </c>
      <c r="E260" t="inlineStr">
        <is>
          <t>YA (didukung konteks)</t>
        </is>
      </c>
    </row>
    <row r="261">
      <c r="A261" t="n">
        <v>22</v>
      </c>
      <c r="B261" t="inlineStr">
        <is>
          <t>B</t>
        </is>
      </c>
      <c r="C261" t="n">
        <v>3</v>
      </c>
      <c r="D261" s="3" t="inlineStr">
        <is>
          <t>Jika tidak, maka kita melakukan pembagian dan sisa (`q` dan `r`) antara bilangan pertama (`a`) dengan bilangan kedua (`b`).</t>
        </is>
      </c>
      <c r="E261" t="inlineStr">
        <is>
          <t>YA (didukung konteks)</t>
        </is>
      </c>
    </row>
    <row r="262">
      <c r="A262" t="n">
        <v>22</v>
      </c>
      <c r="B262" t="inlineStr">
        <is>
          <t>B</t>
        </is>
      </c>
      <c r="C262" t="n">
        <v>4</v>
      </c>
      <c r="D262" s="3" t="inlineStr">
        <is>
          <t>Saya dapat membantu Anda menulis pseudocode algoritme Euclidean untuk mencari FPB dua bilangan menggunakan while loop.</t>
        </is>
      </c>
      <c r="E262" t="inlineStr">
        <is>
          <t>YA (didukung konteks)</t>
        </is>
      </c>
    </row>
    <row r="263">
      <c r="A263" t="n">
        <v>22</v>
      </c>
      <c r="B263" t="inlineStr">
        <is>
          <t>B</t>
        </is>
      </c>
      <c r="C263" t="n">
        <v>5</v>
      </c>
      <c r="D263" s="3" t="inlineStr">
        <is>
          <t>Pseudocode di atas menggunakan while loop yang lebih tradisional untuk melakukan iterasi hingga `b` menjadi 0.</t>
        </is>
      </c>
      <c r="E263" t="inlineStr">
        <is>
          <t>YA (didukung konteks)</t>
        </is>
      </c>
    </row>
    <row r="264">
      <c r="A264" t="n">
        <v>22</v>
      </c>
      <c r="B264" t="inlineStr">
        <is>
          <t>B</t>
        </is>
      </c>
      <c r="C264" t="n">
        <v>6</v>
      </c>
      <c r="D264" s="3" t="inlineStr">
        <is>
          <t>Namun, jika Anda ingin menulis pseudocode dengan while loop yang lebih tradisional, berikut adalah contoh:</t>
        </is>
      </c>
      <c r="E264" t="inlineStr">
        <is>
          <t>YA (didukung konteks)</t>
        </is>
      </c>
    </row>
    <row r="265">
      <c r="A265" t="n">
        <v>23</v>
      </c>
      <c r="B265" t="inlineStr">
        <is>
          <t>A</t>
        </is>
      </c>
      <c r="C265" t="n">
        <v>1</v>
      </c>
      <c r="D265" s="3" t="inlineStr">
        <is>
          <t>Dalam materi referensi, kita telah membahas tentang kompleksitas algoritme (Time Complexity) sebagai ukuran efisiensi suatu algoritme berdasarkan jumlah operasi yang diperlukan seiring bertambahnya ukuran input.</t>
        </is>
      </c>
      <c r="E265" t="inlineStr">
        <is>
          <t>YA (didukung konteks)</t>
        </is>
      </c>
    </row>
    <row r="266">
      <c r="A266" t="n">
        <v>23</v>
      </c>
      <c r="B266" t="inlineStr">
        <is>
          <t>A</t>
        </is>
      </c>
      <c r="C266" t="n">
        <v>2</v>
      </c>
      <c r="D266" s="3" t="inlineStr">
        <is>
          <t>Dalam kasus Anda, meski algoritme Anda dapat mencari nilai terbesar dari array dan hasilnya benar, namun dosen Anda mungkin menolak algoritme Anda karena efisiensinya yang kurang baik.</t>
        </is>
      </c>
      <c r="E266" t="inlineStr">
        <is>
          <t>YA (didukung konteks)</t>
        </is>
      </c>
    </row>
    <row r="267">
      <c r="A267" t="n">
        <v>23</v>
      </c>
      <c r="B267" t="inlineStr">
        <is>
          <t>A</t>
        </is>
      </c>
      <c r="C267" t="n">
        <v>3</v>
      </c>
      <c r="D267" s="3" t="inlineStr">
        <is>
          <t>**Stabilitas**: Algoritme yang stabil tidak akan mengalami error atau bug ketika dijalankan pada berbagai input, sehingga dapat dipercaya untuk digunakan dalam aplikasi-praktis.</t>
        </is>
      </c>
      <c r="E267" t="inlineStr">
        <is>
          <t>YA (didukung konteks)</t>
        </is>
      </c>
    </row>
    <row r="268">
      <c r="A268" t="n">
        <v>23</v>
      </c>
      <c r="B268" t="inlineStr">
        <is>
          <t>A</t>
        </is>
      </c>
      <c r="C268" t="n">
        <v>4</v>
      </c>
      <c r="D268" s="3" t="inlineStr">
        <is>
          <t>Algoritme yang baik harus memiliki kompleksitas waktu yang baik, seperti O(n log n) atau O(n), sehingga dapat mencapai hasil dalam waktu yang relatif cepat.</t>
        </is>
      </c>
      <c r="E268" t="inlineStr">
        <is>
          <t>YA (didukung konteks)</t>
        </is>
      </c>
    </row>
    <row r="269">
      <c r="A269" t="n">
        <v>23</v>
      </c>
      <c r="B269" t="inlineStr">
        <is>
          <t>A</t>
        </is>
      </c>
      <c r="C269" t="n">
        <v>5</v>
      </c>
      <c r="D269" s="3" t="inlineStr">
        <is>
          <t>Oleh karena itu, penting untuk memperbaiki algoritme Anda sehingga memiliki kompleksitas waktu yang lebih baik dan dapat digunakan dalam aplikasi-praktis.</t>
        </is>
      </c>
      <c r="E269" t="inlineStr">
        <is>
          <t>YA (didukung konteks)</t>
        </is>
      </c>
    </row>
    <row r="270">
      <c r="A270" t="n">
        <v>23</v>
      </c>
      <c r="B270" t="inlineStr">
        <is>
          <t>A</t>
        </is>
      </c>
      <c r="C270" t="n">
        <v>6</v>
      </c>
      <c r="D270" s="3" t="inlineStr">
        <is>
          <t>Dalam konteks algoritme, "baik" tidak hanya berarti hasilnya benar, tapi juga efisiensinya dalam menggunakan sumber daya, seperti waktu dan memori.</t>
        </is>
      </c>
      <c r="E270" t="inlineStr">
        <is>
          <t>YA (didukung konteks)</t>
        </is>
      </c>
    </row>
    <row r="271">
      <c r="A271" t="n">
        <v>23</v>
      </c>
      <c r="B271" t="inlineStr">
        <is>
          <t>B</t>
        </is>
      </c>
      <c r="C271" t="n">
        <v>1</v>
      </c>
      <c r="D271" s="3" t="inlineStr">
        <is>
          <t>Dalam kasus Anda, meski algoritme Anda dapat menghasilkan output yang benar, namun dosen Anda mungkin memiliki beberapa masalah dengan efisiensi waktu, stabilitas, atau simplicity algoritme Anda.</t>
        </is>
      </c>
      <c r="E271" t="inlineStr">
        <is>
          <t>YA (didukung konteks)</t>
        </is>
      </c>
    </row>
    <row r="272">
      <c r="A272" t="n">
        <v>23</v>
      </c>
      <c r="B272" t="inlineStr">
        <is>
          <t>B</t>
        </is>
      </c>
      <c r="C272" t="n">
        <v>2</v>
      </c>
      <c r="D272" s="3" t="inlineStr">
        <is>
          <t>Dalam beberapa kasus, optimality sangat penting jika algoritme tersebut akan digunakan dalam aplikasi yang memerlukan performa tinggi.</t>
        </is>
      </c>
      <c r="E272" t="inlineStr">
        <is>
          <t>YA (didukung konteks)</t>
        </is>
      </c>
    </row>
    <row r="273">
      <c r="A273" t="n">
        <v>23</v>
      </c>
      <c r="B273" t="inlineStr">
        <is>
          <t>B</t>
        </is>
      </c>
      <c r="C273" t="n">
        <v>3</v>
      </c>
      <c r="D273" s="3" t="inlineStr">
        <is>
          <t>**Robustness**: Algoritme yang baik seharusnya dapat beroperasi dengan baik dalam keadaan input yang tidak terprediksi atau rusak.</t>
        </is>
      </c>
      <c r="E273" t="inlineStr">
        <is>
          <t>YA (didukung konteks)</t>
        </is>
      </c>
    </row>
    <row r="274">
      <c r="A274" t="n">
        <v>23</v>
      </c>
      <c r="B274" t="inlineStr">
        <is>
          <t>B</t>
        </is>
      </c>
      <c r="C274" t="n">
        <v>4</v>
      </c>
      <c r="D274" s="3" t="inlineStr">
        <is>
          <t>**Flexibilitas**: Algoritme yang baik harus dapat beradaptasi dengan berbagai situasi dan input yang tidak terprediksi.</t>
        </is>
      </c>
      <c r="E274" t="inlineStr">
        <is>
          <t>YA (didukung konteks)</t>
        </is>
      </c>
    </row>
    <row r="275">
      <c r="A275" t="n">
        <v>23</v>
      </c>
      <c r="B275" t="inlineStr">
        <is>
          <t>B</t>
        </is>
      </c>
      <c r="C275" t="n">
        <v>5</v>
      </c>
      <c r="D275" s="3" t="inlineStr">
        <is>
          <t>Flexibilitas sangat penting jika algoritme tersebut akan digunakan dalam aplikasi yang memerlukan kemampuan adaptif.</t>
        </is>
      </c>
      <c r="E275" t="inlineStr">
        <is>
          <t>YA (didukung konteks)</t>
        </is>
      </c>
    </row>
    <row r="276">
      <c r="A276" t="n">
        <v>23</v>
      </c>
      <c r="B276" t="inlineStr">
        <is>
          <t>B</t>
        </is>
      </c>
      <c r="C276" t="n">
        <v>6</v>
      </c>
      <c r="D276" s="3" t="inlineStr">
        <is>
          <t>Stabilitas sangat penting jika algoritme tersebut akan digunakan dalam aplikasi yang memerlukan keandalan tinggi.</t>
        </is>
      </c>
      <c r="E276" t="inlineStr">
        <is>
          <t>YA (didukung konteks)</t>
        </is>
      </c>
    </row>
    <row r="277">
      <c r="A277" t="n">
        <v>24</v>
      </c>
      <c r="B277" t="inlineStr">
        <is>
          <t>A</t>
        </is>
      </c>
      <c r="C277" t="n">
        <v>1</v>
      </c>
      <c r="D277" s="3" t="inlineStr">
        <is>
          <t>Tidak seperti O(n), yang berarti bahwa operasi algoritme akan meningkat secara linear seiring dengan pertambahan input, atau O(n^2), yang berarti bahwa operasi algoritme akan meningkat secara kuadrat seiring dengan perta</t>
        </is>
      </c>
      <c r="E277" t="inlineStr">
        <is>
          <t>YA (didukung konteks)</t>
        </is>
      </c>
    </row>
    <row r="278">
      <c r="A278" t="n">
        <v>24</v>
      </c>
      <c r="B278" t="inlineStr">
        <is>
          <t>A</t>
        </is>
      </c>
      <c r="C278" t="n">
        <v>2</v>
      </c>
      <c r="D278" s="3" t="inlineStr">
        <is>
          <t>Karena FPB Euclidean tidak memiliki looping yang terlalu banyak dan menggunakan rekursi serta kondisi percabangan, maka kompleksitas O(log n) lebih sesuai untuk deskripsi algoritme ini.</t>
        </is>
      </c>
      <c r="E278" t="inlineStr">
        <is>
          <t>YA (didukung konteks)</t>
        </is>
      </c>
    </row>
    <row r="279">
      <c r="A279" t="n">
        <v>24</v>
      </c>
      <c r="B279" t="inlineStr">
        <is>
          <t>A</t>
        </is>
      </c>
      <c r="C279" t="n">
        <v>3</v>
      </c>
      <c r="D279" s="3" t="inlineStr">
        <is>
          <t>Dalam kasus FPB Euclidean, tidak semua operasi dapat dilakukan dalam waktu konstan, karena algoritme harus melakukan rekursi dan kondisi percabangan yang berbeda-beda untuk mencari FPB.</t>
        </is>
      </c>
      <c r="E279" t="inlineStr">
        <is>
          <t>YA (didukung konteks)</t>
        </is>
      </c>
    </row>
    <row r="280">
      <c r="A280" t="n">
        <v>24</v>
      </c>
      <c r="B280" t="inlineStr">
        <is>
          <t>A</t>
        </is>
      </c>
      <c r="C280" t="n">
        <v>4</v>
      </c>
      <c r="D280" s="3" t="inlineStr">
        <is>
          <t>Mahasiswa, sebagai Level 5 Lanjut/Teoritis/Analitis/Intuitif, saya akan menjelaskan konsep kompleksitas algoritme dengan menggunakan materi referensi yang diberikan.</t>
        </is>
      </c>
      <c r="E280" t="inlineStr">
        <is>
          <t>YA (didukung konteks)</t>
        </is>
      </c>
    </row>
    <row r="281">
      <c r="A281" t="n">
        <v>24</v>
      </c>
      <c r="B281" t="inlineStr">
        <is>
          <t>A</t>
        </is>
      </c>
      <c r="C281" t="n">
        <v>5</v>
      </c>
      <c r="D281" s="3" t="inlineStr">
        <is>
          <t>Dalam kasus FPB Euclidean, algoritme tidak melakukan looping yang terlalu banyak atau operasi yang berulang kali seiring dengan pertambahan input.</t>
        </is>
      </c>
      <c r="E281" t="inlineStr">
        <is>
          <t>YA (didukung konteks)</t>
        </is>
      </c>
    </row>
    <row r="282">
      <c r="A282" t="n">
        <v>24</v>
      </c>
      <c r="B282" t="inlineStr">
        <is>
          <t>A</t>
        </is>
      </c>
      <c r="C282" t="n">
        <v>6</v>
      </c>
      <c r="D282" s="3" t="inlineStr">
        <is>
          <t>Karena itulah, efisiensi algoritme harus dipertimbangkan dalam pengembangan algoritme yang akan digunakan untuk input besar.</t>
        </is>
      </c>
      <c r="E282" t="inlineStr">
        <is>
          <t>YA (didukung konteks)</t>
        </is>
      </c>
    </row>
    <row r="283">
      <c r="A283" t="n">
        <v>24</v>
      </c>
      <c r="B283" t="inlineStr">
        <is>
          <t>B</t>
        </is>
      </c>
      <c r="C283" t="n">
        <v>1</v>
      </c>
      <c r="D283" s="3" t="inlineStr">
        <is>
          <t>Kompleksitas Big-O menunjukkan tingkat kompleksitas yang diperlukan oleh algoritme pada skenario terburuk (dalam kasus ini, bilangan besar), bukan pada skenario yang umum atau rata-rata.</t>
        </is>
      </c>
      <c r="E283" t="inlineStr">
        <is>
          <t>YA (didukung konteks)</t>
        </is>
      </c>
    </row>
    <row r="284">
      <c r="A284" t="n">
        <v>24</v>
      </c>
      <c r="B284" t="inlineStr">
        <is>
          <t>B</t>
        </is>
      </c>
      <c r="C284" t="n">
        <v>2</v>
      </c>
      <c r="D284" s="3" t="inlineStr">
        <is>
          <t>* Oleh karena itu, jumlah iterasi yang dibutuhkan untuk mencapai jawaban tidak tergantung pada nilai bilangan tersebut sendiri, melainkan tergantung pada logaritma dari nilai bilangan.</t>
        </is>
      </c>
      <c r="E284" t="inlineStr">
        <is>
          <t>YA (didukung konteks)</t>
        </is>
      </c>
    </row>
    <row r="285">
      <c r="A285" t="n">
        <v>24</v>
      </c>
      <c r="B285" t="inlineStr">
        <is>
          <t>B</t>
        </is>
      </c>
      <c r="C285" t="n">
        <v>3</v>
      </c>
      <c r="D285" s="3" t="inlineStr">
        <is>
          <t>Namun, jika kita ingin mengetahui kompleksitas yang diperlukan oleh algoritme pada skenario terburuk, maka kita harus mengacu pada Big-O yang sebenarnya, yaitu O(log n).</t>
        </is>
      </c>
      <c r="E285" t="inlineStr">
        <is>
          <t>YA (didukung konteks)</t>
        </is>
      </c>
    </row>
    <row r="286">
      <c r="A286" t="n">
        <v>24</v>
      </c>
      <c r="B286" t="inlineStr">
        <is>
          <t>B</t>
        </is>
      </c>
      <c r="C286" t="n">
        <v>4</v>
      </c>
      <c r="D286" s="3" t="inlineStr">
        <is>
          <t>* Dalam prakteknya, algoritme FPB Euclidean dapat selesai dalam waktu yang relatif cepat untuk angka kecil karena jumlah iterasi yang dibutuhkan relatif sedikit.</t>
        </is>
      </c>
      <c r="E286" t="inlineStr">
        <is>
          <t>YA (didukung konteks)</t>
        </is>
      </c>
    </row>
    <row r="287">
      <c r="A287" t="n">
        <v>24</v>
      </c>
      <c r="B287" t="inlineStr">
        <is>
          <t>B</t>
        </is>
      </c>
      <c r="C287" t="n">
        <v>5</v>
      </c>
      <c r="D287" s="3" t="inlineStr">
        <is>
          <t>* Walaupun algoritme FPB Euclidean sering selesai cepat untuk angka kecil, namun itu tidak berarti bahwa kompleksitasnya adalah O(1).</t>
        </is>
      </c>
      <c r="E287" t="inlineStr">
        <is>
          <t>YA (didukung konteks)</t>
        </is>
      </c>
    </row>
    <row r="288">
      <c r="A288" t="n">
        <v>24</v>
      </c>
      <c r="B288" t="inlineStr">
        <is>
          <t>B</t>
        </is>
      </c>
      <c r="C288" t="n">
        <v>6</v>
      </c>
      <c r="D288" s="3" t="inlineStr">
        <is>
          <t>* Algoritme FPB Euclidean bekerja dengan cara melakukan beberapa iterasi untuk mencari faktor pembagi terbesar antara dua bilangan.</t>
        </is>
      </c>
      <c r="E288" t="inlineStr">
        <is>
          <t>YA (didukung konteks)</t>
        </is>
      </c>
    </row>
    <row r="289">
      <c r="A289" t="n">
        <v>25</v>
      </c>
      <c r="B289" t="inlineStr">
        <is>
          <t>A</t>
        </is>
      </c>
      <c r="C289" t="n">
        <v>1</v>
      </c>
      <c r="D289" s="3" t="inlineStr">
        <is>
          <t>Dalam materi referensi, kita menemukan bahwa variabel adalah elemen dari algoritme yang berfungsi untuk menyimpan nilai tertentu pada suatu saat, dan nilai tersebut dapat diubah menjadi nilai lain sesuai kebutuhan.</t>
        </is>
      </c>
      <c r="E289" t="inlineStr">
        <is>
          <t>YA (didukung konteks)</t>
        </is>
      </c>
    </row>
    <row r="290">
      <c r="A290" t="n">
        <v>25</v>
      </c>
      <c r="B290" t="inlineStr">
        <is>
          <t>A</t>
        </is>
      </c>
      <c r="C290" t="n">
        <v>2</v>
      </c>
      <c r="D290" s="3" t="inlineStr">
        <is>
          <t>Dalam pseudocode, kita tidak perlu menggunakan tipe data seperti "int" atau "float", karena tujuan utama adalah untuk mendapatkan ide secara cepat sekaligus memudahkan pembacaan algoritme.</t>
        </is>
      </c>
      <c r="E290" t="inlineStr">
        <is>
          <t>YA (didukung konteks)</t>
        </is>
      </c>
    </row>
    <row r="291">
      <c r="A291" t="n">
        <v>25</v>
      </c>
      <c r="B291" t="inlineStr">
        <is>
          <t>A</t>
        </is>
      </c>
      <c r="C291" t="n">
        <v>3</v>
      </c>
      <c r="D291" s="3" t="inlineStr">
        <is>
          <t>Namun, perlu diingat bahwa pseudocode hanya sebagai representasi informal dari algoritme, dan tidak harus mengikuti aturan grammar (sintaks) bahasa pemrograman yang ketat.</t>
        </is>
      </c>
      <c r="E291" t="inlineStr">
        <is>
          <t>YA (didukung konteks)</t>
        </is>
      </c>
    </row>
    <row r="292">
      <c r="A292" t="n">
        <v>25</v>
      </c>
      <c r="B292" t="inlineStr">
        <is>
          <t>A</t>
        </is>
      </c>
      <c r="C292" t="n">
        <v>4</v>
      </c>
      <c r="D292" s="3" t="inlineStr">
        <is>
          <t>Dalam sintesis, deklarasi variabel dalam pseudocode CT tidak memiliki aturan baku, tetapi kita dapat menggunakan konvensi-konvensi tertentu untuk mengurangi ambiguitas.</t>
        </is>
      </c>
      <c r="E292" t="inlineStr">
        <is>
          <t>YA (didukung konteks)</t>
        </is>
      </c>
    </row>
    <row r="293">
      <c r="A293" t="n">
        <v>25</v>
      </c>
      <c r="B293" t="inlineStr">
        <is>
          <t>A</t>
        </is>
      </c>
      <c r="C293" t="n">
        <v>5</v>
      </c>
      <c r="D293" s="3" t="inlineStr">
        <is>
          <t>Misalnya, jika Anda ingin mendeklarasikan variabel integer, Anda dapat menulis "x" tanpa tipe data "int", seperti yang teman Anda lakukan.</t>
        </is>
      </c>
      <c r="E293" t="inlineStr">
        <is>
          <t>YA (didukung konteks)</t>
        </is>
      </c>
    </row>
    <row r="294">
      <c r="A294" t="n">
        <v>25</v>
      </c>
      <c r="B294" t="inlineStr">
        <is>
          <t>A</t>
        </is>
      </c>
      <c r="C294" t="n">
        <v>6</v>
      </c>
      <c r="D294" s="3" t="inlineStr">
        <is>
          <t>Saya percaya bahwa Anda mungkin pernah berpikir bahwa "int x = 5" dan "x = 5" adalah dua cara yang benar untuk mendeklarasikan variabel.</t>
        </is>
      </c>
      <c r="E294" t="inlineStr">
        <is>
          <t>YA (didukung konteks)</t>
        </is>
      </c>
    </row>
    <row r="295">
      <c r="A295" t="n">
        <v>25</v>
      </c>
      <c r="B295" t="inlineStr">
        <is>
          <t>B</t>
        </is>
      </c>
      <c r="C295" t="n">
        <v>1</v>
      </c>
      <c r="D295" s="3" t="inlineStr">
        <is>
          <t>Jawaban Anda tentang 'x = 5' bukanlah salah, namun sebagai mahasiswa, sebaiknya Anda mengikuti konvensi yang dianjurkan oleh CT untuk menulis pseudocode yang lebih baik dan mudah dipahami.</t>
        </is>
      </c>
      <c r="E295" t="inlineStr">
        <is>
          <t>YA (didukung konteks)</t>
        </is>
      </c>
    </row>
    <row r="296">
      <c r="A296" t="n">
        <v>25</v>
      </c>
      <c r="B296" t="inlineStr">
        <is>
          <t>B</t>
        </is>
      </c>
      <c r="C296" t="n">
        <v>2</v>
      </c>
      <c r="D296" s="3" t="inlineStr">
        <is>
          <t>Oleh karena itu, jika Anda ingin menulis pseudocode yang sesuai dengan konvensi CT, maka menggunakan sintaks 'let x = 5' atau 'var x = 5' adalah pilihan terbaik.</t>
        </is>
      </c>
      <c r="E296" t="inlineStr">
        <is>
          <t>YA (didukung konteks)</t>
        </is>
      </c>
    </row>
    <row r="297">
      <c r="A297" t="n">
        <v>25</v>
      </c>
      <c r="B297" t="inlineStr">
        <is>
          <t>B</t>
        </is>
      </c>
      <c r="C297" t="n">
        <v>3</v>
      </c>
      <c r="D297" s="3" t="inlineStr">
        <is>
          <t>Dalam beberapa kasus, CT juga menerima sintaks 'x = 5', namun hal itu tidak dianjurkan dan lebih umum digunakan dalam pseudocode yang berbasis Bahasa Inggris.</t>
        </is>
      </c>
      <c r="E297" t="inlineStr">
        <is>
          <t>YA (didukung konteks)</t>
        </is>
      </c>
    </row>
    <row r="298">
      <c r="A298" t="n">
        <v>25</v>
      </c>
      <c r="B298" t="inlineStr">
        <is>
          <t>B</t>
        </is>
      </c>
      <c r="C298" t="n">
        <v>4</v>
      </c>
      <c r="D298" s="3" t="inlineStr">
        <is>
          <t>Menurut CT (Control Structure), konvensi yang dianjurkan adalah menggunakan sintaks 'let x = 5' atau 'var x = 5' untuk deklarasi variabel.</t>
        </is>
      </c>
      <c r="E298" t="inlineStr">
        <is>
          <t>YA (didukung konteks)</t>
        </is>
      </c>
    </row>
    <row r="299">
      <c r="A299" t="n">
        <v>25</v>
      </c>
      <c r="B299" t="inlineStr">
        <is>
          <t>B</t>
        </is>
      </c>
      <c r="C299" t="n">
        <v>5</v>
      </c>
      <c r="D299" s="3" t="inlineStr">
        <is>
          <t>Dalam pendidikan komputer, terdapat beberapa konvensi yang digunakan dalam menulis pseudocode, termasuk untuk deklarasi variabel.</t>
        </is>
      </c>
      <c r="E299" t="inlineStr">
        <is>
          <t>YA (didukung konteks)</t>
        </is>
      </c>
    </row>
    <row r="300">
      <c r="A300" t="n">
        <v>25</v>
      </c>
      <c r="B300" t="inlineStr">
        <is>
          <t>B</t>
        </is>
      </c>
      <c r="C300" t="n">
        <v>6</v>
      </c>
      <c r="D300" s="3" t="inlineStr">
        <is>
          <t>Sintaks ini mirip dengan sintaks bahasa pemrograman Pascal, sehingga dapat membantu para mahasiswa memahami konsep programing.</t>
        </is>
      </c>
      <c r="E300" t="inlineStr">
        <is>
          <t>YA (didukung konteks)</t>
        </is>
      </c>
    </row>
    <row r="301">
      <c r="A301" t="n">
        <v>26</v>
      </c>
      <c r="B301" t="inlineStr">
        <is>
          <t>A</t>
        </is>
      </c>
      <c r="C301" t="n">
        <v>1</v>
      </c>
      <c r="D301" s="3" t="inlineStr">
        <is>
          <t>Dalam menjawab soal-soal di atas, kita harus menggunakan istilah teknis yang ada dalam materi referensi, menjelaskan konsep utama secara langsung dan akurat, serta sesuaikan gaya penjelasan dengan tipe kognitif.</t>
        </is>
      </c>
      <c r="E301" t="inlineStr">
        <is>
          <t>YA (didukung konteks)</t>
        </is>
      </c>
    </row>
    <row r="302">
      <c r="A302" t="n">
        <v>26</v>
      </c>
      <c r="B302" t="inlineStr">
        <is>
          <t>A</t>
        </is>
      </c>
      <c r="C302" t="n">
        <v>2</v>
      </c>
      <c r="D302" s="3" t="inlineStr">
        <is>
          <t>Pasangkan bilangan dari ujung kiri dan kanan: 1+10=11, 2+9=11, 3+8=11, 4+7=11, 5+6=11 → Ada 5 pasangan, setiap pasangan = 11 → Total = 5 × 11 = 55 → Formula umum: (n/2) × (n+1).</t>
        </is>
      </c>
      <c r="E302" t="inlineStr">
        <is>
          <t>YA (didukung konteks)</t>
        </is>
      </c>
    </row>
    <row r="303">
      <c r="A303" t="n">
        <v>26</v>
      </c>
      <c r="B303" t="inlineStr">
        <is>
          <t>A</t>
        </is>
      </c>
      <c r="C303" t="n">
        <v>3</v>
      </c>
      <c r="D303" s="3" t="inlineStr">
        <is>
          <t>Contoh: Per minggu: (50×2) + (60×2) + (60×2) = 100 + 120 + 120 = 340 menit = 5 jam 40 menit; Per semester (14 minggu): 340 × 14 = 4.760 menit ≈ 79 jam 20 menit.</t>
        </is>
      </c>
      <c r="E303" t="inlineStr">
        <is>
          <t>YA (didukung konteks)</t>
        </is>
      </c>
    </row>
    <row r="304">
      <c r="A304" t="n">
        <v>26</v>
      </c>
      <c r="B304" t="inlineStr">
        <is>
          <t>A</t>
        </is>
      </c>
      <c r="C304" t="n">
        <v>4</v>
      </c>
      <c r="D304" s="3" t="inlineStr">
        <is>
          <t>Untuk soal SOAL 2 — Tipe Data, kita dapat menggunakan Computational Thinking untuk menemukan tipe data yang paling tepat untuk menyimpan informasi berikut:</t>
        </is>
      </c>
      <c r="E304" t="inlineStr">
        <is>
          <t>YA (didukung konteks)</t>
        </is>
      </c>
    </row>
    <row r="305">
      <c r="A305" t="n">
        <v>26</v>
      </c>
      <c r="B305" t="inlineStr">
        <is>
          <t>A</t>
        </is>
      </c>
      <c r="C305" t="n">
        <v>5</v>
      </c>
      <c r="D305" s="3" t="inlineStr">
        <is>
          <t>Kamu adalah tutor Computational Thinking untuk mahasiswa universitas di Indonesia, dengan tipe kognitif Level 2 Dasar/Pragmatis/Analitis/Reflektif.</t>
        </is>
      </c>
      <c r="E305" t="inlineStr">
        <is>
          <t>YA (didukung konteks)</t>
        </is>
      </c>
    </row>
    <row r="306">
      <c r="A306" t="n">
        <v>26</v>
      </c>
      <c r="B306" t="inlineStr">
        <is>
          <t>A</t>
        </is>
      </c>
      <c r="C306" t="n">
        <v>6</v>
      </c>
      <c r="D306" s="3" t="inlineStr">
        <is>
          <t>Untuk soal [SOAL 8 — Pola Bilangan Ganjil], kita dapat menggunakan Computational Thinking untuk menemukan pola dan membangun solusi efisien.</t>
        </is>
      </c>
      <c r="E306" t="inlineStr">
        <is>
          <t>YA (didukung konteks)</t>
        </is>
      </c>
    </row>
    <row r="307">
      <c r="A307" t="n">
        <v>26</v>
      </c>
      <c r="B307" t="inlineStr">
        <is>
          <t>B</t>
        </is>
      </c>
      <c r="C307" t="n">
        <v>1</v>
      </c>
      <c r="D307" s="3" t="inlineStr">
        <is>
          <t>Pertama-tama, perlu diingat bahwa operator-operator matematika mempunyai prioritas yang berbeda-beda.</t>
        </is>
      </c>
      <c r="E307" t="inlineStr">
        <is>
          <t>TIDAK (tidak didukung)</t>
        </is>
      </c>
    </row>
    <row r="308">
      <c r="A308" t="n">
        <v>26</v>
      </c>
      <c r="B308" t="inlineStr">
        <is>
          <t>B</t>
        </is>
      </c>
      <c r="C308" t="n">
        <v>2</v>
      </c>
      <c r="D308" s="3" t="inlineStr">
        <is>
          <t>Saya harap jawaban saya membantu Anda merasa lebih yakin dengan hasil hitungan!</t>
        </is>
      </c>
      <c r="E308" t="inlineStr">
        <is>
          <t>YA (didukung konteks)</t>
        </is>
      </c>
    </row>
    <row r="309">
      <c r="A309" t="n">
        <v>26</v>
      </c>
      <c r="B309" t="inlineStr">
        <is>
          <t>B</t>
        </is>
      </c>
      <c r="C309" t="n">
        <v>3</v>
      </c>
      <c r="D309" s="3" t="inlineStr">
        <is>
          <t>Selanjutnya, hitung modulo 7 % 3 = 1 (karena sisa 7 dibagi 3 adalah 1)</t>
        </is>
      </c>
      <c r="E309" t="inlineStr">
        <is>
          <t>YA (didukung konteks)</t>
        </is>
      </c>
    </row>
    <row r="310">
      <c r="A310" t="n">
        <v>26</v>
      </c>
      <c r="B310" t="inlineStr">
        <is>
          <t>B</t>
        </is>
      </c>
      <c r="C310" t="n">
        <v>4</v>
      </c>
      <c r="D310" s="3" t="inlineStr">
        <is>
          <t>Hitung modulo 15 % 4 = 3 (karena sisa 15 dibagi 4 adalah 3)</t>
        </is>
      </c>
      <c r="E310" t="inlineStr">
        <is>
          <t>YA (didukung konteks)</t>
        </is>
      </c>
    </row>
    <row r="311">
      <c r="A311" t="n">
        <v>26</v>
      </c>
      <c r="B311" t="inlineStr">
        <is>
          <t>B</t>
        </is>
      </c>
      <c r="C311" t="n">
        <v>5</v>
      </c>
      <c r="D311" s="3" t="inlineStr">
        <is>
          <t>Kembali ke soal pertama, (8 + 4) / (2 * 3) - 1:</t>
        </is>
      </c>
      <c r="E311" t="inlineStr">
        <is>
          <t>YA (didukung konteks)</t>
        </is>
      </c>
    </row>
    <row r="312">
      <c r="A312" t="n">
        <v>26</v>
      </c>
      <c r="B312" t="inlineStr">
        <is>
          <t>B</t>
        </is>
      </c>
      <c r="C312" t="n">
        <v>6</v>
      </c>
      <c r="D312" s="3" t="inlineStr">
        <is>
          <t>Sekarang, ke soal kedua, 15 % 4 * 2 + 7 % 3:</t>
        </is>
      </c>
      <c r="E312" t="inlineStr">
        <is>
          <t>YA (didukung konteks)</t>
        </is>
      </c>
    </row>
    <row r="313">
      <c r="A313" t="n">
        <v>27</v>
      </c>
      <c r="B313" t="inlineStr">
        <is>
          <t>A</t>
        </is>
      </c>
      <c r="C313" t="n">
        <v>1</v>
      </c>
      <c r="D313" s="3" t="inlineStr">
        <is>
          <t>Kita dapat menggunakan contoh konkret untuk memahami konsep utama ini dan melihat bagaimana operasi logika dapat digunakan untuk mengklarifikasi proposisi.</t>
        </is>
      </c>
      <c r="E313" t="inlineStr">
        <is>
          <t>YA (didukung konteks)</t>
        </is>
      </c>
    </row>
    <row r="314">
      <c r="A314" t="n">
        <v>27</v>
      </c>
      <c r="B314" t="inlineStr">
        <is>
          <t>A</t>
        </is>
      </c>
      <c r="C314" t="n">
        <v>2</v>
      </c>
      <c r="D314" s="3" t="inlineStr">
        <is>
          <t>Namun, jika kita ingin mengetahui apakah tidak memiliki uang dan tidak memiliki mobil, maka operasi NOT A AND NOT B sebenarnya yang benar.</t>
        </is>
      </c>
      <c r="E314" t="inlineStr">
        <is>
          <t>YA (didukung konteks)</t>
        </is>
      </c>
    </row>
    <row r="315">
      <c r="A315" t="n">
        <v>27</v>
      </c>
      <c r="B315" t="inlineStr">
        <is>
          <t>A</t>
        </is>
      </c>
      <c r="C315" t="n">
        <v>3</v>
      </c>
      <c r="D315" s="3" t="inlineStr">
        <is>
          <t>Menurut materi tersebut, Hukum De Morgan adalah aturan yang digunakan untuk mengklarifikasi proposisi logika.</t>
        </is>
      </c>
      <c r="E315" t="inlineStr">
        <is>
          <t>TIDAK (tidak didukung)</t>
        </is>
      </c>
    </row>
    <row r="316">
      <c r="A316" t="n">
        <v>27</v>
      </c>
      <c r="B316" t="inlineStr">
        <is>
          <t>A</t>
        </is>
      </c>
      <c r="C316" t="n">
        <v>4</v>
      </c>
      <c r="D316" s="3" t="inlineStr">
        <is>
          <t>Misalnya, jika kita memiliki dua kondisi: A adalah "saya memiliki uang" dan B adalah "saya memiliki mobil".</t>
        </is>
      </c>
      <c r="E316" t="inlineStr">
        <is>
          <t>TIDAK (tidak didukung)</t>
        </is>
      </c>
    </row>
    <row r="317">
      <c r="A317" t="n">
        <v>27</v>
      </c>
      <c r="B317" t="inlineStr">
        <is>
          <t>A</t>
        </is>
      </c>
      <c r="C317" t="n">
        <v>5</v>
      </c>
      <c r="D317" s="3" t="inlineStr">
        <is>
          <t>Dalam sintesis, saya berpikir bahwa saya benar dalam menjelaskan Hukum De Morgan sebagai NOT A AND NOT B.</t>
        </is>
      </c>
      <c r="E317" t="inlineStr">
        <is>
          <t>TIDAK (tidak didukung)</t>
        </is>
      </c>
    </row>
    <row r="318">
      <c r="A318" t="n">
        <v>27</v>
      </c>
      <c r="B318" t="inlineStr">
        <is>
          <t>A</t>
        </is>
      </c>
      <c r="C318" t="n">
        <v>6</v>
      </c>
      <c r="D318" s="3" t="inlineStr">
        <is>
          <t>Jika kita menggunakan operasi OR, maka proposisi menjadi "saya memiliki uang atau saya memiliki mobil".</t>
        </is>
      </c>
      <c r="E318" t="inlineStr">
        <is>
          <t>YA (didukung konteks)</t>
        </is>
      </c>
    </row>
    <row r="319">
      <c r="A319" t="n">
        <v>27</v>
      </c>
      <c r="B319" t="inlineStr">
        <is>
          <t>B</t>
        </is>
      </c>
      <c r="C319" t="n">
        <v>1</v>
      </c>
      <c r="D319" s="3" t="inlineStr">
        <is>
          <t>Jadi, jika Anda ingin mengubah ekspresi "A OR B" menjadi bentuk negatif, maka harus menggunakan Hukum De Morgan Kedua, yakni:</t>
        </is>
      </c>
      <c r="E319" t="inlineStr">
        <is>
          <t>TIDAK (tidak didukung)</t>
        </is>
      </c>
    </row>
    <row r="320">
      <c r="A320" t="n">
        <v>27</v>
      </c>
      <c r="B320" t="inlineStr">
        <is>
          <t>B</t>
        </is>
      </c>
      <c r="C320" t="n">
        <v>2</v>
      </c>
      <c r="D320" s="3" t="inlineStr">
        <is>
          <t>Namun, perlu diingat bahwa Hukum De Morgan ini hanya berlaku untuk operasi logika OR (disjunction) dan NOT (negation).</t>
        </is>
      </c>
      <c r="E320" t="inlineStr">
        <is>
          <t>YA (didukung konteks)</t>
        </is>
      </c>
    </row>
    <row r="321">
      <c r="A321" t="n">
        <v>27</v>
      </c>
      <c r="B321" t="inlineStr">
        <is>
          <t>B</t>
        </is>
      </c>
      <c r="C321" t="n">
        <v>3</v>
      </c>
      <c r="D321" s="3" t="inlineStr">
        <is>
          <t>Jadi, teman Anda benar bahwa NOT (A OR B) sebenarnya adalah NOT A OR NOT B, dan tidak sama dengan NOT A AND NOT B.</t>
        </is>
      </c>
      <c r="E321" t="inlineStr">
        <is>
          <t>YA (didukung konteks)</t>
        </is>
      </c>
    </row>
    <row r="322">
      <c r="A322" t="n">
        <v>27</v>
      </c>
      <c r="B322" t="inlineStr">
        <is>
          <t>B</t>
        </is>
      </c>
      <c r="C322" t="n">
        <v>4</v>
      </c>
      <c r="D322" s="3" t="inlineStr">
        <is>
          <t>Hukum De Morgan pertama berlaku untuk operasi logika AND (conjunction), bukan OR.</t>
        </is>
      </c>
      <c r="E322" t="inlineStr">
        <is>
          <t>TIDAK (tidak didukung)</t>
        </is>
      </c>
    </row>
    <row r="323">
      <c r="A323" t="n">
        <v>27</v>
      </c>
      <c r="B323" t="inlineStr">
        <is>
          <t>B</t>
        </is>
      </c>
      <c r="C323" t="n">
        <v>5</v>
      </c>
      <c r="D323" s="3" t="inlineStr">
        <is>
          <t>Ekspresi "NOT (A OR B)" sebenarnya menggunakan Hukum De Morgan Kedua, yaitu:</t>
        </is>
      </c>
      <c r="E323" t="inlineStr">
        <is>
          <t>YA (didukung konteks)</t>
        </is>
      </c>
    </row>
    <row r="324">
      <c r="A324" t="n">
        <v>27</v>
      </c>
      <c r="B324" t="inlineStr">
        <is>
          <t>B</t>
        </is>
      </c>
      <c r="C324" t="n">
        <v>6</v>
      </c>
      <c r="D324" s="3" t="inlineStr">
        <is>
          <t>Teman Anda memiliki argumen yang lebih tepat!</t>
        </is>
      </c>
      <c r="E324" t="inlineStr">
        <is>
          <t>YA (didukung konteks)</t>
        </is>
      </c>
    </row>
    <row r="325">
      <c r="A325" t="n">
        <v>28</v>
      </c>
      <c r="B325" t="inlineStr">
        <is>
          <t>A</t>
        </is>
      </c>
      <c r="C325" t="n">
        <v>1</v>
      </c>
      <c r="D325" s="3" t="inlineStr">
        <is>
          <t>Kita hanya menggunakan operator pembagian biasa `/` tanpa menambahkan tanda `int()` atau jenis operator lain untuk menunjukkan bahwa pembagian harus dilakukan secara integer.</t>
        </is>
      </c>
      <c r="E325" t="inlineStr">
        <is>
          <t>YA (didukung konteks)</t>
        </is>
      </c>
    </row>
    <row r="326">
      <c r="A326" t="n">
        <v>28</v>
      </c>
      <c r="B326" t="inlineStr">
        <is>
          <t>A</t>
        </is>
      </c>
      <c r="C326" t="n">
        <v>2</v>
      </c>
      <c r="D326" s="3" t="inlineStr">
        <is>
          <t>Namun, jika Anda ingin menulis integer division di pseudocode, maka Anda harus menuliskannya secara eksplisit menggunakan operator pembagian integer.</t>
        </is>
      </c>
      <c r="E326" t="inlineStr">
        <is>
          <t>YA (didukung konteks)</t>
        </is>
      </c>
    </row>
    <row r="327">
      <c r="A327" t="n">
        <v>28</v>
      </c>
      <c r="B327" t="inlineStr">
        <is>
          <t>A</t>
        </is>
      </c>
      <c r="C327" t="n">
        <v>3</v>
      </c>
      <c r="D327" s="3" t="inlineStr">
        <is>
          <t>Saya senang membantu Anda dalam menjawab pertanyaan tentang pseudocode Computational Thinking (CT).</t>
        </is>
      </c>
      <c r="E327" t="inlineStr">
        <is>
          <t>YA (didukung konteks)</t>
        </is>
      </c>
    </row>
    <row r="328">
      <c r="A328" t="n">
        <v>28</v>
      </c>
      <c r="B328" t="inlineStr">
        <is>
          <t>A</t>
        </is>
      </c>
      <c r="C328" t="n">
        <v>4</v>
      </c>
      <c r="D328" s="3" t="inlineStr">
        <is>
          <t>Pada dasarnya, pseudocode CT tidak membedakan antara integer division dan floating-point division.</t>
        </is>
      </c>
      <c r="E328" t="inlineStr">
        <is>
          <t>YA (didukung konteks)</t>
        </is>
      </c>
    </row>
    <row r="329">
      <c r="A329" t="n">
        <v>28</v>
      </c>
      <c r="B329" t="inlineStr">
        <is>
          <t>A</t>
        </is>
      </c>
      <c r="C329" t="n">
        <v>5</v>
      </c>
      <c r="D329" s="3" t="inlineStr">
        <is>
          <t>Dalam pseudocode CT, kita tidak membedakan antara integer division dan floating-point division.</t>
        </is>
      </c>
      <c r="E329" t="inlineStr">
        <is>
          <t>YA (didukung konteks)</t>
        </is>
      </c>
    </row>
    <row r="330">
      <c r="A330" t="n">
        <v>28</v>
      </c>
      <c r="B330" t="inlineStr">
        <is>
          <t>A</t>
        </is>
      </c>
      <c r="C330" t="n">
        <v>6</v>
      </c>
      <c r="D330" s="3" t="inlineStr">
        <is>
          <t>Contohnya, Anda dapat menuliskan sebagai berikut: `read(n); result = n / 2; print(result)`.</t>
        </is>
      </c>
      <c r="E330" t="inlineStr">
        <is>
          <t>YA (didukung konteks)</t>
        </is>
      </c>
    </row>
    <row r="331">
      <c r="A331" t="n">
        <v>28</v>
      </c>
      <c r="B331" t="inlineStr">
        <is>
          <t>B</t>
        </is>
      </c>
      <c r="C331" t="n">
        <v>1</v>
      </c>
      <c r="D331" s="3" t="inlineStr">
        <is>
          <t>Jika Anda ingin melakukan integer division di pseudocode CT, Anda dapat menggunakan operator floor division (`//`) atau round down division (`Math.floor()`), contohnya:</t>
        </is>
      </c>
      <c r="E331" t="inlineStr">
        <is>
          <t>YA (didukung konteks)</t>
        </is>
      </c>
    </row>
    <row r="332">
      <c r="A332" t="n">
        <v>28</v>
      </c>
      <c r="B332" t="inlineStr">
        <is>
          <t>B</t>
        </is>
      </c>
      <c r="C332" t="n">
        <v>2</v>
      </c>
      <c r="D332" s="3" t="inlineStr">
        <is>
          <t>Namun, jika Anda tidak ingin melakukan integer division dan ingin mendapatkan hasil floating-point number, Anda dapat menggunakan operator `/` saja.</t>
        </is>
      </c>
      <c r="E332" t="inlineStr">
        <is>
          <t>YA (didukung konteks)</t>
        </is>
      </c>
    </row>
    <row r="333">
      <c r="A333" t="n">
        <v>28</v>
      </c>
      <c r="B333" t="inlineStr">
        <is>
          <t>B</t>
        </is>
      </c>
      <c r="C333" t="n">
        <v>3</v>
      </c>
      <c r="D333" s="3" t="inlineStr">
        <is>
          <t>Dalam pseudocode CT (Common Table), jika Anda tulis `7 / 2`, hasilnya akan menjadi `3,5` (tidak hanya `3` seperti di C).</t>
        </is>
      </c>
      <c r="E333" t="inlineStr">
        <is>
          <t>YA (didukung konteks)</t>
        </is>
      </c>
    </row>
    <row r="334">
      <c r="A334" t="n">
        <v>28</v>
      </c>
      <c r="B334" t="inlineStr">
        <is>
          <t>B</t>
        </is>
      </c>
      <c r="C334" t="n">
        <v>4</v>
      </c>
      <c r="D334" s="3" t="inlineStr">
        <is>
          <t>Pseudocode CT berbasis floating-point number dan tidak melakukan integer division secara default.</t>
        </is>
      </c>
      <c r="E334" t="inlineStr">
        <is>
          <t>YA (didukung konteks)</t>
        </is>
      </c>
    </row>
    <row r="335">
      <c r="A335" t="n">
        <v>29</v>
      </c>
      <c r="B335" t="inlineStr">
        <is>
          <t>A</t>
        </is>
      </c>
      <c r="C335" t="n">
        <v>1</v>
      </c>
      <c r="D335" s="3" t="inlineStr">
        <is>
          <t>Dalam sintesis, ekspresi `(A AND NOT B) OR (NOT A AND B)` akan menghasilkan nilai True jika salah satu dari dua kondisi berikut terpenuhi: A tidak bernilai True dan B tidak bernilai True, atau A tidak bernilai True dan B</t>
        </is>
      </c>
      <c r="E335" t="inlineStr">
        <is>
          <t>YA (didukung konteks)</t>
        </is>
      </c>
    </row>
    <row r="336">
      <c r="A336" t="n">
        <v>29</v>
      </c>
      <c r="B336" t="inlineStr">
        <is>
          <t>A</t>
        </is>
      </c>
      <c r="C336" t="n">
        <v>2</v>
      </c>
      <c r="D336" s="3" t="inlineStr">
        <is>
          <t>Bagian pertama menggunakan operator `AND` untuk menggabungkan nilai A dengan negasi B, sehingga hasilnya True hanya jika A bernilai True dan B tidak bernilai True.</t>
        </is>
      </c>
      <c r="E336" t="inlineStr">
        <is>
          <t>YA (didukung konteks)</t>
        </is>
      </c>
    </row>
    <row r="337">
      <c r="A337" t="n">
        <v>29</v>
      </c>
      <c r="B337" t="inlineStr">
        <is>
          <t>A</t>
        </is>
      </c>
      <c r="C337" t="n">
        <v>3</v>
      </c>
      <c r="D337" s="3" t="inlineStr">
        <is>
          <t>Bagian kedua menggunakan operator `AND` untuk menggabungkan negasi A dengan B, sehingga hasilnya True hanya jika A tidak bernilai True dan B bernilai True.</t>
        </is>
      </c>
      <c r="E337" t="inlineStr">
        <is>
          <t>YA (didukung konteks)</t>
        </is>
      </c>
    </row>
    <row r="338">
      <c r="A338" t="n">
        <v>29</v>
      </c>
      <c r="B338" t="inlineStr">
        <is>
          <t>A</t>
        </is>
      </c>
      <c r="C338" t="n">
        <v>4</v>
      </c>
      <c r="D338" s="3" t="inlineStr">
        <is>
          <t>Operator `AND` digunakan untuk menggabungkan dua atau lebih ekspresi boolean, sehingga hasilnya True hanya jika semua operand bernilai True.</t>
        </is>
      </c>
      <c r="E338" t="inlineStr">
        <is>
          <t>YA (didukung konteks)</t>
        </is>
      </c>
    </row>
    <row r="339">
      <c r="A339" t="n">
        <v>29</v>
      </c>
      <c r="B339" t="inlineStr">
        <is>
          <t>A</t>
        </is>
      </c>
      <c r="C339" t="n">
        <v>5</v>
      </c>
      <c r="D339" s="3" t="inlineStr">
        <is>
          <t>Dalam tabel kebenaran di atas, kita dapat melihat bahwa hasil ekspresi `(A AND NOT B) OR (NOT A AND B)` bergantung pada nilai A dan B.</t>
        </is>
      </c>
      <c r="E339" t="inlineStr">
        <is>
          <t>YA (didukung konteks)</t>
        </is>
      </c>
    </row>
    <row r="340">
      <c r="A340" t="n">
        <v>29</v>
      </c>
      <c r="B340" t="inlineStr">
        <is>
          <t>A</t>
        </is>
      </c>
      <c r="C340" t="n">
        <v>6</v>
      </c>
      <c r="D340" s="3" t="inlineStr">
        <is>
          <t>Ekspresi ini menggunakan operator logika untuk menggabungkan dua atau lebih ekspresi boolean dan menghasilkan nilai boolean.</t>
        </is>
      </c>
      <c r="E340" t="inlineStr">
        <is>
          <t>YA (didukung konteks)</t>
        </is>
      </c>
    </row>
    <row r="341">
      <c r="A341" t="n">
        <v>29</v>
      </c>
      <c r="B341" t="inlineStr">
        <is>
          <t>B</t>
        </is>
      </c>
      <c r="C341" t="n">
        <v>1</v>
      </c>
      <c r="D341" s="3" t="inlineStr">
        <is>
          <t>Dari tabel di atas, dapat dilihat bahwa hasil ekspresi (A AND NOT B) OR (NOT A AND B) adalah:</t>
        </is>
      </c>
      <c r="E341" t="inlineStr">
        <is>
          <t>YA (didukung konteks)</t>
        </is>
      </c>
    </row>
    <row r="342">
      <c r="A342" t="n">
        <v>29</v>
      </c>
      <c r="B342" t="inlineStr">
        <is>
          <t>B</t>
        </is>
      </c>
      <c r="C342" t="n">
        <v>2</v>
      </c>
      <c r="D342" s="3" t="inlineStr">
        <is>
          <t>* Jika A=False dan B=False, maka (A AND NOT B)=T dan (NOT A AND B)=T, sehingga hasilnya T.</t>
        </is>
      </c>
      <c r="E342" t="inlineStr">
        <is>
          <t>YA (didukung konteks)</t>
        </is>
      </c>
    </row>
    <row r="343">
      <c r="A343" t="n">
        <v>29</v>
      </c>
      <c r="B343" t="inlineStr">
        <is>
          <t>B</t>
        </is>
      </c>
      <c r="C343" t="n">
        <v>3</v>
      </c>
      <c r="D343" s="3" t="inlineStr">
        <is>
          <t>* Jika A=True dan B=False, maka (A AND NOT B)=F dan (NOT A AND B)=T, sehingga hasilnya T.</t>
        </is>
      </c>
      <c r="E343" t="inlineStr">
        <is>
          <t>YA (didukung konteks)</t>
        </is>
      </c>
    </row>
    <row r="344">
      <c r="A344" t="n">
        <v>29</v>
      </c>
      <c r="B344" t="inlineStr">
        <is>
          <t>B</t>
        </is>
      </c>
      <c r="C344" t="n">
        <v>4</v>
      </c>
      <c r="D344" s="3" t="inlineStr">
        <is>
          <t>* Jika A=False dan B=True, maka (A AND NOT B)=T dan (NOT A AND B)=F, sehingga hasilnya T.</t>
        </is>
      </c>
      <c r="E344" t="inlineStr">
        <is>
          <t>YA (didukung konteks)</t>
        </is>
      </c>
    </row>
    <row r="345">
      <c r="A345" t="n">
        <v>29</v>
      </c>
      <c r="B345" t="inlineStr">
        <is>
          <t>B</t>
        </is>
      </c>
      <c r="C345" t="n">
        <v>5</v>
      </c>
      <c r="D345" s="3" t="inlineStr">
        <is>
          <t>* Jika A=True dan B=True, maka (A AND NOT B)=F dan (NOT A AND B)=F, sehingga hasilnya F.</t>
        </is>
      </c>
      <c r="E345" t="inlineStr">
        <is>
          <t>YA (didukung konteks)</t>
        </is>
      </c>
    </row>
    <row r="346">
      <c r="A346" t="n">
        <v>29</v>
      </c>
      <c r="B346" t="inlineStr">
        <is>
          <t>B</t>
        </is>
      </c>
      <c r="C346" t="n">
        <v>6</v>
      </c>
      <c r="D346" s="3" t="inlineStr">
        <is>
          <t>Tabel kebenaran untuk ekspresi (A AND NOT B) OR (NOT A AND B) sebagai berikut:</t>
        </is>
      </c>
      <c r="E346" t="inlineStr">
        <is>
          <t>YA (didukung konteks)</t>
        </is>
      </c>
    </row>
    <row r="347">
      <c r="A347" t="n">
        <v>30</v>
      </c>
      <c r="B347" t="inlineStr">
        <is>
          <t>A</t>
        </is>
      </c>
      <c r="C347" t="n">
        <v>1</v>
      </c>
      <c r="D347" s="3" t="inlineStr">
        <is>
          <t>Jadi, jawaban pada pertanyaan ini adalah bahwa kita dapat menggunakan struktur data gabungan seperti struct di CT, atau menggunakan list untuk menyimpan data mahasiswa.</t>
        </is>
      </c>
      <c r="E347" t="inlineStr">
        <is>
          <t>YA (didukung konteks)</t>
        </is>
      </c>
    </row>
    <row r="348">
      <c r="A348" t="n">
        <v>30</v>
      </c>
      <c r="B348" t="inlineStr">
        <is>
          <t>A</t>
        </is>
      </c>
      <c r="C348" t="n">
        <v>2</v>
      </c>
      <c r="D348" s="3" t="inlineStr">
        <is>
          <t>Keduanya memiliki kelebihan dan kekurangannya sendiri, tetapi dapat membantu kita dalam mengatasi masalah penyimpanan data mahasiswa yang kompleks.</t>
        </is>
      </c>
      <c r="E348" t="inlineStr">
        <is>
          <t>YA (didukung konteks)</t>
        </is>
      </c>
    </row>
    <row r="349">
      <c r="A349" t="n">
        <v>30</v>
      </c>
      <c r="B349" t="inlineStr">
        <is>
          <t>A</t>
        </is>
      </c>
      <c r="C349" t="n">
        <v>3</v>
      </c>
      <c r="D349" s="3" t="inlineStr">
        <is>
          <t>Struktur data gabungan memungkinkan kita untuk menyimpan beberapa variabel dengan tipe data yang berbeda dalam satu objek.</t>
        </is>
      </c>
      <c r="E349" t="inlineStr">
        <is>
          <t>YA (didukung konteks)</t>
        </is>
      </c>
    </row>
    <row r="350">
      <c r="A350" t="n">
        <v>30</v>
      </c>
      <c r="B350" t="inlineStr">
        <is>
          <t>A</t>
        </is>
      </c>
      <c r="C350" t="n">
        <v>4</v>
      </c>
      <c r="D350" s="3" t="inlineStr">
        <is>
          <t>Contohnya, kita dapat membuat struct "Mahasiswa" yang memiliki atribut nama (string), NIM (integer), dan nilai (float).</t>
        </is>
      </c>
      <c r="E350" t="inlineStr">
        <is>
          <t>YA (didukung konteks)</t>
        </is>
      </c>
    </row>
    <row r="351">
      <c r="A351" t="n">
        <v>30</v>
      </c>
      <c r="B351" t="inlineStr">
        <is>
          <t>A</t>
        </is>
      </c>
      <c r="C351" t="n">
        <v>5</v>
      </c>
      <c r="D351" s="3" t="inlineStr">
        <is>
          <t>Dengan menggunakan struktur data gabungan ini, kita dapat dengan mudah mengakses dan memanipulasi data mahasiswa.</t>
        </is>
      </c>
      <c r="E351" t="inlineStr">
        <is>
          <t>YA (didukung konteks)</t>
        </is>
      </c>
    </row>
    <row r="352">
      <c r="A352" t="n">
        <v>30</v>
      </c>
      <c r="B352" t="inlineStr">
        <is>
          <t>A</t>
        </is>
      </c>
      <c r="C352" t="n">
        <v>6</v>
      </c>
      <c r="D352" s="3" t="inlineStr">
        <is>
          <t>Kita dapat membuat list yang berisi beberapa elemen, masing-masing memiliki atribut nama, NIM, dan nilai.</t>
        </is>
      </c>
      <c r="E352" t="inlineStr">
        <is>
          <t>YA (didukung konteks)</t>
        </is>
      </c>
    </row>
    <row r="353">
      <c r="A353" t="n">
        <v>30</v>
      </c>
      <c r="B353" t="inlineStr">
        <is>
          <t>B</t>
        </is>
      </c>
      <c r="C353" t="n">
        <v>1</v>
      </c>
      <c r="D353" s="3" t="inlineStr">
        <is>
          <t>Namun, perlu diingat bahwa pada umumnya, tipe data gabungan seperti struct di C tidak ada dalam pemrograman, namun kita dapat menggunakan kombinasi dari tipe data yang telah kita pelajari untuk mencapai tujuan yang sama.</t>
        </is>
      </c>
      <c r="E353" t="inlineStr">
        <is>
          <t>YA (didukung konteks)</t>
        </is>
      </c>
    </row>
    <row r="354">
      <c r="A354" t="n">
        <v>30</v>
      </c>
      <c r="B354" t="inlineStr">
        <is>
          <t>B</t>
        </is>
      </c>
      <c r="C354" t="n">
        <v>2</v>
      </c>
      <c r="D354" s="3" t="inlineStr">
        <is>
          <t>Pada umumnya, pemrograman tidak memiliki tipe data gabungan seperti struct di C, namun kita dapat menggunakan kombinasi dari tipe data yang telah kita pelajari untuk menyimpan data mahasiswa.</t>
        </is>
      </c>
      <c r="E354" t="inlineStr">
        <is>
          <t>YA (didukung konteks)</t>
        </is>
      </c>
    </row>
    <row r="355">
      <c r="A355" t="n">
        <v>30</v>
      </c>
      <c r="B355" t="inlineStr">
        <is>
          <t>B</t>
        </is>
      </c>
      <c r="C355" t="n">
        <v>3</v>
      </c>
      <c r="D355" s="3" t="inlineStr">
        <is>
          <t>Dengan demikian, kita dapat mengakses nilai-niali tersebut menggunakan kunci (key) seperti `data_mahasiswa["nama"]` atau `data_mahasiswa["nilai"]`.</t>
        </is>
      </c>
      <c r="E355" t="inlineStr">
        <is>
          <t>YA (didukung konteks)</t>
        </is>
      </c>
    </row>
    <row r="356">
      <c r="A356" t="n">
        <v>30</v>
      </c>
      <c r="B356" t="inlineStr">
        <is>
          <t>B</t>
        </is>
      </c>
      <c r="C356" t="n">
        <v>4</v>
      </c>
      <c r="D356" s="3" t="inlineStr">
        <is>
          <t>Kemudian, kita membuat objek `mahasiswa` dari class tersebut dan mengakses nilai-niali tersebut menggunakan atributnya.</t>
        </is>
      </c>
      <c r="E356" t="inlineStr">
        <is>
          <t>YA (didukung konteks)</t>
        </is>
      </c>
    </row>
    <row r="357">
      <c r="A357" t="n">
        <v>30</v>
      </c>
      <c r="B357" t="inlineStr">
        <is>
          <t>B</t>
        </is>
      </c>
      <c r="C357" t="n">
        <v>5</v>
      </c>
      <c r="D357" s="3" t="inlineStr">
        <is>
          <t>Salah satu cara adalah dengan menggunakan dictionary (dalam Python) atau dictionary-like object (dalam bahasa lain).</t>
        </is>
      </c>
      <c r="E357" t="inlineStr">
        <is>
          <t>YA (didukung konteks)</t>
        </is>
      </c>
    </row>
    <row r="358">
      <c r="A358" t="n">
        <v>30</v>
      </c>
      <c r="B358" t="inlineStr">
        <is>
          <t>B</t>
        </is>
      </c>
      <c r="C358" t="n">
        <v>6</v>
      </c>
      <c r="D358" s="3" t="inlineStr">
        <is>
          <t>Dalam contoh di atas, kita membuat sebuah class `Mahasiswa` dengan atribut-atribut nama, NIM, dan nilai.</t>
        </is>
      </c>
      <c r="E358" t="inlineStr">
        <is>
          <t>YA (didukung konteks)</t>
        </is>
      </c>
    </row>
    <row r="359">
      <c r="A359" t="n">
        <v>31</v>
      </c>
      <c r="B359" t="inlineStr">
        <is>
          <t>A</t>
        </is>
      </c>
      <c r="C359" t="n">
        <v>1</v>
      </c>
      <c r="D359" s="3" t="inlineStr">
        <is>
          <t>Saya akan menjawab pertanyaan mahasiswa dengan menggunakan istilah teknis yang ada dalam materi referensi.</t>
        </is>
      </c>
      <c r="E359" t="inlineStr">
        <is>
          <t>YA (didukung konteks)</t>
        </is>
      </c>
    </row>
    <row r="360">
      <c r="A360" t="n">
        <v>31</v>
      </c>
      <c r="B360" t="inlineStr">
        <is>
          <t>A</t>
        </is>
      </c>
      <c r="C360" t="n">
        <v>2</v>
      </c>
      <c r="D360" s="3" t="inlineStr">
        <is>
          <t>Ketika input x=-3 dan y=5, maka kondisi pertama `x &gt; 0` tidak terpenuhi karena x=-3.</t>
        </is>
      </c>
      <c r="E360" t="inlineStr">
        <is>
          <t>TIDAK (tidak didukung)</t>
        </is>
      </c>
    </row>
    <row r="361">
      <c r="A361" t="n">
        <v>31</v>
      </c>
      <c r="B361" t="inlineStr">
        <is>
          <t>A</t>
        </is>
      </c>
      <c r="C361" t="n">
        <v>3</v>
      </c>
      <c r="D361" s="3" t="inlineStr">
        <is>
          <t>Kita lihat bahwa y=5, sehingga kondisi ini juga terpenuhi.</t>
        </is>
      </c>
      <c r="E361" t="inlineStr">
        <is>
          <t>YA (didukung konteks)</t>
        </is>
      </c>
    </row>
    <row r="362">
      <c r="A362" t="n">
        <v>31</v>
      </c>
      <c r="B362" t="inlineStr">
        <is>
          <t>A</t>
        </is>
      </c>
      <c r="C362" t="n">
        <v>4</v>
      </c>
      <c r="D362" s="3" t="inlineStr">
        <is>
          <t>Dalam blok else, kita memiliki kondisi kedua `y &gt; 0`.</t>
        </is>
      </c>
      <c r="E362" t="inlineStr">
        <is>
          <t>YA (didukung konteks)</t>
        </is>
      </c>
    </row>
    <row r="363">
      <c r="A363" t="n">
        <v>31</v>
      </c>
      <c r="B363" t="inlineStr">
        <is>
          <t>A</t>
        </is>
      </c>
      <c r="C363" t="n">
        <v>5</v>
      </c>
      <c r="D363" s="3" t="inlineStr">
        <is>
          <t>Oleh karena itu, jawaban yang benar adalah Q2.</t>
        </is>
      </c>
      <c r="E363" t="inlineStr">
        <is>
          <t>YA (didukung konteks)</t>
        </is>
      </c>
    </row>
    <row r="364">
      <c r="A364" t="n">
        <v>31</v>
      </c>
      <c r="B364" t="inlineStr">
        <is>
          <t>A</t>
        </is>
      </c>
      <c r="C364" t="n">
        <v>6</v>
      </c>
      <c r="D364" s="3" t="inlineStr">
        <is>
          <t>if (y &gt; 0) then print('Q1') else print('Q4')</t>
        </is>
      </c>
      <c r="E364" t="inlineStr">
        <is>
          <t>YA (didukung konteks)</t>
        </is>
      </c>
    </row>
    <row r="365">
      <c r="A365" t="n">
        <v>31</v>
      </c>
      <c r="B365" t="inlineStr">
        <is>
          <t>B</t>
        </is>
      </c>
      <c r="C365" t="n">
        <v>1</v>
      </c>
      <c r="D365" s="3" t="inlineStr">
        <is>
          <t>Jadi, jawaban yang benar adalah Q2, tapi tidak ada yang salah karena pseudocode telah dieksekusi dengan benar untuk input x = -3 dan y = 5.</t>
        </is>
      </c>
      <c r="E365" t="inlineStr">
        <is>
          <t>TIDAK (tidak didukung)</t>
        </is>
      </c>
    </row>
    <row r="366">
      <c r="A366" t="n">
        <v>31</v>
      </c>
      <c r="B366" t="inlineStr">
        <is>
          <t>B</t>
        </is>
      </c>
      <c r="C366" t="n">
        <v>2</v>
      </c>
      <c r="D366" s="3" t="inlineStr">
        <is>
          <t>Untuk input x = -3 dan y = 5, pseudocode akan dieksekusi seperti berikut:</t>
        </is>
      </c>
      <c r="E366" t="inlineStr">
        <is>
          <t>YA (didukung konteks)</t>
        </is>
      </c>
    </row>
    <row r="367">
      <c r="A367" t="n">
        <v>31</v>
      </c>
      <c r="B367" t="inlineStr">
        <is>
          <t>B</t>
        </is>
      </c>
      <c r="C367" t="n">
        <v>3</v>
      </c>
      <c r="D367" s="3" t="inlineStr">
        <is>
          <t>Sejak y = 5 lebih dari 0, maka program akan mencetak 'Q2', bukan 'Q3'.</t>
        </is>
      </c>
      <c r="E367" t="inlineStr">
        <is>
          <t>YA (didukung konteks)</t>
        </is>
      </c>
    </row>
    <row r="368">
      <c r="A368" t="n">
        <v>31</v>
      </c>
      <c r="B368" t="inlineStr">
        <is>
          <t>B</t>
        </is>
      </c>
      <c r="C368" t="n">
        <v>4</v>
      </c>
      <c r="D368" s="3" t="inlineStr">
        <is>
          <t>Sejak x = -3 tidak lebih dari 0, maka program masuk ke bagian else.</t>
        </is>
      </c>
      <c r="E368" t="inlineStr">
        <is>
          <t>YA (didukung konteks)</t>
        </is>
      </c>
    </row>
    <row r="369">
      <c r="A369" t="n">
        <v>31</v>
      </c>
      <c r="B369" t="inlineStr">
        <is>
          <t>B</t>
        </is>
      </c>
      <c r="C369" t="n">
        <v>5</v>
      </c>
      <c r="D369" s="3" t="inlineStr">
        <is>
          <t>else if (y &gt; 0) then print('Q2') else print('Q3')</t>
        </is>
      </c>
      <c r="E369" t="inlineStr">
        <is>
          <t>YA (didukung konteks)</t>
        </is>
      </c>
    </row>
    <row r="370">
      <c r="A370" t="n">
        <v>32</v>
      </c>
      <c r="B370" t="inlineStr">
        <is>
          <t>A</t>
        </is>
      </c>
      <c r="C370" t="n">
        <v>1</v>
      </c>
      <c r="D370" s="3" t="inlineStr">
        <is>
          <t>Perbedaan utama antara nested if dan AND adalah bahwa nested if digunakan untuk mengecek dua atau lebih kondisi secara bergantian, sementara AND digunakan untuk mengecek dua atau lebih kondisi yang harus terpenuhi secara</t>
        </is>
      </c>
      <c r="E370" t="inlineStr">
        <is>
          <t>YA (didukung konteks)</t>
        </is>
      </c>
    </row>
    <row r="371">
      <c r="A371" t="n">
        <v>32</v>
      </c>
      <c r="B371" t="inlineStr">
        <is>
          <t>A</t>
        </is>
      </c>
      <c r="C371" t="n">
        <v>2</v>
      </c>
      <c r="D371" s="3" t="inlineStr">
        <is>
          <t>Sebaliknya, AND (logika konjungsi) digunakan untuk mengecek dua atau lebih kondisi yang harus terpenuhi secara bersama-sama.</t>
        </is>
      </c>
      <c r="E371" t="inlineStr">
        <is>
          <t>YA (didukung konteks)</t>
        </is>
      </c>
    </row>
    <row r="372">
      <c r="A372" t="n">
        <v>32</v>
      </c>
      <c r="B372" t="inlineStr">
        <is>
          <t>A</t>
        </is>
      </c>
      <c r="C372" t="n">
        <v>3</v>
      </c>
      <c r="D372" s="3" t="inlineStr">
        <is>
          <t>Mahasiswa, Anda harus mencari perbedaan antara nested if dan AND (logika konjungsi) dalam penggunaan conditional statement.</t>
        </is>
      </c>
      <c r="E372" t="inlineStr">
        <is>
          <t>YA (didukung konteks)</t>
        </is>
      </c>
    </row>
    <row r="373">
      <c r="A373" t="n">
        <v>32</v>
      </c>
      <c r="B373" t="inlineStr">
        <is>
          <t>A</t>
        </is>
      </c>
      <c r="C373" t="n">
        <v>4</v>
      </c>
      <c r="D373" s="3" t="inlineStr">
        <is>
          <t>Nested if biasanya digunakan untuk mengecek dua atau lebih kondisi yang terjadi secara bergantian, seperti pada contoh:</t>
        </is>
      </c>
      <c r="E373" t="inlineStr">
        <is>
          <t>YA (didukung konteks)</t>
        </is>
      </c>
    </row>
    <row r="374">
      <c r="A374" t="n">
        <v>32</v>
      </c>
      <c r="B374" t="inlineStr">
        <is>
          <t>A</t>
        </is>
      </c>
      <c r="C374" t="n">
        <v>5</v>
      </c>
      <c r="D374" s="3" t="inlineStr">
        <is>
          <t>Dalam contoh di atas, kita menggunakan nested if untuk mengecek dua kondisi: suhu &gt; 35 dan kelembaban &gt; 80.</t>
        </is>
      </c>
      <c r="E374" t="inlineStr">
        <is>
          <t>YA (didukung konteks)</t>
        </is>
      </c>
    </row>
    <row r="375">
      <c r="A375" t="n">
        <v>32</v>
      </c>
      <c r="B375" t="inlineStr">
        <is>
          <t>A</t>
        </is>
      </c>
      <c r="C375" t="n">
        <v>6</v>
      </c>
      <c r="D375" s="3" t="inlineStr">
        <is>
          <t>Dalam contoh di atas, kita menggunakan AND untuk mengecek dua kondisi: suhu &gt; 35 dan kelembaban &gt; 80.</t>
        </is>
      </c>
      <c r="E375" t="inlineStr">
        <is>
          <t>TIDAK (tidak didukung)</t>
        </is>
      </c>
    </row>
    <row r="376">
      <c r="A376" t="n">
        <v>32</v>
      </c>
      <c r="B376" t="inlineStr">
        <is>
          <t>B</t>
        </is>
      </c>
      <c r="C376" t="n">
        <v>1</v>
      </c>
      <c r="D376" s="3" t="inlineStr">
        <is>
          <t>Sintaks nested if biasanya digunakan untuk tujuan lain, seperti dalam kasus Anda yang ingin mengecek beberapa kondisi dan mengulangi pengecekan jika salah satu kondisi benar.</t>
        </is>
      </c>
      <c r="E376" t="inlineStr">
        <is>
          <t>YA (didukung konteks)</t>
        </is>
      </c>
    </row>
    <row r="377">
      <c r="A377" t="n">
        <v>32</v>
      </c>
      <c r="B377" t="inlineStr">
        <is>
          <t>B</t>
        </is>
      </c>
      <c r="C377" t="n">
        <v>2</v>
      </c>
      <c r="D377" s="3" t="inlineStr">
        <is>
          <t>Sintaks nested if hanya menghasilkan output jika kondisi awal (suhu &gt; 35) benar, kemudian kondisi kedua (kelembaban &gt; 80) diulangi dan dieksekusi apabila kondisi awal benar.</t>
        </is>
      </c>
      <c r="E377" t="inlineStr">
        <is>
          <t>YA (didukung konteks)</t>
        </is>
      </c>
    </row>
    <row r="378">
      <c r="A378" t="n">
        <v>32</v>
      </c>
      <c r="B378" t="inlineStr">
        <is>
          <t>B</t>
        </is>
      </c>
      <c r="C378" t="n">
        <v>3</v>
      </c>
      <c r="D378" s="3" t="inlineStr">
        <is>
          <t>Dengan kata lain, sintaks AND lebih berfokus pada hasil akhir, sedangkan sintaks nested if lebih berfokus pada proses pengecekan.</t>
        </is>
      </c>
      <c r="E378" t="inlineStr">
        <is>
          <t>YA (didukung konteks)</t>
        </is>
      </c>
    </row>
    <row r="379">
      <c r="A379" t="n">
        <v>32</v>
      </c>
      <c r="B379" t="inlineStr">
        <is>
          <t>B</t>
        </is>
      </c>
      <c r="C379" t="n">
        <v>4</v>
      </c>
      <c r="D379" s="3" t="inlineStr">
        <is>
          <t>Dalam sintaks nested if, kita menggunakan kondisi if-else untuk mengulangi pengecekan kondisi jika kondisi sebelumnya benar.</t>
        </is>
      </c>
      <c r="E379" t="inlineStr">
        <is>
          <t>YA (didukung konteks)</t>
        </is>
      </c>
    </row>
    <row r="380">
      <c r="A380" t="n">
        <v>32</v>
      </c>
      <c r="B380" t="inlineStr">
        <is>
          <t>B</t>
        </is>
      </c>
      <c r="C380" t="n">
        <v>5</v>
      </c>
      <c r="D380" s="3" t="inlineStr">
        <is>
          <t>Dalam praktiknya, sintaks AND lebih efektif karena dapat mengeksekusi kode yang sesuai hanya jika semua kondisi terpenuhi.</t>
        </is>
      </c>
      <c r="E380" t="inlineStr">
        <is>
          <t>YA (didukung konteks)</t>
        </is>
      </c>
    </row>
    <row r="381">
      <c r="A381" t="n">
        <v>32</v>
      </c>
      <c r="B381" t="inlineStr">
        <is>
          <t>B</t>
        </is>
      </c>
      <c r="C381" t="n">
        <v>6</v>
      </c>
      <c r="D381" s="3" t="inlineStr">
        <is>
          <t>Sintaks AND, sebaliknya, akan menghasilkan output hanya jika baik suhu &gt; 35 dan kelembaban &gt; 80 berkonversi.</t>
        </is>
      </c>
      <c r="E381" t="inlineStr">
        <is>
          <t>YA (didukung konteks)</t>
        </is>
      </c>
    </row>
    <row r="382">
      <c r="A382" t="n">
        <v>33</v>
      </c>
      <c r="B382" t="inlineStr">
        <is>
          <t>A</t>
        </is>
      </c>
      <c r="C382" t="n">
        <v>1</v>
      </c>
      <c r="D382" s="3" t="inlineStr">
        <is>
          <t>Pada dasarnya, else-if bekerja dengan cara memeriksa kondisi-kondisi secara berurutan hingga salah satu kondisi terpenuhi.</t>
        </is>
      </c>
      <c r="E382" t="inlineStr">
        <is>
          <t>YA (didukung konteks)</t>
        </is>
      </c>
    </row>
    <row r="383">
      <c r="A383" t="n">
        <v>33</v>
      </c>
      <c r="B383" t="inlineStr">
        <is>
          <t>A</t>
        </is>
      </c>
      <c r="C383" t="n">
        <v>2</v>
      </c>
      <c r="D383" s="3" t="inlineStr">
        <is>
          <t>Karena else-if bekerja dengan cara memeriksa kondisi-kondisi secara berurutan hingga salah satu kondisi terpenuhi.</t>
        </is>
      </c>
      <c r="E383" t="inlineStr">
        <is>
          <t>YA (didukung konteks)</t>
        </is>
      </c>
    </row>
    <row r="384">
      <c r="A384" t="n">
        <v>33</v>
      </c>
      <c r="B384" t="inlineStr">
        <is>
          <t>A</t>
        </is>
      </c>
      <c r="C384" t="n">
        <v>3</v>
      </c>
      <c r="D384" s="3" t="inlineStr">
        <is>
          <t>Ada beberapa bentuk percabangan, seperti if-then, if-then-else, else-if sekuensial, dan nested (bersarang).</t>
        </is>
      </c>
      <c r="E384" t="inlineStr">
        <is>
          <t>YA (didukung konteks)</t>
        </is>
      </c>
    </row>
    <row r="385">
      <c r="A385" t="n">
        <v>33</v>
      </c>
      <c r="B385" t="inlineStr">
        <is>
          <t>A</t>
        </is>
      </c>
      <c r="C385" t="n">
        <v>4</v>
      </c>
      <c r="D385" s="3" t="inlineStr">
        <is>
          <t>Dalam contoh Anda, karena nilai 90 &gt;= 85, maka kondisi pertama benar dan blok instruksi-A akan dieksekusi.</t>
        </is>
      </c>
      <c r="E385" t="inlineStr">
        <is>
          <t>YA (didukung konteks)</t>
        </is>
      </c>
    </row>
    <row r="386">
      <c r="A386" t="n">
        <v>33</v>
      </c>
      <c r="B386" t="inlineStr">
        <is>
          <t>A</t>
        </is>
      </c>
      <c r="C386" t="n">
        <v>5</v>
      </c>
      <c r="D386" s="3" t="inlineStr">
        <is>
          <t>Jika kondisi pertama bernilai True, maka blok instruksi yang terkait dengannya akan dieksekusi.</t>
        </is>
      </c>
      <c r="E386" t="inlineStr">
        <is>
          <t>YA (didukung konteks)</t>
        </is>
      </c>
    </row>
    <row r="387">
      <c r="A387" t="n">
        <v>33</v>
      </c>
      <c r="B387" t="inlineStr">
        <is>
          <t>A</t>
        </is>
      </c>
      <c r="C387" t="n">
        <v>6</v>
      </c>
      <c r="D387" s="3" t="inlineStr">
        <is>
          <t>Kali ini kita akan membahas tentang percabangan (conditionals) dalam Computational Thinking.</t>
        </is>
      </c>
      <c r="E387" t="inlineStr">
        <is>
          <t>YA (didukung konteks)</t>
        </is>
      </c>
    </row>
    <row r="388">
      <c r="A388" t="n">
        <v>33</v>
      </c>
      <c r="B388" t="inlineStr">
        <is>
          <t>B</t>
        </is>
      </c>
      <c r="C388" t="n">
        <v>1</v>
      </c>
      <c r="D388" s="3" t="inlineStr">
        <is>
          <t>Artinya, jika kita memiliki beberapa kondisi, maka else-if akan berhenti di kondisi pertama yang true dan tidak melanjutkan evaluasi ke kondisi-kondisi lainnya.</t>
        </is>
      </c>
      <c r="E388" t="inlineStr">
        <is>
          <t>YA (didukung konteks)</t>
        </is>
      </c>
    </row>
    <row r="389">
      <c r="A389" t="n">
        <v>33</v>
      </c>
      <c r="B389" t="inlineStr">
        <is>
          <t>B</t>
        </is>
      </c>
      <c r="C389" t="n">
        <v>2</v>
      </c>
      <c r="D389" s="3" t="inlineStr">
        <is>
          <t>Ketika kita memiliki else-if dengan beberapa kondisi, hanya satu kondisi yang dieksekusi jika kondisi-kondisi sebelumnya sudah true.</t>
        </is>
      </c>
      <c r="E389" t="inlineStr">
        <is>
          <t>YA (didukung konteks)</t>
        </is>
      </c>
    </row>
    <row r="390">
      <c r="A390" t="n">
        <v>33</v>
      </c>
      <c r="B390" t="inlineStr">
        <is>
          <t>B</t>
        </is>
      </c>
      <c r="C390" t="n">
        <v>3</v>
      </c>
      <c r="D390" s="3" t="inlineStr">
        <is>
          <t>Karena kondisi pertama sudah true, maka proses evaluasi tidak melanjutkan ke kondisi-kondisi lainnya.</t>
        </is>
      </c>
      <c r="E390" t="inlineStr">
        <is>
          <t>YA (didukung konteks)</t>
        </is>
      </c>
    </row>
    <row r="391">
      <c r="A391" t="n">
        <v>33</v>
      </c>
      <c r="B391" t="inlineStr">
        <is>
          <t>B</t>
        </is>
      </c>
      <c r="C391" t="n">
        <v>4</v>
      </c>
      <c r="D391" s="3" t="inlineStr">
        <is>
          <t>Penjelasan: Dalam else-if, kita memiliki beberapa kondisi yang diuji secara berurutan.</t>
        </is>
      </c>
      <c r="E391" t="inlineStr">
        <is>
          <t>YA (didukung konteks)</t>
        </is>
      </c>
    </row>
    <row r="392">
      <c r="A392" t="n">
        <v>33</v>
      </c>
      <c r="B392" t="inlineStr">
        <is>
          <t>B</t>
        </is>
      </c>
      <c r="C392" t="n">
        <v>5</v>
      </c>
      <c r="D392" s="3" t="inlineStr">
        <is>
          <t>Kita lihat kondisi pertama (&gt;=85) dan karena nilai saya 90, maka kondisi ini true.</t>
        </is>
      </c>
      <c r="E392" t="inlineStr">
        <is>
          <t>YA (didukung konteks)</t>
        </is>
      </c>
    </row>
    <row r="393">
      <c r="A393" t="n">
        <v>33</v>
      </c>
      <c r="B393" t="inlineStr">
        <is>
          <t>B</t>
        </is>
      </c>
      <c r="C393" t="n">
        <v>6</v>
      </c>
      <c r="D393" s="3" t="inlineStr">
        <is>
          <t>Jadi, dalam kasus ini, hanya A yang dieksekusi dan nilai saya adalah A (90-100%).</t>
        </is>
      </c>
      <c r="E393" t="inlineStr">
        <is>
          <t>YA (didukung konteks)</t>
        </is>
      </c>
    </row>
    <row r="394">
      <c r="A394" t="n">
        <v>34</v>
      </c>
      <c r="B394" t="inlineStr">
        <is>
          <t>A</t>
        </is>
      </c>
      <c r="C394" t="n">
        <v>1</v>
      </c>
      <c r="D394" s="3" t="inlineStr">
        <is>
          <t>Kondisi-kondisi tersebut diterapkan secara berurutan, dan jika nilai tidak memenuhi syarat pada kondisi pertama, maka akan diuji oleh kondisi-kondisi lainnya.</t>
        </is>
      </c>
      <c r="E394" t="inlineStr">
        <is>
          <t>YA (didukung konteks)</t>
        </is>
      </c>
    </row>
    <row r="395">
      <c r="A395" t="n">
        <v>34</v>
      </c>
      <c r="B395" t="inlineStr">
        <is>
          <t>A</t>
        </is>
      </c>
      <c r="C395" t="n">
        <v>2</v>
      </c>
      <c r="D395" s="3" t="inlineStr">
        <is>
          <t>Pseudocode tersebut adalah: `if (nilai&gt;=85) then print('A') else if (nilai&gt;=70) then print('B') else if (nilai&gt;=55) then print('C') else print('D')`.</t>
        </is>
      </c>
      <c r="E395" t="inlineStr">
        <is>
          <t>YA (didukung konteks)</t>
        </is>
      </c>
    </row>
    <row r="396">
      <c r="A396" t="n">
        <v>34</v>
      </c>
      <c r="B396" t="inlineStr">
        <is>
          <t>A</t>
        </is>
      </c>
      <c r="C396" t="n">
        <v>3</v>
      </c>
      <c r="D396" s="3" t="inlineStr">
        <is>
          <t>Karena pseudocode tersebut menggunakan kondisi `if-else` untuk mengkonversi nilai ke huruf.</t>
        </is>
      </c>
      <c r="E396" t="inlineStr">
        <is>
          <t>YA (didukung konteks)</t>
        </is>
      </c>
    </row>
    <row r="397">
      <c r="A397" t="n">
        <v>34</v>
      </c>
      <c r="B397" t="inlineStr">
        <is>
          <t>A</t>
        </is>
      </c>
      <c r="C397" t="n">
        <v>4</v>
      </c>
      <c r="D397" s="3" t="inlineStr">
        <is>
          <t>Untuk input nilai=68, kita lihat bahwa 68 &gt;= 55, maka output yang diharapkan adalah 'C'.</t>
        </is>
      </c>
      <c r="E397" t="inlineStr">
        <is>
          <t>YA (didukung konteks)</t>
        </is>
      </c>
    </row>
    <row r="398">
      <c r="A398" t="n">
        <v>34</v>
      </c>
      <c r="B398" t="inlineStr">
        <is>
          <t>A</t>
        </is>
      </c>
      <c r="C398" t="n">
        <v>5</v>
      </c>
      <c r="D398" s="3" t="inlineStr">
        <is>
          <t>Dengan demikian, kita lihat bahwa output 'C' adalah yang benar untuk input nilai=68.</t>
        </is>
      </c>
      <c r="E398" t="inlineStr">
        <is>
          <t>YA (didukung konteks)</t>
        </is>
      </c>
    </row>
    <row r="399">
      <c r="A399" t="n">
        <v>34</v>
      </c>
      <c r="B399" t="inlineStr">
        <is>
          <t>A</t>
        </is>
      </c>
      <c r="C399" t="n">
        <v>6</v>
      </c>
      <c r="D399" s="3" t="inlineStr">
        <is>
          <t>Ternyata, masalah ini terkait dengan pseudocode konversi nilai.</t>
        </is>
      </c>
      <c r="E399" t="inlineStr">
        <is>
          <t>YA (didukung konteks)</t>
        </is>
      </c>
    </row>
    <row r="400">
      <c r="A400" t="n">
        <v>34</v>
      </c>
      <c r="B400" t="inlineStr">
        <is>
          <t>B</t>
        </is>
      </c>
      <c r="C400" t="n">
        <v>1</v>
      </c>
      <c r="D400" s="3" t="inlineStr">
        <is>
          <t>Pertanyaan ini menyangkut tentang konversi nilai untuk input nilai=68, sehingga kita perlu menjelajahi algoritma pseudocode tersebut.</t>
        </is>
      </c>
      <c r="E400" t="inlineStr">
        <is>
          <t>YA (didukung konteks)</t>
        </is>
      </c>
    </row>
    <row r="401">
      <c r="A401" t="n">
        <v>34</v>
      </c>
      <c r="B401" t="inlineStr">
        <is>
          <t>B</t>
        </is>
      </c>
      <c r="C401" t="n">
        <v>2</v>
      </c>
      <c r="D401" s="3" t="inlineStr">
        <is>
          <t>Dalam pseudocode tersebut, terdapat empat kondisi if-else yang digunakan untuk mengkonversi nilai menjadi huruf (A, B, C, atau D).</t>
        </is>
      </c>
      <c r="E401" t="inlineStr">
        <is>
          <t>YA (didukung konteks)</t>
        </is>
      </c>
    </row>
    <row r="402">
      <c r="A402" t="n">
        <v>34</v>
      </c>
      <c r="B402" t="inlineStr">
        <is>
          <t>B</t>
        </is>
      </c>
      <c r="C402" t="n">
        <v>3</v>
      </c>
      <c r="D402" s="3" t="inlineStr">
        <is>
          <t>* Nilai 68 lebih besar atau sama dengan 55 (kondisi ke-3), sehingga output 'C'.</t>
        </is>
      </c>
      <c r="E402" t="inlineStr">
        <is>
          <t>YA (didukung konteks)</t>
        </is>
      </c>
    </row>
    <row r="403">
      <c r="A403" t="n">
        <v>34</v>
      </c>
      <c r="B403" t="inlineStr">
        <is>
          <t>B</t>
        </is>
      </c>
      <c r="C403" t="n">
        <v>4</v>
      </c>
      <c r="D403" s="3" t="inlineStr">
        <is>
          <t>Sekarang, mari kita lihat apa yang terjadi ketika input nilai adalah 68:</t>
        </is>
      </c>
      <c r="E403" t="inlineStr">
        <is>
          <t>YA (didukung konteks)</t>
        </is>
      </c>
    </row>
    <row r="404">
      <c r="A404" t="n">
        <v>34</v>
      </c>
      <c r="B404" t="inlineStr">
        <is>
          <t>B</t>
        </is>
      </c>
      <c r="C404" t="n">
        <v>5</v>
      </c>
      <c r="D404" s="3" t="inlineStr">
        <is>
          <t>Jika nilai &gt;= 70 tapi tidak sama dengan 85, maka output 'B'.</t>
        </is>
      </c>
      <c r="E404" t="inlineStr">
        <is>
          <t>YA (didukung konteks)</t>
        </is>
      </c>
    </row>
    <row r="405">
      <c r="A405" t="n">
        <v>34</v>
      </c>
      <c r="B405" t="inlineStr">
        <is>
          <t>B</t>
        </is>
      </c>
      <c r="C405" t="n">
        <v>6</v>
      </c>
      <c r="D405" s="3" t="inlineStr">
        <is>
          <t>Jika nilai &gt;= 55 tapi tidak sama dengan 70, maka output 'C'.</t>
        </is>
      </c>
      <c r="E405" t="inlineStr">
        <is>
          <t>YA (didukung konteks)</t>
        </is>
      </c>
    </row>
    <row r="406">
      <c r="A406" t="n">
        <v>35</v>
      </c>
      <c r="B406" t="inlineStr">
        <is>
          <t>A</t>
        </is>
      </c>
      <c r="C406" t="n">
        <v>1</v>
      </c>
      <c r="D406" s="3" t="inlineStr">
        <is>
          <t>Perlu diketahui bahwa perulangan "while" digunakan ketika jumlah pengulangan yang diperlukan tidak selalu diketahui sebelumnya, melainkan bergantung pada kondisi yang dievaluasi selama algoritme berjalan.</t>
        </is>
      </c>
      <c r="E406" t="inlineStr">
        <is>
          <t>YA (didukung konteks)</t>
        </is>
      </c>
    </row>
    <row r="407">
      <c r="A407" t="n">
        <v>35</v>
      </c>
      <c r="B407" t="inlineStr">
        <is>
          <t>A</t>
        </is>
      </c>
      <c r="C407" t="n">
        <v>2</v>
      </c>
      <c r="D407" s="3" t="inlineStr">
        <is>
          <t>Dalam perulangan "while", Anda dapat menggabungkan dengan percabangan (if-then-else) untuk menangkap validitas input user.</t>
        </is>
      </c>
      <c r="E407" t="inlineStr">
        <is>
          <t>YA (didukung konteks)</t>
        </is>
      </c>
    </row>
    <row r="408">
      <c r="A408" t="n">
        <v>35</v>
      </c>
      <c r="B408" t="inlineStr">
        <is>
          <t>A</t>
        </is>
      </c>
      <c r="C408" t="n">
        <v>3</v>
      </c>
      <c r="D408" s="3" t="inlineStr">
        <is>
          <t>Saya senang membantu Anda memahami konsep perulangan berdasarkan kondisi (perulangan "while") dan percabangan.</t>
        </is>
      </c>
      <c r="E408" t="inlineStr">
        <is>
          <t>YA (didukung konteks)</t>
        </is>
      </c>
    </row>
    <row r="409">
      <c r="A409" t="n">
        <v>35</v>
      </c>
      <c r="B409" t="inlineStr">
        <is>
          <t>A</t>
        </is>
      </c>
      <c r="C409" t="n">
        <v>4</v>
      </c>
      <c r="D409" s="3" t="inlineStr">
        <is>
          <t>Dalam kasus Anda, Anda ingin membuat program yang minta input terus sampai user masukkan angka valid (1-100).</t>
        </is>
      </c>
      <c r="E409" t="inlineStr">
        <is>
          <t>YA (didukung konteks)</t>
        </is>
      </c>
    </row>
    <row r="410">
      <c r="A410" t="n">
        <v>35</v>
      </c>
      <c r="B410" t="inlineStr">
        <is>
          <t>A</t>
        </is>
      </c>
      <c r="C410" t="n">
        <v>5</v>
      </c>
      <c r="D410" s="3" t="inlineStr">
        <is>
          <t>Dalam contoh di atas, percabangan digunakan untuk menangkap validitas input user sebelum meminta input lagi.</t>
        </is>
      </c>
      <c r="E410" t="inlineStr">
        <is>
          <t>TIDAK (tidak didukung)</t>
        </is>
      </c>
    </row>
    <row r="411">
      <c r="A411" t="n">
        <v>35</v>
      </c>
      <c r="B411" t="inlineStr">
        <is>
          <t>A</t>
        </is>
      </c>
      <c r="C411" t="n">
        <v>6</v>
      </c>
      <c r="D411" s="3" t="inlineStr">
        <is>
          <t>Konsep utama adalah bahwa perulangan "while" memerlukan kondisi yang dievaluasi sebelum body dijalankan.</t>
        </is>
      </c>
      <c r="E411" t="inlineStr">
        <is>
          <t>YA (didukung konteks)</t>
        </is>
      </c>
    </row>
    <row r="412">
      <c r="A412" t="n">
        <v>35</v>
      </c>
      <c r="B412" t="inlineStr">
        <is>
          <t>B</t>
        </is>
      </c>
      <c r="C412" t="n">
        <v>1</v>
      </c>
      <c r="D412" s="3" t="inlineStr">
        <is>
          <t>Untuk membuat program yang minta input terus sampai user masukkan angka valid (1-100), Anda dapat menggunakan struktur kontrol loop dan percabangan sebagai berikut:</t>
        </is>
      </c>
      <c r="E412" t="inlineStr">
        <is>
          <t>YA (didukung konteks)</t>
        </is>
      </c>
    </row>
    <row r="413">
      <c r="A413" t="n">
        <v>35</v>
      </c>
      <c r="B413" t="inlineStr">
        <is>
          <t>B</t>
        </is>
      </c>
      <c r="C413" t="n">
        <v>2</v>
      </c>
      <c r="D413" s="3" t="inlineStr">
        <is>
          <t>Dalam contoh di atas, `while(true)` adalah loop yang akan terus berulang hingga kondisi tertentu terpenuhi.</t>
        </is>
      </c>
      <c r="E413" t="inlineStr">
        <is>
          <t>TIDAK (tidak didukung)</t>
        </is>
      </c>
    </row>
    <row r="414">
      <c r="A414" t="n">
        <v>35</v>
      </c>
      <c r="B414" t="inlineStr">
        <is>
          <t>B</t>
        </is>
      </c>
      <c r="C414" t="n">
        <v>3</v>
      </c>
      <c r="D414" s="3" t="inlineStr">
        <is>
          <t>Kondisi dalam loop ini adalah while-true, sehingga loop ini akan berulang secara terus menerus.</t>
        </is>
      </c>
      <c r="E414" t="inlineStr">
        <is>
          <t>TIDAK (tidak didukung)</t>
        </is>
      </c>
    </row>
    <row r="415">
      <c r="A415" t="n">
        <v>35</v>
      </c>
      <c r="B415" t="inlineStr">
        <is>
          <t>B</t>
        </is>
      </c>
      <c r="C415" t="n">
        <v>4</v>
      </c>
      <c r="D415" s="3" t="inlineStr">
        <is>
          <t>Jika input tidak valid, maka program akan menampilkan pesan error dan kembali ke awal loop.</t>
        </is>
      </c>
      <c r="E415" t="inlineStr">
        <is>
          <t>YA (didukung konteks)</t>
        </is>
      </c>
    </row>
    <row r="416">
      <c r="A416" t="n">
        <v>35</v>
      </c>
      <c r="B416" t="inlineStr">
        <is>
          <t>B</t>
        </is>
      </c>
      <c r="C416" t="n">
        <v>5</v>
      </c>
      <c r="D416" s="3" t="inlineStr">
        <is>
          <t>Jika input valid, maka program akan keluar dari loop dengan menggunakan perintah `break`.</t>
        </is>
      </c>
      <c r="E416" t="inlineStr">
        <is>
          <t>YA (didukung konteks)</t>
        </is>
      </c>
    </row>
    <row r="417">
      <c r="A417" t="n">
        <v>35</v>
      </c>
      <c r="B417" t="inlineStr">
        <is>
          <t>B</t>
        </is>
      </c>
      <c r="C417" t="n">
        <v>6</v>
      </c>
      <c r="D417" s="3" t="inlineStr">
        <is>
          <t>}` digunakan untuk memeriksa apakah input yang diterima adalah angka valid (1-100).</t>
        </is>
      </c>
      <c r="E417" t="inlineStr">
        <is>
          <t>TIDAK (tidak didukung)</t>
        </is>
      </c>
    </row>
    <row r="418">
      <c r="A418" t="n">
        <v>36</v>
      </c>
      <c r="B418" t="inlineStr">
        <is>
          <t>A</t>
        </is>
      </c>
      <c r="C418" t="n">
        <v>1</v>
      </c>
      <c r="D418" s="3" t="inlineStr">
        <is>
          <t>Dalam materi referensi, terdapat tiga jenis perulangan: Iterasi Tetap (Perulangan "for"), Iterasi Berdasarkan Kondisi (perulangan "while", "do-while", "do-until"), dan Iterasi Berbasis Koleksi (perulangan "for-in").</t>
        </is>
      </c>
      <c r="E418" t="inlineStr">
        <is>
          <t>YA (didukung konteks)</t>
        </is>
      </c>
    </row>
    <row r="419">
      <c r="A419" t="n">
        <v>36</v>
      </c>
      <c r="B419" t="inlineStr">
        <is>
          <t>A</t>
        </is>
      </c>
      <c r="C419" t="n">
        <v>2</v>
      </c>
      <c r="D419" s="3" t="inlineStr">
        <is>
          <t>Jadi, jawaban saya adalah: "Pakai for jika jumlah baris file CSV sudah diketahui sebelumnya, atau pakai while jika jumlah baris file CSV tidak diketahui sebelumnya."</t>
        </is>
      </c>
      <c r="E419" t="inlineStr">
        <is>
          <t>YA (didukung konteks)</t>
        </is>
      </c>
    </row>
    <row r="420">
      <c r="A420" t="n">
        <v>36</v>
      </c>
      <c r="B420" t="inlineStr">
        <is>
          <t>A</t>
        </is>
      </c>
      <c r="C420" t="n">
        <v>3</v>
      </c>
      <c r="D420" s="3" t="inlineStr">
        <is>
          <t>Namun, jika jumlah baris file CSV tidak diketahui sebelumnya, maka saya harus menggunakan perulangan "while" dengan syntax: `int i = 0; while (i &lt; totalBaris) { ...</t>
        </is>
      </c>
      <c r="E420" t="inlineStr">
        <is>
          <t>YA (didukung konteks)</t>
        </is>
      </c>
    </row>
    <row r="421">
      <c r="A421" t="n">
        <v>36</v>
      </c>
      <c r="B421" t="inlineStr">
        <is>
          <t>A</t>
        </is>
      </c>
      <c r="C421" t="n">
        <v>4</v>
      </c>
      <c r="D421" s="3" t="inlineStr">
        <is>
          <t>Jika jumlah baris file CSV sudah diketahui sebelumnya, maka saya dapat menggunakan perulangan "for" dengan syntax: `for(i = 0; i &lt; totalBaris; i++) { ...</t>
        </is>
      </c>
      <c r="E421" t="inlineStr">
        <is>
          <t>YA (didukung konteks)</t>
        </is>
      </c>
    </row>
    <row r="422">
      <c r="A422" t="n">
        <v>36</v>
      </c>
      <c r="B422" t="inlineStr">
        <is>
          <t>A</t>
        </is>
      </c>
      <c r="C422" t="n">
        <v>5</v>
      </c>
      <c r="D422" s="3" t="inlineStr">
        <is>
          <t>Harap maklum, saya hanya menggunakan materi referensi dan tidak mengarang fakta di luar materi referensi.</t>
        </is>
      </c>
      <c r="E422" t="inlineStr">
        <is>
          <t>YA (didukung konteks)</t>
        </is>
      </c>
    </row>
    <row r="423">
      <c r="A423" t="n">
        <v>36</v>
      </c>
      <c r="B423" t="inlineStr">
        <is>
          <t>A</t>
        </is>
      </c>
      <c r="C423" t="n">
        <v>6</v>
      </c>
      <c r="D423" s="3" t="inlineStr">
        <is>
          <t>Dalam kasus ini, saya harus menggunakan perulangan yang sesuai untuk membaca semua baris file CSV.</t>
        </is>
      </c>
      <c r="E423" t="inlineStr">
        <is>
          <t>YA (didukung konteks)</t>
        </is>
      </c>
    </row>
    <row r="424">
      <c r="A424" t="n">
        <v>36</v>
      </c>
      <c r="B424" t="inlineStr">
        <is>
          <t>B</t>
        </is>
      </c>
      <c r="C424" t="n">
        <v>1</v>
      </c>
      <c r="D424" s="3" t="inlineStr">
        <is>
          <t>Pada dasarnya, untuk membaca file CSV secara iteratif, Anda biasanya menggunakan sebuah variabel yang berisi nilai baris saat ini (misalnya `i` atau `baris`) dan menggunakannya sebagai kondisi while loop.</t>
        </is>
      </c>
      <c r="E424" t="inlineStr">
        <is>
          <t>YA (didukung konteks)</t>
        </is>
      </c>
    </row>
    <row r="425">
      <c r="A425" t="n">
        <v>36</v>
      </c>
      <c r="B425" t="inlineStr">
        <is>
          <t>B</t>
        </is>
      </c>
      <c r="C425" t="n">
        <v>2</v>
      </c>
      <c r="D425" s="3" t="inlineStr">
        <is>
          <t>Dalam situasi ini, Anda ingin membaca semua baris file CSV sampai habis tanpa mengetahui berapa banyak baris yang ada di file tersebut.</t>
        </is>
      </c>
      <c r="E425" t="inlineStr">
        <is>
          <t>YA (didukung konteks)</t>
        </is>
      </c>
    </row>
    <row r="426">
      <c r="A426" t="n">
        <v>36</v>
      </c>
      <c r="B426" t="inlineStr">
        <is>
          <t>B</t>
        </is>
      </c>
      <c r="C426" t="n">
        <v>3</v>
      </c>
      <c r="D426" s="3" t="inlineStr">
        <is>
          <t>Keduanya dapat digunakan untuk membaca file CSV secara iteratif tanpa mengetahui berapa banyak baris yang ada di file tersebut.</t>
        </is>
      </c>
      <c r="E426" t="inlineStr">
        <is>
          <t>YA (didukung konteks)</t>
        </is>
      </c>
    </row>
    <row r="427">
      <c r="A427" t="n">
        <v>36</v>
      </c>
      <c r="B427" t="inlineStr">
        <is>
          <t>B</t>
        </is>
      </c>
      <c r="C427" t="n">
        <v>4</v>
      </c>
      <c r="D427" s="3" t="inlineStr">
        <is>
          <t>Dalam beberapa kasus, for loop dapat digunakan karena Anda tidak perlu memastikan kondisi while loop yang lebih rumit.</t>
        </is>
      </c>
      <c r="E427" t="inlineStr">
        <is>
          <t>YA (didukung konteks)</t>
        </is>
      </c>
    </row>
    <row r="428">
      <c r="A428" t="n">
        <v>36</v>
      </c>
      <c r="B428" t="inlineStr">
        <is>
          <t>B</t>
        </is>
      </c>
      <c r="C428" t="n">
        <v>5</v>
      </c>
      <c r="D428" s="3" t="inlineStr">
        <is>
          <t>Namun, kadang-kadang Anda juga dapat menggunakan for loop dengan length dari array atau collection sebagai opsi.</t>
        </is>
      </c>
      <c r="E428" t="inlineStr">
        <is>
          <t>YA (didukung konteks)</t>
        </is>
      </c>
    </row>
    <row r="429">
      <c r="A429" t="n">
        <v>36</v>
      </c>
      <c r="B429" t="inlineStr">
        <is>
          <t>B</t>
        </is>
      </c>
      <c r="C429" t="n">
        <v>6</v>
      </c>
      <c r="D429" s="3" t="inlineStr">
        <is>
          <t>Namun, dalam kasus lain, while loop mungkin lebih sesuai jika Anda ingin mengontrol iterasi lebih ketat.</t>
        </is>
      </c>
      <c r="E429" t="inlineStr">
        <is>
          <t>YA (didukung konteks)</t>
        </is>
      </c>
    </row>
    <row r="430">
      <c r="A430" t="n">
        <v>37</v>
      </c>
      <c r="B430" t="inlineStr">
        <is>
          <t>A</t>
        </is>
      </c>
      <c r="C430" t="n">
        <v>1</v>
      </c>
      <c r="D430" s="3" t="inlineStr">
        <is>
          <t>Sedangkan dalam versi tanpa step, kita menggunakan variabel akumulasi `s` untuk menghitung bilangan genap secara linear.</t>
        </is>
      </c>
      <c r="E430" t="inlineStr">
        <is>
          <t>YA (didukung konteks)</t>
        </is>
      </c>
    </row>
    <row r="431">
      <c r="A431" t="n">
        <v>37</v>
      </c>
      <c r="B431" t="inlineStr">
        <is>
          <t>A</t>
        </is>
      </c>
      <c r="C431" t="n">
        <v>2</v>
      </c>
      <c r="D431" s="3" t="inlineStr">
        <is>
          <t>Pseudocode untuk mencetak 10 bilangan genap pertama (2, 4, ..., 20) dalam dua versi berbeda adalah sebagai berikut:</t>
        </is>
      </c>
      <c r="E431" t="inlineStr">
        <is>
          <t>TIDAK (tidak didukung)</t>
        </is>
      </c>
    </row>
    <row r="432">
      <c r="A432" t="n">
        <v>37</v>
      </c>
      <c r="B432" t="inlineStr">
        <is>
          <t>A</t>
        </is>
      </c>
      <c r="C432" t="n">
        <v>3</v>
      </c>
      <c r="D432" s="3" t="inlineStr">
        <is>
          <t>Saya akan menjawab pertanyaan mahasiswa dengan menggunakan istilah teknis dan konsep utama dari materi referensi.</t>
        </is>
      </c>
      <c r="E432" t="inlineStr">
        <is>
          <t>YA (didukung konteks)</t>
        </is>
      </c>
    </row>
    <row r="433">
      <c r="A433" t="n">
        <v>37</v>
      </c>
      <c r="B433" t="inlineStr">
        <is>
          <t>A</t>
        </is>
      </c>
      <c r="C433" t="n">
        <v>4</v>
      </c>
      <c r="D433" s="3" t="inlineStr">
        <is>
          <t>Dalam versi dengan step, kita menggunakan operator `step` untuk menentukan langkah penambahan bilangan genap.</t>
        </is>
      </c>
      <c r="E433" t="inlineStr">
        <is>
          <t>YA (didukung konteks)</t>
        </is>
      </c>
    </row>
    <row r="434">
      <c r="A434" t="n">
        <v>37</v>
      </c>
      <c r="B434" t="inlineStr">
        <is>
          <t>A</t>
        </is>
      </c>
      <c r="C434" t="n">
        <v>5</v>
      </c>
      <c r="D434" s="3" t="inlineStr">
        <is>
          <t>Dengan demikian, keduanya akan mencetak 10 bilangan genap pertama (2, 4, ..., 20) dengan cara yang berbeda.</t>
        </is>
      </c>
      <c r="E434" t="inlineStr">
        <is>
          <t>YA (didukung konteks)</t>
        </is>
      </c>
    </row>
    <row r="435">
      <c r="A435" t="n">
        <v>37</v>
      </c>
      <c r="B435" t="inlineStr">
        <is>
          <t>A</t>
        </is>
      </c>
      <c r="C435" t="n">
        <v>6</v>
      </c>
      <c r="D435" s="3" t="inlineStr">
        <is>
          <t>Konsep utama yang digunakan adalah perulangan iterasi tetap dan akumulasi nilai.</t>
        </is>
      </c>
      <c r="E435" t="inlineStr">
        <is>
          <t>YA (didukung konteks)</t>
        </is>
      </c>
    </row>
    <row r="436">
      <c r="A436" t="n">
        <v>37</v>
      </c>
      <c r="B436" t="inlineStr">
        <is>
          <t>B</t>
        </is>
      </c>
      <c r="C436" t="n">
        <v>1</v>
      </c>
      <c r="D436" s="3" t="inlineStr">
        <is>
          <t>Saya dapat membantu Anda menulis pseudocode untuk mencetak 10 bilangan genap pertama dalam dua versi berbeda: satu dengan step dan satu tanpa step (pakai akumulasi).</t>
        </is>
      </c>
      <c r="E436" t="inlineStr">
        <is>
          <t>YA (didukung konteks)</t>
        </is>
      </c>
    </row>
    <row r="437">
      <c r="A437" t="n">
        <v>37</v>
      </c>
      <c r="B437" t="inlineStr">
        <is>
          <t>B</t>
        </is>
      </c>
      <c r="C437" t="n">
        <v>2</v>
      </c>
      <c r="D437" s="3" t="inlineStr">
        <is>
          <t>Pada versi ini, kita menggunakan perulangan `while` untuk mencetak bilangan genap dari 2 hingga 20 dengan interval 2.</t>
        </is>
      </c>
      <c r="E437" t="inlineStr">
        <is>
          <t>YA (didukung konteks)</t>
        </is>
      </c>
    </row>
    <row r="438">
      <c r="A438" t="n">
        <v>37</v>
      </c>
      <c r="B438" t="inlineStr">
        <is>
          <t>B</t>
        </is>
      </c>
      <c r="C438" t="n">
        <v>3</v>
      </c>
      <c r="D438" s="3" t="inlineStr">
        <is>
          <t>Pada versi ini, kita menggunakan perulangan `while` untuk mencetak bilangan genap dari 2 hingga 20 dengan akumulasi.</t>
        </is>
      </c>
      <c r="E438" t="inlineStr">
        <is>
          <t>YA (didukung konteks)</t>
        </is>
      </c>
    </row>
    <row r="439">
      <c r="A439" t="n">
        <v>37</v>
      </c>
      <c r="B439" t="inlineStr">
        <is>
          <t>B</t>
        </is>
      </c>
      <c r="C439" t="n">
        <v>4</v>
      </c>
      <c r="D439" s="3" t="inlineStr">
        <is>
          <t>Dalam setiap iterasi, nilai `total` ditambahkan nilai `i`, dan kemudian nilai `i` ditambahkan 2.</t>
        </is>
      </c>
      <c r="E439" t="inlineStr">
        <is>
          <t>YA (didukung konteks)</t>
        </is>
      </c>
    </row>
    <row r="440">
      <c r="A440" t="n">
        <v>37</v>
      </c>
      <c r="B440" t="inlineStr">
        <is>
          <t>B</t>
        </is>
      </c>
      <c r="C440" t="n">
        <v>5</v>
      </c>
      <c r="D440" s="3" t="inlineStr">
        <is>
          <t>Pada akhirnya, kita menghentikan perulangan ketika nilai `total` melebihi nilai `n`.</t>
        </is>
      </c>
      <c r="E440" t="inlineStr">
        <is>
          <t>YA (didukung konteks)</t>
        </is>
      </c>
    </row>
    <row r="441">
      <c r="A441" t="n">
        <v>37</v>
      </c>
      <c r="B441" t="inlineStr">
        <is>
          <t>B</t>
        </is>
      </c>
      <c r="C441" t="n">
        <v>6</v>
      </c>
      <c r="D441" s="3" t="inlineStr">
        <is>
          <t>Pada saat itu, kita telah mencetak 10 bilangan genap pertama.</t>
        </is>
      </c>
      <c r="E441" t="inlineStr">
        <is>
          <t>YA (didukung konteks)</t>
        </is>
      </c>
    </row>
    <row r="442">
      <c r="A442" t="n">
        <v>38</v>
      </c>
      <c r="B442" t="inlineStr">
        <is>
          <t>A</t>
        </is>
      </c>
      <c r="C442" t="n">
        <v>1</v>
      </c>
      <c r="D442" s="3" t="inlineStr">
        <is>
          <t>Contohnya, jika kita ingin membuat program yang terus meminta input dari pengguna hingga input tersebut adalah "quit", maka kita dapat menggunakan sentinel value "quit" sebagai nilai pengintai.</t>
        </is>
      </c>
      <c r="E442" t="inlineStr">
        <is>
          <t>YA (didukung konteks)</t>
        </is>
      </c>
    </row>
    <row r="443">
      <c r="A443" t="n">
        <v>38</v>
      </c>
      <c r="B443" t="inlineStr">
        <is>
          <t>A</t>
        </is>
      </c>
      <c r="C443" t="n">
        <v>2</v>
      </c>
      <c r="D443" s="3" t="inlineStr">
        <is>
          <t>Sedangkan while loop biasa digunakan untuk mengulangi suatu tindakan hingga kondisi tertentu terpenuhi, sentinel value digunakan untuk mengulangi suatu tindakan hingga nilai pengintai tercapai.</t>
        </is>
      </c>
      <c r="E443" t="inlineStr">
        <is>
          <t>YA (didukung konteks)</t>
        </is>
      </c>
    </row>
    <row r="444">
      <c r="A444" t="n">
        <v>38</v>
      </c>
      <c r="B444" t="inlineStr">
        <is>
          <t>A</t>
        </is>
      </c>
      <c r="C444" t="n">
        <v>3</v>
      </c>
      <c r="D444" s="3" t="inlineStr">
        <is>
          <t>Sentinel value adalah sebuah konsep yang penting dalam programming, dan kalian harus memahami bagaimana menggunakan nilainya untuk membuat program yang efektif dan efisien.</t>
        </is>
      </c>
      <c r="E444" t="inlineStr">
        <is>
          <t>YA (didukung konteks)</t>
        </is>
      </c>
    </row>
    <row r="445">
      <c r="A445" t="n">
        <v>38</v>
      </c>
      <c r="B445" t="inlineStr">
        <is>
          <t>A</t>
        </is>
      </c>
      <c r="C445" t="n">
        <v>4</v>
      </c>
      <c r="D445" s="3" t="inlineStr">
        <is>
          <t>Mahasiswa, sentinel value (nilai pengintai) adalah sebuah konsep penting dalam programming, yang digunakan sebagai alternatif untuk while loop biasa.</t>
        </is>
      </c>
      <c r="E445" t="inlineStr">
        <is>
          <t>YA (didukung konteks)</t>
        </is>
      </c>
    </row>
    <row r="446">
      <c r="A446" t="n">
        <v>38</v>
      </c>
      <c r="B446" t="inlineStr">
        <is>
          <t>A</t>
        </is>
      </c>
      <c r="C446" t="n">
        <v>5</v>
      </c>
      <c r="D446" s="3" t="inlineStr">
        <is>
          <t>Sentinel value adalah nilai yang ditentukan oleh programmer sebelum while loop dimulai, dan nilainya akan diubah ketika kondisi while loop terpenuhi.</t>
        </is>
      </c>
      <c r="E446" t="inlineStr">
        <is>
          <t>YA (didukung konteks)</t>
        </is>
      </c>
    </row>
    <row r="447">
      <c r="A447" t="n">
        <v>38</v>
      </c>
      <c r="B447" t="inlineStr">
        <is>
          <t>A</t>
        </is>
      </c>
      <c r="C447" t="n">
        <v>6</v>
      </c>
      <c r="D447" s="3" t="inlineStr">
        <is>
          <t>Dalam contoh di atas, nilai pengintai adalah "quit", dan program akan terus meminta input hingga pengguna memasukkan nilai tersebut.</t>
        </is>
      </c>
      <c r="E447" t="inlineStr">
        <is>
          <t>TIDAK (tidak didukung)</t>
        </is>
      </c>
    </row>
    <row r="448">
      <c r="A448" t="n">
        <v>38</v>
      </c>
      <c r="B448" t="inlineStr">
        <is>
          <t>B</t>
        </is>
      </c>
      <c r="C448" t="n">
        <v>1</v>
      </c>
      <c r="D448" s="3" t="inlineStr">
        <is>
          <t>Sentinel value adalah nilai tertentu yang ditetapkan sebagai batas akhir dari perulangan, sehingga program akan berhenti ketika nilai input mencapai nilai pengawal tersebut.</t>
        </is>
      </c>
      <c r="E448" t="inlineStr">
        <is>
          <t>YA (didukung konteks)</t>
        </is>
      </c>
    </row>
    <row r="449">
      <c r="A449" t="n">
        <v>38</v>
      </c>
      <c r="B449" t="inlineStr">
        <is>
          <t>B</t>
        </is>
      </c>
      <c r="C449" t="n">
        <v>2</v>
      </c>
      <c r="D449" s="3" t="inlineStr">
        <is>
          <t>Sentinel value (nilai pengawal) adalah konsep yang digunakan dalam perulangan (looping) sebagai alternative dari perulangan biasa menggunakan kondisi boolean (while loop).</t>
        </is>
      </c>
      <c r="E449" t="inlineStr">
        <is>
          <t>YA (didukung konteks)</t>
        </is>
      </c>
    </row>
    <row r="450">
      <c r="A450" t="n">
        <v>38</v>
      </c>
      <c r="B450" t="inlineStr">
        <is>
          <t>B</t>
        </is>
      </c>
      <c r="C450" t="n">
        <v>3</v>
      </c>
      <c r="D450" s="3" t="inlineStr">
        <is>
          <t>Saya harap jawaban ini membantu Anda memahami konsep sentinel value dan kapan Anda harus menggunakan alternatif dari while loop dengan kondisi boolean!</t>
        </is>
      </c>
      <c r="E450" t="inlineStr">
        <is>
          <t>YA (didukung konteks)</t>
        </is>
      </c>
    </row>
    <row r="451">
      <c r="A451" t="n">
        <v>38</v>
      </c>
      <c r="B451" t="inlineStr">
        <is>
          <t>B</t>
        </is>
      </c>
      <c r="C451" t="n">
        <v>4</v>
      </c>
      <c r="D451" s="3" t="inlineStr">
        <is>
          <t>Contohnya, jika Anda ingin membaca input hingga user memasukkan nilai 0 (nol), maka nilai pengawal adalah 0.</t>
        </is>
      </c>
      <c r="E451" t="inlineStr">
        <is>
          <t>YA (didukung konteks)</t>
        </is>
      </c>
    </row>
    <row r="452">
      <c r="A452" t="n">
        <v>38</v>
      </c>
      <c r="B452" t="inlineStr">
        <is>
          <t>B</t>
        </is>
      </c>
      <c r="C452" t="n">
        <v>5</v>
      </c>
      <c r="D452" s="3" t="inlineStr">
        <is>
          <t>Lebih efisien: Sentinel value dapat mengurangi jumlah kode yang diperlukan untuk menulis kembali perulangan.</t>
        </is>
      </c>
      <c r="E452" t="inlineStr">
        <is>
          <t>YA (didukung konteks)</t>
        </is>
      </c>
    </row>
    <row r="453">
      <c r="A453" t="n">
        <v>38</v>
      </c>
      <c r="B453" t="inlineStr">
        <is>
          <t>B</t>
        </is>
      </c>
      <c r="C453" t="n">
        <v>6</v>
      </c>
      <c r="D453" s="3" t="inlineStr">
        <is>
          <t>Mudah diimplementasikan: Sentinel value tidak memerlukan kondisi boolean yang kompleks.</t>
        </is>
      </c>
      <c r="E453" t="inlineStr">
        <is>
          <t>YA (didukung konteks)</t>
        </is>
      </c>
    </row>
    <row r="454">
      <c r="A454" t="n">
        <v>39</v>
      </c>
      <c r="B454" t="inlineStr">
        <is>
          <t>A</t>
        </is>
      </c>
      <c r="C454" t="n">
        <v>1</v>
      </c>
      <c r="D454" s="3" t="inlineStr">
        <is>
          <t>Pseudocode adalah sintaks artifisial yang digunakan untuk menuliskan algoritme atau proses logika, dan biasanya tidak dilakukan oleh komputer.</t>
        </is>
      </c>
      <c r="E454" t="inlineStr">
        <is>
          <t>YA (didukung konteks)</t>
        </is>
      </c>
    </row>
    <row r="455">
      <c r="A455" t="n">
        <v>39</v>
      </c>
      <c r="B455" t="inlineStr">
        <is>
          <t>A</t>
        </is>
      </c>
      <c r="C455" t="n">
        <v>2</v>
      </c>
      <c r="D455" s="3" t="inlineStr">
        <is>
          <t>Do-while akan menjalankan body minimal satu kali sebelum menguji kondisi, sedangkan while hanya menjalankan body jika kondisi benar.</t>
        </is>
      </c>
      <c r="E455" t="inlineStr">
        <is>
          <t>YA (didukung konteks)</t>
        </is>
      </c>
    </row>
    <row r="456">
      <c r="A456" t="n">
        <v>39</v>
      </c>
      <c r="B456" t="inlineStr">
        <is>
          <t>A</t>
        </is>
      </c>
      <c r="C456" t="n">
        <v>3</v>
      </c>
      <c r="D456" s="3" t="inlineStr">
        <is>
          <t>Contoh, jika Anda menggunakan do-while dengan input n=10, maka outputnya adalah 10, karena body dijalankan dulu sebelum cek kondisi.</t>
        </is>
      </c>
      <c r="E456" t="inlineStr">
        <is>
          <t>YA (didukung konteks)</t>
        </is>
      </c>
    </row>
    <row r="457">
      <c r="A457" t="n">
        <v>39</v>
      </c>
      <c r="B457" t="inlineStr">
        <is>
          <t>A</t>
        </is>
      </c>
      <c r="C457" t="n">
        <v>4</v>
      </c>
      <c r="D457" s="3" t="inlineStr">
        <is>
          <t>Saya juga siap membantu Anda jika Anda memiliki pertanyaan lain tentang pseudocode atau materi referensi lainnya.</t>
        </is>
      </c>
      <c r="E457" t="inlineStr">
        <is>
          <t>YA (didukung konteks)</t>
        </is>
      </c>
    </row>
    <row r="458">
      <c r="A458" t="n">
        <v>39</v>
      </c>
      <c r="B458" t="inlineStr">
        <is>
          <t>A</t>
        </is>
      </c>
      <c r="C458" t="n">
        <v>5</v>
      </c>
      <c r="D458" s="3" t="inlineStr">
        <is>
          <t>Pertama-tama, mari kita lihat Trace pseudocode "Digit Terbalik" yang Anda tuliskan sebelumnya.</t>
        </is>
      </c>
      <c r="E458" t="inlineStr">
        <is>
          <t>YA (didukung konteks)</t>
        </is>
      </c>
    </row>
    <row r="459">
      <c r="A459" t="n">
        <v>39</v>
      </c>
      <c r="B459" t="inlineStr">
        <is>
          <t>A</t>
        </is>
      </c>
      <c r="C459" t="n">
        <v>6</v>
      </c>
      <c r="D459" s="3" t="inlineStr">
        <is>
          <t>Pseudocode ini menggunakan iterasi dan penjumlahan untuk menghitung hasil dari n!</t>
        </is>
      </c>
      <c r="E459" t="inlineStr">
        <is>
          <t>YA (didukung konteks)</t>
        </is>
      </c>
    </row>
    <row r="460">
      <c r="A460" t="n">
        <v>39</v>
      </c>
      <c r="B460" t="inlineStr">
        <is>
          <t>B</t>
        </is>
      </c>
      <c r="C460" t="n">
        <v>1</v>
      </c>
      <c r="D460" s="3" t="inlineStr">
        <is>
          <t>So, for input n=4523, the correct output is indeed **14**.</t>
        </is>
      </c>
      <c r="E460" t="inlineStr">
        <is>
          <t>YA (didukung konteks)</t>
        </is>
      </c>
    </row>
    <row r="461">
      <c r="A461" t="n">
        <v>39</v>
      </c>
      <c r="B461" t="inlineStr">
        <is>
          <t>B</t>
        </is>
      </c>
      <c r="C461" t="n">
        <v>2</v>
      </c>
      <c r="D461" s="3" t="inlineStr">
        <is>
          <t>Let's trace the pseudocode step by step for input n=4523.</t>
        </is>
      </c>
      <c r="E461" t="inlineStr">
        <is>
          <t>YA (didukung konteks)</t>
        </is>
      </c>
    </row>
    <row r="462">
      <c r="A462" t="n">
        <v>39</v>
      </c>
      <c r="B462" t="inlineStr">
        <is>
          <t>B</t>
        </is>
      </c>
      <c r="C462" t="n">
        <v>3</v>
      </c>
      <c r="D462" s="3" t="inlineStr">
        <is>
          <t>- Update `n` by dividing it by 10: `4523 / 10 = 452.3`.</t>
        </is>
      </c>
      <c r="E462" t="inlineStr">
        <is>
          <t>TIDAK (tidak didukung)</t>
        </is>
      </c>
    </row>
    <row r="463">
      <c r="A463" t="n">
        <v>39</v>
      </c>
      <c r="B463" t="inlineStr">
        <is>
          <t>B</t>
        </is>
      </c>
      <c r="C463" t="n">
        <v>4</v>
      </c>
      <c r="D463" s="3" t="inlineStr">
        <is>
          <t>Since we're dealing with integers, round down to `452`.</t>
        </is>
      </c>
      <c r="E463" t="inlineStr">
        <is>
          <t>YA (didukung konteks)</t>
        </is>
      </c>
    </row>
    <row r="464">
      <c r="A464" t="n">
        <v>39</v>
      </c>
      <c r="B464" t="inlineStr">
        <is>
          <t>B</t>
        </is>
      </c>
      <c r="C464" t="n">
        <v>5</v>
      </c>
      <c r="D464" s="3" t="inlineStr">
        <is>
          <t>- Update `n`: `452 / 10 = 45.2`, rounding down to `45`.</t>
        </is>
      </c>
      <c r="E464" t="inlineStr">
        <is>
          <t>YA (didukung konteks)</t>
        </is>
      </c>
    </row>
    <row r="465">
      <c r="A465" t="n">
        <v>39</v>
      </c>
      <c r="B465" t="inlineStr">
        <is>
          <t>B</t>
        </is>
      </c>
      <c r="C465" t="n">
        <v>6</v>
      </c>
      <c r="D465" s="3" t="inlineStr">
        <is>
          <t>- Update `n`: `45 / 10 = 4.5`, rounding down to `4`.</t>
        </is>
      </c>
      <c r="E465" t="inlineStr">
        <is>
          <t>YA (didukung konteks)</t>
        </is>
      </c>
    </row>
    <row r="466">
      <c r="A466" t="n">
        <v>40</v>
      </c>
      <c r="B466" t="inlineStr">
        <is>
          <t>A</t>
        </is>
      </c>
      <c r="C466" t="n">
        <v>1</v>
      </c>
      <c r="D466" s="3" t="inlineStr">
        <is>
          <t>Dalam kesimpulan, walaupun pseudocode CT tidak secara eksplisit membahas tentang do-while loop, kita dapat memahami bagaimana simulasi do-while dengan while biasa dan menulis kode yang mirip dengan do-while loop.</t>
        </is>
      </c>
      <c r="E466" t="inlineStr">
        <is>
          <t>YA (didukung konteks)</t>
        </is>
      </c>
    </row>
    <row r="467">
      <c r="A467" t="n">
        <v>40</v>
      </c>
      <c r="B467" t="inlineStr">
        <is>
          <t>A</t>
        </is>
      </c>
      <c r="C467" t="n">
        <v>2</v>
      </c>
      <c r="D467" s="3" t="inlineStr">
        <is>
          <t>Pada dasarnya, simulasi do-while dengan while biasa memungkinkan kita untuk menulis kode yang mirip dengan do-while loop, namun tidak secara eksplisit menggunakan sintaks do-while.</t>
        </is>
      </c>
      <c r="E467" t="inlineStr">
        <is>
          <t>YA (didukung konteks)</t>
        </is>
      </c>
    </row>
    <row r="468">
      <c r="A468" t="n">
        <v>40</v>
      </c>
      <c r="B468" t="inlineStr">
        <is>
          <t>A</t>
        </is>
      </c>
      <c r="C468" t="n">
        <v>3</v>
      </c>
      <c r="D468" s="3" t="inlineStr">
        <is>
          <t>Di CT, kita hanya belajar tentang for dan while loop, namun di beberapa bahasa pemrograman seperti C++ dan Java, ada do-while loop yang menjalankan body setidaknya satu kali.</t>
        </is>
      </c>
      <c r="E468" t="inlineStr">
        <is>
          <t>YA (didukung konteks)</t>
        </is>
      </c>
    </row>
    <row r="469">
      <c r="A469" t="n">
        <v>40</v>
      </c>
      <c r="B469" t="inlineStr">
        <is>
          <t>A</t>
        </is>
      </c>
      <c r="C469" t="n">
        <v>4</v>
      </c>
      <c r="D469" s="3" t="inlineStr">
        <is>
          <t>Pseudocode CT lebih fokus pada konsep dasar perulangan seperti for dan while, serta menggunakan sintaks yang sederhana untuk menjelaskan algoritme.</t>
        </is>
      </c>
      <c r="E469" t="inlineStr">
        <is>
          <t>YA (didukung konteks)</t>
        </is>
      </c>
    </row>
    <row r="470">
      <c r="A470" t="n">
        <v>40</v>
      </c>
      <c r="B470" t="inlineStr">
        <is>
          <t>A</t>
        </is>
      </c>
      <c r="C470" t="n">
        <v>5</v>
      </c>
      <c r="D470" s="3" t="inlineStr">
        <is>
          <t>Jika Anda mempertanyakan apakah do-while juga ada dalam pseudocode CT, jawabannya adalah tidak secara eksplisit.</t>
        </is>
      </c>
      <c r="E470" t="inlineStr">
        <is>
          <t>YA (didukung konteks)</t>
        </is>
      </c>
    </row>
    <row r="471">
      <c r="A471" t="n">
        <v>40</v>
      </c>
      <c r="B471" t="inlineStr">
        <is>
          <t>A</t>
        </is>
      </c>
      <c r="C471" t="n">
        <v>6</v>
      </c>
      <c r="D471" s="3" t="inlineStr">
        <is>
          <t>Kita akan membahas topik perulangan "do-while" dalam pseudocode Computational Thinking (CT).</t>
        </is>
      </c>
      <c r="E471" t="inlineStr">
        <is>
          <t>YA (didukung konteks)</t>
        </is>
      </c>
    </row>
    <row r="472">
      <c r="A472" t="n">
        <v>40</v>
      </c>
      <c r="B472" t="inlineStr">
        <is>
          <t>B</t>
        </is>
      </c>
      <c r="C472" t="n">
        <v>1</v>
      </c>
      <c r="D472" s="3" t="inlineStr">
        <is>
          <t>Dalam contoh di atas, kita menggunakan perulangan while dengan kondisi `true`, sehingga kode dalam loop akan dieksekusi setidaknya satu kali.</t>
        </is>
      </c>
      <c r="E472" t="inlineStr">
        <is>
          <t>YA (didukung konteks)</t>
        </is>
      </c>
    </row>
    <row r="473">
      <c r="A473" t="n">
        <v>40</v>
      </c>
      <c r="B473" t="inlineStr">
        <is>
          <t>B</t>
        </is>
      </c>
      <c r="C473" t="n">
        <v>2</v>
      </c>
      <c r="D473" s="3" t="inlineStr">
        <is>
          <t>Namun, jika kita ingin melakukan simulasi do-while loop dengan menggunakan while loop biasa, kita dapat melakukannya dengan cara berikut:</t>
        </is>
      </c>
      <c r="E473" t="inlineStr">
        <is>
          <t>YA (didukung konteks)</t>
        </is>
      </c>
    </row>
    <row r="474">
      <c r="A474" t="n">
        <v>40</v>
      </c>
      <c r="B474" t="inlineStr">
        <is>
          <t>B</t>
        </is>
      </c>
      <c r="C474" t="n">
        <v>3</v>
      </c>
      <c r="D474" s="3" t="inlineStr">
        <is>
          <t>Kemudian, kita mengecek kondisi dan jika kondisi tidak terpenuhi, maka kita menggunakan perintah `break` untuk keluar dari loop.</t>
        </is>
      </c>
      <c r="E474" t="inlineStr">
        <is>
          <t>YA (didukung konteks)</t>
        </is>
      </c>
    </row>
    <row r="475">
      <c r="A475" t="n">
        <v>40</v>
      </c>
      <c r="B475" t="inlineStr">
        <is>
          <t>B</t>
        </is>
      </c>
      <c r="C475" t="n">
        <v>4</v>
      </c>
      <c r="D475" s="3" t="inlineStr">
        <is>
          <t>Dengan demikian, kita dapat melakukan simulasi do-while loop dengan menggunakan while loop biasa di pseudocode CT.</t>
        </is>
      </c>
      <c r="E475" t="inlineStr">
        <is>
          <t>YA (didukung konteks)</t>
        </is>
      </c>
    </row>
    <row r="476">
      <c r="A476" t="n">
        <v>40</v>
      </c>
      <c r="B476" t="inlineStr">
        <is>
          <t>B</t>
        </is>
      </c>
      <c r="C476" t="n">
        <v>5</v>
      </c>
      <c r="D476" s="3" t="inlineStr">
        <is>
          <t>Pseudocode CT hanya memiliki sintaks untuk for dan while loops.</t>
        </is>
      </c>
      <c r="E476" t="inlineStr">
        <is>
          <t>YA (didukung konteks)</t>
        </is>
      </c>
    </row>
    <row r="477">
      <c r="A477" t="n">
        <v>40</v>
      </c>
      <c r="B477" t="inlineStr">
        <is>
          <t>B</t>
        </is>
      </c>
      <c r="C477" t="n">
        <v>6</v>
      </c>
      <c r="D477" s="3" t="inlineStr">
        <is>
          <t>Bisa diterjemahkan menjadi pseudocode CT seperti berikut:</t>
        </is>
      </c>
      <c r="E477" t="inlineStr">
        <is>
          <t>YA (didukung konteks)</t>
        </is>
      </c>
    </row>
    <row r="478">
      <c r="A478" t="n">
        <v>41</v>
      </c>
      <c r="B478" t="inlineStr">
        <is>
          <t>A</t>
        </is>
      </c>
      <c r="C478" t="n">
        <v>1</v>
      </c>
      <c r="D478" s="3" t="inlineStr">
        <is>
          <t>Instead of including every single transaction (which would be thousands of rows), we can focus on the essential information such as total income, total expenses, main categories, profit/loss, and cash flow.</t>
        </is>
      </c>
      <c r="E478" t="inlineStr">
        <is>
          <t>YA (didukung konteks)</t>
        </is>
      </c>
    </row>
    <row r="479">
      <c r="A479" t="n">
        <v>41</v>
      </c>
      <c r="B479" t="inlineStr">
        <is>
          <t>A</t>
        </is>
      </c>
      <c r="C479" t="n">
        <v>2</v>
      </c>
      <c r="D479" s="3" t="inlineStr">
        <is>
          <t>To create an inverted triangle of stars, where the first row has 5 stars and each subsequent row has one fewer star, we can modify the inner loop condition.</t>
        </is>
      </c>
      <c r="E479" t="inlineStr">
        <is>
          <t>YA (didukung konteks)</t>
        </is>
      </c>
    </row>
    <row r="480">
      <c r="A480" t="n">
        <v>41</v>
      </c>
      <c r="B480" t="inlineStr">
        <is>
          <t>A</t>
        </is>
      </c>
      <c r="C480" t="n">
        <v>3</v>
      </c>
      <c r="D480" s="3" t="inlineStr">
        <is>
          <t>To print a box of stars with 4 rows and 5 columns in reverse order (i.e., starting from F and ending at S), we can use nested loops.</t>
        </is>
      </c>
      <c r="E480" t="inlineStr">
        <is>
          <t>YA (didukung konteks)</t>
        </is>
      </c>
    </row>
    <row r="481">
      <c r="A481" t="n">
        <v>41</v>
      </c>
      <c r="B481" t="inlineStr">
        <is>
          <t>A</t>
        </is>
      </c>
      <c r="C481" t="n">
        <v>4</v>
      </c>
      <c r="D481" s="3" t="inlineStr">
        <is>
          <t>Let's categorize the expenses into different groups, such as office equipment, software, and miscellaneous items.</t>
        </is>
      </c>
      <c r="E481" t="inlineStr">
        <is>
          <t>YA (didukung konteks)</t>
        </is>
      </c>
    </row>
    <row r="482">
      <c r="A482" t="n">
        <v>41</v>
      </c>
      <c r="B482" t="inlineStr">
        <is>
          <t>A</t>
        </is>
      </c>
      <c r="C482" t="n">
        <v>5</v>
      </c>
      <c r="D482" s="3" t="inlineStr">
        <is>
          <t>Then, we can calculate the total cost for each category and compare it with the available budget of Rp 50 juta.</t>
        </is>
      </c>
      <c r="E482" t="inlineStr">
        <is>
          <t>YA (didukung konteks)</t>
        </is>
      </c>
    </row>
    <row r="483">
      <c r="A483" t="n">
        <v>41</v>
      </c>
      <c r="B483" t="inlineStr">
        <is>
          <t>A</t>
        </is>
      </c>
      <c r="C483" t="n">
        <v>6</v>
      </c>
      <c r="D483" s="3" t="inlineStr">
        <is>
          <t>To optimize the budget for the startup, we can abstract the problem by focusing on the essential information.</t>
        </is>
      </c>
      <c r="E483" t="inlineStr">
        <is>
          <t>YA (didukung konteks)</t>
        </is>
      </c>
    </row>
    <row r="484">
      <c r="A484" t="n">
        <v>41</v>
      </c>
      <c r="B484" t="inlineStr">
        <is>
          <t>B</t>
        </is>
      </c>
      <c r="C484" t="n">
        <v>1</v>
      </c>
      <c r="D484" s="3" t="inlineStr">
        <is>
          <t>Kode di atas menggunakan loop `for` dengan parameter `range`, yang memungkinkan Anda untuk mengulangi tindakan sebanyak kali yang Anda inginkan.</t>
        </is>
      </c>
      <c r="E484" t="inlineStr">
        <is>
          <t>YA (didukung konteks)</t>
        </is>
      </c>
    </row>
    <row r="485">
      <c r="A485" t="n">
        <v>41</v>
      </c>
      <c r="B485" t="inlineStr">
        <is>
          <t>B</t>
        </is>
      </c>
      <c r="C485" t="n">
        <v>2</v>
      </c>
      <c r="D485" s="3" t="inlineStr">
        <is>
          <t>Dalam setiap iterasi loop, Anda mencetak karakter spasi (`' '`) sebanyak `5 - i` dan bintang (`'*'`) sebanyak `i`.</t>
        </is>
      </c>
      <c r="E485" t="inlineStr">
        <is>
          <t>YA (didukung konteks)</t>
        </is>
      </c>
    </row>
    <row r="486">
      <c r="A486" t="n">
        <v>41</v>
      </c>
      <c r="B486" t="inlineStr">
        <is>
          <t>B</t>
        </is>
      </c>
      <c r="C486" t="n">
        <v>3</v>
      </c>
      <c r="D486" s="3" t="inlineStr">
        <is>
          <t>Jika Anda tidak familiar dengan sintaks Python, Anda dapat menggunakan contoh lain yang lebih mudah dipahami.</t>
        </is>
      </c>
      <c r="E486" t="inlineStr">
        <is>
          <t>YA (didukung konteks)</t>
        </is>
      </c>
    </row>
    <row r="487">
      <c r="A487" t="n">
        <v>41</v>
      </c>
      <c r="B487" t="inlineStr">
        <is>
          <t>B</t>
        </is>
      </c>
      <c r="C487" t="n">
        <v>4</v>
      </c>
      <c r="D487" s="3" t="inlineStr">
        <is>
          <t>* `-1` adalah nilai penurunan (berarti Anda akan mengulangi tindakan sebanyak 4 kali, dari 5 ke 1)</t>
        </is>
      </c>
      <c r="E487" t="inlineStr">
        <is>
          <t>YA (didukung konteks)</t>
        </is>
      </c>
    </row>
    <row r="488">
      <c r="A488" t="n">
        <v>41</v>
      </c>
      <c r="B488" t="inlineStr">
        <is>
          <t>B</t>
        </is>
      </c>
      <c r="C488" t="n">
        <v>5</v>
      </c>
      <c r="D488" s="3" t="inlineStr">
        <is>
          <t>Namun, dalam hal ini, struktur loop Anda harus berbeda untuk membuat segitiga bintang terbalik.</t>
        </is>
      </c>
      <c r="E488" t="inlineStr">
        <is>
          <t>YA (didukung konteks)</t>
        </is>
      </c>
    </row>
    <row r="489">
      <c r="A489" t="n">
        <v>41</v>
      </c>
      <c r="B489" t="inlineStr">
        <is>
          <t>B</t>
        </is>
      </c>
      <c r="C489" t="n">
        <v>6</v>
      </c>
      <c r="D489" s="3" t="inlineStr">
        <is>
          <t>Dalam kasus ini, Anda ingin membuat 5 baris pertama, lalu semakin sedikit ke bawah.</t>
        </is>
      </c>
      <c r="E489" t="inlineStr">
        <is>
          <t>YA (didukung konteks)</t>
        </is>
      </c>
    </row>
    <row r="490">
      <c r="A490" t="n">
        <v>42</v>
      </c>
      <c r="B490" t="inlineStr">
        <is>
          <t>A</t>
        </is>
      </c>
      <c r="C490" t="n">
        <v>1</v>
      </c>
      <c r="D490" s="3" t="inlineStr">
        <is>
          <t>Jika Anda ingin mencetak kotak 4×5 bintang, maka Anda akan menggunakan perulangan bersarang dengan loop luar 4 iterasi dan loop dalam 5 iterasi.</t>
        </is>
      </c>
      <c r="E490" t="inlineStr">
        <is>
          <t>YA (didukung konteks)</t>
        </is>
      </c>
    </row>
    <row r="491">
      <c r="A491" t="n">
        <v>42</v>
      </c>
      <c r="B491" t="inlineStr">
        <is>
          <t>A</t>
        </is>
      </c>
      <c r="C491" t="n">
        <v>2</v>
      </c>
      <c r="D491" s="3" t="inlineStr">
        <is>
          <t>Jika Anda memiliki nested loop dengan luar 5 iterasi dan dalam 3 iterasi, maka total iterasinya bukanlah 5+3=8, melainkan 5 × 3 = 15.</t>
        </is>
      </c>
      <c r="E491" t="inlineStr">
        <is>
          <t>YA (didukung konteks)</t>
        </is>
      </c>
    </row>
    <row r="492">
      <c r="A492" t="n">
        <v>42</v>
      </c>
      <c r="B492" t="inlineStr">
        <is>
          <t>A</t>
        </is>
      </c>
      <c r="C492" t="n">
        <v>3</v>
      </c>
      <c r="D492" s="3" t="inlineStr">
        <is>
          <t>Contoh perulangan bersarang yang kita dapatkan adalah mencetak kotak 4×5 bintang, seperti yang ditunjukkan pada contoh di atas.</t>
        </is>
      </c>
      <c r="E492" t="inlineStr">
        <is>
          <t>YA (didukung konteks)</t>
        </is>
      </c>
    </row>
    <row r="493">
      <c r="A493" t="n">
        <v>42</v>
      </c>
      <c r="B493" t="inlineStr">
        <is>
          <t>A</t>
        </is>
      </c>
      <c r="C493" t="n">
        <v>4</v>
      </c>
      <c r="D493" s="3" t="inlineStr">
        <is>
          <t>Perulangan bersarang adalah suatu teknik perulangan yang terdiri atas dua atau lebih loop yang berisi iterasi-iterasi.</t>
        </is>
      </c>
      <c r="E493" t="inlineStr">
        <is>
          <t>YA (didukung konteks)</t>
        </is>
      </c>
    </row>
    <row r="494">
      <c r="A494" t="n">
        <v>42</v>
      </c>
      <c r="B494" t="inlineStr">
        <is>
          <t>A</t>
        </is>
      </c>
      <c r="C494" t="n">
        <v>5</v>
      </c>
      <c r="D494" s="3" t="inlineStr">
        <is>
          <t>Alasan ini adalah karena perulangan luar akan menyelesaikan semua iterasinya sebelum menuju ke perulangan dalam.</t>
        </is>
      </c>
      <c r="E494" t="inlineStr">
        <is>
          <t>YA (didukung konteks)</t>
        </is>
      </c>
    </row>
    <row r="495">
      <c r="A495" t="n">
        <v>42</v>
      </c>
      <c r="B495" t="inlineStr">
        <is>
          <t>A</t>
        </is>
      </c>
      <c r="C495" t="n">
        <v>6</v>
      </c>
      <c r="D495" s="3" t="inlineStr">
        <is>
          <t>Loop luar biasanya digunakan untuk baris, sedangkan loop dalam digunakan untuk kolom (atau sebaliknya).</t>
        </is>
      </c>
      <c r="E495" t="inlineStr">
        <is>
          <t>YA (didukung konteks)</t>
        </is>
      </c>
    </row>
    <row r="496">
      <c r="A496" t="n">
        <v>42</v>
      </c>
      <c r="B496" t="inlineStr">
        <is>
          <t>B</t>
        </is>
      </c>
      <c r="C496" t="n">
        <v>1</v>
      </c>
      <c r="D496" s="3" t="inlineStr">
        <is>
          <t>Dalam nested loop, luar (outer) loop akan melakukan 5 iterasi, dan dalam setiap iterasi, inner (inner) loop juga akan melakukan 3 iterasi.</t>
        </is>
      </c>
      <c r="E496" t="inlineStr">
        <is>
          <t>YA (didukung konteks)</t>
        </is>
      </c>
    </row>
    <row r="497">
      <c r="A497" t="n">
        <v>42</v>
      </c>
      <c r="B497" t="inlineStr">
        <is>
          <t>B</t>
        </is>
      </c>
      <c r="C497" t="n">
        <v>2</v>
      </c>
      <c r="D497" s="3" t="inlineStr">
        <is>
          <t>Dalam contoh di atas, luar loop akan melakukan 5 iterasi, dan dalam setiap iterasi, inner loop juga akan melakukan 3 iterasi.</t>
        </is>
      </c>
      <c r="E497" t="inlineStr">
        <is>
          <t>YA (didukung konteks)</t>
        </is>
      </c>
    </row>
    <row r="498">
      <c r="A498" t="n">
        <v>42</v>
      </c>
      <c r="B498" t="inlineStr">
        <is>
          <t>B</t>
        </is>
      </c>
      <c r="C498" t="n">
        <v>3</v>
      </c>
      <c r="D498" s="3" t="inlineStr">
        <is>
          <t>Temanmu memiliki kemampuan matematika yang lebih baik dari pada Anda!</t>
        </is>
      </c>
      <c r="E498" t="inlineStr">
        <is>
          <t>TIDAK (tidak didukung)</t>
        </is>
      </c>
    </row>
    <row r="499">
      <c r="A499" t="n">
        <v>42</v>
      </c>
      <c r="B499" t="inlineStr">
        <is>
          <t>B</t>
        </is>
      </c>
      <c r="C499" t="n">
        <v>4</v>
      </c>
      <c r="D499" s="3" t="inlineStr">
        <is>
          <t>Jadi, untuk setiap iterasi luar, terdapat 3 iterasi dalam.</t>
        </is>
      </c>
      <c r="E499" t="inlineStr">
        <is>
          <t>YA (didukung konteks)</t>
        </is>
      </c>
    </row>
    <row r="500">
      <c r="A500" t="n">
        <v>42</v>
      </c>
      <c r="B500" t="inlineStr">
        <is>
          <t>B</t>
        </is>
      </c>
      <c r="C500" t="n">
        <v>5</v>
      </c>
      <c r="D500" s="3" t="inlineStr">
        <is>
          <t>Oleh karena itu, total iterasinya adalah 5 × 3 = 15.</t>
        </is>
      </c>
      <c r="E500" t="inlineStr">
        <is>
          <t>YA (didukung konteks)</t>
        </is>
      </c>
    </row>
    <row r="501">
      <c r="A501" t="n">
        <v>42</v>
      </c>
      <c r="B501" t="inlineStr">
        <is>
          <t>B</t>
        </is>
      </c>
      <c r="C501" t="n">
        <v>6</v>
      </c>
      <c r="D501" s="3" t="inlineStr">
        <is>
          <t>Jadi, total iterasinya adalah 5 × 3 = 15.</t>
        </is>
      </c>
      <c r="E501" t="inlineStr">
        <is>
          <t>YA (didukung konteks)</t>
        </is>
      </c>
    </row>
    <row r="502">
      <c r="A502" t="n">
        <v>43</v>
      </c>
      <c r="B502" t="inlineStr">
        <is>
          <t>A</t>
        </is>
      </c>
      <c r="C502" t="n">
        <v>1</v>
      </c>
      <c r="D502" s="3" t="inlineStr">
        <is>
          <t>Dengan menggunakan pseudocode ini, kita dapat dengan mudah mencetak matriks identitas 3x3 yang memiliki diagonal utama berisi 1 dan sisanya 0.</t>
        </is>
      </c>
      <c r="E502" t="inlineStr">
        <is>
          <t>TIDAK (tidak didukung)</t>
        </is>
      </c>
    </row>
    <row r="503">
      <c r="A503" t="n">
        <v>43</v>
      </c>
      <c r="B503" t="inlineStr">
        <is>
          <t>A</t>
        </is>
      </c>
      <c r="C503" t="n">
        <v>2</v>
      </c>
      <c r="D503" s="3" t="inlineStr">
        <is>
          <t>Kondisi `i == j` digunakan untuk menentukan apakah elemen matriks adalah diagonal utama (berisi 1) atau tidak (berisi 0).</t>
        </is>
      </c>
      <c r="E503" t="inlineStr">
        <is>
          <t>TIDAK (tidak didukung)</t>
        </is>
      </c>
    </row>
    <row r="504">
      <c r="A504" t="n">
        <v>43</v>
      </c>
      <c r="B504" t="inlineStr">
        <is>
          <t>A</t>
        </is>
      </c>
      <c r="C504" t="n">
        <v>3</v>
      </c>
      <c r="D504" s="3" t="inlineStr">
        <is>
          <t>Mahasiswa, untuk tugas ini, kita akan membuat pseudocode nested loop untuk mencetak matriks identitas 3x3.</t>
        </is>
      </c>
      <c r="E504" t="inlineStr">
        <is>
          <t>TIDAK (tidak didukung)</t>
        </is>
      </c>
    </row>
    <row r="505">
      <c r="A505" t="n">
        <v>43</v>
      </c>
      <c r="B505" t="inlineStr">
        <is>
          <t>A</t>
        </is>
      </c>
      <c r="C505" t="n">
        <v>4</v>
      </c>
      <c r="D505" s="3" t="inlineStr">
        <is>
          <t>Kita akan menggunakan konsep perulangan bersarang (nested loop) dan percabangan (conditionals).</t>
        </is>
      </c>
      <c r="E505" t="inlineStr">
        <is>
          <t>YA (didukung konteks)</t>
        </is>
      </c>
    </row>
    <row r="506">
      <c r="A506" t="n">
        <v>43</v>
      </c>
      <c r="B506" t="inlineStr">
        <is>
          <t>A</t>
        </is>
      </c>
      <c r="C506" t="n">
        <v>5</v>
      </c>
      <c r="D506" s="3" t="inlineStr">
        <is>
          <t>Kita menggunakan perulangan bersarang untuk mengulangi pelaksanaan instruksi sebanyak 3x3.</t>
        </is>
      </c>
      <c r="E506" t="inlineStr">
        <is>
          <t>YA (didukung konteks)</t>
        </is>
      </c>
    </row>
    <row r="507">
      <c r="A507" t="n">
        <v>43</v>
      </c>
      <c r="B507" t="inlineStr">
        <is>
          <t>A</t>
        </is>
      </c>
      <c r="C507" t="n">
        <v>6</v>
      </c>
      <c r="D507" s="3" t="inlineStr">
        <is>
          <t>Jika kondisi benar, maka akan cetak 1, jika tidak, maka akan cetak 0.</t>
        </is>
      </c>
      <c r="E507" t="inlineStr">
        <is>
          <t>YA (didukung konteks)</t>
        </is>
      </c>
    </row>
    <row r="508">
      <c r="A508" t="n">
        <v>43</v>
      </c>
      <c r="B508" t="inlineStr">
        <is>
          <t>B</t>
        </is>
      </c>
      <c r="C508" t="n">
        <v>1</v>
      </c>
      <c r="D508" s="3" t="inlineStr">
        <is>
          <t>Sementara itu, kondisi `SAkti lainnya` digunakan untuk menentukan apakah elemen tersebut tidak berada pada diagonal utama.</t>
        </is>
      </c>
      <c r="E508" t="inlineStr">
        <is>
          <t>TIDAK (tidak didukung)</t>
        </is>
      </c>
    </row>
    <row r="509">
      <c r="A509" t="n">
        <v>43</v>
      </c>
      <c r="B509" t="inlineStr">
        <is>
          <t>B</t>
        </is>
      </c>
      <c r="C509" t="n">
        <v>2</v>
      </c>
      <c r="D509" s="3" t="inlineStr">
        <is>
          <t>Kondisi `Jika i == j` digunakan untuk menentukan apakah elemen tersebut berada pada diagonal utama (i.e., i = j).</t>
        </is>
      </c>
      <c r="E509" t="inlineStr">
        <is>
          <t>TIDAK (tidak didukung)</t>
        </is>
      </c>
    </row>
    <row r="510">
      <c r="A510" t="n">
        <v>43</v>
      </c>
      <c r="B510" t="inlineStr">
        <is>
          <t>B</t>
        </is>
      </c>
      <c r="C510" t="n">
        <v>3</v>
      </c>
      <c r="D510" s="3" t="inlineStr">
        <is>
          <t>Matriks identitas 3x3 dapat dicetak menggunakan pseudocode nested loop sebagai berikut:</t>
        </is>
      </c>
      <c r="E510" t="inlineStr">
        <is>
          <t>YA (didukung konteks)</t>
        </is>
      </c>
    </row>
    <row r="511">
      <c r="A511" t="n">
        <v>43</v>
      </c>
      <c r="B511" t="inlineStr">
        <is>
          <t>B</t>
        </is>
      </c>
      <c r="C511" t="n">
        <v>4</v>
      </c>
      <c r="D511" s="3" t="inlineStr">
        <is>
          <t>Pseudocode di atas menggunakan nested loop untuk mengakses setiap elemen matriks.</t>
        </is>
      </c>
      <c r="E511" t="inlineStr">
        <is>
          <t>TIDAK (tidak didukung)</t>
        </is>
      </c>
    </row>
    <row r="512">
      <c r="A512" t="n">
        <v>43</v>
      </c>
      <c r="B512" t="inlineStr">
        <is>
          <t>B</t>
        </is>
      </c>
      <c r="C512" t="n">
        <v>5</v>
      </c>
      <c r="D512" s="3" t="inlineStr">
        <is>
          <t>Jika demikian, maka nilai elemen tersebut diatur menjadi 1.</t>
        </is>
      </c>
      <c r="E512" t="inlineStr">
        <is>
          <t>TIDAK (tidak didukung)</t>
        </is>
      </c>
    </row>
    <row r="513">
      <c r="A513" t="n">
        <v>43</v>
      </c>
      <c r="B513" t="inlineStr">
        <is>
          <t>B</t>
        </is>
      </c>
      <c r="C513" t="n">
        <v>6</v>
      </c>
      <c r="D513" s="3" t="inlineStr">
        <is>
          <t>Jika demikian, maka nilai elemen tersebut diatur menjadi 0.</t>
        </is>
      </c>
      <c r="E513" t="inlineStr">
        <is>
          <t>TIDAK (tidak didukung)</t>
        </is>
      </c>
    </row>
    <row r="514">
      <c r="A514" t="n">
        <v>44</v>
      </c>
      <c r="B514" t="inlineStr">
        <is>
          <t>A</t>
        </is>
      </c>
      <c r="C514" t="n">
        <v>1</v>
      </c>
      <c r="D514" s="3" t="inlineStr">
        <is>
          <t>Namun, perlu diingat bahwa jika Anda memiliki beberapa iterasi luar yang bergantung pada ukuran input, maka kompleksitas waktu menjadi O(n^2) atau lebih besar.</t>
        </is>
      </c>
      <c r="E514" t="inlineStr">
        <is>
          <t>YA (didukung konteks)</t>
        </is>
      </c>
    </row>
    <row r="515">
      <c r="A515" t="n">
        <v>44</v>
      </c>
      <c r="B515" t="inlineStr">
        <is>
          <t>A</t>
        </is>
      </c>
      <c r="C515" t="n">
        <v>2</v>
      </c>
      <c r="D515" s="3" t="inlineStr">
        <is>
          <t>Jadi, dalam kasus ini, kompleksitas waktu dari nested loop Anda sebenarnya adalah O(n), karena loop dalamnya tidak bergantung pada ukuran input.</t>
        </is>
      </c>
      <c r="E515" t="inlineStr">
        <is>
          <t>TIDAK (tidak didukung)</t>
        </is>
      </c>
    </row>
    <row r="516">
      <c r="A516" t="n">
        <v>44</v>
      </c>
      <c r="B516" t="inlineStr">
        <is>
          <t>A</t>
        </is>
      </c>
      <c r="C516" t="n">
        <v>3</v>
      </c>
      <c r="D516" s="3" t="inlineStr">
        <is>
          <t>Namun, dalam kasus Anda, tidak ada kalikan loop bersarang yang digunakan, sehingga kompleksitas waktu menjadi O(n) saja.</t>
        </is>
      </c>
      <c r="E516" t="inlineStr">
        <is>
          <t>YA (didukung konteks)</t>
        </is>
      </c>
    </row>
    <row r="517">
      <c r="A517" t="n">
        <v>44</v>
      </c>
      <c r="B517" t="inlineStr">
        <is>
          <t>A</t>
        </is>
      </c>
      <c r="C517" t="n">
        <v>4</v>
      </c>
      <c r="D517" s="3" t="inlineStr">
        <is>
          <t>Pertama-tama, perlu diperhatikan bahwa nested loop memiliki kompleksitas waktu yang bergantung pada ukuran inputnya.</t>
        </is>
      </c>
      <c r="E517" t="inlineStr">
        <is>
          <t>YA (didukung konteks)</t>
        </is>
      </c>
    </row>
    <row r="518">
      <c r="A518" t="n">
        <v>44</v>
      </c>
      <c r="B518" t="inlineStr">
        <is>
          <t>A</t>
        </is>
      </c>
      <c r="C518" t="n">
        <v>5</v>
      </c>
      <c r="D518" s="3" t="inlineStr">
        <is>
          <t>Dalam kasus Anda, nested loop luar dari 1 to n dan dalam dari 1 to 5 (konstan) dapat dihitung sebagai O(n × 5).</t>
        </is>
      </c>
      <c r="E518" t="inlineStr">
        <is>
          <t>YA (didukung konteks)</t>
        </is>
      </c>
    </row>
    <row r="519">
      <c r="A519" t="n">
        <v>44</v>
      </c>
      <c r="B519" t="inlineStr">
        <is>
          <t>A</t>
        </is>
      </c>
      <c r="C519" t="n">
        <v>6</v>
      </c>
      <c r="D519" s="3" t="inlineStr">
        <is>
          <t>Dalam materi referensi, dosen juga menjelaskan bahwa kalikan loop bersarang dapat dihitung sebagai O(n^2).</t>
        </is>
      </c>
      <c r="E519" t="inlineStr">
        <is>
          <t>YA (didukung konteks)</t>
        </is>
      </c>
    </row>
    <row r="520">
      <c r="A520" t="n">
        <v>44</v>
      </c>
      <c r="B520" t="inlineStr">
        <is>
          <t>B</t>
        </is>
      </c>
      <c r="C520" t="n">
        <v>1</v>
      </c>
      <c r="D520" s="3" t="inlineStr">
        <is>
          <t>Dalam kompleksitas waktu, loop dalam yang memiliki keterbatasan konstan seperti 1 to 5 tidak termasuk dalam faktor O(n²) karena loop dalam tidak bergantung pada variabel n.</t>
        </is>
      </c>
      <c r="E520" t="inlineStr">
        <is>
          <t>YA (didukung konteks)</t>
        </is>
      </c>
    </row>
    <row r="521">
      <c r="A521" t="n">
        <v>44</v>
      </c>
      <c r="B521" t="inlineStr">
        <is>
          <t>B</t>
        </is>
      </c>
      <c r="C521" t="n">
        <v>2</v>
      </c>
      <c r="D521" s="3" t="inlineStr">
        <is>
          <t>Kompleksitas waktu dari nested loop tersebut dapat dihitung sebagai berikut:</t>
        </is>
      </c>
      <c r="E521" t="inlineStr">
        <is>
          <t>YA (didukung konteks)</t>
        </is>
      </c>
    </row>
    <row r="522">
      <c r="A522" t="n">
        <v>44</v>
      </c>
      <c r="B522" t="inlineStr">
        <is>
          <t>B</t>
        </is>
      </c>
      <c r="C522" t="n">
        <v>3</v>
      </c>
      <c r="D522" s="3" t="inlineStr">
        <is>
          <t>Jadi, nested loop Anda memiliki kompleksitas waktu O(n), bukan O(n²).</t>
        </is>
      </c>
      <c r="E522" t="inlineStr">
        <is>
          <t>YA (didukung konteks)</t>
        </is>
      </c>
    </row>
    <row r="523">
      <c r="A523" t="n">
        <v>44</v>
      </c>
      <c r="B523" t="inlineStr">
        <is>
          <t>B</t>
        </is>
      </c>
      <c r="C523" t="n">
        <v>4</v>
      </c>
      <c r="D523" s="3" t="inlineStr">
        <is>
          <t>Dosen mungkin salah jika mengatakan bahwa nested loop selalu O(n²).</t>
        </is>
      </c>
      <c r="E523" t="inlineStr">
        <is>
          <t>YA (didukung konteks)</t>
        </is>
      </c>
    </row>
    <row r="524">
      <c r="A524" t="n">
        <v>44</v>
      </c>
      <c r="B524" t="inlineStr">
        <is>
          <t>B</t>
        </is>
      </c>
      <c r="C524" t="n">
        <v>5</v>
      </c>
      <c r="D524" s="3" t="inlineStr">
        <is>
          <t>* Loop dalam: O(1), karena tidak bergantung pada variabel n</t>
        </is>
      </c>
      <c r="E524" t="inlineStr">
        <is>
          <t>TIDAK (tidak didukung)</t>
        </is>
      </c>
    </row>
    <row r="525">
      <c r="A525" t="n">
        <v>44</v>
      </c>
      <c r="B525" t="inlineStr">
        <is>
          <t>B</t>
        </is>
      </c>
      <c r="C525" t="n">
        <v>6</v>
      </c>
      <c r="D525" s="3" t="inlineStr">
        <is>
          <t>* Jadi, kompleksitas waktu total adalah: O(n) × O(1) = O(n)</t>
        </is>
      </c>
      <c r="E525" t="inlineStr">
        <is>
          <t>YA (didukung konteks)</t>
        </is>
      </c>
    </row>
    <row r="526">
      <c r="A526" t="n">
        <v>45</v>
      </c>
      <c r="B526" t="inlineStr">
        <is>
          <t>A</t>
        </is>
      </c>
      <c r="C526" t="n">
        <v>1</v>
      </c>
      <c r="D526" s="3" t="inlineStr">
        <is>
          <t>Dalam praktik Computational Thinking (CT), perbedaan antara fungsi dan prosedur penting karena membantu dalam menganalogkan algoritme menjadi blok kode yang lebih kecil dan terstruktur.</t>
        </is>
      </c>
      <c r="E526" t="inlineStr">
        <is>
          <t>YA (didukung konteks)</t>
        </is>
      </c>
    </row>
    <row r="527">
      <c r="A527" t="n">
        <v>45</v>
      </c>
      <c r="B527" t="inlineStr">
        <is>
          <t>A</t>
        </is>
      </c>
      <c r="C527" t="n">
        <v>2</v>
      </c>
      <c r="D527" s="3" t="inlineStr">
        <is>
          <t>Dalam sintesis, perbedaan antara fungsi dan prosedur di pseudocode CT penting karena membantu dalam mengembangkan kemampuan Computational Thinking yang lebih baik.</t>
        </is>
      </c>
      <c r="E527" t="inlineStr">
        <is>
          <t>YA (didukung konteks)</t>
        </is>
      </c>
    </row>
    <row r="528">
      <c r="A528" t="n">
        <v>45</v>
      </c>
      <c r="B528" t="inlineStr">
        <is>
          <t>A</t>
        </is>
      </c>
      <c r="C528" t="n">
        <v>3</v>
      </c>
      <c r="D528" s="3" t="inlineStr">
        <is>
          <t>Sebagai contoh, definisi fungsi `buatJusMangga` memiliki parameter air, mangga, dan gula, serta return type yang menghasilkan jus siap diminum.</t>
        </is>
      </c>
      <c r="E528" t="inlineStr">
        <is>
          <t>YA (didukung konteks)</t>
        </is>
      </c>
    </row>
    <row r="529">
      <c r="A529" t="n">
        <v>45</v>
      </c>
      <c r="B529" t="inlineStr">
        <is>
          <t>A</t>
        </is>
      </c>
      <c r="C529" t="n">
        <v>4</v>
      </c>
      <c r="D529" s="3" t="inlineStr">
        <is>
          <t>Fungsi memiliki return type (tipe hasil), yaitu tipe data dari output yang akan dihasilkan dan dikembalikan oleh fungsi.</t>
        </is>
      </c>
      <c r="E529" t="inlineStr">
        <is>
          <t>YA (didukung konteks)</t>
        </is>
      </c>
    </row>
    <row r="530">
      <c r="A530" t="n">
        <v>45</v>
      </c>
      <c r="B530" t="inlineStr">
        <is>
          <t>A</t>
        </is>
      </c>
      <c r="C530" t="n">
        <v>5</v>
      </c>
      <c r="D530" s="3" t="inlineStr">
        <is>
          <t>Dekomposisi dan abstraksi juga dapat dilakukan dengan menggunakan fungsi, sehingga memudahkan pengembangan program.</t>
        </is>
      </c>
      <c r="E530" t="inlineStr">
        <is>
          <t>YA (didukung konteks)</t>
        </is>
      </c>
    </row>
    <row r="531">
      <c r="A531" t="n">
        <v>45</v>
      </c>
      <c r="B531" t="inlineStr">
        <is>
          <t>A</t>
        </is>
      </c>
      <c r="C531" t="n">
        <v>6</v>
      </c>
      <c r="D531" s="3" t="inlineStr">
        <is>
          <t>Sementara itu, prosedur tidak memiliki return type dan hanya melakukan sesuatu tanpa mengembalikan nilai.</t>
        </is>
      </c>
      <c r="E531" t="inlineStr">
        <is>
          <t>YA (didukung konteks)</t>
        </is>
      </c>
    </row>
    <row r="532">
      <c r="A532" t="n">
        <v>45</v>
      </c>
      <c r="B532" t="inlineStr">
        <is>
          <t>B</t>
        </is>
      </c>
      <c r="C532" t="n">
        <v>1</v>
      </c>
      <c r="D532" s="3" t="inlineStr">
        <is>
          <t xml:space="preserve">Dalam halnya, menggunakan kata "fungsi" dapat menunjukkan bahwa blok kode tersebut berfokus pada pengolahan data, sedangkan menggunakan kata "prosedur" dapat menunjukkan bahwa blok kode tersebut hanya melakukan tindakan </t>
        </is>
      </c>
      <c r="E532" t="inlineStr">
        <is>
          <t>YA (didukung konteks)</t>
        </is>
      </c>
    </row>
    <row r="533">
      <c r="A533" t="n">
        <v>45</v>
      </c>
      <c r="B533" t="inlineStr">
        <is>
          <t>B</t>
        </is>
      </c>
      <c r="C533" t="n">
        <v>2</v>
      </c>
      <c r="D533" s="3" t="inlineStr">
        <is>
          <t>Dalam konklusi, perbedaan antara "fungsi" dan "prosedur" di CT bukan hanya sebagai formalitas, melainkan memiliki makna yang signifikan dalam mendefinisikan tujuan dan fungsi kode.</t>
        </is>
      </c>
      <c r="E533" t="inlineStr">
        <is>
          <t>YA (didukung konteks)</t>
        </is>
      </c>
    </row>
    <row r="534">
      <c r="A534" t="n">
        <v>45</v>
      </c>
      <c r="B534" t="inlineStr">
        <is>
          <t>B</t>
        </is>
      </c>
      <c r="C534" t="n">
        <v>3</v>
      </c>
      <c r="D534" s="3" t="inlineStr">
        <is>
          <t>Sebaliknya, "prosedur" di CT mengacu pada sebuah blok kode yang tidak mengembalikan nilai, melainkan hanya melakukan suatu tindakan atau aksi tertentu.</t>
        </is>
      </c>
      <c r="E534" t="inlineStr">
        <is>
          <t>YA (didukung konteks)</t>
        </is>
      </c>
    </row>
    <row r="535">
      <c r="A535" t="n">
        <v>45</v>
      </c>
      <c r="B535" t="inlineStr">
        <is>
          <t>B</t>
        </is>
      </c>
      <c r="C535" t="n">
        <v>4</v>
      </c>
      <c r="D535" s="3" t="inlineStr">
        <is>
          <t>Prosedur biasanya digunakan untuk menjalankan beberapa langkah proses, seperti input data, mengeluarkan output, atau melakukan operasi tertentu.</t>
        </is>
      </c>
      <c r="E535" t="inlineStr">
        <is>
          <t>YA (didukung konteks)</t>
        </is>
      </c>
    </row>
    <row r="536">
      <c r="A536" t="n">
        <v>45</v>
      </c>
      <c r="B536" t="inlineStr">
        <is>
          <t>B</t>
        </is>
      </c>
      <c r="C536" t="n">
        <v>5</v>
      </c>
      <c r="D536" s="3" t="inlineStr">
        <is>
          <t>Dalam pseudocode CT, "fungsi" merujuk pada sebuah blok kode yang dapat mengembalikan nilai, seperti dalam halnya definisi fungsi di Python.</t>
        </is>
      </c>
      <c r="E536" t="inlineStr">
        <is>
          <t>YA (didukung konteks)</t>
        </is>
      </c>
    </row>
    <row r="537">
      <c r="A537" t="n">
        <v>45</v>
      </c>
      <c r="B537" t="inlineStr">
        <is>
          <t>B</t>
        </is>
      </c>
      <c r="C537" t="n">
        <v>6</v>
      </c>
      <c r="D537" s="3" t="inlineStr">
        <is>
          <t>Perbedaan ini penting karena memungkinkan programmer CT untuk lebih spesifik dan jelas dalam mendefinisikan tujuan dan fungsi kode.</t>
        </is>
      </c>
      <c r="E537" t="inlineStr">
        <is>
          <t>YA (didukung konteks)</t>
        </is>
      </c>
    </row>
    <row r="538">
      <c r="A538" t="n">
        <v>46</v>
      </c>
      <c r="B538" t="inlineStr">
        <is>
          <t>A</t>
        </is>
      </c>
      <c r="C538" t="n">
        <v>1</v>
      </c>
      <c r="D538" s="3" t="inlineStr">
        <is>
          <t>Percabangan adalah struktur kontrol yang memungkinkan algoritme untuk mengambil keputusan dan menjalankan blok instruksi yang berbeda bergantung pada kondisi tertentu.</t>
        </is>
      </c>
      <c r="E538" t="inlineStr">
        <is>
          <t>YA (didukung konteks)</t>
        </is>
      </c>
    </row>
    <row r="539">
      <c r="A539" t="n">
        <v>46</v>
      </c>
      <c r="B539" t="inlineStr">
        <is>
          <t>A</t>
        </is>
      </c>
      <c r="C539" t="n">
        <v>2</v>
      </c>
      <c r="D539" s="3" t="inlineStr">
        <is>
          <t>Variabel adalah elemen algoritme yang berfungsi untuk menyimpan nilai tertentu pada suatu saat, dan nilai tersebut dapat diubah menjadi nilai lain sesuai kebutuhan.</t>
        </is>
      </c>
      <c r="E539" t="inlineStr">
        <is>
          <t>YA (didukung konteks)</t>
        </is>
      </c>
    </row>
    <row r="540">
      <c r="A540" t="n">
        <v>46</v>
      </c>
      <c r="B540" t="inlineStr">
        <is>
          <t>A</t>
        </is>
      </c>
      <c r="C540" t="n">
        <v>3</v>
      </c>
      <c r="D540" s="3" t="inlineStr">
        <is>
          <t>Variabel harus memiliki nama unik, terdiri dari karakter alphanumeric, dan harus diawali dengan huruf (bukan angka atau karakter khusus).</t>
        </is>
      </c>
      <c r="E540" t="inlineStr">
        <is>
          <t>YA (didukung konteks)</t>
        </is>
      </c>
    </row>
    <row r="541">
      <c r="A541" t="n">
        <v>46</v>
      </c>
      <c r="B541" t="inlineStr">
        <is>
          <t>A</t>
        </is>
      </c>
      <c r="C541" t="n">
        <v>4</v>
      </c>
      <c r="D541" s="3" t="inlineStr">
        <is>
          <t>Jangan lupa untuk menggunakan istilah teknis yang ada dalam materi referensi dan menjelaskan konsep utama secara langsung dan akurat.</t>
        </is>
      </c>
      <c r="E541" t="inlineStr">
        <is>
          <t>YA (didukung konteks)</t>
        </is>
      </c>
    </row>
    <row r="542">
      <c r="A542" t="n">
        <v>46</v>
      </c>
      <c r="B542" t="inlineStr">
        <is>
          <t>A</t>
        </is>
      </c>
      <c r="C542" t="n">
        <v>5</v>
      </c>
      <c r="D542" s="3" t="inlineStr">
        <is>
          <t>Kondisi pada percabangan harus linear, sehingga kami dapat menggunakan if-else statement.</t>
        </is>
      </c>
      <c r="E542" t="inlineStr">
        <is>
          <t>YA (didukung konteks)</t>
        </is>
      </c>
    </row>
    <row r="543">
      <c r="A543" t="n">
        <v>46</v>
      </c>
      <c r="B543" t="inlineStr">
        <is>
          <t>A</t>
        </is>
      </c>
      <c r="C543" t="n">
        <v>6</v>
      </c>
      <c r="D543" s="3" t="inlineStr">
        <is>
          <t>Untuk menyelesaikan tugas Anda, mari kita buat pseudocode untuk fungsi-fungsi tersebut:</t>
        </is>
      </c>
      <c r="E543" t="inlineStr">
        <is>
          <t>YA (didukung konteks)</t>
        </is>
      </c>
    </row>
    <row r="544">
      <c r="A544" t="n">
        <v>46</v>
      </c>
      <c r="B544" t="inlineStr">
        <is>
          <t>B</t>
        </is>
      </c>
      <c r="C544" t="n">
        <v>1</v>
      </c>
      <c r="D544" s="3" t="inlineStr">
        <is>
          <t>Namun, perlu diingat bahwa pseudocode CT (Cyclic Transition) adalah pseudocode yang digunakan untuk menerjemahkan algoritma menjadi kode program, sehingga dalam pseudocode CT, parameter tidak dibuat secara eksplisit.</t>
        </is>
      </c>
      <c r="E544" t="inlineStr">
        <is>
          <t>YA (didukung konteks)</t>
        </is>
      </c>
    </row>
    <row r="545">
      <c r="A545" t="n">
        <v>46</v>
      </c>
      <c r="B545" t="inlineStr">
        <is>
          <t>B</t>
        </is>
      </c>
      <c r="C545" t="n">
        <v>2</v>
      </c>
      <c r="D545" s="3" t="inlineStr">
        <is>
          <t>Namun, dalam contoh di atas, saya telah menulis parameter dengan tipe data double untuk memudahkan penggunaan fungsi-fungsi tersebut.</t>
        </is>
      </c>
      <c r="E545" t="inlineStr">
        <is>
          <t>YA (didukung konteks)</t>
        </is>
      </c>
    </row>
    <row r="546">
      <c r="A546" t="n">
        <v>46</v>
      </c>
      <c r="B546" t="inlineStr">
        <is>
          <t>B</t>
        </is>
      </c>
      <c r="C546" t="n">
        <v>3</v>
      </c>
      <c r="D546" s="3" t="inlineStr">
        <is>
          <t>Tugas ini adalah untuk membuat fungsi-fungsi yang menghitung luas dari persegi panjang, segitiga, dan lingkaran.</t>
        </is>
      </c>
      <c r="E546" t="inlineStr">
        <is>
          <t>YA (didukung konteks)</t>
        </is>
      </c>
    </row>
    <row r="547">
      <c r="A547" t="n">
        <v>46</v>
      </c>
      <c r="B547" t="inlineStr">
        <is>
          <t>B</t>
        </is>
      </c>
      <c r="C547" t="n">
        <v>4</v>
      </c>
      <c r="D547" s="3" t="inlineStr">
        <is>
          <t>Berikut adalah contoh kode pseudocode yang menjelaskan cara menulis fungsi-fungsi tersebut:</t>
        </is>
      </c>
      <c r="E547" t="inlineStr">
        <is>
          <t>YA (didukung konteks)</t>
        </is>
      </c>
    </row>
    <row r="548">
      <c r="A548" t="n">
        <v>46</v>
      </c>
      <c r="B548" t="inlineStr">
        <is>
          <t>B</t>
        </is>
      </c>
      <c r="C548" t="n">
        <v>5</v>
      </c>
      <c r="D548" s="3" t="inlineStr">
        <is>
          <t>fungsi_luas_persegi_panjang(l = double, p = double):</t>
        </is>
      </c>
      <c r="E548" t="inlineStr">
        <is>
          <t>YA (didukung konteks)</t>
        </is>
      </c>
    </row>
    <row r="549">
      <c r="A549" t="n">
        <v>46</v>
      </c>
      <c r="B549" t="inlineStr">
        <is>
          <t>B</t>
        </is>
      </c>
      <c r="C549" t="n">
        <v>6</v>
      </c>
      <c r="D549" s="3" t="inlineStr">
        <is>
          <t>hasil = fungsi_luas_persegi_panjang(panjang, lebar)</t>
        </is>
      </c>
      <c r="E549" t="inlineStr">
        <is>
          <t>YA (didukung konteks)</t>
        </is>
      </c>
    </row>
    <row r="550">
      <c r="A550" t="n">
        <v>47</v>
      </c>
      <c r="B550" t="inlineStr">
        <is>
          <t>A</t>
        </is>
      </c>
      <c r="C550" t="n">
        <v>1</v>
      </c>
      <c r="D550" s="3" t="inlineStr">
        <is>
          <t>Namun, perlu diingat bahwa ada metode yang lebih efisien untuk menghitung n!, yaitu dengan menggunakan rumus matematika yang lebih cepat dan akurat.</t>
        </is>
      </c>
      <c r="E550" t="inlineStr">
        <is>
          <t>YA (didukung konteks)</t>
        </is>
      </c>
    </row>
    <row r="551">
      <c r="A551" t="n">
        <v>47</v>
      </c>
      <c r="B551" t="inlineStr">
        <is>
          <t>A</t>
        </is>
      </c>
      <c r="C551" t="n">
        <v>2</v>
      </c>
      <c r="D551" s="3" t="inlineStr">
        <is>
          <t>Namun, ketika di dalam fungsi x dibuat menjadi 99, maka perubahan tersebut hanya lokal dan tidak mempengaruhi nilai x di program utama.</t>
        </is>
      </c>
      <c r="E551" t="inlineStr">
        <is>
          <t>TIDAK (tidak didukung)</t>
        </is>
      </c>
    </row>
    <row r="552">
      <c r="A552" t="n">
        <v>47</v>
      </c>
      <c r="B552" t="inlineStr">
        <is>
          <t>A</t>
        </is>
      </c>
      <c r="C552" t="n">
        <v>3</v>
      </c>
      <c r="D552" s="3" t="inlineStr">
        <is>
          <t>Harapannya, jawaban saya dapat membantu Anda memahami konsep-konsep computational thinking yang diperkenalkan dalam materi referensi.</t>
        </is>
      </c>
      <c r="E552" t="inlineStr">
        <is>
          <t>YA (didukung konteks)</t>
        </is>
      </c>
    </row>
    <row r="553">
      <c r="A553" t="n">
        <v>47</v>
      </c>
      <c r="B553" t="inlineStr">
        <is>
          <t>A</t>
        </is>
      </c>
      <c r="C553" t="n">
        <v>4</v>
      </c>
      <c r="D553" s="3" t="inlineStr">
        <is>
          <t>Sementara itu, Kode B mengalami perulangan do-while, yang berarti body-nya akan dijalankan minimal satu kali sebelum cek kondisi.</t>
        </is>
      </c>
      <c r="E553" t="inlineStr">
        <is>
          <t>YA (didukung konteks)</t>
        </is>
      </c>
    </row>
    <row r="554">
      <c r="A554" t="n">
        <v>47</v>
      </c>
      <c r="B554" t="inlineStr">
        <is>
          <t>A</t>
        </is>
      </c>
      <c r="C554" t="n">
        <v>5</v>
      </c>
      <c r="D554" s="3" t="inlineStr">
        <is>
          <t>Saya menjawab bahwa Kode A tidak akan pernah menjalankan body-nya karena kondisi awal `i &lt; 5` adalah False.</t>
        </is>
      </c>
      <c r="E554" t="inlineStr">
        <is>
          <t>YA (didukung konteks)</t>
        </is>
      </c>
    </row>
    <row r="555">
      <c r="A555" t="n">
        <v>47</v>
      </c>
      <c r="B555" t="inlineStr">
        <is>
          <t>A</t>
        </is>
      </c>
      <c r="C555" t="n">
        <v>6</v>
      </c>
      <c r="D555" s="3" t="inlineStr">
        <is>
          <t>Fungsi memecah algoritme besar menjadi fungsi-fungsi yang lebih kecil dan fokus pada tugas spesifik.</t>
        </is>
      </c>
      <c r="E555" t="inlineStr">
        <is>
          <t>YA (didukung konteks)</t>
        </is>
      </c>
    </row>
    <row r="556">
      <c r="A556" t="n">
        <v>47</v>
      </c>
      <c r="B556" t="inlineStr">
        <is>
          <t>B</t>
        </is>
      </c>
      <c r="C556" t="n">
        <v>1</v>
      </c>
      <c r="D556" s="3" t="inlineStr">
        <is>
          <t>Namun, perlu diingat bahwa beberapa bahasa pemrograman memiliki fitur seperti "pass by reference" atau "pass by value" yang dapat mempengaruhi nilai variabel di luar fungsi.</t>
        </is>
      </c>
      <c r="E556" t="inlineStr">
        <is>
          <t>YA (didukung konteks)</t>
        </is>
      </c>
    </row>
    <row r="557">
      <c r="A557" t="n">
        <v>47</v>
      </c>
      <c r="B557" t="inlineStr">
        <is>
          <t>B</t>
        </is>
      </c>
      <c r="C557" t="n">
        <v>2</v>
      </c>
      <c r="D557" s="3" t="inlineStr">
        <is>
          <t>Dalam kebanyakan bahasa pemrograman, termasuk Python, variabel yang didefinisikan di dalam fungsi tidak akan mengubah nilai variabel dengan nama sama di luar fungsi.</t>
        </is>
      </c>
      <c r="E557" t="inlineStr">
        <is>
          <t>YA (didukung konteks)</t>
        </is>
      </c>
    </row>
    <row r="558">
      <c r="A558" t="n">
        <v>47</v>
      </c>
      <c r="B558" t="inlineStr">
        <is>
          <t>B</t>
        </is>
      </c>
      <c r="C558" t="n">
        <v>3</v>
      </c>
      <c r="D558" s="3" t="inlineStr">
        <is>
          <t>Dalam kasus Anda, variabel `x` di program utama memiliki nilai 10, kemudian Anda mendefinisikan variabel `x` lagi dengan nilai 99 di dalam fungsi.</t>
        </is>
      </c>
      <c r="E558" t="inlineStr">
        <is>
          <t>TIDAK (tidak didukung)</t>
        </is>
      </c>
    </row>
    <row r="559">
      <c r="A559" t="n">
        <v>47</v>
      </c>
      <c r="B559" t="inlineStr">
        <is>
          <t>B</t>
        </is>
      </c>
      <c r="C559" t="n">
        <v>4</v>
      </c>
      <c r="D559" s="3" t="inlineStr">
        <is>
          <t>Namun, dalam Python, variabel di dalam fungsi tidak akan mengubah nilai variabel di luar fungsi, sehingga hasilnya tetap sebagai 10.</t>
        </is>
      </c>
      <c r="E559" t="inlineStr">
        <is>
          <t>YA (didukung konteks)</t>
        </is>
      </c>
    </row>
    <row r="560">
      <c r="A560" t="n">
        <v>47</v>
      </c>
      <c r="B560" t="inlineStr">
        <is>
          <t>B</t>
        </is>
      </c>
      <c r="C560" t="n">
        <v>5</v>
      </c>
      <c r="D560" s="3" t="inlineStr">
        <is>
          <t>Ketika fungsi selesai, nilai `x` di dalam fungsi akan hilang dan tidak akan berpengaruh pada nilai `x` di program utama.</t>
        </is>
      </c>
      <c r="E560" t="inlineStr">
        <is>
          <t>YA (didukung konteks)</t>
        </is>
      </c>
    </row>
    <row r="561">
      <c r="A561" t="n">
        <v>47</v>
      </c>
      <c r="B561" t="inlineStr">
        <is>
          <t>B</t>
        </is>
      </c>
      <c r="C561" t="n">
        <v>6</v>
      </c>
      <c r="D561" s="3" t="inlineStr">
        <is>
          <t>Hal ini karena variabel di dalam fungsi memiliki scope yang terbatas hanya pada fungsi tersebut.</t>
        </is>
      </c>
      <c r="E561" t="inlineStr">
        <is>
          <t>YA (didukung konteks)</t>
        </is>
      </c>
    </row>
    <row r="562">
      <c r="A562" t="n">
        <v>48</v>
      </c>
      <c r="B562" t="inlineStr">
        <is>
          <t>A</t>
        </is>
      </c>
      <c r="C562" t="n">
        <v>1</v>
      </c>
      <c r="D562" s="3" t="inlineStr">
        <is>
          <t>Fungsi rekursi dapat digunakan untuk memecahkan masalah yang lebih kompleks dan memiliki kemampuan untuk mengulang proses hingga mencapai solusi yang diinginkan.</t>
        </is>
      </c>
      <c r="E562" t="inlineStr">
        <is>
          <t>YA (didukung konteks)</t>
        </is>
      </c>
    </row>
    <row r="563">
      <c r="A563" t="n">
        <v>48</v>
      </c>
      <c r="B563" t="inlineStr">
        <is>
          <t>A</t>
        </is>
      </c>
      <c r="C563" t="n">
        <v>2</v>
      </c>
      <c r="D563" s="3" t="inlineStr">
        <is>
          <t>Penggunaan rekursi biasanya dilakukan ketika kita ingin menghitung atau menyelesaikan masalah yang memiliki struktur hierarki atau pengulangan.</t>
        </is>
      </c>
      <c r="E563" t="inlineStr">
        <is>
          <t>YA (didukung konteks)</t>
        </is>
      </c>
    </row>
    <row r="564">
      <c r="A564" t="n">
        <v>48</v>
      </c>
      <c r="B564" t="inlineStr">
        <is>
          <t>A</t>
        </is>
      </c>
      <c r="C564" t="n">
        <v>3</v>
      </c>
      <c r="D564" s="3" t="inlineStr">
        <is>
          <t>Rekursi adalah salah satu contoh aplikasi fungsi yang memanggil dirinya sendiri untuk mencapai solusi yang diinginkan.</t>
        </is>
      </c>
      <c r="E564" t="inlineStr">
        <is>
          <t>YA (didukung konteks)</t>
        </is>
      </c>
    </row>
    <row r="565">
      <c r="A565" t="n">
        <v>48</v>
      </c>
      <c r="B565" t="inlineStr">
        <is>
          <t>A</t>
        </is>
      </c>
      <c r="C565" t="n">
        <v>4</v>
      </c>
      <c r="D565" s="3" t="inlineStr">
        <is>
          <t>Dalam materi referensi, kita telah menemukan contoh aplikasi rekursi dalam definisi fungsi `habis_dibagi` dan `luas`.</t>
        </is>
      </c>
      <c r="E565" t="inlineStr">
        <is>
          <t>YA (didukung konteks)</t>
        </is>
      </c>
    </row>
    <row r="566">
      <c r="A566" t="n">
        <v>48</v>
      </c>
      <c r="B566" t="inlineStr">
        <is>
          <t>A</t>
        </is>
      </c>
      <c r="C566" t="n">
        <v>5</v>
      </c>
      <c r="D566" s="3" t="inlineStr">
        <is>
          <t>Rekursi, sebagai fungsi yang memanggil dirinya sendiri, tidak memiliki perbedaan fundamental dengan fungsi biasa.</t>
        </is>
      </c>
      <c r="E566" t="inlineStr">
        <is>
          <t>YA (didukung konteks)</t>
        </is>
      </c>
    </row>
    <row r="567">
      <c r="A567" t="n">
        <v>48</v>
      </c>
      <c r="B567" t="inlineStr">
        <is>
          <t>A</t>
        </is>
      </c>
      <c r="C567" t="n">
        <v>6</v>
      </c>
      <c r="D567" s="3" t="inlineStr">
        <is>
          <t>Kedua fungsi tersebut menggunakan konsep dekomposisi untuk memecah masalah menjadi sub-masalah yang lebih kecil.</t>
        </is>
      </c>
      <c r="E567" t="inlineStr">
        <is>
          <t>YA (didukung konteks)</t>
        </is>
      </c>
    </row>
    <row r="568">
      <c r="A568" t="n">
        <v>48</v>
      </c>
      <c r="B568" t="inlineStr">
        <is>
          <t>B</t>
        </is>
      </c>
      <c r="C568" t="n">
        <v>1</v>
      </c>
      <c r="D568" s="3" t="inlineStr">
        <is>
          <t>Rekursi digunakan dalam banyak bidang, seperti analisis numerik, teori graf, dan ilmu komputer, serta memiliki implikasi penting pada algoritma dan efisiensi program.</t>
        </is>
      </c>
      <c r="E568" t="inlineStr">
        <is>
          <t>YA (didukung konteks)</t>
        </is>
      </c>
    </row>
    <row r="569">
      <c r="A569" t="n">
        <v>48</v>
      </c>
      <c r="B569" t="inlineStr">
        <is>
          <t>B</t>
        </is>
      </c>
      <c r="C569" t="n">
        <v>2</v>
      </c>
      <c r="D569" s="3" t="inlineStr">
        <is>
          <t>Dalam sintesis, rekursi "spesial" karena memiliki sifat khusus yang berbeda dengan fungsi biasa, yaitu memanggil dirinya sendiri dengan argumen yang berbeda-beda.</t>
        </is>
      </c>
      <c r="E569" t="inlineStr">
        <is>
          <t>YA (didukung konteks)</t>
        </is>
      </c>
    </row>
    <row r="570">
      <c r="A570" t="n">
        <v>48</v>
      </c>
      <c r="B570" t="inlineStr">
        <is>
          <t>B</t>
        </is>
      </c>
      <c r="C570" t="n">
        <v>3</v>
      </c>
      <c r="D570" s="3" t="inlineStr">
        <is>
          <t>Dalam pelajaran matematika dan ilmu komputer, rekursi biasanya diajarkan terpisah karena memiliki aplikasi yang lebih luas dan kompleks dibanding fungsi biasa.</t>
        </is>
      </c>
      <c r="E570" t="inlineStr">
        <is>
          <t>YA (didukung konteks)</t>
        </is>
      </c>
    </row>
    <row r="571">
      <c r="A571" t="n">
        <v>48</v>
      </c>
      <c r="B571" t="inlineStr">
        <is>
          <t>B</t>
        </is>
      </c>
      <c r="C571" t="n">
        <v>4</v>
      </c>
      <c r="D571" s="3" t="inlineStr">
        <is>
          <t>Oleh karena itu, rekursi tidak hanya dianggap sebagai sebuah fungsi, tapi juga memiliki sifat yang berbeda dan perlu dipahami secara spesifik.</t>
        </is>
      </c>
      <c r="E571" t="inlineStr">
        <is>
          <t>YA (didukung konteks)</t>
        </is>
      </c>
    </row>
    <row r="572">
      <c r="A572" t="n">
        <v>48</v>
      </c>
      <c r="B572" t="inlineStr">
        <is>
          <t>B</t>
        </is>
      </c>
      <c r="C572" t="n">
        <v>5</v>
      </c>
      <c r="D572" s="3" t="inlineStr">
        <is>
          <t>Keterkaitan antara panggilan dan definisi fungsi itu sendiri membuat rekursi memerlukan penanganan khusus dalam analisis dan implementasinya.</t>
        </is>
      </c>
      <c r="E572" t="inlineStr">
        <is>
          <t>YA (didukung konteks)</t>
        </is>
      </c>
    </row>
    <row r="573">
      <c r="A573" t="n">
        <v>48</v>
      </c>
      <c r="B573" t="inlineStr">
        <is>
          <t>B</t>
        </is>
      </c>
      <c r="C573" t="n">
        <v>6</v>
      </c>
      <c r="D573" s="3" t="inlineStr">
        <is>
          <t>Keterkaitan antara panggilan dan definisi fungsi itu sendiri membuat rekursi memerlukan penanganan khusus dalam analisis dan implementasinya.</t>
        </is>
      </c>
      <c r="E573" t="inlineStr">
        <is>
          <t>YA (didukung konteks)</t>
        </is>
      </c>
    </row>
    <row r="574">
      <c r="A574" t="n">
        <v>49</v>
      </c>
      <c r="B574" t="inlineStr">
        <is>
          <t>A</t>
        </is>
      </c>
      <c r="C574" t="n">
        <v>1</v>
      </c>
      <c r="D574" s="3" t="inlineStr">
        <is>
          <t>Namun, pada slide [FUNGSI SEBAGAI DEKOMPOSISI DAN ABSTRAKSI], dikatakan bahwa dekomposisi memecah algoritme besar menjadi fungsi-fungsi kecil yang terfokus, sedangkan abstraksi menyembunyikan kerumitan implementasi di da</t>
        </is>
      </c>
      <c r="E574" t="inlineStr">
        <is>
          <t>YA (didukung konteks)</t>
        </is>
      </c>
    </row>
    <row r="575">
      <c r="A575" t="n">
        <v>49</v>
      </c>
      <c r="B575" t="inlineStr">
        <is>
          <t>A</t>
        </is>
      </c>
      <c r="C575" t="n">
        <v>2</v>
      </c>
      <c r="D575" s="3" t="inlineStr">
        <is>
          <t>Namun, konsep higher-order function sangat penting dalam Computational Thinking, karena memungkinkan penggunaan fungsi sebagai parameter dan hasilnya untuk menghasilkan output yang lebih kompleks.</t>
        </is>
      </c>
      <c r="E575" t="inlineStr">
        <is>
          <t>YA (didukung konteks)</t>
        </is>
      </c>
    </row>
    <row r="576">
      <c r="A576" t="n">
        <v>49</v>
      </c>
      <c r="B576" t="inlineStr">
        <is>
          <t>A</t>
        </is>
      </c>
      <c r="C576" t="n">
        <v>3</v>
      </c>
      <c r="D576" s="3" t="inlineStr">
        <is>
          <t>Di Computational Thinking, konsep fungsi yang menerima fungsi lain sebagai parameter (higher-order function) tidak secara eksplisit dibahas dalam materi referensi.</t>
        </is>
      </c>
      <c r="E576" t="inlineStr">
        <is>
          <t>YA (didukung konteks)</t>
        </is>
      </c>
    </row>
    <row r="577">
      <c r="A577" t="n">
        <v>49</v>
      </c>
      <c r="B577" t="inlineStr">
        <is>
          <t>A</t>
        </is>
      </c>
      <c r="C577" t="n">
        <v>4</v>
      </c>
      <c r="D577" s="3" t="inlineStr">
        <is>
          <t>FUNGSI], [GT_SUBTOPIK_02_Abstraksi_Formulasi.txt], [SOAL 6 — Abstraksi vs Symptom], [SOAL 7 — Abstraksi Data], [FUNGSI SEBAGAI DEKOMPOSISI DAN ABSTRAKSI], F.</t>
        </is>
      </c>
      <c r="E577" t="inlineStr">
        <is>
          <t>YA (didukung konteks)</t>
        </is>
      </c>
    </row>
    <row r="578">
      <c r="A578" t="n">
        <v>49</v>
      </c>
      <c r="B578" t="inlineStr">
        <is>
          <t>A</t>
        </is>
      </c>
      <c r="C578" t="n">
        <v>5</v>
      </c>
      <c r="D578" s="3" t="inlineStr">
        <is>
          <t>Oleh karena itu, saya sarankan Anda untuk mempelajari materi referensi tambahan tentang higher-order function agar Anda dapat lebih paham konsep ini.</t>
        </is>
      </c>
      <c r="E578" t="inlineStr">
        <is>
          <t>YA (didukung konteks)</t>
        </is>
      </c>
    </row>
    <row r="579">
      <c r="A579" t="n">
        <v>49</v>
      </c>
      <c r="B579" t="inlineStr">
        <is>
          <t>A</t>
        </is>
      </c>
      <c r="C579" t="n">
        <v>6</v>
      </c>
      <c r="D579" s="3" t="inlineStr">
        <is>
          <t>Pertanyaan mahasiswa: Di Python ada konsep fungsi yang menerima fungsi lain sebagai parameter — disebut higher-order function.</t>
        </is>
      </c>
      <c r="E579" t="inlineStr">
        <is>
          <t>YA (didukung konteks)</t>
        </is>
      </c>
    </row>
    <row r="580">
      <c r="A580" t="n">
        <v>49</v>
      </c>
      <c r="B580" t="inlineStr">
        <is>
          <t>B</t>
        </is>
      </c>
      <c r="C580" t="n">
        <v>1</v>
      </c>
      <c r="D580" s="3" t="inlineStr">
        <is>
          <t>Tidak, konsep higher-order function yang mengizinkan suatu fungsi untuk menerima fungsi lain sebagai parameter tidak diajarkan secara eksplisit di CT (Computer Science) karena CT lebih berfokus pada konsep dasar komputas</t>
        </is>
      </c>
      <c r="E580" t="inlineStr">
        <is>
          <t>YA (didukung konteks)</t>
        </is>
      </c>
    </row>
    <row r="581">
      <c r="A581" t="n">
        <v>49</v>
      </c>
      <c r="B581" t="inlineStr">
        <is>
          <t>B</t>
        </is>
      </c>
      <c r="C581" t="n">
        <v>2</v>
      </c>
      <c r="D581" s="3" t="inlineStr">
        <is>
          <t>Jika Anda ingin mempelajari lebih lanjut tentang higher-order function dan konsep-konsep terkait, maka Anda perlu belajar sendiri tentang materi-materi tersebut melalui sumber-sumber tambahan seperti buku-buku atau kursu</t>
        </is>
      </c>
      <c r="E581" t="inlineStr">
        <is>
          <t>YA (didukung konteks)</t>
        </is>
      </c>
    </row>
    <row r="582">
      <c r="A582" t="n">
        <v>49</v>
      </c>
      <c r="B582" t="inlineStr">
        <is>
          <t>B</t>
        </is>
      </c>
      <c r="C582" t="n">
        <v>3</v>
      </c>
      <c r="D582" s="3" t="inlineStr">
        <is>
          <t>Fungsi-fungsi yang menerima fungsi lain sebagai parameter biasanya ditemukan dalam pengembangan program yang lebih lanjut, seperti pemrograman functional programming atau konsep-konsep tingkat tinggi lainnya.</t>
        </is>
      </c>
      <c r="E582" t="inlineStr">
        <is>
          <t>YA (didukung konteks)</t>
        </is>
      </c>
    </row>
    <row r="583">
      <c r="A583" t="n">
        <v>49</v>
      </c>
      <c r="B583" t="inlineStr">
        <is>
          <t>B</t>
        </is>
      </c>
      <c r="C583" t="n">
        <v>4</v>
      </c>
      <c r="D583" s="3" t="inlineStr">
        <is>
          <t>Namun, pada umumnya, materi tentang fungsi dan parameterization dalam CT akan membahas tentang fungsi yang menerima tipe data primitif seperti integer, string, atau boolean.</t>
        </is>
      </c>
      <c r="E583" t="inlineStr">
        <is>
          <t>YA (didukung konteks)</t>
        </is>
      </c>
    </row>
    <row r="584">
      <c r="A584" t="n">
        <v>50</v>
      </c>
      <c r="B584" t="inlineStr">
        <is>
          <t>A</t>
        </is>
      </c>
      <c r="C584" t="n">
        <v>1</v>
      </c>
      <c r="D584" s="3" t="inlineStr">
        <is>
          <t>b) "Nilai rata-rata UTS mahasiswa kelas A sangat rendah." - Masalah (problem), karena nilai rata-rata UTS tidak mencapai standar yang diinginkan.</t>
        </is>
      </c>
      <c r="E584" t="inlineStr">
        <is>
          <t>YA (didukung konteks)</t>
        </is>
      </c>
    </row>
    <row r="585">
      <c r="A585" t="n">
        <v>50</v>
      </c>
      <c r="B585" t="inlineStr">
        <is>
          <t>A</t>
        </is>
      </c>
      <c r="C585" t="n">
        <v>2</v>
      </c>
      <c r="D585" s="3" t="inlineStr">
        <is>
          <t>a) "Aplikasi mobile saya sering crash saat dibuka." - Gejala (symptom), karena aplikasi mobile tidak berfungsi seperti biasanya.</t>
        </is>
      </c>
      <c r="E585" t="inlineStr">
        <is>
          <t>YA (didukung konteks)</t>
        </is>
      </c>
    </row>
    <row r="586">
      <c r="A586" t="n">
        <v>50</v>
      </c>
      <c r="B586" t="inlineStr">
        <is>
          <t>A</t>
        </is>
      </c>
      <c r="C586" t="n">
        <v>3</v>
      </c>
      <c r="D586" s="3" t="inlineStr">
        <is>
          <t>[Saya memahami bahwa Anda ingin saya menjawab pertanyaan-pertanyaan yang ada, termasuk SOAL 7 — Error Fungsi.</t>
        </is>
      </c>
      <c r="E586" t="inlineStr">
        <is>
          <t>YA (didukung konteks)</t>
        </is>
      </c>
    </row>
    <row r="587">
      <c r="A587" t="n">
        <v>50</v>
      </c>
      <c r="B587" t="inlineStr">
        <is>
          <t>A</t>
        </is>
      </c>
      <c r="C587" t="n">
        <v>4</v>
      </c>
      <c r="D587" s="3" t="inlineStr">
        <is>
          <t>c) "Server website mengalami downtime." - Gejala (symptom), karena server tidak berfungsi seperti biasanya.</t>
        </is>
      </c>
      <c r="E587" t="inlineStr">
        <is>
          <t>YA (didukung konteks)</t>
        </is>
      </c>
    </row>
    <row r="588">
      <c r="A588" t="n">
        <v>50</v>
      </c>
      <c r="B588" t="inlineStr">
        <is>
          <t>A</t>
        </is>
      </c>
      <c r="C588" t="n">
        <v>5</v>
      </c>
      <c r="D588" s="3" t="inlineStr">
        <is>
          <t>Error pada fungsi `hitung(a: int, b: float, c: string) : string` adalah:</t>
        </is>
      </c>
      <c r="E588" t="inlineStr">
        <is>
          <t>YA (didukung konteks)</t>
        </is>
      </c>
    </row>
    <row r="589">
      <c r="A589" t="n">
        <v>50</v>
      </c>
      <c r="B589" t="inlineStr">
        <is>
          <t>A</t>
        </is>
      </c>
      <c r="C589" t="n">
        <v>6</v>
      </c>
      <c r="D589" s="3" t="inlineStr">
        <is>
          <t>Pseudocode untuk menemukan total keliling lingkaran yang luasnya &gt; 100:</t>
        </is>
      </c>
      <c r="E589" t="inlineStr">
        <is>
          <t>TIDAK (tidak didukung)</t>
        </is>
      </c>
    </row>
    <row r="590">
      <c r="A590" t="n">
        <v>50</v>
      </c>
      <c r="B590" t="inlineStr">
        <is>
          <t>B</t>
        </is>
      </c>
      <c r="C590" t="n">
        <v>1</v>
      </c>
      <c r="D590" s="3" t="inlineStr">
        <is>
          <t>Fungsi rekursif Anda memiliki jalur pengulangan yang tak terhingga: Ada kemungkinan bahwa fungsi rekursif Anda memiliki jalur pengulangan yang tidak pernah mencapai base case, sehingga fungsi rekursif akan terus berulang</t>
        </is>
      </c>
      <c r="E590" t="inlineStr">
        <is>
          <t>YA (didukung konteks)</t>
        </is>
      </c>
    </row>
    <row r="591">
      <c r="A591" t="n">
        <v>50</v>
      </c>
      <c r="B591" t="inlineStr">
        <is>
          <t>B</t>
        </is>
      </c>
      <c r="C591" t="n">
        <v>2</v>
      </c>
      <c r="D591" s="3" t="inlineStr">
        <is>
          <t>Terkadang, kita lupa bahwa fungsi rekursif itu memang memiliki batas kemampuan berulang (recursion depth) yang dapat diatasi oleh compiler atau runtime-nya.</t>
        </is>
      </c>
      <c r="E591" t="inlineStr">
        <is>
          <t>YA (didukung konteks)</t>
        </is>
      </c>
    </row>
    <row r="592">
      <c r="A592" t="n">
        <v>50</v>
      </c>
      <c r="B592" t="inlineStr">
        <is>
          <t>B</t>
        </is>
      </c>
      <c r="C592" t="n">
        <v>3</v>
      </c>
      <c r="D592" s="3" t="inlineStr">
        <is>
          <t>Base case Anda belum benar-benar tepat: Pastikan bahwa base case Anda memang mencapai kondisi yang sesuai untuk menghentikan fungsi rekursif.</t>
        </is>
      </c>
      <c r="E592" t="inlineStr">
        <is>
          <t>YA (didukung konteks)</t>
        </is>
      </c>
    </row>
    <row r="593">
      <c r="A593" t="n">
        <v>50</v>
      </c>
      <c r="B593" t="inlineStr">
        <is>
          <t>B</t>
        </is>
      </c>
      <c r="C593" t="n">
        <v>4</v>
      </c>
      <c r="D593" s="3" t="inlineStr">
        <is>
          <t>Data input Anda tidak sesuai dengan fungsi rekursif: Pastikan bahwa data input Anda sesuai dengan fungsi rekursif yang Anda tulis.</t>
        </is>
      </c>
      <c r="E593" t="inlineStr">
        <is>
          <t>YA (didukung konteks)</t>
        </is>
      </c>
    </row>
    <row r="594">
      <c r="A594" t="n">
        <v>50</v>
      </c>
      <c r="B594" t="inlineStr">
        <is>
          <t>B</t>
        </is>
      </c>
      <c r="C594" t="n">
        <v>5</v>
      </c>
      <c r="D594" s="3" t="inlineStr">
        <is>
          <t>Dengan demikian, Anda dapat menyelesaikan masalah "maximum recursion depth exceeded" dan membuat program Anda lebih stabil.</t>
        </is>
      </c>
      <c r="E594" t="inlineStr">
        <is>
          <t>TIDAK (tidak didukung)</t>
        </is>
      </c>
    </row>
    <row r="595">
      <c r="A595" t="n">
        <v>50</v>
      </c>
      <c r="B595" t="inlineStr">
        <is>
          <t>B</t>
        </is>
      </c>
      <c r="C595" t="n">
        <v>6</v>
      </c>
      <c r="D595" s="3" t="inlineStr">
        <is>
          <t>Jika kita tidak hati-hati dalam menulis fungsi rekursif, maka dapat terjadi error "maximum recursion depth exceeded".</t>
        </is>
      </c>
      <c r="E595" t="inlineStr">
        <is>
          <t>YA (didukung konteks)</t>
        </is>
      </c>
    </row>
    <row r="596">
      <c r="A596" t="n">
        <v>51</v>
      </c>
      <c r="B596" t="inlineStr">
        <is>
          <t>A</t>
        </is>
      </c>
      <c r="C596" t="n">
        <v>1</v>
      </c>
      <c r="D596" s="3" t="inlineStr">
        <is>
          <t>Dengan demikian, fase "naik" dan "turun" memungkinkan kita untuk menambahkan dan menghapus data dari stack secara efektif.</t>
        </is>
      </c>
      <c r="E596" t="inlineStr">
        <is>
          <t>YA (didukung konteks)</t>
        </is>
      </c>
    </row>
    <row r="597">
      <c r="A597" t="n">
        <v>51</v>
      </c>
      <c r="B597" t="inlineStr">
        <is>
          <t>A</t>
        </is>
      </c>
      <c r="C597" t="n">
        <v>2</v>
      </c>
      <c r="D597" s="3" t="inlineStr">
        <is>
          <t>Fase naik terjadi ketika data ditambahkan ke dalam stack, sedangkan fase turun terjadi ketika data dihapus dari stack.</t>
        </is>
      </c>
      <c r="E597" t="inlineStr">
        <is>
          <t>YA (didukung konteks)</t>
        </is>
      </c>
    </row>
    <row r="598">
      <c r="A598" t="n">
        <v>51</v>
      </c>
      <c r="B598" t="inlineStr">
        <is>
          <t>A</t>
        </is>
      </c>
      <c r="C598" t="n">
        <v>3</v>
      </c>
      <c r="D598" s="3" t="inlineStr">
        <is>
          <t>Dalam context stack, kita memiliki dua fase utama: fase "naik" (push) dan fase "turun" (pop).</t>
        </is>
      </c>
      <c r="E598" t="inlineStr">
        <is>
          <t>YA (didukung konteks)</t>
        </is>
      </c>
    </row>
    <row r="599">
      <c r="A599" t="n">
        <v>51</v>
      </c>
      <c r="B599" t="inlineStr">
        <is>
          <t>A</t>
        </is>
      </c>
      <c r="C599" t="n">
        <v>4</v>
      </c>
      <c r="D599" s="3" t="inlineStr">
        <is>
          <t>Pada fase ini, kita menggunakan operasi push untuk menambahkan data ke dalam stack.</t>
        </is>
      </c>
      <c r="E599" t="inlineStr">
        <is>
          <t>YA (didukung konteks)</t>
        </is>
      </c>
    </row>
    <row r="600">
      <c r="A600" t="n">
        <v>51</v>
      </c>
      <c r="B600" t="inlineStr">
        <is>
          <t>A</t>
        </is>
      </c>
      <c r="C600" t="n">
        <v>5</v>
      </c>
      <c r="D600" s="3" t="inlineStr">
        <is>
          <t>Pada fase ini, kita menggunakan operasi pop untuk menghapus data dari stack.</t>
        </is>
      </c>
      <c r="E600" t="inlineStr">
        <is>
          <t>YA (didukung konteks)</t>
        </is>
      </c>
    </row>
    <row r="601">
      <c r="A601" t="n">
        <v>51</v>
      </c>
      <c r="B601" t="inlineStr">
        <is>
          <t>A</t>
        </is>
      </c>
      <c r="C601" t="n">
        <v>6</v>
      </c>
      <c r="D601" s="3" t="inlineStr">
        <is>
          <t>Stack tidak kosong, sehingga data baru ditumpuk di atas data sebelumnya.</t>
        </is>
      </c>
      <c r="E601" t="inlineStr">
        <is>
          <t>YA (didukung konteks)</t>
        </is>
      </c>
    </row>
    <row r="602">
      <c r="A602" t="n">
        <v>51</v>
      </c>
      <c r="B602" t="inlineStr">
        <is>
          <t>B</t>
        </is>
      </c>
      <c r="C602" t="n">
        <v>1</v>
      </c>
      <c r="D602" s="3" t="inlineStr">
        <is>
          <t>Faktorial (4) adalah operasi matematika yang menghitung hasil perkalian semua angka dari 1 sampai 4, yaitu 4!</t>
        </is>
      </c>
      <c r="E602" t="inlineStr">
        <is>
          <t>TIDAK (tidak didukung)</t>
        </is>
      </c>
    </row>
    <row r="603">
      <c r="A603" t="n">
        <v>51</v>
      </c>
      <c r="B603" t="inlineStr">
        <is>
          <t>B</t>
        </is>
      </c>
      <c r="C603" t="n">
        <v>2</v>
      </c>
      <c r="D603" s="3" t="inlineStr">
        <is>
          <t>Pada fase "turun" (push), kita memasukkan nilai-nilai ke dalam stack (tumpukan) untuk kemudian diolah.</t>
        </is>
      </c>
      <c r="E603" t="inlineStr">
        <is>
          <t>YA (didukung konteks)</t>
        </is>
      </c>
    </row>
    <row r="604">
      <c r="A604" t="n">
        <v>51</v>
      </c>
      <c r="B604" t="inlineStr">
        <is>
          <t>B</t>
        </is>
      </c>
      <c r="C604" t="n">
        <v>3</v>
      </c>
      <c r="D604" s="3" t="inlineStr">
        <is>
          <t>Pada fase "naik" (pop), kita menghapus nilai-nilai dari stack dan menggunakannya untuk perhitungan.</t>
        </is>
      </c>
      <c r="E604" t="inlineStr">
        <is>
          <t>YA (didukung konteks)</t>
        </is>
      </c>
    </row>
    <row r="605">
      <c r="A605" t="n">
        <v>51</v>
      </c>
      <c r="B605" t="inlineStr">
        <is>
          <t>B</t>
        </is>
      </c>
      <c r="C605" t="n">
        <v>4</v>
      </c>
      <c r="D605" s="3" t="inlineStr">
        <is>
          <t>Fase "naik" adalah saat kita menghapus nilai-nilai dari stack dan menggunakannya untuk perhitungan.</t>
        </is>
      </c>
      <c r="E605" t="inlineStr">
        <is>
          <t>YA (didukung konteks)</t>
        </is>
      </c>
    </row>
    <row r="606">
      <c r="A606" t="n">
        <v>51</v>
      </c>
      <c r="B606" t="inlineStr">
        <is>
          <t>B</t>
        </is>
      </c>
      <c r="C606" t="n">
        <v>5</v>
      </c>
      <c r="D606" s="3" t="inlineStr">
        <is>
          <t>Jadi, fase "turun" adalah saat kita memasukkan nilai-nilai ke dalam stack untuk kemudian diolah.</t>
        </is>
      </c>
      <c r="E606" t="inlineStr">
        <is>
          <t>YA (didukung konteks)</t>
        </is>
      </c>
    </row>
    <row r="607">
      <c r="A607" t="n">
        <v>51</v>
      </c>
      <c r="B607" t="inlineStr">
        <is>
          <t>B</t>
        </is>
      </c>
      <c r="C607" t="n">
        <v>6</v>
      </c>
      <c r="D607" s="3" t="inlineStr">
        <is>
          <t>Pada saat kita melakukan faktorial, terjadi beberapa fase dalam memprosesnya.</t>
        </is>
      </c>
      <c r="E607" t="inlineStr">
        <is>
          <t>TIDAK (tidak didukung)</t>
        </is>
      </c>
    </row>
    <row r="608">
      <c r="A608" t="n">
        <v>52</v>
      </c>
      <c r="B608" t="inlineStr">
        <is>
          <t>A</t>
        </is>
      </c>
      <c r="C608" t="n">
        <v>1</v>
      </c>
      <c r="D608" s="3" t="inlineStr">
        <is>
          <t>Saya memahami bahwa Anda membuat algoritme Fibonacci rekursif dan berjalan normal untuk Fib(10), namun ketika Anda mencoba Fib(40), program Anda menjadi sangat lambat, yaitu sekitar 1 menit.</t>
        </is>
      </c>
      <c r="E608" t="inlineStr">
        <is>
          <t>TIDAK (tidak didukung)</t>
        </is>
      </c>
    </row>
    <row r="609">
      <c r="A609" t="n">
        <v>52</v>
      </c>
      <c r="B609" t="inlineStr">
        <is>
          <t>A</t>
        </is>
      </c>
      <c r="C609" t="n">
        <v>2</v>
      </c>
      <c r="D609" s="3" t="inlineStr">
        <is>
          <t>Untuk meningkatkan performa program, Anda dapat menggunakan algoritme lain seperti algoritme Fibonacci tidak rekursif dengan kompleksitas O(n), yaitu linear.</t>
        </is>
      </c>
      <c r="E609" t="inlineStr">
        <is>
          <t>YA (didukung konteks)</t>
        </is>
      </c>
    </row>
    <row r="610">
      <c r="A610" t="n">
        <v>52</v>
      </c>
      <c r="B610" t="inlineStr">
        <is>
          <t>A</t>
        </is>
      </c>
      <c r="C610" t="n">
        <v>3</v>
      </c>
      <c r="D610" s="3" t="inlineStr">
        <is>
          <t>Dalam kaitannya dengan materi referensi, kita dapat melihat bahwa kompleksitas algoritme sangat penting dalam menentukan waktu eksekusi program.</t>
        </is>
      </c>
      <c r="E610" t="inlineStr">
        <is>
          <t>YA (didukung konteks)</t>
        </is>
      </c>
    </row>
    <row r="611">
      <c r="A611" t="n">
        <v>52</v>
      </c>
      <c r="B611" t="inlineStr">
        <is>
          <t>A</t>
        </is>
      </c>
      <c r="C611" t="n">
        <v>4</v>
      </c>
      <c r="D611" s="3" t="inlineStr">
        <is>
          <t>Dalam kasus Anda, Fib(40) memerlukan waktu yang lama karena algoritme tersebut harus melakukan banyak perhitungan rekursif.</t>
        </is>
      </c>
      <c r="E611" t="inlineStr">
        <is>
          <t>TIDAK (tidak didukung)</t>
        </is>
      </c>
    </row>
    <row r="612">
      <c r="A612" t="n">
        <v>52</v>
      </c>
      <c r="B612" t="inlineStr">
        <is>
          <t>A</t>
        </is>
      </c>
      <c r="C612" t="n">
        <v>5</v>
      </c>
      <c r="D612" s="3" t="inlineStr">
        <is>
          <t>Sebagai contoh, O(n) lebih cepat daripada O(2^n), seperti yang kita lihat pada tabel kompleksitas Big-O.</t>
        </is>
      </c>
      <c r="E612" t="inlineStr">
        <is>
          <t>YA (didukung konteks)</t>
        </is>
      </c>
    </row>
    <row r="613">
      <c r="A613" t="n">
        <v>52</v>
      </c>
      <c r="B613" t="inlineStr">
        <is>
          <t>A</t>
        </is>
      </c>
      <c r="C613" t="n">
        <v>6</v>
      </c>
      <c r="D613" s="3" t="inlineStr">
        <is>
          <t>Hal ini berarti bahwa waktu eksekusi algoritme akan meningkat pesat ketika inputnya semakin besar.</t>
        </is>
      </c>
      <c r="E613" t="inlineStr">
        <is>
          <t>YA (didukung konteks)</t>
        </is>
      </c>
    </row>
    <row r="614">
      <c r="A614" t="n">
        <v>52</v>
      </c>
      <c r="B614" t="inlineStr">
        <is>
          <t>B</t>
        </is>
      </c>
      <c r="C614" t="n">
        <v>1</v>
      </c>
      <c r="D614" s="3" t="inlineStr">
        <is>
          <t>Ketika Anda mencoba Fib(40), program akan menghitung nilai Fib(39) dan Fib(38) dengan cara sama, yakni dengan menggunakan fungsi rekursif.</t>
        </is>
      </c>
      <c r="E614" t="inlineStr">
        <is>
          <t>YA (didukung konteks)</t>
        </is>
      </c>
    </row>
    <row r="615">
      <c r="A615" t="n">
        <v>52</v>
      </c>
      <c r="B615" t="inlineStr">
        <is>
          <t>B</t>
        </is>
      </c>
      <c r="C615" t="n">
        <v>2</v>
      </c>
      <c r="D615" s="3" t="inlineStr">
        <is>
          <t>Oleh karena itu, disarankan menggunakan algoritma non-rekursif atau menggunakan teknik memoization untuk meningkatkan kinerja program.</t>
        </is>
      </c>
      <c r="E615" t="inlineStr">
        <is>
          <t>YA (didukung konteks)</t>
        </is>
      </c>
    </row>
    <row r="616">
      <c r="A616" t="n">
        <v>52</v>
      </c>
      <c r="B616" t="inlineStr">
        <is>
          <t>B</t>
        </is>
      </c>
      <c r="C616" t="n">
        <v>3</v>
      </c>
      <c r="D616" s="3" t="inlineStr">
        <is>
          <t>Hal ini berarti bahwa program akan melakukan banyak pengulangan dan panggilan fungsi, sehingga waktu eksekusi menjadi sangat lambat.</t>
        </is>
      </c>
      <c r="E616" t="inlineStr">
        <is>
          <t>TIDAK (tidak didukung)</t>
        </is>
      </c>
    </row>
    <row r="617">
      <c r="A617" t="n">
        <v>52</v>
      </c>
      <c r="B617" t="inlineStr">
        <is>
          <t>B</t>
        </is>
      </c>
      <c r="C617" t="n">
        <v>4</v>
      </c>
      <c r="D617" s="3" t="inlineStr">
        <is>
          <t>Hal ini berarti bahwa fungsi rekursif akan terus dipanggil hingga mencapai batas yang ditentukan (dalam kasus Anda, Fib(40)).</t>
        </is>
      </c>
      <c r="E617" t="inlineStr">
        <is>
          <t>TIDAK (tidak didukung)</t>
        </is>
      </c>
    </row>
    <row r="618">
      <c r="A618" t="n">
        <v>52</v>
      </c>
      <c r="B618" t="inlineStr">
        <is>
          <t>B</t>
        </is>
      </c>
      <c r="C618" t="n">
        <v>5</v>
      </c>
      <c r="D618" s="3" t="inlineStr">
        <is>
          <t>Dalam contoh, Anda dapat menggunakan array untuk menyimpan hasil perhitungan sebelumnya dan menggunakannya saat diperlukan.</t>
        </is>
      </c>
      <c r="E618" t="inlineStr">
        <is>
          <t>YA (didukung konteks)</t>
        </is>
      </c>
    </row>
    <row r="619">
      <c r="A619" t="n">
        <v>52</v>
      </c>
      <c r="B619" t="inlineStr">
        <is>
          <t>B</t>
        </is>
      </c>
      <c r="C619" t="n">
        <v>6</v>
      </c>
      <c r="D619" s="3" t="inlineStr">
        <is>
          <t>Namun, ketika Anda mencoba mencapai nilai yang lebih besar, seperti Fib(40), program akan mengalami masalah performansi.</t>
        </is>
      </c>
      <c r="E619" t="inlineStr">
        <is>
          <t>TIDAK (tidak didukung)</t>
        </is>
      </c>
    </row>
    <row r="620">
      <c r="A620" t="n">
        <v>53</v>
      </c>
      <c r="B620" t="inlineStr">
        <is>
          <t>A</t>
        </is>
      </c>
      <c r="C620" t="n">
        <v>1</v>
      </c>
      <c r="D620" s="3" t="inlineStr">
        <is>
          <t>Dalam jawaban saya, saya menggunakan istilah teknis yang ada dalam materi referensi, menjelaskan konsep utama secara langsung dan akurat, dan sesuai dengan gaya penjelasan yang sesuai dengan tipe kognitif: Level 3 Meneng</t>
        </is>
      </c>
      <c r="E620" t="inlineStr">
        <is>
          <t>YA (didukung konteks)</t>
        </is>
      </c>
    </row>
    <row r="621">
      <c r="A621" t="n">
        <v>53</v>
      </c>
      <c r="B621" t="inlineStr">
        <is>
          <t>A</t>
        </is>
      </c>
      <c r="C621" t="n">
        <v>2</v>
      </c>
      <c r="D621" s="3" t="inlineStr">
        <is>
          <t>Saya dapat menjawab soal-soal Anda dengan menggunakan materi referensi yang relevan dan gaya penjelasan yang sesuai dengan tipe kognitif: Level 3 Menengah / Teoritis / Global / Intuitif.</t>
        </is>
      </c>
      <c r="E621" t="inlineStr">
        <is>
          <t>YA (didukung konteks)</t>
        </is>
      </c>
    </row>
    <row r="622">
      <c r="A622" t="n">
        <v>53</v>
      </c>
      <c r="B622" t="inlineStr">
        <is>
          <t>A</t>
        </is>
      </c>
      <c r="C622" t="n">
        <v>3</v>
      </c>
      <c r="D622" s="3" t="inlineStr">
        <is>
          <t>Saya menjelaskan bahwa definisi rekursif adalah Fib(n) = Fib(n-1) + Fib(n-2), dan kemudian saya menerapkan definisi ini untuk menemukan nilai Fib(6).</t>
        </is>
      </c>
      <c r="E622" t="inlineStr">
        <is>
          <t>TIDAK (tidak didukung)</t>
        </is>
      </c>
    </row>
    <row r="623">
      <c r="A623" t="n">
        <v>53</v>
      </c>
      <c r="B623" t="inlineStr">
        <is>
          <t>A</t>
        </is>
      </c>
      <c r="C623" t="n">
        <v>4</v>
      </c>
      <c r="D623" s="3" t="inlineStr">
        <is>
          <t>Saya menemukan bahwa suku ke-12 adalah 144 dan rasio dua suku berurutan mendekati pada suku besar yaitu bilangan Emas (Golden Ratio) φ ≈ 1.618033...</t>
        </is>
      </c>
      <c r="E623" t="inlineStr">
        <is>
          <t>TIDAK (tidak didukung)</t>
        </is>
      </c>
    </row>
    <row r="624">
      <c r="A624" t="n">
        <v>53</v>
      </c>
      <c r="B624" t="inlineStr">
        <is>
          <t>A</t>
        </is>
      </c>
      <c r="C624" t="n">
        <v>5</v>
      </c>
      <c r="D624" s="3" t="inlineStr">
        <is>
          <t>Saya menemukan bahwa suku ke-10 dari barisan a adalah 101, suku ke-10 dari barisan b adalah 55, dan suku ke-10 dari barisan c adalah 1536.</t>
        </is>
      </c>
      <c r="E624" t="inlineStr">
        <is>
          <t>TIDAK (tidak didukung)</t>
        </is>
      </c>
    </row>
    <row r="625">
      <c r="A625" t="n">
        <v>53</v>
      </c>
      <c r="B625" t="inlineStr">
        <is>
          <t>A</t>
        </is>
      </c>
      <c r="C625" t="n">
        <v>6</v>
      </c>
      <c r="D625" s="3" t="inlineStr">
        <is>
          <t>Saya menjawab soal ini dengan mengidentifikasi pola enkripsi yang digunakan oleh putri untuk mengirimkan pesan sandi kepada suaminya.</t>
        </is>
      </c>
      <c r="E625" t="inlineStr">
        <is>
          <t>YA (didukung konteks)</t>
        </is>
      </c>
    </row>
    <row r="626">
      <c r="A626" t="n">
        <v>53</v>
      </c>
      <c r="B626" t="inlineStr">
        <is>
          <t>B</t>
        </is>
      </c>
      <c r="C626" t="n">
        <v>1</v>
      </c>
      <c r="D626" s="3" t="inlineStr">
        <is>
          <t>(Fib(n) bergantung pada dua nilai sebelumnya: Fib(n-1) dan Fib(n-2))</t>
        </is>
      </c>
      <c r="E626" t="inlineStr">
        <is>
          <t>YA (didukung konteks)</t>
        </is>
      </c>
    </row>
    <row r="627">
      <c r="A627" t="n">
        <v>53</v>
      </c>
      <c r="B627" t="inlineStr">
        <is>
          <t>B</t>
        </is>
      </c>
      <c r="C627" t="n">
        <v>2</v>
      </c>
      <c r="D627" s="3" t="inlineStr">
        <is>
          <t>Kita akan menggunakan definisi rekursif Fib(6) sebagai berikut:</t>
        </is>
      </c>
      <c r="E627" t="inlineStr">
        <is>
          <t>TIDAK (tidak didukung)</t>
        </is>
      </c>
    </row>
    <row r="628">
      <c r="A628" t="n">
        <v>53</v>
      </c>
      <c r="B628" t="inlineStr">
        <is>
          <t>B</t>
        </is>
      </c>
      <c r="C628" t="n">
        <v>3</v>
      </c>
      <c r="D628" s="3" t="inlineStr">
        <is>
          <t>Untuk n ≥ 3, Fib(n) = Fib(n-1) + Fib(n-2)</t>
        </is>
      </c>
      <c r="E628" t="inlineStr">
        <is>
          <t>TIDAK (tidak didukung)</t>
        </is>
      </c>
    </row>
    <row r="629">
      <c r="A629" t="n">
        <v>54</v>
      </c>
      <c r="B629" t="inlineStr">
        <is>
          <t>A</t>
        </is>
      </c>
      <c r="C629" t="n">
        <v>1</v>
      </c>
      <c r="D629" s="3" t="inlineStr">
        <is>
          <t>Faktorial rekursif memiliki kompleksitas O(n) karena struktur kontrol yang sederhana, sedangkan Fibonacci rekursif memiliki kompleksitas O(2^n) karena struktur kontrol yang lebih kompleks.</t>
        </is>
      </c>
      <c r="E629" t="inlineStr">
        <is>
          <t>YA (didukung konteks)</t>
        </is>
      </c>
    </row>
    <row r="630">
      <c r="A630" t="n">
        <v>54</v>
      </c>
      <c r="B630" t="inlineStr">
        <is>
          <t>A</t>
        </is>
      </c>
      <c r="C630" t="n">
        <v>2</v>
      </c>
      <c r="D630" s="3" t="inlineStr">
        <is>
          <t>Dalam hal ini, kompleksitas O(2^n) timbul karena algoritme harus memproses setiap iterasi dengan cara yang sama, sehingga waktu eksekusi meningkat eksponensial.</t>
        </is>
      </c>
      <c r="E630" t="inlineStr">
        <is>
          <t>YA (didukung konteks)</t>
        </is>
      </c>
    </row>
    <row r="631">
      <c r="A631" t="n">
        <v>54</v>
      </c>
      <c r="B631" t="inlineStr">
        <is>
          <t>A</t>
        </is>
      </c>
      <c r="C631" t="n">
        <v>3</v>
      </c>
      <c r="D631" s="3" t="inlineStr">
        <is>
          <t>Sebaliknya, Fibonacci rekursif memiliki struktur kontrol yang lebih kompleks karena setiap iterasi bergantung pada dua iterasi sebelumnya.</t>
        </is>
      </c>
      <c r="E631" t="inlineStr">
        <is>
          <t>YA (didukung konteks)</t>
        </is>
      </c>
    </row>
    <row r="632">
      <c r="A632" t="n">
        <v>54</v>
      </c>
      <c r="B632" t="inlineStr">
        <is>
          <t>A</t>
        </is>
      </c>
      <c r="C632" t="n">
        <v>4</v>
      </c>
      <c r="D632" s="3" t="inlineStr">
        <is>
          <t>Kondisi `n &lt;= 2` tidak berlaku dalam kasus ini, sehingga algoritme harus terus melakukan looping sampai mencapai nilai yang diinginkan.</t>
        </is>
      </c>
      <c r="E632" t="inlineStr">
        <is>
          <t>YA (didukung konteks)</t>
        </is>
      </c>
    </row>
    <row r="633">
      <c r="A633" t="n">
        <v>54</v>
      </c>
      <c r="B633" t="inlineStr">
        <is>
          <t>A</t>
        </is>
      </c>
      <c r="C633" t="n">
        <v>5</v>
      </c>
      <c r="D633" s="3" t="inlineStr">
        <is>
          <t>Perbedaan kompleksitas antara faktorial rekursif dan Fibonacci rekursif terletak pada cara algoritme tersebut memproses inputnya.</t>
        </is>
      </c>
      <c r="E633" t="inlineStr">
        <is>
          <t>YA (didukung konteks)</t>
        </is>
      </c>
    </row>
    <row r="634">
      <c r="A634" t="n">
        <v>54</v>
      </c>
      <c r="B634" t="inlineStr">
        <is>
          <t>A</t>
        </is>
      </c>
      <c r="C634" t="n">
        <v>6</v>
      </c>
      <c r="D634" s="3" t="inlineStr">
        <is>
          <t>Faktorial rekursif memiliki struktur kontrol yang lebih sederhana, yaitu dengan menggunakan kondisi `n &lt;= 2` sebagai batas akhir.</t>
        </is>
      </c>
      <c r="E634" t="inlineStr">
        <is>
          <t>TIDAK (tidak didukung)</t>
        </is>
      </c>
    </row>
    <row r="635">
      <c r="A635" t="n">
        <v>54</v>
      </c>
      <c r="B635" t="inlineStr">
        <is>
          <t>B</t>
        </is>
      </c>
      <c r="C635" t="n">
        <v>1</v>
      </c>
      <c r="D635" s="3" t="inlineStr">
        <is>
          <t>* Fungsi Fibonacci memanggil dirinya sendiri sebanyak n-2 kali untuk menghitung anggota sebelumnya, sehingga total panggilan fungsi adalah 2^(n-1) (karena setiap panggilan fungsi memanggil diri sendiri sebanyak dua kali)</t>
        </is>
      </c>
      <c r="E635" t="inlineStr">
        <is>
          <t>TIDAK (tidak didukung)</t>
        </is>
      </c>
    </row>
    <row r="636">
      <c r="A636" t="n">
        <v>54</v>
      </c>
      <c r="B636" t="inlineStr">
        <is>
          <t>B</t>
        </is>
      </c>
      <c r="C636" t="n">
        <v>2</v>
      </c>
      <c r="D636" s="3" t="inlineStr">
        <is>
          <t>Dalam kasus faktorial, jumlah panggilan fungsi adalah linear dengan input (O(n)), sedangkan dalam kasus Fibonacci, jumlah panggilan fungsi adalah eksponensial dengan input (O(2^n)).</t>
        </is>
      </c>
      <c r="E636" t="inlineStr">
        <is>
          <t>TIDAK (tidak didukung)</t>
        </is>
      </c>
    </row>
    <row r="637">
      <c r="A637" t="n">
        <v>54</v>
      </c>
      <c r="B637" t="inlineStr">
        <is>
          <t>B</t>
        </is>
      </c>
      <c r="C637" t="n">
        <v>3</v>
      </c>
      <c r="D637" s="3" t="inlineStr">
        <is>
          <t>Dalam sintesis, kompleksitas suatu fungsi rekursif ditentukan oleh jumlah panggilan fungsi yang dilakukan dan biaya waktu untuk masing-masing panggilan.</t>
        </is>
      </c>
      <c r="E637" t="inlineStr">
        <is>
          <t>YA (didukung konteks)</t>
        </is>
      </c>
    </row>
    <row r="638">
      <c r="A638" t="n">
        <v>54</v>
      </c>
      <c r="B638" t="inlineStr">
        <is>
          <t>B</t>
        </is>
      </c>
      <c r="C638" t="n">
        <v>4</v>
      </c>
      <c r="D638" s="3" t="inlineStr">
        <is>
          <t>* Biaya waktu untuk setiap panggilan fungsi adalah O(1), karena kita hanya perlu melakukan operasi sederhana seperti penjumlahan.</t>
        </is>
      </c>
      <c r="E638" t="inlineStr">
        <is>
          <t>YA (didukung konteks)</t>
        </is>
      </c>
    </row>
    <row r="639">
      <c r="A639" t="n">
        <v>54</v>
      </c>
      <c r="B639" t="inlineStr">
        <is>
          <t>B</t>
        </is>
      </c>
      <c r="C639" t="n">
        <v>5</v>
      </c>
      <c r="D639" s="3" t="inlineStr">
        <is>
          <t>* Biaya waktu untuk setiap panggilan fungsi adalah O(1), karena kita hanya perlu melakukan operasi sederhana seperti perkalian.</t>
        </is>
      </c>
      <c r="E639" t="inlineStr">
        <is>
          <t>YA (didukung konteks)</t>
        </is>
      </c>
    </row>
    <row r="640">
      <c r="A640" t="n">
        <v>54</v>
      </c>
      <c r="B640" t="inlineStr">
        <is>
          <t>B</t>
        </is>
      </c>
      <c r="C640" t="n">
        <v>6</v>
      </c>
      <c r="D640" s="3" t="inlineStr">
        <is>
          <t>* Fungsi faktorial hanya memanggil dirinya sendiri sebanyak n-1 kali, karena kita tidak perlu menghitung faktorial 0 dan 1.</t>
        </is>
      </c>
      <c r="E640" t="inlineStr">
        <is>
          <t>YA (didukung konteks)</t>
        </is>
      </c>
    </row>
    <row r="641">
      <c r="A641" t="n">
        <v>55</v>
      </c>
      <c r="B641" t="inlineStr">
        <is>
          <t>A</t>
        </is>
      </c>
      <c r="C641" t="n">
        <v>1</v>
      </c>
      <c r="D641" s="3" t="inlineStr">
        <is>
          <t>Contoh, jika kita memiliki list `[1, 2, 3]`, maka list ini dapat digunakan sebagai array, tetapi juga dapat digunakan sebagai list yang lebih umum.</t>
        </is>
      </c>
      <c r="E641" t="inlineStr">
        <is>
          <t>YA (didukung konteks)</t>
        </is>
      </c>
    </row>
    <row r="642">
      <c r="A642" t="n">
        <v>55</v>
      </c>
      <c r="B642" t="inlineStr">
        <is>
          <t>A</t>
        </is>
      </c>
      <c r="C642" t="n">
        <v>2</v>
      </c>
      <c r="D642" s="3" t="inlineStr">
        <is>
          <t>Array adalah struktur data yang menampung elemen-elemen yang sama jenisnya, seperti integer, float, atau string.</t>
        </is>
      </c>
      <c r="E642" t="inlineStr">
        <is>
          <t>YA (didukung konteks)</t>
        </is>
      </c>
    </row>
    <row r="643">
      <c r="A643" t="n">
        <v>55</v>
      </c>
      <c r="B643" t="inlineStr">
        <is>
          <t>A</t>
        </is>
      </c>
      <c r="C643" t="n">
        <v>3</v>
      </c>
      <c r="D643" s="3" t="inlineStr">
        <is>
          <t>List dapat menampung elemen-elemen yang berbeda jenis, seperti integer, float, string, atau objek lainnya.</t>
        </is>
      </c>
      <c r="E643" t="inlineStr">
        <is>
          <t>TIDAK (tidak didukung)</t>
        </is>
      </c>
    </row>
    <row r="644">
      <c r="A644" t="n">
        <v>55</v>
      </c>
      <c r="B644" t="inlineStr">
        <is>
          <t>A</t>
        </is>
      </c>
      <c r="C644" t="n">
        <v>4</v>
      </c>
      <c r="D644" s="3" t="inlineStr">
        <is>
          <t>List memiliki ukuran yang dapat bertambah-tambah dan elemen-elemennya dapat diakses menggunakan indeks.</t>
        </is>
      </c>
      <c r="E644" t="inlineStr">
        <is>
          <t>YA (didukung konteks)</t>
        </is>
      </c>
    </row>
    <row r="645">
      <c r="A645" t="n">
        <v>55</v>
      </c>
      <c r="B645" t="inlineStr">
        <is>
          <t>A</t>
        </is>
      </c>
      <c r="C645" t="n">
        <v>5</v>
      </c>
      <c r="D645" s="3" t="inlineStr">
        <is>
          <t>Saya harap jawaban ini membantu mahasiswa memahami konsep keterbedaan antara array dan list di Python.</t>
        </is>
      </c>
      <c r="E645" t="inlineStr">
        <is>
          <t>YA (didukung konteks)</t>
        </is>
      </c>
    </row>
    <row r="646">
      <c r="A646" t="n">
        <v>55</v>
      </c>
      <c r="B646" t="inlineStr">
        <is>
          <t>A</t>
        </is>
      </c>
      <c r="C646" t="n">
        <v>6</v>
      </c>
      <c r="D646" s="3" t="inlineStr">
        <is>
          <t>Dalam Python, list dapat digunakan sebagai array, namun bukan berarti semua list adalah array.</t>
        </is>
      </c>
      <c r="E646" t="inlineStr">
        <is>
          <t>YA (didukung konteks)</t>
        </is>
      </c>
    </row>
    <row r="647">
      <c r="A647" t="n">
        <v>55</v>
      </c>
      <c r="B647" t="inlineStr">
        <is>
          <t>B</t>
        </is>
      </c>
      <c r="C647" t="n">
        <v>1</v>
      </c>
      <c r="D647" s="3" t="inlineStr">
        <is>
          <t>Namun, jika kita lihat lebih dalam, kita akan melihat bahwa `list` Python tidak sepenuhnya sama dengan array seperti yang digunakan di beberapa bahasa pemrograman lainnya, seperti C atau Java.</t>
        </is>
      </c>
      <c r="E647" t="inlineStr">
        <is>
          <t>YA (didukung konteks)</t>
        </is>
      </c>
    </row>
    <row r="648">
      <c r="A648" t="n">
        <v>55</v>
      </c>
      <c r="B648" t="inlineStr">
        <is>
          <t>B</t>
        </is>
      </c>
      <c r="C648" t="n">
        <v>2</v>
      </c>
      <c r="D648" s="3" t="inlineStr">
        <is>
          <t>Oleh karena itu, meskipun `list` Python dapat digunakan sebagai array, tetapi itu bukanlah sebuah array sebagaimana mestinya jika kita lihat dari perspektif bahasa pemrograman lainnya.</t>
        </is>
      </c>
      <c r="E648" t="inlineStr">
        <is>
          <t>YA (didukung konteks)</t>
        </is>
      </c>
    </row>
    <row r="649">
      <c r="A649" t="n">
        <v>55</v>
      </c>
      <c r="B649" t="inlineStr">
        <is>
          <t>B</t>
        </is>
      </c>
      <c r="C649" t="n">
        <v>3</v>
      </c>
      <c r="D649" s="3" t="inlineStr">
        <is>
          <t>Penamaan "beda" antara array dan list di slide CT berarti bahwa mereka memiliki fitur-fitur yang berbeda, walaupun keduanya dapat digunakan untuk menampung koleksi nilai.</t>
        </is>
      </c>
      <c r="E649" t="inlineStr">
        <is>
          <t>YA (didukung konteks)</t>
        </is>
      </c>
    </row>
    <row r="650">
      <c r="A650" t="n">
        <v>55</v>
      </c>
      <c r="B650" t="inlineStr">
        <is>
          <t>B</t>
        </is>
      </c>
      <c r="C650" t="n">
        <v>4</v>
      </c>
      <c r="D650" s="3" t="inlineStr">
        <is>
          <t>Di Python, `list` (juga dikenal sebagai array) adalah sebuah objek yang dapat menampung sejumlah nilai dari tipe data yang sama atau berbeda.</t>
        </is>
      </c>
      <c r="E650" t="inlineStr">
        <is>
          <t>YA (didukung konteks)</t>
        </is>
      </c>
    </row>
    <row r="651">
      <c r="A651" t="n">
        <v>55</v>
      </c>
      <c r="B651" t="inlineStr">
        <is>
          <t>B</t>
        </is>
      </c>
      <c r="C651" t="n">
        <v>5</v>
      </c>
      <c r="D651" s="3" t="inlineStr">
        <is>
          <t>Jadi, jawabannya adalah: `list` Python bukanlah sebuah array sebagaimana mestinya, tetapi memiliki beberapa fitur yang mirip dengan array.</t>
        </is>
      </c>
      <c r="E651" t="inlineStr">
        <is>
          <t>YA (didukung konteks)</t>
        </is>
      </c>
    </row>
    <row r="652">
      <c r="A652" t="n">
        <v>55</v>
      </c>
      <c r="B652" t="inlineStr">
        <is>
          <t>B</t>
        </is>
      </c>
      <c r="C652" t="n">
        <v>6</v>
      </c>
      <c r="D652" s="3" t="inlineStr">
        <is>
          <t>**Dynamic sizing**: Ukuran list dapat diubah secara dinamis dengan menggunakan metode seperti `append()` atau `extend()`.</t>
        </is>
      </c>
      <c r="E652" t="inlineStr">
        <is>
          <t>YA (didukung konteks)</t>
        </is>
      </c>
    </row>
    <row r="653">
      <c r="A653" t="n">
        <v>56</v>
      </c>
      <c r="B653" t="inlineStr">
        <is>
          <t>A</t>
        </is>
      </c>
      <c r="C653" t="n">
        <v>1</v>
      </c>
      <c r="D653" s="3" t="inlineStr">
        <is>
          <t>Berhubung dengan pertanyaan mahasiswa yang menanyakan alasan menggunakan array jika Python list sudah dapat melakukan semua fungsi array, mari kita analisis kelebihan dan kekurangan kedua jenis data struktur tersebut.</t>
        </is>
      </c>
      <c r="E653" t="inlineStr">
        <is>
          <t>YA (didukung konteks)</t>
        </is>
      </c>
    </row>
    <row r="654">
      <c r="A654" t="n">
        <v>56</v>
      </c>
      <c r="B654" t="inlineStr">
        <is>
          <t>A</t>
        </is>
      </c>
      <c r="C654" t="n">
        <v>2</v>
      </c>
      <c r="D654" s="3" t="inlineStr">
        <is>
          <t>Dengan demikian, jawaban pada pertanyaan adalah array lebih baik digunakan ketika kita perlu mengakses data secara langsung dan efisien, serta memerlukan penggunaan memori dan waktu eksekusi yang lebih efektif.</t>
        </is>
      </c>
      <c r="E654" t="inlineStr">
        <is>
          <t>YA (didukung konteks)</t>
        </is>
      </c>
    </row>
    <row r="655">
      <c r="A655" t="n">
        <v>56</v>
      </c>
      <c r="B655" t="inlineStr">
        <is>
          <t>A</t>
        </is>
      </c>
      <c r="C655" t="n">
        <v>3</v>
      </c>
      <c r="D655" s="3" t="inlineStr">
        <is>
          <t>Dalam sintesis, array lebih baik digunakan ketika kita perlu mengakses data secara langsung dan efisien, serta memerlukan penggunaan memori dan waktu eksekusi yang lebih efektif.</t>
        </is>
      </c>
      <c r="E655" t="inlineStr">
        <is>
          <t>YA (didukung konteks)</t>
        </is>
      </c>
    </row>
    <row r="656">
      <c r="A656" t="n">
        <v>56</v>
      </c>
      <c r="B656" t="inlineStr">
        <is>
          <t>A</t>
        </is>
      </c>
      <c r="C656" t="n">
        <v>4</v>
      </c>
      <c r="D656" s="3" t="inlineStr">
        <is>
          <t>Namun, array biasanya digunakan ketika kita perlu mengakses elemen secara langsung dan efisien, seperti dalam kasus merekam nilai-nilai ujian mahasiswa atau harga produk.</t>
        </is>
      </c>
      <c r="E656" t="inlineStr">
        <is>
          <t>YA (didukung konteks)</t>
        </is>
      </c>
    </row>
    <row r="657">
      <c r="A657" t="n">
        <v>56</v>
      </c>
      <c r="B657" t="inlineStr">
        <is>
          <t>A</t>
        </is>
      </c>
      <c r="C657" t="n">
        <v>5</v>
      </c>
      <c r="D657" s="3" t="inlineStr">
        <is>
          <t>Python list adalah implementasi dari array, sehingga memiliki fungsi yang serupa seperti mengakses indeks, mengulangi elemen, serta menambahkan atau menghapus elemen.</t>
        </is>
      </c>
      <c r="E657" t="inlineStr">
        <is>
          <t>YA (didukung konteks)</t>
        </is>
      </c>
    </row>
    <row r="658">
      <c r="A658" t="n">
        <v>56</v>
      </c>
      <c r="B658" t="inlineStr">
        <is>
          <t>A</t>
        </is>
      </c>
      <c r="C658" t="n">
        <v>6</v>
      </c>
      <c r="D658" s="3" t="inlineStr">
        <is>
          <t>Sementara list lebih cocok digunakan ketika kita perlu membuat struktur data yang lebih kompleks atau memerlukan fleksibilitas dalam menghandle data.</t>
        </is>
      </c>
      <c r="E658" t="inlineStr">
        <is>
          <t>YA (didukung konteks)</t>
        </is>
      </c>
    </row>
    <row r="659">
      <c r="A659" t="n">
        <v>56</v>
      </c>
      <c r="B659" t="inlineStr">
        <is>
          <t>B</t>
        </is>
      </c>
      <c r="C659" t="n">
        <v>1</v>
      </c>
      <c r="D659" s="3" t="inlineStr">
        <is>
          <t>**Interoperability with C code**: Jika Anda memiliki kode C yang harus di-embed dengan Python, maka array menjadi pilihan yang lebih tepat, karena array adalah jenis data yang diketahui oleh C, sehingga memungkinkan Anda</t>
        </is>
      </c>
      <c r="E659" t="inlineStr">
        <is>
          <t>YA (didukung konteks)</t>
        </is>
      </c>
    </row>
    <row r="660">
      <c r="A660" t="n">
        <v>56</v>
      </c>
      <c r="B660" t="inlineStr">
        <is>
          <t>B</t>
        </is>
      </c>
      <c r="C660" t="n">
        <v>2</v>
      </c>
      <c r="D660" s="3" t="inlineStr">
        <is>
          <t>**Performance-critical code**: Dalam kode yang kritis terhadap performansi, seperti kode numerik atau kode game, array dapat membantu meningkatkan kecepatan eksekusi kode karena tidak ada overhead dari pointer dan dynami</t>
        </is>
      </c>
      <c r="E660" t="inlineStr">
        <is>
          <t>YA (didukung konteks)</t>
        </is>
      </c>
    </row>
    <row r="661">
      <c r="A661" t="n">
        <v>56</v>
      </c>
      <c r="B661" t="inlineStr">
        <is>
          <t>B</t>
        </is>
      </c>
      <c r="C661" t="n">
        <v>3</v>
      </c>
      <c r="D661" s="3" t="inlineStr">
        <is>
          <t>**Memory efficiency**: Array biasanya lebih efektif dalam penggunaan memori daripada list, karena list menggunakan pointers untuk mengakses elemen-elemennya, sedangkan array menggunakan nilai literal.</t>
        </is>
      </c>
      <c r="E661" t="inlineStr">
        <is>
          <t>YA (didukung konteks)</t>
        </is>
      </c>
    </row>
    <row r="662">
      <c r="A662" t="n">
        <v>56</v>
      </c>
      <c r="B662" t="inlineStr">
        <is>
          <t>B</t>
        </is>
      </c>
      <c r="C662" t="n">
        <v>4</v>
      </c>
      <c r="D662" s="3" t="inlineStr">
        <is>
          <t>Dalam Python, list (juga dikenal sebagai array) sudah dapat melakukan semua fungsi yang biasa diakukan oleh array, seperti menambahkan elemen, mengakses indeks, serta melakukan looping.</t>
        </is>
      </c>
      <c r="E662" t="inlineStr">
        <is>
          <t>YA (didukung konteks)</t>
        </is>
      </c>
    </row>
    <row r="663">
      <c r="A663" t="n">
        <v>56</v>
      </c>
      <c r="B663" t="inlineStr">
        <is>
          <t>B</t>
        </is>
      </c>
      <c r="C663" t="n">
        <v>5</v>
      </c>
      <c r="D663" s="3" t="inlineStr">
        <is>
          <t>**Fixed-size**: Array memiliki ukuran tetap dan tidak dapat direorganisasi, sehingga membuatnya lebih efisiensi dalam penggunaan memori.</t>
        </is>
      </c>
      <c r="E663" t="inlineStr">
        <is>
          <t>YA (didukung konteks)</t>
        </is>
      </c>
    </row>
    <row r="664">
      <c r="A664" t="n">
        <v>56</v>
      </c>
      <c r="B664" t="inlineStr">
        <is>
          <t>B</t>
        </is>
      </c>
      <c r="C664" t="n">
        <v>6</v>
      </c>
      <c r="D664" s="3" t="inlineStr">
        <is>
          <t>Contohnya, jika Anda memiliki data yang harus disimpan dalam format file biner, maka array menjadi pilihan yang lebih tepat.</t>
        </is>
      </c>
      <c r="E664" t="inlineStr">
        <is>
          <t>YA (didukung konteks)</t>
        </is>
      </c>
    </row>
    <row r="665">
      <c r="A665" t="n">
        <v>57</v>
      </c>
      <c r="B665" t="inlineStr">
        <is>
          <t>A</t>
        </is>
      </c>
      <c r="C665" t="n">
        <v>1</v>
      </c>
      <c r="D665" s="3" t="inlineStr">
        <is>
          <t>Berdasarkan tipe kognitif mahasiswa sebagai Level 4 Mahir / Teoritis / Global / Intuitif, maka penjelasan akan berfokus pada konsep utama dan menggunakan istilah teknis yang ada dalam materi referensi.</t>
        </is>
      </c>
      <c r="E665" t="inlineStr">
        <is>
          <t>YA (didukung konteks)</t>
        </is>
      </c>
    </row>
    <row r="666">
      <c r="A666" t="n">
        <v>57</v>
      </c>
      <c r="B666" t="inlineStr">
        <is>
          <t>A</t>
        </is>
      </c>
      <c r="C666" t="n">
        <v>2</v>
      </c>
      <c r="D666" s="3" t="inlineStr">
        <is>
          <t>Sedangkan dalam linked list, proses insert atau delete hanya memerlukan mengubah pointer dari node-node yang terhubung, sehingga tidak mempengaruhi struktur data lainnya.</t>
        </is>
      </c>
      <c r="E666" t="inlineStr">
        <is>
          <t>YA (didukung konteks)</t>
        </is>
      </c>
    </row>
    <row r="667">
      <c r="A667" t="n">
        <v>57</v>
      </c>
      <c r="B667" t="inlineStr">
        <is>
          <t>A</t>
        </is>
      </c>
      <c r="C667" t="n">
        <v>3</v>
      </c>
      <c r="D667" s="3" t="inlineStr">
        <is>
          <t>Dalam array, insert atau delete memerlukan penggantian beberapa elemen, sehingga dapat menyebabkan perubahan pada seluruh struktur data.</t>
        </is>
      </c>
      <c r="E667" t="inlineStr">
        <is>
          <t>YA (didukung konteks)</t>
        </is>
      </c>
    </row>
    <row r="668">
      <c r="A668" t="n">
        <v>57</v>
      </c>
      <c r="B668" t="inlineStr">
        <is>
          <t>A</t>
        </is>
      </c>
      <c r="C668" t="n">
        <v>4</v>
      </c>
      <c r="D668" s="3" t="inlineStr">
        <is>
          <t>Kelebihan linked list dibandingkan array adalah kemampuan untuk melakukan insert dan delete dengan lebih efisien.</t>
        </is>
      </c>
      <c r="E668" t="inlineStr">
        <is>
          <t>YA (didukung konteks)</t>
        </is>
      </c>
    </row>
    <row r="669">
      <c r="A669" t="n">
        <v>57</v>
      </c>
      <c r="B669" t="inlineStr">
        <is>
          <t>A</t>
        </is>
      </c>
      <c r="C669" t="n">
        <v>5</v>
      </c>
      <c r="D669" s="3" t="inlineStr">
        <is>
          <t>Konsep linked list sangat relevan dengan materi referensi tentang stack dan queue, serta graph dan tree.</t>
        </is>
      </c>
      <c r="E669" t="inlineStr">
        <is>
          <t>YA (didukung konteks)</t>
        </is>
      </c>
    </row>
    <row r="670">
      <c r="A670" t="n">
        <v>57</v>
      </c>
      <c r="B670" t="inlineStr">
        <is>
          <t>A</t>
        </is>
      </c>
      <c r="C670" t="n">
        <v>6</v>
      </c>
      <c r="D670" s="3" t="inlineStr">
        <is>
          <t>Jadi, jawaban untuk pertanyaan mahasiswa adalah ya, linked list diajarkan di mata kuliah CT ini.</t>
        </is>
      </c>
      <c r="E670" t="inlineStr">
        <is>
          <t>YA (didukung konteks)</t>
        </is>
      </c>
    </row>
    <row r="671">
      <c r="A671" t="n">
        <v>57</v>
      </c>
      <c r="B671" t="inlineStr">
        <is>
          <t>B</t>
        </is>
      </c>
      <c r="C671" t="n">
        <v>1</v>
      </c>
      <c r="D671" s="3" t="inlineStr">
        <is>
          <t>Selain itu, linked list juga memiliki kelebihan pada penggunaan ruang memori, karena hanya membutuhkan ruang memori yang diperlukan oleh masing-masing elemen tanpa perlu membagi blok memori secara teratur.</t>
        </is>
      </c>
      <c r="E671" t="inlineStr">
        <is>
          <t>YA (didukung konteks)</t>
        </is>
      </c>
    </row>
    <row r="672">
      <c r="A672" t="n">
        <v>57</v>
      </c>
      <c r="B672" t="inlineStr">
        <is>
          <t>B</t>
        </is>
      </c>
      <c r="C672" t="n">
        <v>2</v>
      </c>
      <c r="D672" s="3" t="inlineStr">
        <is>
          <t>Kelebihan lainnya adalah bahwa linked list dapat menampung data dengan ukuran variabel, sehingga Anda tidak harus membagi blok memori secara teratur untuk setiap elemen seperti dalam array.</t>
        </is>
      </c>
      <c r="E672" t="inlineStr">
        <is>
          <t>YA (didukung konteks)</t>
        </is>
      </c>
    </row>
    <row r="673">
      <c r="A673" t="n">
        <v>57</v>
      </c>
      <c r="B673" t="inlineStr">
        <is>
          <t>B</t>
        </is>
      </c>
      <c r="C673" t="n">
        <v>3</v>
      </c>
      <c r="D673" s="3" t="inlineStr">
        <is>
          <t>Karena itu, saat Anda ingin memasukkan atau menghapus suatu elemen di tengah-tengah linked list, Anda tidak perlu menggeser semua elemen lainnya seperti dalam array.</t>
        </is>
      </c>
      <c r="E673" t="inlineStr">
        <is>
          <t>YA (didukung konteks)</t>
        </is>
      </c>
    </row>
    <row r="674">
      <c r="A674" t="n">
        <v>57</v>
      </c>
      <c r="B674" t="inlineStr">
        <is>
          <t>B</t>
        </is>
      </c>
      <c r="C674" t="n">
        <v>4</v>
      </c>
      <c r="D674" s="3" t="inlineStr">
        <is>
          <t>Namun, linked list juga memiliki beberapa kelemahan, seperti lebih kompleks dalam implementasinya dan memerlukan lebih banyak waktu untuk operasi read dan write.</t>
        </is>
      </c>
      <c r="E674" t="inlineStr">
        <is>
          <t>YA (didukung konteks)</t>
        </is>
      </c>
    </row>
    <row r="675">
      <c r="A675" t="n">
        <v>57</v>
      </c>
      <c r="B675" t="inlineStr">
        <is>
          <t>B</t>
        </is>
      </c>
      <c r="C675" t="n">
        <v>5</v>
      </c>
      <c r="D675" s="3" t="inlineStr">
        <is>
          <t>Iya, linked list memang diajarkan di mata kuliah CT (Computer Technology) dan mempunyai beberapa kelebihan dibandingkan dengan array.</t>
        </is>
      </c>
      <c r="E675" t="inlineStr">
        <is>
          <t>YA (didukung konteks)</t>
        </is>
      </c>
    </row>
    <row r="676">
      <c r="A676" t="n">
        <v>57</v>
      </c>
      <c r="B676" t="inlineStr">
        <is>
          <t>B</t>
        </is>
      </c>
      <c r="C676" t="n">
        <v>6</v>
      </c>
      <c r="D676" s="3" t="inlineStr">
        <is>
          <t>Dalam linked list, setiap elemen tidak memiliki referensi langsung ke elemen lainnya seperti dalam array.</t>
        </is>
      </c>
      <c r="E676" t="inlineStr">
        <is>
          <t>TIDAK (tidak didukung)</t>
        </is>
      </c>
    </row>
    <row r="677">
      <c r="A677" t="n">
        <v>58</v>
      </c>
      <c r="B677" t="inlineStr">
        <is>
          <t>A</t>
        </is>
      </c>
      <c r="C677" t="n">
        <v>1</v>
      </c>
      <c r="D677" s="3" t="inlineStr">
        <is>
          <t>Untuk membagi mahasiswa menjadi dua kelompok: di atas dan di bawah rata-rata, kita dapat menggunakan loop lagi untuk menghitung jumlah mahasiswa yang memiliki skor lebih besar atau sama dengan rata-rata, serta jumlah mah</t>
        </is>
      </c>
      <c r="E677" t="inlineStr">
        <is>
          <t>YA (didukung konteks)</t>
        </is>
      </c>
    </row>
    <row r="678">
      <c r="A678" t="n">
        <v>58</v>
      </c>
      <c r="B678" t="inlineStr">
        <is>
          <t>A</t>
        </is>
      </c>
      <c r="C678" t="n">
        <v>2</v>
      </c>
      <c r="D678" s="3" t="inlineStr">
        <is>
          <t>Dalam loop di atas, kita menggunakan variabel `above_rata_rata` dan `below_rata_rata` untuk menghitung jumlah mahasiswa yang memiliki skor lebih besar atau sama dengan rata-rata, serta jumlah mahasiswa yang memiliki skor</t>
        </is>
      </c>
      <c r="E678" t="inlineStr">
        <is>
          <t>TIDAK (tidak didukung)</t>
        </is>
      </c>
    </row>
    <row r="679">
      <c r="A679" t="n">
        <v>58</v>
      </c>
      <c r="B679" t="inlineStr">
        <is>
          <t>A</t>
        </is>
      </c>
      <c r="C679" t="n">
        <v>3</v>
      </c>
      <c r="D679" s="3" t="inlineStr">
        <is>
          <t>Sebagai tutor Computational Thinking, saya akan menjawab pertanyaan mahasiswa tentang bagaimana mencari rata-rata dan membagi mahasiswa menjadi dua kelompok: di atas dan di bawah rata-rata.</t>
        </is>
      </c>
      <c r="E679" t="inlineStr">
        <is>
          <t>YA (didukung konteks)</t>
        </is>
      </c>
    </row>
    <row r="680">
      <c r="A680" t="n">
        <v>58</v>
      </c>
      <c r="B680" t="inlineStr">
        <is>
          <t>A</t>
        </is>
      </c>
      <c r="C680" t="n">
        <v>4</v>
      </c>
      <c r="D680" s="3" t="inlineStr">
        <is>
          <t>Jadi, jawaban saya adalah bahwa kita dapat mencari rata-rata dan membagi mahasiswa menjadi dua kelompok: di atas dan di bawah rata-rata dengan menggunakan satu loop.</t>
        </is>
      </c>
      <c r="E680" t="inlineStr">
        <is>
          <t>TIDAK (tidak didukung)</t>
        </is>
      </c>
    </row>
    <row r="681">
      <c r="A681" t="n">
        <v>58</v>
      </c>
      <c r="B681" t="inlineStr">
        <is>
          <t>A</t>
        </is>
      </c>
      <c r="C681" t="n">
        <v>5</v>
      </c>
      <c r="D681" s="3" t="inlineStr">
        <is>
          <t>Dalam loop di atas, kita menggunakan variabel `count` untuk menghitung jumlah mahasiswa yang memiliki skor lebih besar atau sama dengan rata-rata.</t>
        </is>
      </c>
      <c r="E681" t="inlineStr">
        <is>
          <t>TIDAK (tidak didukung)</t>
        </is>
      </c>
    </row>
    <row r="682">
      <c r="A682" t="n">
        <v>58</v>
      </c>
      <c r="B682" t="inlineStr">
        <is>
          <t>A</t>
        </is>
      </c>
      <c r="C682" t="n">
        <v>6</v>
      </c>
      <c r="D682" s="3" t="inlineStr">
        <is>
          <t>Dalam loop di atas, kita menggunakan variabel `sum` untuk menghitung jumlah nilai dan `count` untuk menghitung jumlahnilai.</t>
        </is>
      </c>
      <c r="E682" t="inlineStr">
        <is>
          <t>TIDAK (tidak didukung)</t>
        </is>
      </c>
    </row>
    <row r="683">
      <c r="A683" t="n">
        <v>58</v>
      </c>
      <c r="B683" t="inlineStr">
        <is>
          <t>B</t>
        </is>
      </c>
      <c r="C683" t="n">
        <v>1</v>
      </c>
      <c r="D683" s="3" t="inlineStr">
        <is>
          <t>Dalam kode di atas, kita menggunakan hanya satu loop untuk menghitung nilai rata-rata dan menentukan berapa mahasiswa yang nilai mereka di atas dan di bawah rata-rata.</t>
        </is>
      </c>
      <c r="E683" t="inlineStr">
        <is>
          <t>TIDAK (tidak didukung)</t>
        </is>
      </c>
    </row>
    <row r="684">
      <c r="A684" t="n">
        <v>58</v>
      </c>
      <c r="B684" t="inlineStr">
        <is>
          <t>B</t>
        </is>
      </c>
      <c r="C684" t="n">
        <v>2</v>
      </c>
      <c r="D684" s="3" t="inlineStr">
        <is>
          <t>Loop pertama untuk menghitung nilai rata-rata, dan loop kedua untuk menentukan berapa mahasiswa yang nilai mereka di atas dan di bawah rata-rata.</t>
        </is>
      </c>
      <c r="E684" t="inlineStr">
        <is>
          <t>TIDAK (tidak didukung)</t>
        </is>
      </c>
    </row>
    <row r="685">
      <c r="A685" t="n">
        <v>58</v>
      </c>
      <c r="B685" t="inlineStr">
        <is>
          <t>B</t>
        </is>
      </c>
      <c r="C685" t="n">
        <v>3</v>
      </c>
      <c r="D685" s="3" t="inlineStr">
        <is>
          <t>Kemudian, kita dapat menggunakan loop lain untuk menentukan berapa mahasiswa yang nilai mereka di atas dan di bawah rata-rata.</t>
        </is>
      </c>
      <c r="E685" t="inlineStr">
        <is>
          <t>TIDAK (tidak didukung)</t>
        </is>
      </c>
    </row>
    <row r="686">
      <c r="A686" t="n">
        <v>58</v>
      </c>
      <c r="B686" t="inlineStr">
        <is>
          <t>B</t>
        </is>
      </c>
      <c r="C686" t="n">
        <v>4</v>
      </c>
      <c r="D686" s="3" t="inlineStr">
        <is>
          <t>Dalam kasus ini, kita memiliki 7 data, jadi kita perlu menjumlahkan semua nilai dan kemudian membagi dengan 7.</t>
        </is>
      </c>
      <c r="E686" t="inlineStr">
        <is>
          <t>TIDAK (tidak didukung)</t>
        </is>
      </c>
    </row>
    <row r="687">
      <c r="A687" t="n">
        <v>58</v>
      </c>
      <c r="B687" t="inlineStr">
        <is>
          <t>B</t>
        </is>
      </c>
      <c r="C687" t="n">
        <v>5</v>
      </c>
      <c r="D687" s="3" t="inlineStr">
        <is>
          <t>Namun, jika Anda ingin menggunakan hanya satu loop, Anda dapat menggunakan kondisi if dalam loop tersebut:</t>
        </is>
      </c>
      <c r="E687" t="inlineStr">
        <is>
          <t>YA (didukung konteks)</t>
        </is>
      </c>
    </row>
    <row r="688">
      <c r="A688" t="n">
        <v>58</v>
      </c>
      <c r="B688" t="inlineStr">
        <is>
          <t>B</t>
        </is>
      </c>
      <c r="C688" t="n">
        <v>6</v>
      </c>
      <c r="D688" s="3" t="inlineStr">
        <is>
          <t>Rata-rata dapat dihitung dengan menjumlahkan semua nilai dan kemudian membagi dengan jumlah data.</t>
        </is>
      </c>
      <c r="E688" t="inlineStr">
        <is>
          <t>TIDAK (tidak didukung)</t>
        </is>
      </c>
    </row>
    <row r="689">
      <c r="A689" t="n">
        <v>59</v>
      </c>
      <c r="B689" t="inlineStr">
        <is>
          <t>A</t>
        </is>
      </c>
      <c r="C689" t="n">
        <v>1</v>
      </c>
      <c r="D689" s="3" t="inlineStr">
        <is>
          <t>Jawaban: push(3): stack=[3], push(8): stack=[3,8], push(1): stack=[3,8,1], pop: keluarkan 1, stack=[3,8] → OUTPUT: 1, push(5): stack=[3,8,5], pop: keluarkan 5, stack=[3,8] → OUTPUT: 5.</t>
        </is>
      </c>
      <c r="E689" t="inlineStr">
        <is>
          <t>YA (didukung konteks)</t>
        </is>
      </c>
    </row>
    <row r="690">
      <c r="A690" t="n">
        <v>59</v>
      </c>
      <c r="B690" t="inlineStr">
        <is>
          <t>A</t>
        </is>
      </c>
      <c r="C690" t="n">
        <v>2</v>
      </c>
      <c r="D690" s="3" t="inlineStr">
        <is>
          <t>Sebuah aplikasi peta seperti Google Maps memerlukan struktur data yang mendukung perhitungan jalur terpendek atau tercepat antara dua titik.</t>
        </is>
      </c>
      <c r="E690" t="inlineStr">
        <is>
          <t>YA (didukung konteks)</t>
        </is>
      </c>
    </row>
    <row r="691">
      <c r="A691" t="n">
        <v>59</v>
      </c>
      <c r="B691" t="inlineStr">
        <is>
          <t>A</t>
        </is>
      </c>
      <c r="C691" t="n">
        <v>3</v>
      </c>
      <c r="D691" s="3" t="inlineStr">
        <is>
          <t>Operasi enqueue menambahkan elemen baru ke antrian, sedangkan dequeue mengeluarkan elemen pertama di dalam antrian.</t>
        </is>
      </c>
      <c r="E691" t="inlineStr">
        <is>
          <t>YA (didukung konteks)</t>
        </is>
      </c>
    </row>
    <row r="692">
      <c r="A692" t="n">
        <v>59</v>
      </c>
      <c r="B692" t="inlineStr">
        <is>
          <t>A</t>
        </is>
      </c>
      <c r="C692" t="n">
        <v>4</v>
      </c>
      <c r="D692" s="3" t="inlineStr">
        <is>
          <t>Simulasikan operasi berikut pada stack: push(3) → push(8) → push(1) → pop → push(5) → pop → pop → push(2) → pop.</t>
        </is>
      </c>
      <c r="E692" t="inlineStr">
        <is>
          <t>YA (didukung konteks)</t>
        </is>
      </c>
    </row>
    <row r="693">
      <c r="A693" t="n">
        <v>59</v>
      </c>
      <c r="B693" t="inlineStr">
        <is>
          <t>A</t>
        </is>
      </c>
      <c r="C693" t="n">
        <v>5</v>
      </c>
      <c r="D693" s="3" t="inlineStr">
        <is>
          <t>Stack adalah struktur data yang berisi elemen-elemen yang ditambahkan secara terpisah (seperti push).</t>
        </is>
      </c>
      <c r="E693" t="inlineStr">
        <is>
          <t>YA (didukung konteks)</t>
        </is>
      </c>
    </row>
    <row r="694">
      <c r="A694" t="n">
        <v>59</v>
      </c>
      <c r="B694" t="inlineStr">
        <is>
          <t>A</t>
        </is>
      </c>
      <c r="C694" t="n">
        <v>6</v>
      </c>
      <c r="D694" s="3" t="inlineStr">
        <is>
          <t>Pemilihan struktur data yang tepat menjadi kunci efisiensi dan kebenaran suatu sistem komputasi.</t>
        </is>
      </c>
      <c r="E694" t="inlineStr">
        <is>
          <t>YA (didukung konteks)</t>
        </is>
      </c>
    </row>
    <row r="695">
      <c r="A695" t="n">
        <v>59</v>
      </c>
      <c r="B695" t="inlineStr">
        <is>
          <t>B</t>
        </is>
      </c>
      <c r="C695" t="n">
        <v>1</v>
      </c>
      <c r="D695" s="3" t="inlineStr">
        <is>
          <t>PEEK: Stack saat ini adalah [7, 2, 9], jadi PEEK akan mengembalikan nilai yang terletak paling atas, yakni 7 (atau 2, karena kedua elemen tersebut masih tersedia di stack).</t>
        </is>
      </c>
      <c r="E695" t="inlineStr">
        <is>
          <t>YA (didukung konteks)</t>
        </is>
      </c>
    </row>
    <row r="696">
      <c r="A696" t="n">
        <v>59</v>
      </c>
      <c r="B696" t="inlineStr">
        <is>
          <t>B</t>
        </is>
      </c>
      <c r="C696" t="n">
        <v>2</v>
      </c>
      <c r="D696" s="3" t="inlineStr">
        <is>
          <t>Dengan demikian, PEEK pada operasi ke-6 akan mengembalikan nilai 7, bukan elemen yang dihapus sebelumnya (yaitu 2).</t>
        </is>
      </c>
      <c r="E696" t="inlineStr">
        <is>
          <t>YA (didukung konteks)</t>
        </is>
      </c>
    </row>
    <row r="697">
      <c r="A697" t="n">
        <v>59</v>
      </c>
      <c r="B697" t="inlineStr">
        <is>
          <t>B</t>
        </is>
      </c>
      <c r="C697" t="n">
        <v>3</v>
      </c>
      <c r="D697" s="3" t="inlineStr">
        <is>
          <t>POP: Stack menjadi [7, 2] ( elemen teratas, yaitu 5, dihapus)</t>
        </is>
      </c>
      <c r="E697" t="inlineStr">
        <is>
          <t>YA (didukung konteks)</t>
        </is>
      </c>
    </row>
    <row r="698">
      <c r="A698" t="n">
        <v>59</v>
      </c>
      <c r="B698" t="inlineStr">
        <is>
          <t>B</t>
        </is>
      </c>
      <c r="C698" t="n">
        <v>4</v>
      </c>
      <c r="D698" s="3" t="inlineStr">
        <is>
          <t>POP: Stack menjadi [7] (elemen teratas, yaitu 2, dihapus)</t>
        </is>
      </c>
      <c r="E698" t="inlineStr">
        <is>
          <t>YA (didukung konteks)</t>
        </is>
      </c>
    </row>
    <row r="699">
      <c r="A699" t="n">
        <v>59</v>
      </c>
      <c r="B699" t="inlineStr">
        <is>
          <t>B</t>
        </is>
      </c>
      <c r="C699" t="n">
        <v>5</v>
      </c>
      <c r="D699" s="3" t="inlineStr">
        <is>
          <t>POP: Stack menjadi [] (elemen teratas, yaitu 7, dihapus)</t>
        </is>
      </c>
      <c r="E699" t="inlineStr">
        <is>
          <t>YA (didukung konteks)</t>
        </is>
      </c>
    </row>
    <row r="700">
      <c r="A700" t="n">
        <v>59</v>
      </c>
      <c r="B700" t="inlineStr">
        <is>
          <t>B</t>
        </is>
      </c>
      <c r="C700" t="n">
        <v>6</v>
      </c>
      <c r="D700" s="3" t="inlineStr">
        <is>
          <t>Mari kita simulasikan stack dengan operasi berurutan:</t>
        </is>
      </c>
      <c r="E700" t="inlineStr">
        <is>
          <t>YA (didukung konteks)</t>
        </is>
      </c>
    </row>
    <row r="701">
      <c r="A701" t="n">
        <v>60</v>
      </c>
      <c r="B701" t="inlineStr">
        <is>
          <t>A</t>
        </is>
      </c>
      <c r="C701" t="n">
        <v>1</v>
      </c>
      <c r="D701" s="3" t="inlineStr">
        <is>
          <t>Saya dapat membantu menjawab pertanyaan mahasiswa tentang simulasi queue dengan operasi: ENQUEUE(P), ENQUEUE(Q), ENQUEUE(R), DEQUEUE, ENQUEUE(S), DEQUEUE, DEQUEUE.</t>
        </is>
      </c>
      <c r="E701" t="inlineStr">
        <is>
          <t>YA (didukung konteks)</t>
        </is>
      </c>
    </row>
    <row r="702">
      <c r="A702" t="n">
        <v>60</v>
      </c>
      <c r="B702" t="inlineStr">
        <is>
          <t>A</t>
        </is>
      </c>
      <c r="C702" t="n">
        <v>2</v>
      </c>
      <c r="D702" s="3" t="inlineStr">
        <is>
          <t>Demikian, simulasi queue dengan operasi tersebut menunjukkan isi queue setelah setiap operasi dan nilai yang dikembalikan DEQUEUE.</t>
        </is>
      </c>
      <c r="E702" t="inlineStr">
        <is>
          <t>YA (didukung konteks)</t>
        </is>
      </c>
    </row>
    <row r="703">
      <c r="A703" t="n">
        <v>60</v>
      </c>
      <c r="B703" t="inlineStr">
        <is>
          <t>A</t>
        </is>
      </c>
      <c r="C703" t="n">
        <v>3</v>
      </c>
      <c r="D703" s="3" t="inlineStr">
        <is>
          <t>DEQUEUE: output=P, queue=[Q,R] (data P dihapus dari antrian dan data Q menjadi data terdepan)</t>
        </is>
      </c>
      <c r="E703" t="inlineStr">
        <is>
          <t>YA (didukung konteks)</t>
        </is>
      </c>
    </row>
    <row r="704">
      <c r="A704" t="n">
        <v>60</v>
      </c>
      <c r="B704" t="inlineStr">
        <is>
          <t>A</t>
        </is>
      </c>
      <c r="C704" t="n">
        <v>4</v>
      </c>
      <c r="D704" s="3" t="inlineStr">
        <is>
          <t>DEQUEUE: output=Q, queue=[R,S] (data Q dihapus dari antrian dan data R menjadi data terdepan)</t>
        </is>
      </c>
      <c r="E704" t="inlineStr">
        <is>
          <t>YA (didukung konteks)</t>
        </is>
      </c>
    </row>
    <row r="705">
      <c r="A705" t="n">
        <v>60</v>
      </c>
      <c r="B705" t="inlineStr">
        <is>
          <t>A</t>
        </is>
      </c>
      <c r="C705" t="n">
        <v>5</v>
      </c>
      <c r="D705" s="3" t="inlineStr">
        <is>
          <t>DEQUEUE: output=R, queue=[S] (data R dihapus dari antrian dan data S menjadi data terdepan)</t>
        </is>
      </c>
      <c r="E705" t="inlineStr">
        <is>
          <t>YA (didukung konteks)</t>
        </is>
      </c>
    </row>
    <row r="706">
      <c r="A706" t="n">
        <v>60</v>
      </c>
      <c r="B706" t="inlineStr">
        <is>
          <t>A</t>
        </is>
      </c>
      <c r="C706" t="n">
        <v>6</v>
      </c>
      <c r="D706" s="3" t="inlineStr">
        <is>
          <t>Dengan demikian, isi queue setelah setiap operasi adalah:</t>
        </is>
      </c>
      <c r="E706" t="inlineStr">
        <is>
          <t>YA (didukung konteks)</t>
        </is>
      </c>
    </row>
    <row r="707">
      <c r="A707" t="n">
        <v>60</v>
      </c>
      <c r="B707" t="inlineStr">
        <is>
          <t>B</t>
        </is>
      </c>
      <c r="C707" t="n">
        <v>1</v>
      </c>
      <c r="D707" s="3" t="inlineStr">
        <is>
          <t>Nilai yang dikembalikan: P (elemen terdepan dihapus dan dikembalikan)</t>
        </is>
      </c>
      <c r="E707" t="inlineStr">
        <is>
          <t>YA (didukung konteks)</t>
        </is>
      </c>
    </row>
    <row r="708">
      <c r="A708" t="n">
        <v>60</v>
      </c>
      <c r="B708" t="inlineStr">
        <is>
          <t>B</t>
        </is>
      </c>
      <c r="C708" t="n">
        <v>2</v>
      </c>
      <c r="D708" s="3" t="inlineStr">
        <is>
          <t>Nilai yang dikembalikan: Q (elemen terdepan dihapus dan dikembalikan)</t>
        </is>
      </c>
      <c r="E708" t="inlineStr">
        <is>
          <t>YA (didukung konteks)</t>
        </is>
      </c>
    </row>
    <row r="709">
      <c r="A709" t="n">
        <v>60</v>
      </c>
      <c r="B709" t="inlineStr">
        <is>
          <t>B</t>
        </is>
      </c>
      <c r="C709" t="n">
        <v>3</v>
      </c>
      <c r="D709" s="3" t="inlineStr">
        <is>
          <t>Nilai yang dikembalikan: R (elemen terdepan dihapus dan dikembalikan)</t>
        </is>
      </c>
      <c r="E709" t="inlineStr">
        <is>
          <t>YA (didukung konteks)</t>
        </is>
      </c>
    </row>
    <row r="710">
      <c r="A710" t="n">
        <v>60</v>
      </c>
      <c r="B710" t="inlineStr">
        <is>
          <t>B</t>
        </is>
      </c>
      <c r="C710" t="n">
        <v>4</v>
      </c>
      <c r="D710" s="3" t="inlineStr">
        <is>
          <t>Jadi, isi queue setelah semua operasi adalah P, R.</t>
        </is>
      </c>
      <c r="E710" t="inlineStr">
        <is>
          <t>YA (didukung konteks)</t>
        </is>
      </c>
    </row>
    <row r="711">
      <c r="A711" t="n">
        <v>60</v>
      </c>
      <c r="B711" t="inlineStr">
        <is>
          <t>B</t>
        </is>
      </c>
      <c r="C711" t="n">
        <v>5</v>
      </c>
      <c r="D711" s="3" t="inlineStr">
        <is>
          <t>Nilai yang dikembalikan: None (tidak ada)</t>
        </is>
      </c>
      <c r="E711" t="inlineStr">
        <is>
          <t>YA (didukung konteks)</t>
        </is>
      </c>
    </row>
    <row r="712">
      <c r="A712" t="n">
        <v>60</v>
      </c>
      <c r="B712" t="inlineStr">
        <is>
          <t>B</t>
        </is>
      </c>
      <c r="C712" t="n">
        <v>6</v>
      </c>
      <c r="D712" s="3" t="inlineStr">
        <is>
          <t>Nilai yang dikembalikan: None (tidak ada)</t>
        </is>
      </c>
      <c r="E712" t="inlineStr">
        <is>
          <t>YA (didukung konteks)</t>
        </is>
      </c>
    </row>
    <row r="713">
      <c r="A713" t="n">
        <v>61</v>
      </c>
      <c r="B713" t="inlineStr">
        <is>
          <t>A</t>
        </is>
      </c>
      <c r="C713" t="n">
        <v>1</v>
      </c>
      <c r="D713" s="3" t="inlineStr">
        <is>
          <t>Dalam perbandingan, queue tidak cocok untuk fitur undo karena queue menggunakan prinsip FIFO (First In First Out), yang berarti aksi pertama akan di-undo terlebih dahulu.</t>
        </is>
      </c>
      <c r="E713" t="inlineStr">
        <is>
          <t>YA (didukung konteks)</t>
        </is>
      </c>
    </row>
    <row r="714">
      <c r="A714" t="n">
        <v>61</v>
      </c>
      <c r="B714" t="inlineStr">
        <is>
          <t>A</t>
        </is>
      </c>
      <c r="C714" t="n">
        <v>2</v>
      </c>
      <c r="D714" s="3" t="inlineStr">
        <is>
          <t>Dalam contoh Anda, setiap aksi seperti menulis teks, menghapus karakter, atau membuat format, dapat disimpan ke dalam stack.</t>
        </is>
      </c>
      <c r="E714" t="inlineStr">
        <is>
          <t>YA (didukung konteks)</t>
        </is>
      </c>
    </row>
    <row r="715">
      <c r="A715" t="n">
        <v>61</v>
      </c>
      <c r="B715" t="inlineStr">
        <is>
          <t>A</t>
        </is>
      </c>
      <c r="C715" t="n">
        <v>3</v>
      </c>
      <c r="D715" s="3" t="inlineStr">
        <is>
          <t>Ketika user ingin melakukan undo, aplikasi dapat mempopkan aksi dari atas (top) stack dan kembali ke aksi sebelumnya.</t>
        </is>
      </c>
      <c r="E715" t="inlineStr">
        <is>
          <t>YA (didukung konteks)</t>
        </is>
      </c>
    </row>
    <row r="716">
      <c r="A716" t="n">
        <v>61</v>
      </c>
      <c r="B716" t="inlineStr">
        <is>
          <t>A</t>
        </is>
      </c>
      <c r="C716" t="n">
        <v>4</v>
      </c>
      <c r="D716" s="3" t="inlineStr">
        <is>
          <t>Stack juga memiliki prinsip LIFO (Last In First Out), yang berarti aksi terbaru akan di-undo terlebih dahulu.</t>
        </is>
      </c>
      <c r="E716" t="inlineStr">
        <is>
          <t>YA (didukung konteks)</t>
        </is>
      </c>
    </row>
    <row r="717">
      <c r="A717" t="n">
        <v>61</v>
      </c>
      <c r="B717" t="inlineStr">
        <is>
          <t>A</t>
        </is>
      </c>
      <c r="C717" t="n">
        <v>5</v>
      </c>
      <c r="D717" s="3" t="inlineStr">
        <is>
          <t>Jadi, untuk membuat fitur undo di aplikasi teks editor, saya merekomendasikan penggunaan stack!</t>
        </is>
      </c>
      <c r="E717" t="inlineStr">
        <is>
          <t>YA (didukung konteks)</t>
        </is>
      </c>
    </row>
    <row r="718">
      <c r="A718" t="n">
        <v>61</v>
      </c>
      <c r="B718" t="inlineStr">
        <is>
          <t>A</t>
        </is>
      </c>
      <c r="C718" t="n">
        <v>6</v>
      </c>
      <c r="D718" s="3" t="inlineStr">
        <is>
          <t>Stack cocok untuk fitur undo karena setiap aksi disimpan dan dapat di-undo ke aksi sebelumnya.</t>
        </is>
      </c>
      <c r="E718" t="inlineStr">
        <is>
          <t>YA (didukung konteks)</t>
        </is>
      </c>
    </row>
    <row r="719">
      <c r="A719" t="n">
        <v>61</v>
      </c>
      <c r="B719" t="inlineStr">
        <is>
          <t>B</t>
        </is>
      </c>
      <c r="C719" t="n">
        <v>1</v>
      </c>
      <c r="D719" s="3" t="inlineStr">
        <is>
          <t>**Consistency**: Dengan menggunakan stack, Anda dapat memastikan bahwa aksi terbaru yang dilakukan akan dihapus terlebih dahulu, sehingga fitur undo tetap konsisten dan mudah dipahami oleh pengguna.</t>
        </is>
      </c>
      <c r="E719" t="inlineStr">
        <is>
          <t>YA (didukung konteks)</t>
        </is>
      </c>
    </row>
    <row r="720">
      <c r="A720" t="n">
        <v>61</v>
      </c>
      <c r="B720" t="inlineStr">
        <is>
          <t>B</t>
        </is>
      </c>
      <c r="C720" t="n">
        <v>2</v>
      </c>
      <c r="D720" s="3" t="inlineStr">
        <is>
          <t>**First-In-First-Out (FIFO)**: Stack mengikuti konsep FIFO, artinya aksi terakhir yang dilakukan akan dihapus terlebih dahulu ketika pengguna ingin melakukan undo.</t>
        </is>
      </c>
      <c r="E720" t="inlineStr">
        <is>
          <t>YA (didukung konteks)</t>
        </is>
      </c>
    </row>
    <row r="721">
      <c r="A721" t="n">
        <v>61</v>
      </c>
      <c r="B721" t="inlineStr">
        <is>
          <t>B</t>
        </is>
      </c>
      <c r="C721" t="n">
        <v>3</v>
      </c>
      <c r="D721" s="3" t="inlineStr">
        <is>
          <t>Dalam aplikasi teks editor, aksi terbaru biasanya berupa perubahan pada teks, maka logis jika aksi terbaru yang dilakukan harus dihapus terlebih dahulu.</t>
        </is>
      </c>
      <c r="E721" t="inlineStr">
        <is>
          <t>YA (didukung konteks)</t>
        </is>
      </c>
    </row>
    <row r="722">
      <c r="A722" t="n">
        <v>61</v>
      </c>
      <c r="B722" t="inlineStr">
        <is>
          <t>B</t>
        </is>
      </c>
      <c r="C722" t="n">
        <v>4</v>
      </c>
      <c r="D722" s="3" t="inlineStr">
        <is>
          <t>Jadi, dalam implementasikan feature undo pada aplikasi teks editor, saya merekomendasikan menggunakan stack sebagai struktur data yang paling sesuai.</t>
        </is>
      </c>
      <c r="E722" t="inlineStr">
        <is>
          <t>YA (didukung konteks)</t>
        </is>
      </c>
    </row>
    <row r="723">
      <c r="A723" t="n">
        <v>61</v>
      </c>
      <c r="B723" t="inlineStr">
        <is>
          <t>B</t>
        </is>
      </c>
      <c r="C723" t="n">
        <v>5</v>
      </c>
      <c r="D723" s="3" t="inlineStr">
        <is>
          <t>Pada aplikasi teks editor, Anda tidak ingin pengguna menunggu lama untuk melakukan undo, maka menggunakan stack dapat meningkatkan performa.</t>
        </is>
      </c>
      <c r="E723" t="inlineStr">
        <is>
          <t>YA (didukung konteks)</t>
        </is>
      </c>
    </row>
    <row r="724">
      <c r="A724" t="n">
        <v>61</v>
      </c>
      <c r="B724" t="inlineStr">
        <is>
          <t>B</t>
        </is>
      </c>
      <c r="C724" t="n">
        <v>6</v>
      </c>
      <c r="D724" s="3" t="inlineStr">
        <is>
          <t>Menyajikan feature undo pada aplikasi teks editor memungkinkan pengguna untuk membatalkan perubahan yang telah dilakukan.</t>
        </is>
      </c>
      <c r="E724" t="inlineStr">
        <is>
          <t>YA (didukung konteks)</t>
        </is>
      </c>
    </row>
    <row r="725">
      <c r="A725" t="n">
        <v>62</v>
      </c>
      <c r="B725" t="inlineStr">
        <is>
          <t>A</t>
        </is>
      </c>
      <c r="C725" t="n">
        <v>1</v>
      </c>
      <c r="D725" s="3" t="inlineStr">
        <is>
          <t>Kita dapat melihat bahwa setiap kurung yang dibuka harus ditutup paling awal, dan demikian juga dengan operator '+' dan '*'.</t>
        </is>
      </c>
      <c r="E725" t="inlineStr">
        <is>
          <t>TIDAK (tidak didukung)</t>
        </is>
      </c>
    </row>
    <row r="726">
      <c r="A726" t="n">
        <v>62</v>
      </c>
      <c r="B726" t="inlineStr">
        <is>
          <t>A</t>
        </is>
      </c>
      <c r="C726" t="n">
        <v>2</v>
      </c>
      <c r="D726" s="3" t="inlineStr">
        <is>
          <t>Setelah kita selesai memasukkan setiap karakter ke dalam stack, kita dapat melihat apakah ekspresi ini seimbang atau tidak.</t>
        </is>
      </c>
      <c r="E726" t="inlineStr">
        <is>
          <t>YA (didukung konteks)</t>
        </is>
      </c>
    </row>
    <row r="727">
      <c r="A727" t="n">
        <v>62</v>
      </c>
      <c r="B727" t="inlineStr">
        <is>
          <t>A</t>
        </is>
      </c>
      <c r="C727" t="n">
        <v>3</v>
      </c>
      <c r="D727" s="3" t="inlineStr">
        <is>
          <t>Dengan menggunakan konsep LIFO dari stack, kita dapat menentukan bahwa ekspresi '((a+b)*(c-d))' adalah seimbang.</t>
        </is>
      </c>
      <c r="E727" t="inlineStr">
        <is>
          <t>TIDAK (tidak didukung)</t>
        </is>
      </c>
    </row>
    <row r="728">
      <c r="A728" t="n">
        <v>62</v>
      </c>
      <c r="B728" t="inlineStr">
        <is>
          <t>A</t>
        </is>
      </c>
      <c r="C728" t="n">
        <v>4</v>
      </c>
      <c r="D728" s="3" t="inlineStr">
        <is>
          <t>Untuk menentukan apakah ekspresi ini seimbang atau tidak, kita dapat menggunakan struktur data stack.</t>
        </is>
      </c>
      <c r="E728" t="inlineStr">
        <is>
          <t>YA (didukung konteks)</t>
        </is>
      </c>
    </row>
    <row r="729">
      <c r="A729" t="n">
        <v>62</v>
      </c>
      <c r="B729" t="inlineStr">
        <is>
          <t>A</t>
        </is>
      </c>
      <c r="C729" t="n">
        <v>5</v>
      </c>
      <c r="D729" s="3" t="inlineStr">
        <is>
          <t>Saya akan membantu Anda menyelesaikan soal ini dengan menggunakan konsep stack (LIFO).</t>
        </is>
      </c>
      <c r="E729" t="inlineStr">
        <is>
          <t>YA (didukung konteks)</t>
        </is>
      </c>
    </row>
    <row r="730">
      <c r="A730" t="n">
        <v>62</v>
      </c>
      <c r="B730" t="inlineStr">
        <is>
          <t>A</t>
        </is>
      </c>
      <c r="C730" t="n">
        <v>6</v>
      </c>
      <c r="D730" s="3" t="inlineStr">
        <is>
          <t>Jadi, jawaban saya adalah: EKSPRESI '((a+b)*(c-d))' ADALAH SEIMBANG.</t>
        </is>
      </c>
      <c r="E730" t="inlineStr">
        <is>
          <t>TIDAK (tidak didukung)</t>
        </is>
      </c>
    </row>
    <row r="731">
      <c r="A731" t="n">
        <v>62</v>
      </c>
      <c r="B731" t="inlineStr">
        <is>
          <t>B</t>
        </is>
      </c>
      <c r="C731" t="n">
        <v>1</v>
      </c>
      <c r="D731" s="3" t="inlineStr">
        <is>
          <t>Kita akan menggunakan konsep stack (Last In First Out) untuk memeriksa apakah ekspresi '((a+b)*(c-d))' seimbang kurungnya.</t>
        </is>
      </c>
      <c r="E731" t="inlineStr">
        <is>
          <t>YA (didukung konteks)</t>
        </is>
      </c>
    </row>
    <row r="732">
      <c r="A732" t="n">
        <v>62</v>
      </c>
      <c r="B732" t="inlineStr">
        <is>
          <t>B</t>
        </is>
      </c>
      <c r="C732" t="n">
        <v>2</v>
      </c>
      <c r="D732" s="3" t="inlineStr">
        <is>
          <t>Ketika kita menjumpai karakter kurung tutup, maka kita harus melepaskan karakter-karakter yang tersimpan di stack:</t>
        </is>
      </c>
      <c r="E732" t="inlineStr">
        <is>
          <t>YA (didukung konteks)</t>
        </is>
      </c>
    </row>
    <row r="733">
      <c r="A733" t="n">
        <v>62</v>
      </c>
      <c r="B733" t="inlineStr">
        <is>
          <t>B</t>
        </is>
      </c>
      <c r="C733" t="n">
        <v>3</v>
      </c>
      <c r="D733" s="3" t="inlineStr">
        <is>
          <t>Ketika kita selesai menginput semua karakter, maka stack harus kosong untuk ekspresi seimbang kurungnya.</t>
        </is>
      </c>
      <c r="E733" t="inlineStr">
        <is>
          <t>YA (didukung konteks)</t>
        </is>
      </c>
    </row>
    <row r="734">
      <c r="A734" t="n">
        <v>62</v>
      </c>
      <c r="B734" t="inlineStr">
        <is>
          <t>B</t>
        </is>
      </c>
      <c r="C734" t="n">
        <v>4</v>
      </c>
      <c r="D734" s="3" t="inlineStr">
        <is>
          <t>Dalam kasus ini, kita akan melihat bahwa stack menjadi kosong setelah menginput semua karakter.</t>
        </is>
      </c>
      <c r="E734" t="inlineStr">
        <is>
          <t>TIDAK (tidak didukung)</t>
        </is>
      </c>
    </row>
    <row r="735">
      <c r="A735" t="n">
        <v>62</v>
      </c>
      <c r="B735" t="inlineStr">
        <is>
          <t>B</t>
        </is>
      </c>
      <c r="C735" t="n">
        <v>5</v>
      </c>
      <c r="D735" s="3" t="inlineStr">
        <is>
          <t>* Jika stack masih ada isi, maka ekspresi tidak seimbang kurungnya.</t>
        </is>
      </c>
      <c r="E735" t="inlineStr">
        <is>
          <t>YA (didukung konteks)</t>
        </is>
      </c>
    </row>
    <row r="736">
      <c r="A736" t="n">
        <v>62</v>
      </c>
      <c r="B736" t="inlineStr">
        <is>
          <t>B</t>
        </is>
      </c>
      <c r="C736" t="n">
        <v>6</v>
      </c>
      <c r="D736" s="3" t="inlineStr">
        <is>
          <t>Masukkan setiap karakter ke dalam stack, mulai dari awal ekspresi:</t>
        </is>
      </c>
      <c r="E736" t="inlineStr">
        <is>
          <t>YA (didukung konteks)</t>
        </is>
      </c>
    </row>
    <row r="737">
      <c r="A737" t="n">
        <v>63</v>
      </c>
      <c r="B737" t="inlineStr">
        <is>
          <t>A</t>
        </is>
      </c>
      <c r="C737" t="n">
        <v>1</v>
      </c>
      <c r="D737" s="3" t="inlineStr">
        <is>
          <t>Dengan menggunakan variabel top, kita dapat dengan cepat mengetahui posisi elemen terbaru yang ditambahkan ke dalam stack dan menghilangkan perluasan panjang array yang menjadi kompleksitas.</t>
        </is>
      </c>
      <c r="E737" t="inlineStr">
        <is>
          <t>TIDAK (tidak didukung)</t>
        </is>
      </c>
    </row>
    <row r="738">
      <c r="A738" t="n">
        <v>63</v>
      </c>
      <c r="B738" t="inlineStr">
        <is>
          <t>A</t>
        </is>
      </c>
      <c r="C738" t="n">
        <v>2</v>
      </c>
      <c r="D738" s="3" t="inlineStr">
        <is>
          <t>Dalam perbandingan, jika kita tidak menggunakan variabel top dan langsung memakai panjang array, maka akan sulit mengatur posisi elemen teratas dan dapat menyebabkan error atau masalah lain.</t>
        </is>
      </c>
      <c r="E738" t="inlineStr">
        <is>
          <t>YA (didukung konteks)</t>
        </is>
      </c>
    </row>
    <row r="739">
      <c r="A739" t="n">
        <v>63</v>
      </c>
      <c r="B739" t="inlineStr">
        <is>
          <t>A</t>
        </is>
      </c>
      <c r="C739" t="n">
        <v>3</v>
      </c>
      <c r="D739" s="3" t="inlineStr">
        <is>
          <t>Variabel "top" dalam implementasi stack memiliki fungsi penting sebagai indikator posisi elemen teratas (top) pada array yang mewakili stack.</t>
        </is>
      </c>
      <c r="E739" t="inlineStr">
        <is>
          <t>TIDAK (tidak didukung)</t>
        </is>
      </c>
    </row>
    <row r="740">
      <c r="A740" t="n">
        <v>63</v>
      </c>
      <c r="B740" t="inlineStr">
        <is>
          <t>A</t>
        </is>
      </c>
      <c r="C740" t="n">
        <v>4</v>
      </c>
      <c r="D740" s="3" t="inlineStr">
        <is>
          <t>Dengan demikian, ketika kita melakukan operasi push, variabel top diincrement untuk menunjukkan posisi baru elemen yang ditambahkan.</t>
        </is>
      </c>
      <c r="E740" t="inlineStr">
        <is>
          <t>YA (didukung konteks)</t>
        </is>
      </c>
    </row>
    <row r="741">
      <c r="A741" t="n">
        <v>63</v>
      </c>
      <c r="B741" t="inlineStr">
        <is>
          <t>A</t>
        </is>
      </c>
      <c r="C741" t="n">
        <v>5</v>
      </c>
      <c r="D741" s="3" t="inlineStr">
        <is>
          <t>Dengan demikian, saya harap menjawab pertanyaan mahasiswa telah memahami konsep utama variabel "top" dalam implementasi stack!</t>
        </is>
      </c>
      <c r="E741" t="inlineStr">
        <is>
          <t>TIDAK (tidak didukung)</t>
        </is>
      </c>
    </row>
    <row r="742">
      <c r="A742" t="n">
        <v>63</v>
      </c>
      <c r="B742" t="inlineStr">
        <is>
          <t>A</t>
        </is>
      </c>
      <c r="C742" t="n">
        <v>6</v>
      </c>
      <c r="D742" s="3" t="inlineStr">
        <is>
          <t>Dalam implementasi stack, array digunakan sebagai representasi elemen-elemen yang dikandung oleh stack.</t>
        </is>
      </c>
      <c r="E742" t="inlineStr">
        <is>
          <t>TIDAK (tidak didukung)</t>
        </is>
      </c>
    </row>
    <row r="743">
      <c r="A743" t="n">
        <v>63</v>
      </c>
      <c r="B743" t="inlineStr">
        <is>
          <t>B</t>
        </is>
      </c>
      <c r="C743" t="n">
        <v>1</v>
      </c>
      <c r="D743" s="3" t="inlineStr">
        <is>
          <t>Karena panjang array hanya menunjukkan jumlah elemen yang terkandung dalam array, namun tidak memberikan informasi tentang posisi puncak (peak) dari stack.</t>
        </is>
      </c>
      <c r="E743" t="inlineStr">
        <is>
          <t>TIDAK (tidak didukung)</t>
        </is>
      </c>
    </row>
    <row r="744">
      <c r="A744" t="n">
        <v>63</v>
      </c>
      <c r="B744" t="inlineStr">
        <is>
          <t>B</t>
        </is>
      </c>
      <c r="C744" t="n">
        <v>2</v>
      </c>
      <c r="D744" s="3" t="inlineStr">
        <is>
          <t>Ketika Anda melakukan operasi push (memasukkan elemen baru ke dalam stack), nilai "top" ditingkatkan menjadi index terbaru dari elemen yang dibuat.</t>
        </is>
      </c>
      <c r="E744" t="inlineStr">
        <is>
          <t>TIDAK (tidak didukung)</t>
        </is>
      </c>
    </row>
    <row r="745">
      <c r="A745" t="n">
        <v>63</v>
      </c>
      <c r="B745" t="inlineStr">
        <is>
          <t>B</t>
        </is>
      </c>
      <c r="C745" t="n">
        <v>3</v>
      </c>
      <c r="D745" s="3" t="inlineStr">
        <is>
          <t>Dalam implementasi stack dengan array, variabel "top" digunakan untuk menunjukkan index terakhir dari elemen yang terkandung di dalam stack.</t>
        </is>
      </c>
      <c r="E745" t="inlineStr">
        <is>
          <t>TIDAK (tidak didukung)</t>
        </is>
      </c>
    </row>
    <row r="746">
      <c r="A746" t="n">
        <v>63</v>
      </c>
      <c r="B746" t="inlineStr">
        <is>
          <t>B</t>
        </is>
      </c>
      <c r="C746" t="n">
        <v>4</v>
      </c>
      <c r="D746" s="3" t="inlineStr">
        <is>
          <t>Sebagai lawan, ketika Anda melakukan operasi pop (menghapus elemen dari atas stack), nilai "top" dikurangi menjadi index sebelumnya.</t>
        </is>
      </c>
      <c r="E746" t="inlineStr">
        <is>
          <t>YA (didukung konteks)</t>
        </is>
      </c>
    </row>
    <row r="747">
      <c r="A747" t="n">
        <v>63</v>
      </c>
      <c r="B747" t="inlineStr">
        <is>
          <t>B</t>
        </is>
      </c>
      <c r="C747" t="n">
        <v>5</v>
      </c>
      <c r="D747" s="3" t="inlineStr">
        <is>
          <t>Dalam sintaks pseudocode, variabel "top" digunakan sebagai referensi untuk mengakses elemen di atas yang terkandung dalam array.</t>
        </is>
      </c>
      <c r="E747" t="inlineStr">
        <is>
          <t>TIDAK (tidak didukung)</t>
        </is>
      </c>
    </row>
    <row r="748">
      <c r="A748" t="n">
        <v>63</v>
      </c>
      <c r="B748" t="inlineStr">
        <is>
          <t>B</t>
        </is>
      </c>
      <c r="C748" t="n">
        <v>6</v>
      </c>
      <c r="D748" s="3" t="inlineStr">
        <is>
          <t>Jika Anda melakukan push elemen D, maka nilai "top" akan ditingkatkan menjadi 3, sehingga puncak stack terletak di index 3.</t>
        </is>
      </c>
      <c r="E748" t="inlineStr">
        <is>
          <t>YA (didukung konteks)</t>
        </is>
      </c>
    </row>
    <row r="749">
      <c r="A749" t="n">
        <v>64</v>
      </c>
      <c r="B749" t="inlineStr">
        <is>
          <t>A</t>
        </is>
      </c>
      <c r="C749" t="n">
        <v>1</v>
      </c>
      <c r="D749" s="3" t="inlineStr">
        <is>
          <t>Tree dapat digunakan untuk merepresentasikan hubungan antar node dalam struktur data yang bersifat hierarkis, seperti sistem kecerdasan buatan atau compiler bahasa pemrograman.</t>
        </is>
      </c>
      <c r="E749" t="inlineStr">
        <is>
          <t>YA (didukung konteks)</t>
        </is>
      </c>
    </row>
    <row r="750">
      <c r="A750" t="n">
        <v>64</v>
      </c>
      <c r="B750" t="inlineStr">
        <is>
          <t>A</t>
        </is>
      </c>
      <c r="C750" t="n">
        <v>2</v>
      </c>
      <c r="D750" s="3" t="inlineStr">
        <is>
          <t>Dalam kasus tree, edge tidak mengandung cycle, sehingga memungkinkan penggunaan struktur data tree untuk merepresentasikan relasi hierarkis.</t>
        </is>
      </c>
      <c r="E750" t="inlineStr">
        <is>
          <t>YA (didukung konteks)</t>
        </is>
      </c>
    </row>
    <row r="751">
      <c r="A751" t="n">
        <v>64</v>
      </c>
      <c r="B751" t="inlineStr">
        <is>
          <t>A</t>
        </is>
      </c>
      <c r="C751" t="n">
        <v>3</v>
      </c>
      <c r="D751" s="3" t="inlineStr">
        <is>
          <t>Dosen memanggil tree sebagai "graph khusus" karena memiliki sifat hierarkis, dimana setiap node (kecuali root) hanya memiliki 1 parent.</t>
        </is>
      </c>
      <c r="E751" t="inlineStr">
        <is>
          <t>YA (didukung konteks)</t>
        </is>
      </c>
    </row>
    <row r="752">
      <c r="A752" t="n">
        <v>64</v>
      </c>
      <c r="B752" t="inlineStr">
        <is>
          <t>A</t>
        </is>
      </c>
      <c r="C752" t="n">
        <v>4</v>
      </c>
      <c r="D752" s="3" t="inlineStr">
        <is>
          <t>Dengan demikian, dosen memanggil tree sebagai "graph khusus" karena memiliki sifat hierarkis yang unik dan berbeda dengan graph biasa.</t>
        </is>
      </c>
      <c r="E752" t="inlineStr">
        <is>
          <t>YA (didukung konteks)</t>
        </is>
      </c>
    </row>
    <row r="753">
      <c r="A753" t="n">
        <v>64</v>
      </c>
      <c r="B753" t="inlineStr">
        <is>
          <t>A</t>
        </is>
      </c>
      <c r="C753" t="n">
        <v>5</v>
      </c>
      <c r="D753" s="3" t="inlineStr">
        <is>
          <t>Sifat utama tree adalah bersifat hierarkis, sehingga setiap node (kecuali root) hanya memiliki 1 parent.</t>
        </is>
      </c>
      <c r="E753" t="inlineStr">
        <is>
          <t>YA (didukung konteks)</t>
        </is>
      </c>
    </row>
    <row r="754">
      <c r="A754" t="n">
        <v>64</v>
      </c>
      <c r="B754" t="inlineStr">
        <is>
          <t>A</t>
        </is>
      </c>
      <c r="C754" t="n">
        <v>6</v>
      </c>
      <c r="D754" s="3" t="inlineStr">
        <is>
          <t>Tree adalah suatu bentuk graph yang tidak mengandung cycle, dan memiliki struktur hierarkis yang unik.</t>
        </is>
      </c>
      <c r="E754" t="inlineStr">
        <is>
          <t>YA (didukung konteks)</t>
        </is>
      </c>
    </row>
    <row r="755">
      <c r="A755" t="n">
        <v>64</v>
      </c>
      <c r="B755" t="inlineStr">
        <is>
          <t>B</t>
        </is>
      </c>
      <c r="C755" t="n">
        <v>1</v>
      </c>
      <c r="D755" s="3" t="inlineStr">
        <is>
          <t>Sifat-sifat unik tree membuatnya lebih mudah dipahami dan diaplikasikan dalam berbagai bidang, seperti sistem informasi, teknologi jaringan, dan analisis data.</t>
        </is>
      </c>
      <c r="E755" t="inlineStr">
        <is>
          <t>YA (didukung konteks)</t>
        </is>
      </c>
    </row>
    <row r="756">
      <c r="A756" t="n">
        <v>64</v>
      </c>
      <c r="B756" t="inlineStr">
        <is>
          <t>B</t>
        </is>
      </c>
      <c r="C756" t="n">
        <v>2</v>
      </c>
      <c r="D756" s="3" t="inlineStr">
        <is>
          <t>Sifat-sifat tersebut membuat tree menjadi penting dalam analisis dan aplikasi graf, sehingga perlu dipahami dan diajarkan terpisah sebagai subkelas dari graph.</t>
        </is>
      </c>
      <c r="E756" t="inlineStr">
        <is>
          <t>YA (didukung konteks)</t>
        </is>
      </c>
    </row>
    <row r="757">
      <c r="A757" t="n">
        <v>64</v>
      </c>
      <c r="B757" t="inlineStr">
        <is>
          <t>B</t>
        </is>
      </c>
      <c r="C757" t="n">
        <v>3</v>
      </c>
      <c r="D757" s="3" t="inlineStr">
        <is>
          <t>Dalam sintesis, "tree" tidak hanya sebuah graph biasa karena memiliki sifat-sifat khusus yang membedakan tree dari graph lainnya.</t>
        </is>
      </c>
      <c r="E757" t="inlineStr">
        <is>
          <t>YA (didukung konteks)</t>
        </is>
      </c>
    </row>
    <row r="758">
      <c r="A758" t="n">
        <v>64</v>
      </c>
      <c r="B758" t="inlineStr">
        <is>
          <t>B</t>
        </is>
      </c>
      <c r="C758" t="n">
        <v>4</v>
      </c>
      <c r="D758" s="3" t="inlineStr">
        <is>
          <t>Dalam teori graf, sebuah "tree" (tengga) adalah jenis khusus dari graph (graf) yang memiliki beberapa sifat unik.</t>
        </is>
      </c>
      <c r="E758" t="inlineStr">
        <is>
          <t>YA (didukung konteks)</t>
        </is>
      </c>
    </row>
    <row r="759">
      <c r="A759" t="n">
        <v>64</v>
      </c>
      <c r="B759" t="inlineStr">
        <is>
          <t>B</t>
        </is>
      </c>
      <c r="C759" t="n">
        <v>5</v>
      </c>
      <c r="D759" s="3" t="inlineStr">
        <is>
          <t>Dalam graph, tidak ada bagian yang mengelilingi dirinya sendiri dan membuat sebuah lingkaran.</t>
        </is>
      </c>
      <c r="E759" t="inlineStr">
        <is>
          <t>YA (didukung konteks)</t>
        </is>
      </c>
    </row>
    <row r="760">
      <c r="A760" t="n">
        <v>64</v>
      </c>
      <c r="B760" t="inlineStr">
        <is>
          <t>B</t>
        </is>
      </c>
      <c r="C760" t="n">
        <v>6</v>
      </c>
      <c r="D760" s="3" t="inlineStr">
        <is>
          <t>Karena tree memiliki sifat-sifat tersebut, maka diajarkan sebagai subkelas dari graph.</t>
        </is>
      </c>
      <c r="E760" t="inlineStr">
        <is>
          <t>YA (didukung konteks)</t>
        </is>
      </c>
    </row>
    <row r="761">
      <c r="A761" t="n">
        <v>65</v>
      </c>
      <c r="B761" t="inlineStr">
        <is>
          <t>A</t>
        </is>
      </c>
      <c r="C761" t="n">
        <v>1</v>
      </c>
      <c r="D761" s="3" t="inlineStr">
        <is>
          <t>Dalam graph yang memiliki berbagai jenis node dan edge, Dijkstra adalah algoritme yang digunakan untuk mencari jarak terpendek (shortest path) antara dua node.</t>
        </is>
      </c>
      <c r="E761" t="inlineStr">
        <is>
          <t>YA (didukung konteks)</t>
        </is>
      </c>
    </row>
    <row r="762">
      <c r="A762" t="n">
        <v>65</v>
      </c>
      <c r="B762" t="inlineStr">
        <is>
          <t>A</t>
        </is>
      </c>
      <c r="C762" t="n">
        <v>2</v>
      </c>
      <c r="D762" s="3" t="inlineStr">
        <is>
          <t>Kemudian, kita hitung jarak dari node A ke setiap node lainnya menggunakan formula: jarak(A, B) = 4 (karena edge A-B memiliki bobot 4).</t>
        </is>
      </c>
      <c r="E762" t="inlineStr">
        <is>
          <t>YA (didukung konteks)</t>
        </is>
      </c>
    </row>
    <row r="763">
      <c r="A763" t="n">
        <v>65</v>
      </c>
      <c r="B763" t="inlineStr">
        <is>
          <t>A</t>
        </is>
      </c>
      <c r="C763" t="n">
        <v>3</v>
      </c>
      <c r="D763" s="3" t="inlineStr">
        <is>
          <t>Lanjutkan dengan menghitung jarak dari node A ke node D melalui node C dan node B: jarak(A, D) = jarak(A, C) + jarak(C, D) = 2 + 5 = 7.</t>
        </is>
      </c>
      <c r="E763" t="inlineStr">
        <is>
          <t>YA (didukung konteks)</t>
        </is>
      </c>
    </row>
    <row r="764">
      <c r="A764" t="n">
        <v>65</v>
      </c>
      <c r="B764" t="inlineStr">
        <is>
          <t>A</t>
        </is>
      </c>
      <c r="C764" t="n">
        <v>4</v>
      </c>
      <c r="D764" s="3" t="inlineStr">
        <is>
          <t>Kemudian, kita hitung jarak dari node A ke node E melalui node D: jarak(A, E) = jarak(A, D) + jarak(D, E) = 7 + 1 = 8.</t>
        </is>
      </c>
      <c r="E764" t="inlineStr">
        <is>
          <t>YA (didukung konteks)</t>
        </is>
      </c>
    </row>
    <row r="765">
      <c r="A765" t="n">
        <v>65</v>
      </c>
      <c r="B765" t="inlineStr">
        <is>
          <t>A</t>
        </is>
      </c>
      <c r="C765" t="n">
        <v>5</v>
      </c>
      <c r="D765" s="3" t="inlineStr">
        <is>
          <t>Untuk pertanyaan tentang Graph, saya akan menjelaskan konsep Dijkstra untuk mencari jarak terpendek dari A ke E.</t>
        </is>
      </c>
      <c r="E765" t="inlineStr">
        <is>
          <t>YA (didukung konteks)</t>
        </is>
      </c>
    </row>
    <row r="766">
      <c r="A766" t="n">
        <v>65</v>
      </c>
      <c r="B766" t="inlineStr">
        <is>
          <t>A</t>
        </is>
      </c>
      <c r="C766" t="n">
        <v>6</v>
      </c>
      <c r="D766" s="3" t="inlineStr">
        <is>
          <t>Saya harap jawaban saya dapat membantu Anda memahami konsep Dijkstra untuk mencari jarak terpendek dalam graph!</t>
        </is>
      </c>
      <c r="E766" t="inlineStr">
        <is>
          <t>YA (didukung konteks)</t>
        </is>
      </c>
    </row>
    <row r="767">
      <c r="A767" t="n">
        <v>65</v>
      </c>
      <c r="B767" t="inlineStr">
        <is>
          <t>B</t>
        </is>
      </c>
      <c r="C767" t="n">
        <v>1</v>
      </c>
      <c r="D767" s="3" t="inlineStr">
        <is>
          <t>Kita akan menggunakan algoritma Dijkstra untuk menemukan jarak terpendek dari A ke E.</t>
        </is>
      </c>
      <c r="E767" t="inlineStr">
        <is>
          <t>YA (didukung konteks)</t>
        </is>
      </c>
    </row>
    <row r="768">
      <c r="A768" t="n">
        <v>65</v>
      </c>
      <c r="B768" t="inlineStr">
        <is>
          <t>B</t>
        </is>
      </c>
      <c r="C768" t="n">
        <v>2</v>
      </c>
      <c r="D768" s="3" t="inlineStr">
        <is>
          <t>Pilih titik dengan jarak terpendek yang belum diupdate, yaitu B.</t>
        </is>
      </c>
      <c r="E768" t="inlineStr">
        <is>
          <t>YA (didukung konteks)</t>
        </is>
      </c>
    </row>
    <row r="769">
      <c r="A769" t="n">
        <v>65</v>
      </c>
      <c r="B769" t="inlineStr">
        <is>
          <t>B</t>
        </is>
      </c>
      <c r="C769" t="n">
        <v>3</v>
      </c>
      <c r="D769" s="3" t="inlineStr">
        <is>
          <t>Pilih titik dengan jarak terpendek yang belum diupdate, yaitu C.</t>
        </is>
      </c>
      <c r="E769" t="inlineStr">
        <is>
          <t>YA (didukung konteks)</t>
        </is>
      </c>
    </row>
    <row r="770">
      <c r="A770" t="n">
        <v>65</v>
      </c>
      <c r="B770" t="inlineStr">
        <is>
          <t>B</t>
        </is>
      </c>
      <c r="C770" t="n">
        <v>4</v>
      </c>
      <c r="D770" s="3" t="inlineStr">
        <is>
          <t>Pilih titik dengan jarak terpendek yang belum diupdate, yaitu D.</t>
        </is>
      </c>
      <c r="E770" t="inlineStr">
        <is>
          <t>YA (didukung konteks)</t>
        </is>
      </c>
    </row>
    <row r="771">
      <c r="A771" t="n">
        <v>65</v>
      </c>
      <c r="B771" t="inlineStr">
        <is>
          <t>B</t>
        </is>
      </c>
      <c r="C771" t="n">
        <v>5</v>
      </c>
      <c r="D771" s="3" t="inlineStr">
        <is>
          <t>Pilih titik dengan jarak terpendek yang belum diupdate, yaitu E.</t>
        </is>
      </c>
      <c r="E771" t="inlineStr">
        <is>
          <t>YA (didukung konteks)</t>
        </is>
      </c>
    </row>
    <row r="772">
      <c r="A772" t="n">
        <v>65</v>
      </c>
      <c r="B772" t="inlineStr">
        <is>
          <t>B</t>
        </is>
      </c>
      <c r="C772" t="n">
        <v>6</v>
      </c>
      <c r="D772" s="3" t="inlineStr">
        <is>
          <t>Hitung jarak dari A ke D: 5 (A-C) + 3 (C-D) = 8</t>
        </is>
      </c>
      <c r="E772" t="inlineStr">
        <is>
          <t>YA (didukung konteks)</t>
        </is>
      </c>
    </row>
    <row r="773">
      <c r="A773" t="n">
        <v>66</v>
      </c>
      <c r="B773" t="inlineStr">
        <is>
          <t>A</t>
        </is>
      </c>
      <c r="C773" t="n">
        <v>1</v>
      </c>
      <c r="D773" s="3" t="inlineStr">
        <is>
          <t>BFS mencari semua node yang dapat dijangkau dari node awal sebelum melanjutkan, sedangkan DFS menyelesaikan traversal untuk setiap anak-anak node sebelum melanjutkan ke anak-anak node lainnya.</t>
        </is>
      </c>
      <c r="E773" t="inlineStr">
        <is>
          <t>YA (didukung konteks)</t>
        </is>
      </c>
    </row>
    <row r="774">
      <c r="A774" t="n">
        <v>66</v>
      </c>
      <c r="B774" t="inlineStr">
        <is>
          <t>A</t>
        </is>
      </c>
      <c r="C774" t="n">
        <v>2</v>
      </c>
      <c r="D774" s="3" t="inlineStr">
        <is>
          <t>Prosesnya adalah sebagai berikut: mulai dari node A, lalu enqueue B dan C, kemudian proses B, tetangga D dan E, enqueue D dan E, dan seterusnya.</t>
        </is>
      </c>
      <c r="E774" t="inlineStr">
        <is>
          <t>YA (didukung konteks)</t>
        </is>
      </c>
    </row>
    <row r="775">
      <c r="A775" t="n">
        <v>66</v>
      </c>
      <c r="B775" t="inlineStr">
        <is>
          <t>A</t>
        </is>
      </c>
      <c r="C775" t="n">
        <v>3</v>
      </c>
      <c r="D775" s="3" t="inlineStr">
        <is>
          <t>Saya akan menjelaskan konsep utama secara langsung dan akurat, serta sesuai dengan tipe kognitif: Level 4 Mahir / Teoritis / Global / Intuitif.</t>
        </is>
      </c>
      <c r="E775" t="inlineStr">
        <is>
          <t>TIDAK (tidak didukung)</t>
        </is>
      </c>
    </row>
    <row r="776">
      <c r="A776" t="n">
        <v>66</v>
      </c>
      <c r="B776" t="inlineStr">
        <is>
          <t>A</t>
        </is>
      </c>
      <c r="C776" t="n">
        <v>4</v>
      </c>
      <c r="D776" s="3" t="inlineStr">
        <is>
          <t>Sebaliknya, DFS melakukan traversal secara dalam (depth), yaitu mengunjungi anak-anak node hingga mencapai akhir dan kemudian kembali ke atas.</t>
        </is>
      </c>
      <c r="E776" t="inlineStr">
        <is>
          <t>YA (didukung konteks)</t>
        </is>
      </c>
    </row>
    <row r="777">
      <c r="A777" t="n">
        <v>66</v>
      </c>
      <c r="B777" t="inlineStr">
        <is>
          <t>A</t>
        </is>
      </c>
      <c r="C777" t="n">
        <v>5</v>
      </c>
      <c r="D777" s="3" t="inlineStr">
        <is>
          <t>BFS melakukan traversal secara lebar (breadth), yaitu mengunjungi semua anak-anak node sebelum menjelajahi lebih dalam.</t>
        </is>
      </c>
      <c r="E777" t="inlineStr">
        <is>
          <t>YA (didukung konteks)</t>
        </is>
      </c>
    </row>
    <row r="778">
      <c r="A778" t="n">
        <v>66</v>
      </c>
      <c r="B778" t="inlineStr">
        <is>
          <t>A</t>
        </is>
      </c>
      <c r="C778" t="n">
        <v>6</v>
      </c>
      <c r="D778" s="3" t="inlineStr">
        <is>
          <t>Dengan demikian, keduanya memiliki urutan yang berbeda, tetapi masih benar dan memenuhi prinsip traversal yang sama.</t>
        </is>
      </c>
      <c r="E778" t="inlineStr">
        <is>
          <t>YA (didukung konteks)</t>
        </is>
      </c>
    </row>
    <row r="779">
      <c r="A779" t="n">
        <v>66</v>
      </c>
      <c r="B779" t="inlineStr">
        <is>
          <t>B</t>
        </is>
      </c>
      <c r="C779" t="n">
        <v>1</v>
      </c>
      <c r="D779" s="3" t="inlineStr">
        <is>
          <t>BFS lebih sering digunakan jika kita ingin menemukan semua solusi atau mencari path terpendek antara dua vertex, sedangkan DFS lebih sering digunakan jika kita ingin menemukan apakah sebuah graph terhubung atau tidak.</t>
        </is>
      </c>
      <c r="E779" t="inlineStr">
        <is>
          <t>YA (didukung konteks)</t>
        </is>
      </c>
    </row>
    <row r="780">
      <c r="A780" t="n">
        <v>66</v>
      </c>
      <c r="B780" t="inlineStr">
        <is>
          <t>B</t>
        </is>
      </c>
      <c r="C780" t="n">
        <v>2</v>
      </c>
      <c r="D780" s="3" t="inlineStr">
        <is>
          <t>Sementara itu, DFS adalah sebuah algoritma yang mengunjungi vertex yang paling jauh dari sumber (dalam kasus ini, A) sebelum kembali ke vertex yang lebih dekat.</t>
        </is>
      </c>
      <c r="E780" t="inlineStr">
        <is>
          <t>YA (didukung konteks)</t>
        </is>
      </c>
    </row>
    <row r="781">
      <c r="A781" t="n">
        <v>66</v>
      </c>
      <c r="B781" t="inlineStr">
        <is>
          <t>B</t>
        </is>
      </c>
      <c r="C781" t="n">
        <v>3</v>
      </c>
      <c r="D781" s="3" t="inlineStr">
        <is>
          <t>Kedua cara tracing graph, BFS (Breadth-First Search) dan DFS (Depth-First Search), memiliki kelebihan masing-masing dan dapat menghasilkan urutan yang berbeda.</t>
        </is>
      </c>
      <c r="E781" t="inlineStr">
        <is>
          <t>YA (didukung konteks)</t>
        </is>
      </c>
    </row>
    <row r="782">
      <c r="A782" t="n">
        <v>66</v>
      </c>
      <c r="B782" t="inlineStr">
        <is>
          <t>B</t>
        </is>
      </c>
      <c r="C782" t="n">
        <v>4</v>
      </c>
      <c r="D782" s="3" t="inlineStr">
        <is>
          <t>BFS adalah sebuah algoritma yang mengunjungi semua vertex yang pada jarak k-1 dari sumber (dalam kasus ini, A) sebelum mengunjungi vertex yang lebih jauh.</t>
        </is>
      </c>
      <c r="E782" t="inlineStr">
        <is>
          <t>YA (didukung konteks)</t>
        </is>
      </c>
    </row>
    <row r="783">
      <c r="A783" t="n">
        <v>66</v>
      </c>
      <c r="B783" t="inlineStr">
        <is>
          <t>B</t>
        </is>
      </c>
      <c r="C783" t="n">
        <v>5</v>
      </c>
      <c r="D783" s="3" t="inlineStr">
        <is>
          <t>Kedua cara tracing graph dapat menghasilkan urutan yang berbeda karena mereka memiliki pendekatan yang berbeda dalam mengunjungi vertex-vertex pada graf.</t>
        </is>
      </c>
      <c r="E783" t="inlineStr">
        <is>
          <t>YA (didukung konteks)</t>
        </is>
      </c>
    </row>
    <row r="784">
      <c r="A784" t="n">
        <v>66</v>
      </c>
      <c r="B784" t="inlineStr">
        <is>
          <t>B</t>
        </is>
      </c>
      <c r="C784" t="n">
        <v>6</v>
      </c>
      <c r="D784" s="3" t="inlineStr">
        <is>
          <t>Dalam kasus Anda, urutan yang dihasilkan oleh kedua algoritma sebenarnya benar, tetapi memiliki perbedaan dalam urutannya.</t>
        </is>
      </c>
      <c r="E784" t="inlineStr">
        <is>
          <t>YA (didukung konteks)</t>
        </is>
      </c>
    </row>
    <row r="785">
      <c r="A785" t="n">
        <v>67</v>
      </c>
      <c r="B785" t="inlineStr">
        <is>
          <t>A</t>
        </is>
      </c>
      <c r="C785" t="n">
        <v>1</v>
      </c>
      <c r="D785" s="3" t="inlineStr">
        <is>
          <t>Pada graph ini, edge memiliki arah yang menunjukkan dari node mana menuju node mana, sehingga dapat merepresentasikan hubungan follow yang tidak bersifat simetris.</t>
        </is>
      </c>
      <c r="E785" t="inlineStr">
        <is>
          <t>YA (didukung konteks)</t>
        </is>
      </c>
    </row>
    <row r="786">
      <c r="A786" t="n">
        <v>67</v>
      </c>
      <c r="B786" t="inlineStr">
        <is>
          <t>A</t>
        </is>
      </c>
      <c r="C786" t="n">
        <v>2</v>
      </c>
      <c r="D786" s="3" t="inlineStr">
        <is>
          <t>Oleh karena itu, graph yang tepat untuk merepresentasikan "jaringan pertemanan" di media sosial adalah Graph Berarah (Directed Graph).</t>
        </is>
      </c>
      <c r="E786" t="inlineStr">
        <is>
          <t>YA (didukung konteks)</t>
        </is>
      </c>
    </row>
    <row r="787">
      <c r="A787" t="n">
        <v>67</v>
      </c>
      <c r="B787" t="inlineStr">
        <is>
          <t>A</t>
        </is>
      </c>
      <c r="C787" t="n">
        <v>3</v>
      </c>
      <c r="D787" s="3" t="inlineStr">
        <is>
          <t>Dosen menawarkan pertanyaan bagaimana kita dapat menggunakan graph untuk merepresentasikan "jaringan pertemanan" di media sosial.</t>
        </is>
      </c>
      <c r="E787" t="inlineStr">
        <is>
          <t>YA (didukung konteks)</t>
        </is>
      </c>
    </row>
    <row r="788">
      <c r="A788" t="n">
        <v>67</v>
      </c>
      <c r="B788" t="inlineStr">
        <is>
          <t>A</t>
        </is>
      </c>
      <c r="C788" t="n">
        <v>4</v>
      </c>
      <c r="D788" s="3" t="inlineStr">
        <is>
          <t>Directed Graph digunakan ketika hubungan antar node tidak bersifat simetris, seperti dalam kasus follow di media sosial.</t>
        </is>
      </c>
      <c r="E788" t="inlineStr">
        <is>
          <t>YA (didukung konteks)</t>
        </is>
      </c>
    </row>
    <row r="789">
      <c r="A789" t="n">
        <v>67</v>
      </c>
      <c r="B789" t="inlineStr">
        <is>
          <t>A</t>
        </is>
      </c>
      <c r="C789" t="n">
        <v>5</v>
      </c>
      <c r="D789" s="3" t="inlineStr">
        <is>
          <t>Hubungan follow tidak harus bersifat simetris, karena akun A dapat mengikuti akun B tanpa B mengikuti A.</t>
        </is>
      </c>
      <c r="E789" t="inlineStr">
        <is>
          <t>YA (didukung konteks)</t>
        </is>
      </c>
    </row>
    <row r="790">
      <c r="A790" t="n">
        <v>67</v>
      </c>
      <c r="B790" t="inlineStr">
        <is>
          <t>A</t>
        </is>
      </c>
      <c r="C790" t="n">
        <v>6</v>
      </c>
      <c r="D790" s="3" t="inlineStr">
        <is>
          <t>Dalam materi referensi, dikenal dua jenis graph: Directed (Berarah) dan Undirected (Tidak Berarah).</t>
        </is>
      </c>
      <c r="E790" t="inlineStr">
        <is>
          <t>YA (didukung konteks)</t>
        </is>
      </c>
    </row>
    <row r="791">
      <c r="A791" t="n">
        <v>67</v>
      </c>
      <c r="B791" t="inlineStr">
        <is>
          <t>B</t>
        </is>
      </c>
      <c r="C791" t="n">
        <v>1</v>
      </c>
      <c r="D791" s="3" t="inlineStr">
        <is>
          <t>Jadi, dalam jaringan pertemanan di media sosial, undirected graph adalah pilihan yang lebih tepat karena merefleksikan sifat simetris dan asimetris dari hubungan-hubungan tersebut.</t>
        </is>
      </c>
      <c r="E791" t="inlineStr">
        <is>
          <t>YA (didukung konteks)</t>
        </is>
      </c>
    </row>
    <row r="792">
      <c r="A792" t="n">
        <v>67</v>
      </c>
      <c r="B792" t="inlineStr">
        <is>
          <t>B</t>
        </is>
      </c>
      <c r="C792" t="n">
        <v>2</v>
      </c>
      <c r="D792" s="3" t="inlineStr">
        <is>
          <t>* Ada yang following tanpa difollow balik (misalnya, A mengikuti B tapi tidak ada pengikut balik dari A ke B), tetapi ini tidak berarti graph harus berarah.</t>
        </is>
      </c>
      <c r="E792" t="inlineStr">
        <is>
          <t>YA (didukung konteks)</t>
        </is>
      </c>
    </row>
    <row r="793">
      <c r="A793" t="n">
        <v>67</v>
      </c>
      <c r="B793" t="inlineStr">
        <is>
          <t>B</t>
        </is>
      </c>
      <c r="C793" t="n">
        <v>3</v>
      </c>
      <c r="D793" s="3" t="inlineStr">
        <is>
          <t>* Pertemanan yang simetris (misalnya, A mengikuti B dan B juga mengikuti A) dapat diwakili dengan arah dua jalan (undirected).</t>
        </is>
      </c>
      <c r="E793" t="inlineStr">
        <is>
          <t>YA (didukung konteks)</t>
        </is>
      </c>
    </row>
    <row r="794">
      <c r="A794" t="n">
        <v>67</v>
      </c>
      <c r="B794" t="inlineStr">
        <is>
          <t>B</t>
        </is>
      </c>
      <c r="C794" t="n">
        <v>4</v>
      </c>
      <c r="D794" s="3" t="inlineStr">
        <is>
          <t>Dalam jaringan pertemanan di media sosial, jenis graph yang tepat adalah undirected graph (graph tak berarah).</t>
        </is>
      </c>
      <c r="E794" t="inlineStr">
        <is>
          <t>YA (didukung konteks)</t>
        </is>
      </c>
    </row>
    <row r="795">
      <c r="A795" t="n">
        <v>67</v>
      </c>
      <c r="B795" t="inlineStr">
        <is>
          <t>B</t>
        </is>
      </c>
      <c r="C795" t="n">
        <v>5</v>
      </c>
      <c r="D795" s="3" t="inlineStr">
        <is>
          <t>Karena dalam kasus seperti itu, Anda masih dapat membuat undirected edge antara node A dan node B.</t>
        </is>
      </c>
      <c r="E795" t="inlineStr">
        <is>
          <t>YA (didukung konteks)</t>
        </is>
      </c>
    </row>
    <row r="796">
      <c r="A796" t="n">
        <v>68</v>
      </c>
      <c r="B796" t="inlineStr">
        <is>
          <t>A</t>
        </is>
      </c>
      <c r="C796" t="n">
        <v>1</v>
      </c>
      <c r="D796" s="3" t="inlineStr">
        <is>
          <t>Saya akan menjawab pertanyaan Anda dengan menggunakan istilah teknis yang ada dalam materi referensi dan sesuai dengan tipe kognitif: Level 5 Lanjut / Pragmatis / Global / Reflektiv.</t>
        </is>
      </c>
      <c r="E796" t="inlineStr">
        <is>
          <t>YA (didukung konteks)</t>
        </is>
      </c>
    </row>
    <row r="797">
      <c r="A797" t="n">
        <v>68</v>
      </c>
      <c r="B797" t="inlineStr">
        <is>
          <t>A</t>
        </is>
      </c>
      <c r="C797" t="n">
        <v>2</v>
      </c>
      <c r="D797" s="3" t="inlineStr">
        <is>
          <t>Dalam BST, operasi insert dan search dilakukan dengan cara menggunakan algoritma traversal yang mencari posisi node terbaik untuk menempatkan data baru atau mencari data yang dicari.</t>
        </is>
      </c>
      <c r="E797" t="inlineStr">
        <is>
          <t>YA (didukung konteks)</t>
        </is>
      </c>
    </row>
    <row r="798">
      <c r="A798" t="n">
        <v>68</v>
      </c>
      <c r="B798" t="inlineStr">
        <is>
          <t>A</t>
        </is>
      </c>
      <c r="C798" t="n">
        <v>3</v>
      </c>
      <c r="D798" s="3" t="inlineStr">
        <is>
          <t>Insertion pada BST dilakukan dengan cara melakukan traversal dari root node ke arah kanan atau kiri hingga found data yang ingin disimpan.</t>
        </is>
      </c>
      <c r="E798" t="inlineStr">
        <is>
          <t>YA (didukung konteks)</t>
        </is>
      </c>
    </row>
    <row r="799">
      <c r="A799" t="n">
        <v>68</v>
      </c>
      <c r="B799" t="inlineStr">
        <is>
          <t>A</t>
        </is>
      </c>
      <c r="C799" t="n">
        <v>4</v>
      </c>
      <c r="D799" s="3" t="inlineStr">
        <is>
          <t>Search pada BST dilakukan dengan cara melakukan traversal dari root node ke arah kanan atau kiri hingga found data yang dicari.</t>
        </is>
      </c>
      <c r="E799" t="inlineStr">
        <is>
          <t>YA (didukung konteks)</t>
        </is>
      </c>
    </row>
    <row r="800">
      <c r="A800" t="n">
        <v>68</v>
      </c>
      <c r="B800" t="inlineStr">
        <is>
          <t>A</t>
        </is>
      </c>
      <c r="C800" t="n">
        <v>5</v>
      </c>
      <c r="D800" s="3" t="inlineStr">
        <is>
          <t>BST adalah sebuah tree yang setiap node memiliki maksimal dua anak, yaitu left child dan right child.</t>
        </is>
      </c>
      <c r="E800" t="inlineStr">
        <is>
          <t>YA (didukung konteks)</t>
        </is>
      </c>
    </row>
    <row r="801">
      <c r="A801" t="n">
        <v>68</v>
      </c>
      <c r="B801" t="inlineStr">
        <is>
          <t>A</t>
        </is>
      </c>
      <c r="C801" t="n">
        <v>6</v>
      </c>
      <c r="D801" s="3" t="inlineStr">
        <is>
          <t>If the key of the searched data is greater than the key of the current node, move to the right child.</t>
        </is>
      </c>
      <c r="E801" t="inlineStr">
        <is>
          <t>TIDAK (tidak didukung)</t>
        </is>
      </c>
    </row>
    <row r="802">
      <c r="A802" t="n">
        <v>68</v>
      </c>
      <c r="B802" t="inlineStr">
        <is>
          <t>B</t>
        </is>
      </c>
      <c r="C802" t="n">
        <v>1</v>
      </c>
      <c r="D802" s="3" t="inlineStr">
        <is>
          <t>BST adalah struktur data yang digunakan untuk menyimpan dan mengorganisasikan data secara efisien.</t>
        </is>
      </c>
      <c r="E802" t="inlineStr">
        <is>
          <t>YA (didukung konteks)</t>
        </is>
      </c>
    </row>
    <row r="803">
      <c r="A803" t="n">
        <v>68</v>
      </c>
      <c r="B803" t="inlineStr">
        <is>
          <t>B</t>
        </is>
      </c>
      <c r="C803" t="n">
        <v>2</v>
      </c>
      <c r="D803" s="3" t="inlineStr">
        <is>
          <t>Dengan demikian, BST adalah struktur data yang efektif untuk mengorganisasikan dan mencari data.</t>
        </is>
      </c>
      <c r="E803" t="inlineStr">
        <is>
          <t>YA (didukung konteks)</t>
        </is>
      </c>
    </row>
    <row r="804">
      <c r="A804" t="n">
        <v>68</v>
      </c>
      <c r="B804" t="inlineStr">
        <is>
          <t>B</t>
        </is>
      </c>
      <c r="C804" t="n">
        <v>3</v>
      </c>
      <c r="D804" s="3" t="inlineStr">
        <is>
          <t>Iya, Binary Search Tree (BST) adalah materi yang dipelajari di Computational Theory (CT).</t>
        </is>
      </c>
      <c r="E804" t="inlineStr">
        <is>
          <t>TIDAK (tidak didukung)</t>
        </is>
      </c>
    </row>
    <row r="805">
      <c r="A805" t="n">
        <v>68</v>
      </c>
      <c r="B805" t="inlineStr">
        <is>
          <t>B</t>
        </is>
      </c>
      <c r="C805" t="n">
        <v>4</v>
      </c>
      <c r="D805" s="3" t="inlineStr">
        <is>
          <t>Jika data lebih besar daripada nilai node root, maka pindahkan ke kanan (right child).</t>
        </is>
      </c>
      <c r="E805" t="inlineStr">
        <is>
          <t>TIDAK (tidak didukung)</t>
        </is>
      </c>
    </row>
    <row r="806">
      <c r="A806" t="n">
        <v>68</v>
      </c>
      <c r="B806" t="inlineStr">
        <is>
          <t>B</t>
        </is>
      </c>
      <c r="C806" t="n">
        <v>5</v>
      </c>
      <c r="D806" s="3" t="inlineStr">
        <is>
          <t>Jika data lebih kecil daripada nilai node root, maka pindahkan ke kiri (left child).</t>
        </is>
      </c>
      <c r="E806" t="inlineStr">
        <is>
          <t>TIDAK (tidak didukung)</t>
        </is>
      </c>
    </row>
    <row r="807">
      <c r="A807" t="n">
        <v>68</v>
      </c>
      <c r="B807" t="inlineStr">
        <is>
          <t>B</t>
        </is>
      </c>
      <c r="C807" t="n">
        <v>6</v>
      </c>
      <c r="D807" s="3" t="inlineStr">
        <is>
          <t>Node kanan dari 6 tidak ada, maka buat node baru dan taruh di tempat yang sesuai.</t>
        </is>
      </c>
      <c r="E807" t="inlineStr">
        <is>
          <t>YA (didukung konteks)</t>
        </is>
      </c>
    </row>
    <row r="808">
      <c r="A808" t="n">
        <v>69</v>
      </c>
      <c r="B808" t="inlineStr">
        <is>
          <t>A</t>
        </is>
      </c>
      <c r="C808" t="n">
        <v>1</v>
      </c>
      <c r="D808" s="3" t="inlineStr">
        <is>
          <t>Sebagai tutor Computational Thinking untuk mahasiswa universitas di Indonesia, saya akan menjawab pertanyaan mahasiswa tentang kompleksitas waktu dari tiga pseudocode berikut:</t>
        </is>
      </c>
      <c r="E808" t="inlineStr">
        <is>
          <t>YA (didukung konteks)</t>
        </is>
      </c>
    </row>
    <row r="809">
      <c r="A809" t="n">
        <v>69</v>
      </c>
      <c r="B809" t="inlineStr">
        <is>
          <t>A</t>
        </is>
      </c>
      <c r="C809" t="n">
        <v>2</v>
      </c>
      <c r="D809" s="3" t="inlineStr">
        <is>
          <t>c) for i=1 to n: for j=1 to n: print(i+j) -&gt; O(n²) karena terdapat dua loop yang berjalan dalam waktu kompleksitas O(n), sehingga total komplexitasnya adalah O(n × n) = O(n²).</t>
        </is>
      </c>
      <c r="E809" t="inlineStr">
        <is>
          <t>YA (didukung konteks)</t>
        </is>
      </c>
    </row>
    <row r="810">
      <c r="A810" t="n">
        <v>69</v>
      </c>
      <c r="B810" t="inlineStr">
        <is>
          <t>A</t>
        </is>
      </c>
      <c r="C810" t="n">
        <v>3</v>
      </c>
      <c r="D810" s="3" t="inlineStr">
        <is>
          <t>b) for i=1 to n: print(arr[i]) -&gt; O(n) karena loop yang iteratif sebanyak n kali, setiap iterasi melakukan operasi print yang membutuhkan waktu konstan.</t>
        </is>
      </c>
      <c r="E810" t="inlineStr">
        <is>
          <t>YA (didukung konteks)</t>
        </is>
      </c>
    </row>
    <row r="811">
      <c r="A811" t="n">
        <v>69</v>
      </c>
      <c r="B811" t="inlineStr">
        <is>
          <t>A</t>
        </is>
      </c>
      <c r="C811" t="n">
        <v>4</v>
      </c>
      <c r="D811" s="3" t="inlineStr">
        <is>
          <t>a) x = arr[5] -&gt; O(1) karena akses langsung ke indeks 5 dalam array, hanya butuh satu operasi konstan.</t>
        </is>
      </c>
      <c r="E811" t="inlineStr">
        <is>
          <t>YA (didukung konteks)</t>
        </is>
      </c>
    </row>
    <row r="812">
      <c r="A812" t="n">
        <v>69</v>
      </c>
      <c r="B812" t="inlineStr">
        <is>
          <t>A</t>
        </is>
      </c>
      <c r="C812" t="n">
        <v>5</v>
      </c>
      <c r="D812" s="3" t="inlineStr">
        <is>
          <t>Saya setuju dengan jawaban mahasiswa, yaitu a=O(1), b=O(n), dan c=O(n²).</t>
        </is>
      </c>
      <c r="E812" t="inlineStr">
        <is>
          <t>YA (didukung konteks)</t>
        </is>
      </c>
    </row>
    <row r="813">
      <c r="A813" t="n">
        <v>69</v>
      </c>
      <c r="B813" t="inlineStr">
        <is>
          <t>B</t>
        </is>
      </c>
      <c r="C813" t="n">
        <v>1</v>
      </c>
      <c r="D813" s="3" t="inlineStr">
        <is>
          <t>c) for i=1 to n: for j=1 to n: print(i+j) memiliki kompleksitas waktu O(n²) karena terdapat dua perulangan yang berurutan, masing-masing dilakukan sebanyak n kali.</t>
        </is>
      </c>
      <c r="E813" t="inlineStr">
        <is>
          <t>YA (didukung konteks)</t>
        </is>
      </c>
    </row>
    <row r="814">
      <c r="A814" t="n">
        <v>69</v>
      </c>
      <c r="B814" t="inlineStr">
        <is>
          <t>B</t>
        </is>
      </c>
      <c r="C814" t="n">
        <v>2</v>
      </c>
      <c r="D814" s="3" t="inlineStr">
        <is>
          <t>b) for i=1 to n: print(arr[i]) memiliki kompleksitas waktu O(n) karena perulangan dilakukan sebanyak n kali, dan setiap iterasi memiliki komplitas waktu konstan.</t>
        </is>
      </c>
      <c r="E814" t="inlineStr">
        <is>
          <t>YA (didukung konteks)</t>
        </is>
      </c>
    </row>
    <row r="815">
      <c r="A815" t="n">
        <v>69</v>
      </c>
      <c r="B815" t="inlineStr">
        <is>
          <t>B</t>
        </is>
      </c>
      <c r="C815" t="n">
        <v>3</v>
      </c>
      <c r="D815" s="3" t="inlineStr">
        <is>
          <t>a) x = arr[5] memiliki kompleksitas waktu O(1) karena hanya mengakses elemen array di index ke-5, tidak tergantung pada ukuran array.</t>
        </is>
      </c>
      <c r="E815" t="inlineStr">
        <is>
          <t>YA (didukung konteks)</t>
        </is>
      </c>
    </row>
    <row r="816">
      <c r="A816" t="n">
        <v>69</v>
      </c>
      <c r="B816" t="inlineStr">
        <is>
          <t>B</t>
        </is>
      </c>
      <c r="C816" t="n">
        <v>4</v>
      </c>
      <c r="D816" s="3" t="inlineStr">
        <is>
          <t>Jadi, kompleksitas waktu total adalah n × n = n².</t>
        </is>
      </c>
      <c r="E816" t="inlineStr">
        <is>
          <t>YA (didukung konteks)</t>
        </is>
      </c>
    </row>
    <row r="817">
      <c r="A817" t="n">
        <v>70</v>
      </c>
      <c r="B817" t="inlineStr">
        <is>
          <t>A</t>
        </is>
      </c>
      <c r="C817" t="n">
        <v>1</v>
      </c>
      <c r="D817" s="3" t="inlineStr">
        <is>
          <t>Mahasiswa bertanya, "Kenapa n-nya dibuang?" dalam menentukan kompleksitas waktu program yang memiliki nested loop O(n²) dan satu loop biasa O(n) yang berjalan setelahnya.</t>
        </is>
      </c>
      <c r="E817" t="inlineStr">
        <is>
          <t>YA (didukung konteks)</t>
        </is>
      </c>
    </row>
    <row r="818">
      <c r="A818" t="n">
        <v>70</v>
      </c>
      <c r="B818" t="inlineStr">
        <is>
          <t>A</t>
        </is>
      </c>
      <c r="C818" t="n">
        <v>2</v>
      </c>
      <c r="D818" s="3" t="inlineStr">
        <is>
          <t>Karena itu, dalam menentukan kompleksitas waktu program, kita harus memperhatikan jumlah iterasi loop luar dan dalam untuk mendapatkan nilai yang tepat.</t>
        </is>
      </c>
      <c r="E818" t="inlineStr">
        <is>
          <t>YA (didukung konteks)</t>
        </is>
      </c>
    </row>
    <row r="819">
      <c r="A819" t="n">
        <v>70</v>
      </c>
      <c r="B819" t="inlineStr">
        <is>
          <t>A</t>
        </is>
      </c>
      <c r="C819" t="n">
        <v>3</v>
      </c>
      <c r="D819" s="3" t="inlineStr">
        <is>
          <t>Jika kita memiliki m baris dan n kolom, maka jumlah operasi yang diperlukan adalah m × n, sehingga kompleksitas waktu totalnya adalah O(m × n).</t>
        </is>
      </c>
      <c r="E819" t="inlineStr">
        <is>
          <t>YA (didukung konteks)</t>
        </is>
      </c>
    </row>
    <row r="820">
      <c r="A820" t="n">
        <v>70</v>
      </c>
      <c r="B820" t="inlineStr">
        <is>
          <t>A</t>
        </is>
      </c>
      <c r="C820" t="n">
        <v>4</v>
      </c>
      <c r="D820" s="3" t="inlineStr">
        <is>
          <t>Dalam contoh nested loop, jumlah operasi yang diperlukan untuk mencetak kotak bintang 4 baris × 5 kolom adalah 4 × 5 = 20 operasi.</t>
        </is>
      </c>
      <c r="E820" t="inlineStr">
        <is>
          <t>TIDAK (tidak didukung)</t>
        </is>
      </c>
    </row>
    <row r="821">
      <c r="A821" t="n">
        <v>70</v>
      </c>
      <c r="B821" t="inlineStr">
        <is>
          <t>A</t>
        </is>
      </c>
      <c r="C821" t="n">
        <v>5</v>
      </c>
      <c r="D821" s="3" t="inlineStr">
        <is>
          <t>Hal ini karena loop biasa O(n) akan dijalankan sebanyak n kali, sehingga kontribusi pada kompleksitas waktu total.</t>
        </is>
      </c>
      <c r="E821" t="inlineStr">
        <is>
          <t>YA (didukung konteks)</t>
        </is>
      </c>
    </row>
    <row r="822">
      <c r="A822" t="n">
        <v>70</v>
      </c>
      <c r="B822" t="inlineStr">
        <is>
          <t>A</t>
        </is>
      </c>
      <c r="C822" t="n">
        <v>6</v>
      </c>
      <c r="D822" s="3" t="inlineStr">
        <is>
          <t>Jawabannya adalah bahwa kompleksitas waktu total harus diperhitungkan sebagai O(n²), tidak hanya O(n²+n).</t>
        </is>
      </c>
      <c r="E822" t="inlineStr">
        <is>
          <t>TIDAK (tidak didukung)</t>
        </is>
      </c>
    </row>
    <row r="823">
      <c r="A823" t="n">
        <v>70</v>
      </c>
      <c r="B823" t="inlineStr">
        <is>
          <t>B</t>
        </is>
      </c>
      <c r="C823" t="n">
        <v>1</v>
      </c>
      <c r="D823" s="3" t="inlineStr">
        <is>
          <t>Jika loop biasa O(n) tidak berpengaruh signifikan terhadap kompleksitas overall, maka kita dapat mengabaikan term tersebut dan tetap tuliskan kompleksitas overall sebagai O(n²).</t>
        </is>
      </c>
      <c r="E823" t="inlineStr">
        <is>
          <t>YA (didukung konteks)</t>
        </is>
      </c>
    </row>
    <row r="824">
      <c r="A824" t="n">
        <v>70</v>
      </c>
      <c r="B824" t="inlineStr">
        <is>
          <t>B</t>
        </is>
      </c>
      <c r="C824" t="n">
        <v>2</v>
      </c>
      <c r="D824" s="3" t="inlineStr">
        <is>
          <t>Namun, alasan tidak karena n-nya dibuang, tapi karena loop biasa O(n) tidak berpengaruh terhadap kompleksitas overall yang ditentukan oleh loop nested O(n²).</t>
        </is>
      </c>
      <c r="E824" t="inlineStr">
        <is>
          <t>YA (didukung konteks)</t>
        </is>
      </c>
    </row>
    <row r="825">
      <c r="A825" t="n">
        <v>70</v>
      </c>
      <c r="B825" t="inlineStr">
        <is>
          <t>B</t>
        </is>
      </c>
      <c r="C825" t="n">
        <v>3</v>
      </c>
      <c r="D825" s="3" t="inlineStr">
        <is>
          <t>Loop ini tidak bergantung pada ukuran input, sehingga kompleksitas overallnya masih tetap O(n²), karena loop nested memainkan peranan utama.</t>
        </is>
      </c>
      <c r="E825" t="inlineStr">
        <is>
          <t>YA (didukung konteks)</t>
        </is>
      </c>
    </row>
    <row r="826">
      <c r="A826" t="n">
        <v>70</v>
      </c>
      <c r="B826" t="inlineStr">
        <is>
          <t>B</t>
        </is>
      </c>
      <c r="C826" t="n">
        <v>4</v>
      </c>
      <c r="D826" s="3" t="inlineStr">
        <is>
          <t>Dalam notasi Big O, kita hanya memperhatikan term yang memiliki pengaruh terbesar pada kompleksitas algoritma.</t>
        </is>
      </c>
      <c r="E826" t="inlineStr">
        <is>
          <t>YA (didukung konteks)</t>
        </is>
      </c>
    </row>
    <row r="827">
      <c r="A827" t="n">
        <v>70</v>
      </c>
      <c r="B827" t="inlineStr">
        <is>
          <t>B</t>
        </is>
      </c>
      <c r="C827" t="n">
        <v>5</v>
      </c>
      <c r="D827" s="3" t="inlineStr">
        <is>
          <t>Dosen Anda benar-benar menuliskan kompleksitas overall Anda sebagai O(n²) dan bukan O(n²+n).</t>
        </is>
      </c>
      <c r="E827" t="inlineStr">
        <is>
          <t>YA (didukung konteks)</t>
        </is>
      </c>
    </row>
    <row r="828">
      <c r="A828" t="n">
        <v>70</v>
      </c>
      <c r="B828" t="inlineStr">
        <is>
          <t>B</t>
        </is>
      </c>
      <c r="C828" t="n">
        <v>6</v>
      </c>
      <c r="D828" s="3" t="inlineStr">
        <is>
          <t>Notasi Big O digunakan untuk menuliskan kompleksitas algoritma terhadap ukuran input.</t>
        </is>
      </c>
      <c r="E828" t="inlineStr">
        <is>
          <t>YA (didukung konteks)</t>
        </is>
      </c>
    </row>
    <row r="829">
      <c r="A829" t="n">
        <v>71</v>
      </c>
      <c r="B829" t="inlineStr">
        <is>
          <t>A</t>
        </is>
      </c>
      <c r="C829" t="n">
        <v>1</v>
      </c>
      <c r="D829" s="3" t="inlineStr">
        <is>
          <t>Kemudian, dalam loop tersebut terdapat loop while yang mempunyai kompleksitas waktu O(log n) (karena j mulai dari 1 dan berkembang menjadi n dengan cara berulang kali dikalikan dua), sehingga overall complexity adalah O(</t>
        </is>
      </c>
      <c r="E829" t="inlineStr">
        <is>
          <t>YA (didukung konteks)</t>
        </is>
      </c>
    </row>
    <row r="830">
      <c r="A830" t="n">
        <v>71</v>
      </c>
      <c r="B830" t="inlineStr">
        <is>
          <t>A</t>
        </is>
      </c>
      <c r="C830" t="n">
        <v>2</v>
      </c>
      <c r="D830" s="3" t="inlineStr">
        <is>
          <t>Namun, perlu diingat bahwa dalam Big-O notation, kita hanya memperhatikan operasi yang memiliki pengaruh terbesar pada kompleksitas waktu.</t>
        </is>
      </c>
      <c r="E830" t="inlineStr">
        <is>
          <t>YA (didukung konteks)</t>
        </is>
      </c>
    </row>
    <row r="831">
      <c r="A831" t="n">
        <v>71</v>
      </c>
      <c r="B831" t="inlineStr">
        <is>
          <t>A</t>
        </is>
      </c>
      <c r="C831" t="n">
        <v>3</v>
      </c>
      <c r="D831" s="3" t="inlineStr">
        <is>
          <t>Dalam pseudocode, `for i=1 to n do` memiliki kompleksitas waktu O(n), karena jumlah operasi bertumbuh sebanding dengan nilai n.</t>
        </is>
      </c>
      <c r="E831" t="inlineStr">
        <is>
          <t>YA (didukung konteks)</t>
        </is>
      </c>
    </row>
    <row r="832">
      <c r="A832" t="n">
        <v>71</v>
      </c>
      <c r="B832" t="inlineStr">
        <is>
          <t>A</t>
        </is>
      </c>
      <c r="C832" t="n">
        <v>4</v>
      </c>
      <c r="D832" s="3" t="inlineStr">
        <is>
          <t>Dalam kasus ini, operasi print(i,j) berjumlah n^2, sehingga overall complexity yang paling signifikan adalah O(n^2).</t>
        </is>
      </c>
      <c r="E832" t="inlineStr">
        <is>
          <t>YA (didukung konteks)</t>
        </is>
      </c>
    </row>
    <row r="833">
      <c r="A833" t="n">
        <v>71</v>
      </c>
      <c r="B833" t="inlineStr">
        <is>
          <t>A</t>
        </is>
      </c>
      <c r="C833" t="n">
        <v>5</v>
      </c>
      <c r="D833" s="3" t="inlineStr">
        <is>
          <t>Saya berharap ini menjawab pertanyaan Anda!</t>
        </is>
      </c>
      <c r="E833" t="inlineStr">
        <is>
          <t>YA (didukung konteks)</t>
        </is>
      </c>
    </row>
    <row r="834">
      <c r="A834" t="n">
        <v>71</v>
      </c>
      <c r="B834" t="inlineStr">
        <is>
          <t>B</t>
        </is>
      </c>
      <c r="C834" t="n">
        <v>1</v>
      </c>
      <c r="D834" s="3" t="inlineStr">
        <is>
          <t>Oleh karena itu, total complexity pseudocode tersebut adalah O(n × log2(n)) atau dapat dikurangi menjadi O(n × log n) untuk lebih sederhana.</t>
        </is>
      </c>
      <c r="E834" t="inlineStr">
        <is>
          <t>YA (didukung konteks)</t>
        </is>
      </c>
    </row>
    <row r="835">
      <c r="A835" t="n">
        <v>71</v>
      </c>
      <c r="B835" t="inlineStr">
        <is>
          <t>B</t>
        </is>
      </c>
      <c r="C835" t="n">
        <v>2</v>
      </c>
      <c r="D835" s="3" t="inlineStr">
        <is>
          <t>Jawabannya adalah log2(n), karena setiap iterasi j dilakukan dengan meningkatkan nilai j sebanyak 2.</t>
        </is>
      </c>
      <c r="E835" t="inlineStr">
        <is>
          <t>TIDAK (tidak didukung)</t>
        </is>
      </c>
    </row>
    <row r="836">
      <c r="A836" t="n">
        <v>71</v>
      </c>
      <c r="B836" t="inlineStr">
        <is>
          <t>B</t>
        </is>
      </c>
      <c r="C836" t="n">
        <v>3</v>
      </c>
      <c r="D836" s="3" t="inlineStr">
        <is>
          <t>Alasan itu adalah karena while loop hanya berjalan logaritma dari n, bukan n itself.</t>
        </is>
      </c>
      <c r="E836" t="inlineStr">
        <is>
          <t>YA (didukung konteks)</t>
        </is>
      </c>
    </row>
    <row r="837">
      <c r="A837" t="n">
        <v>71</v>
      </c>
      <c r="B837" t="inlineStr">
        <is>
          <t>B</t>
        </is>
      </c>
      <c r="C837" t="n">
        <v>4</v>
      </c>
      <c r="D837" s="3" t="inlineStr">
        <is>
          <t>Berapa banyak iterasi yang dibutuhkan untuk mencapai kondisi tersebut?</t>
        </is>
      </c>
      <c r="E837" t="inlineStr">
        <is>
          <t>YA (didukung konteks)</t>
        </is>
      </c>
    </row>
    <row r="838">
      <c r="A838" t="n">
        <v>71</v>
      </c>
      <c r="B838" t="inlineStr">
        <is>
          <t>B</t>
        </is>
      </c>
      <c r="C838" t="n">
        <v>5</v>
      </c>
      <c r="D838" s="3" t="inlineStr">
        <is>
          <t>Dalam pseudocode tersebut, while loop akan berhenti ketika j ≥ n.</t>
        </is>
      </c>
      <c r="E838" t="inlineStr">
        <is>
          <t>YA (didukung konteks)</t>
        </is>
      </c>
    </row>
    <row r="839">
      <c r="A839" t="n">
        <v>71</v>
      </c>
      <c r="B839" t="inlineStr">
        <is>
          <t>B</t>
        </is>
      </c>
      <c r="C839" t="n">
        <v>6</v>
      </c>
      <c r="D839" s="3" t="inlineStr">
        <is>
          <t>Pseudocode tersebut tidak sebenarnya memiliki complexity O(n²).</t>
        </is>
      </c>
      <c r="E839" t="inlineStr">
        <is>
          <t>YA (didukung konteks)</t>
        </is>
      </c>
    </row>
    <row r="840">
      <c r="A840" t="n">
        <v>72</v>
      </c>
      <c r="B840" t="inlineStr">
        <is>
          <t>A</t>
        </is>
      </c>
      <c r="C840" t="n">
        <v>1</v>
      </c>
      <c r="D840" s="3" t="inlineStr">
        <is>
          <t>Algoritme ini bekerja dengan cara menggabungkan bagian-bagian array yang sudah terurut menjadi satu, sehingga jumlah operasi meningkat linier dengan ukuran data.</t>
        </is>
      </c>
      <c r="E840" t="inlineStr">
        <is>
          <t>YA (didukung konteks)</t>
        </is>
      </c>
    </row>
    <row r="841">
      <c r="A841" t="n">
        <v>72</v>
      </c>
      <c r="B841" t="inlineStr">
        <is>
          <t>A</t>
        </is>
      </c>
      <c r="C841" t="n">
        <v>2</v>
      </c>
      <c r="D841" s="3" t="inlineStr">
        <is>
          <t>Dalam kasus Anda, merge sort akan memerlukan waktu yang relatif singkat untuk menyelesaikan tugas, tidak seperti bubble sort.</t>
        </is>
      </c>
      <c r="E841" t="inlineStr">
        <is>
          <t>YA (didukung konteks)</t>
        </is>
      </c>
    </row>
    <row r="842">
      <c r="A842" t="n">
        <v>72</v>
      </c>
      <c r="B842" t="inlineStr">
        <is>
          <t>A</t>
        </is>
      </c>
      <c r="C842" t="n">
        <v>3</v>
      </c>
      <c r="D842" s="3" t="inlineStr">
        <is>
          <t>Bubble sort memiliki kompleksitas O(n^2), yang berarti jumlah operasi meningkat pesat seiring dengan ukuran data (n).</t>
        </is>
      </c>
      <c r="E842" t="inlineStr">
        <is>
          <t>YA (didukung konteks)</t>
        </is>
      </c>
    </row>
    <row r="843">
      <c r="A843" t="n">
        <v>72</v>
      </c>
      <c r="B843" t="inlineStr">
        <is>
          <t>A</t>
        </is>
      </c>
      <c r="C843" t="n">
        <v>4</v>
      </c>
      <c r="D843" s="3" t="inlineStr">
        <is>
          <t>Dengan demikian, merge sort lebih baik untuk data besar karena memiliki kompleksitas yang lebih efisien.</t>
        </is>
      </c>
      <c r="E843" t="inlineStr">
        <is>
          <t>YA (didukung konteks)</t>
        </is>
      </c>
    </row>
    <row r="844">
      <c r="A844" t="n">
        <v>72</v>
      </c>
      <c r="B844" t="inlineStr">
        <is>
          <t>A</t>
        </is>
      </c>
      <c r="C844" t="n">
        <v>5</v>
      </c>
      <c r="D844" s="3" t="inlineStr">
        <is>
          <t>Saya paham Anda memiliki 100.000 data yang perlu diurutkan, dan Anda merasa bubble sort terasa lambat.</t>
        </is>
      </c>
      <c r="E844" t="inlineStr">
        <is>
          <t>YA (didukung konteks)</t>
        </is>
      </c>
    </row>
    <row r="845">
      <c r="A845" t="n">
        <v>72</v>
      </c>
      <c r="B845" t="inlineStr">
        <is>
          <t>A</t>
        </is>
      </c>
      <c r="C845" t="n">
        <v>6</v>
      </c>
      <c r="D845" s="3" t="inlineStr">
        <is>
          <t>Dalam kasus Anda, bubble sort akan memerlukan waktu yang lama untuk menyelesaikan tugas.</t>
        </is>
      </c>
      <c r="E845" t="inlineStr">
        <is>
          <t>YA (didukung konteks)</t>
        </is>
      </c>
    </row>
    <row r="846">
      <c r="A846" t="n">
        <v>72</v>
      </c>
      <c r="B846" t="inlineStr">
        <is>
          <t>B</t>
        </is>
      </c>
      <c r="C846" t="n">
        <v>1</v>
      </c>
      <c r="D846" s="3" t="inlineStr">
        <is>
          <t>Dalam sintesis, merge sort lebih baik untuk data besar seperti 100.000 data karena memiliki ekspektasi waktu yang lebih baik, kompleksitas yang sesuai, efisiensi memori, dan skalabilitas yang tinggi.</t>
        </is>
      </c>
      <c r="E846" t="inlineStr">
        <is>
          <t>YA (didukung konteks)</t>
        </is>
      </c>
    </row>
    <row r="847">
      <c r="A847" t="n">
        <v>72</v>
      </c>
      <c r="B847" t="inlineStr">
        <is>
          <t>B</t>
        </is>
      </c>
      <c r="C847" t="n">
        <v>2</v>
      </c>
      <c r="D847" s="3" t="inlineStr">
        <is>
          <t>**Ekspektasi waktu**: Merge sort memiliki ekspektasi waktu yang lebih baik, yaitu O(n log n), sedangkan bubble sort memiliki ekspektasi waktu yang kurang baik, yaitu O(n^2).</t>
        </is>
      </c>
      <c r="E847" t="inlineStr">
        <is>
          <t>YA (didukung konteks)</t>
        </is>
      </c>
    </row>
    <row r="848">
      <c r="A848" t="n">
        <v>72</v>
      </c>
      <c r="B848" t="inlineStr">
        <is>
          <t>B</t>
        </is>
      </c>
      <c r="C848" t="n">
        <v>3</v>
      </c>
      <c r="D848" s="3" t="inlineStr">
        <is>
          <t>**Kompleksitas**: Merge sort adalah algoritma yang lebih kompleks dibanding bubble sort, tetapi kompleksitas ini membayar dengan kinerja yang lebih baik pada data besar.</t>
        </is>
      </c>
      <c r="E848" t="inlineStr">
        <is>
          <t>YA (didukung konteks)</t>
        </is>
      </c>
    </row>
    <row r="849">
      <c r="A849" t="n">
        <v>72</v>
      </c>
      <c r="B849" t="inlineStr">
        <is>
          <t>B</t>
        </is>
      </c>
      <c r="C849" t="n">
        <v>4</v>
      </c>
      <c r="D849" s="3" t="inlineStr">
        <is>
          <t>**Efisiensi memori**: Merge sort dapat mengurutkan data tanpa perlu menyimpan semua data dalam memori sekaligus, sehingga menjadi lebih efisien dan hemat memori.</t>
        </is>
      </c>
      <c r="E849" t="inlineStr">
        <is>
          <t>YA (didukung konteks)</t>
        </is>
      </c>
    </row>
    <row r="850">
      <c r="A850" t="n">
        <v>72</v>
      </c>
      <c r="B850" t="inlineStr">
        <is>
          <t>B</t>
        </is>
      </c>
      <c r="C850" t="n">
        <v>5</v>
      </c>
      <c r="D850" s="3" t="inlineStr">
        <is>
          <t>**Scalability**: Merge sort dapat dijalankan secara efektif pada data besar karena tidak tergantung pada ukuran data yang akan diurutkan.</t>
        </is>
      </c>
      <c r="E850" t="inlineStr">
        <is>
          <t>YA (didukung konteks)</t>
        </is>
      </c>
    </row>
    <row r="851">
      <c r="A851" t="n">
        <v>72</v>
      </c>
      <c r="B851" t="inlineStr">
        <is>
          <t>B</t>
        </is>
      </c>
      <c r="C851" t="n">
        <v>6</v>
      </c>
      <c r="D851" s="3" t="inlineStr">
        <is>
          <t>Bubble sort, meskipun sederhana, dapat menjadi lambat dan kurang efektif ketika menghadapi jumlah data yang besar seperti itu.</t>
        </is>
      </c>
      <c r="E851" t="inlineStr">
        <is>
          <t>YA (didukung konteks)</t>
        </is>
      </c>
    </row>
    <row r="852">
      <c r="A852" t="n">
        <v>73</v>
      </c>
      <c r="B852" t="inlineStr">
        <is>
          <t>A</t>
        </is>
      </c>
      <c r="C852" t="n">
        <v>1</v>
      </c>
      <c r="D852" s="3" t="inlineStr">
        <is>
          <t>Contohnya, pada Algoritme A, waktu kompleksitas O(n) dan ruang kompleksitas O(1), artinya algoritme tersebut butuh hanya 2 variabel untuk menjalankan prosesnya, tidak peduli berapa besar n.</t>
        </is>
      </c>
      <c r="E852" t="inlineStr">
        <is>
          <t>TIDAK (tidak didukung)</t>
        </is>
      </c>
    </row>
    <row r="853">
      <c r="A853" t="n">
        <v>73</v>
      </c>
      <c r="B853" t="inlineStr">
        <is>
          <t>A</t>
        </is>
      </c>
      <c r="C853" t="n">
        <v>2</v>
      </c>
      <c r="D853" s="3" t="inlineStr">
        <is>
          <t>Contohnya, Algoritme D (Fibonacci iteratif dengan dua variabel) memiliki ruang kompleksitas O(1), karena hanya butuh 2 variabel untuk menjalankan prosesnya.</t>
        </is>
      </c>
      <c r="E853" t="inlineStr">
        <is>
          <t>TIDAK (tidak didukung)</t>
        </is>
      </c>
    </row>
    <row r="854">
      <c r="A854" t="n">
        <v>73</v>
      </c>
      <c r="B854" t="inlineStr">
        <is>
          <t>A</t>
        </is>
      </c>
      <c r="C854" t="n">
        <v>3</v>
      </c>
      <c r="D854" s="3" t="inlineStr">
        <is>
          <t>Space complexity (kompleksitas ruang) adalah suatu konsep yang menentukan seberapa besar memori yang dibutuhkan oleh algoritme untuk menjalankan prosesnya.</t>
        </is>
      </c>
      <c r="E854" t="inlineStr">
        <is>
          <t>YA (didukung konteks)</t>
        </is>
      </c>
    </row>
    <row r="855">
      <c r="A855" t="n">
        <v>73</v>
      </c>
      <c r="B855" t="inlineStr">
        <is>
          <t>A</t>
        </is>
      </c>
      <c r="C855" t="n">
        <v>4</v>
      </c>
      <c r="D855" s="3" t="inlineStr">
        <is>
          <t>Sebaliknya, pada Algoritme B, waktu kompleksitas O(n^2) dan ruang kompleksitas O(n), artinya algoritme tersebut butuh menyimpan semua n bilangan di array.</t>
        </is>
      </c>
      <c r="E855" t="inlineStr">
        <is>
          <t>YA (didukung konteks)</t>
        </is>
      </c>
    </row>
    <row r="856">
      <c r="A856" t="n">
        <v>73</v>
      </c>
      <c r="B856" t="inlineStr">
        <is>
          <t>A</t>
        </is>
      </c>
      <c r="C856" t="n">
        <v>5</v>
      </c>
      <c r="D856" s="3" t="inlineStr">
        <is>
          <t>Dalam analisis space complexity, kita perlu mempertimbangkan bagaimana algoritme tersebut menggunakan memori dan berapa besar memori yang dibutuhkan.</t>
        </is>
      </c>
      <c r="E856" t="inlineStr">
        <is>
          <t>YA (didukung konteks)</t>
        </is>
      </c>
    </row>
    <row r="857">
      <c r="A857" t="n">
        <v>73</v>
      </c>
      <c r="B857" t="inlineStr">
        <is>
          <t>A</t>
        </is>
      </c>
      <c r="C857" t="n">
        <v>6</v>
      </c>
      <c r="D857" s="3" t="inlineStr">
        <is>
          <t>Dalam analisis space complexity, kita ingin mengetahui berapa besar memori yang dibutuhkan dan bagaimana memori tersebut digunakan.</t>
        </is>
      </c>
      <c r="E857" t="inlineStr">
        <is>
          <t>YA (didukung konteks)</t>
        </is>
      </c>
    </row>
    <row r="858">
      <c r="A858" t="n">
        <v>73</v>
      </c>
      <c r="B858" t="inlineStr">
        <is>
          <t>B</t>
        </is>
      </c>
      <c r="C858" t="n">
        <v>1</v>
      </c>
      <c r="D858" s="3" t="inlineStr">
        <is>
          <t>Jika variabel atau struktur data memiliki ukuran dinamis (misalnya, array dengan panjang yang dapat berubah), maka perhitungan space complexity akan menjadi lebih rumit.</t>
        </is>
      </c>
      <c r="E858" t="inlineStr">
        <is>
          <t>YA (didukung konteks)</t>
        </is>
      </c>
    </row>
    <row r="859">
      <c r="A859" t="n">
        <v>73</v>
      </c>
      <c r="B859" t="inlineStr">
        <is>
          <t>B</t>
        </is>
      </c>
      <c r="C859" t="n">
        <v>2</v>
      </c>
      <c r="D859" s="3" t="inlineStr">
        <is>
          <t>* Algoritme yang hanya menggunakan beberapa variabel numerik lokal tidak memerlukan banyak memori, sehingga space complexity-nya adalah O(1), artinya konstan.</t>
        </is>
      </c>
      <c r="E859" t="inlineStr">
        <is>
          <t>YA (didukung konteks)</t>
        </is>
      </c>
    </row>
    <row r="860">
      <c r="A860" t="n">
        <v>73</v>
      </c>
      <c r="B860" t="inlineStr">
        <is>
          <t>B</t>
        </is>
      </c>
      <c r="C860" t="n">
        <v>3</v>
      </c>
      <c r="D860" s="3" t="inlineStr">
        <is>
          <t>Oleh karena itu, jika algoritme memiliki O(1) space complexity, maka itu tidak berarti bahwa algoritme akan selalu menggunakan jumlah memori yang konstan.</t>
        </is>
      </c>
      <c r="E860" t="inlineStr">
        <is>
          <t>YA (didukung konteks)</t>
        </is>
      </c>
    </row>
    <row r="861">
      <c r="A861" t="n">
        <v>73</v>
      </c>
      <c r="B861" t="inlineStr">
        <is>
          <t>B</t>
        </is>
      </c>
      <c r="C861" t="n">
        <v>4</v>
      </c>
      <c r="D861" s="3" t="inlineStr">
        <is>
          <t>Contoh algoritme yang memiliki O(1) space complexity adalah fungsi sederhana seperti `x = x + 1`, yang hanya menggunakan beberapa variabel lokal.</t>
        </is>
      </c>
      <c r="E861" t="inlineStr">
        <is>
          <t>YA (didukung konteks)</t>
        </is>
      </c>
    </row>
    <row r="862">
      <c r="A862" t="n">
        <v>73</v>
      </c>
      <c r="B862" t="inlineStr">
        <is>
          <t>B</t>
        </is>
      </c>
      <c r="C862" t="n">
        <v>5</v>
      </c>
      <c r="D862" s="3" t="inlineStr">
        <is>
          <t>* Algoritme yang menggunakan array dengan panjang yang dapat berubah maka space complexity-nya adalah O(n), dimana n adalah panjang array.</t>
        </is>
      </c>
      <c r="E862" t="inlineStr">
        <is>
          <t>YA (didukung konteks)</t>
        </is>
      </c>
    </row>
    <row r="863">
      <c r="A863" t="n">
        <v>73</v>
      </c>
      <c r="B863" t="inlineStr">
        <is>
          <t>B</t>
        </is>
      </c>
      <c r="C863" t="n">
        <v>6</v>
      </c>
      <c r="D863" s="3" t="inlineStr">
        <is>
          <t>Space complexity, atau kompleksitas ruang, adalah ukuran jumlah memori yang diperlukan oleh suatu algoritme untuk menjalankan prosesnya.</t>
        </is>
      </c>
      <c r="E863" t="inlineStr">
        <is>
          <t>YA (didukung konteks)</t>
        </is>
      </c>
    </row>
    <row r="864">
      <c r="A864" t="n">
        <v>74</v>
      </c>
      <c r="B864" t="inlineStr">
        <is>
          <t>A</t>
        </is>
      </c>
      <c r="C864" t="n">
        <v>1</v>
      </c>
      <c r="D864" s="3" t="inlineStr">
        <is>
          <t>In Python list, the append operation may not always be O(1) due to the use of "lazy allocation" or "amortized analysis." This approach allows for efficient memory management and reduces the need for frequent reallocation</t>
        </is>
      </c>
      <c r="E864" t="inlineStr">
        <is>
          <t>YA (didukung konteks)</t>
        </is>
      </c>
    </row>
    <row r="865">
      <c r="A865" t="n">
        <v>74</v>
      </c>
      <c r="B865" t="inlineStr">
        <is>
          <t>A</t>
        </is>
      </c>
      <c r="C865" t="n">
        <v>2</v>
      </c>
      <c r="D865" s="3" t="inlineStr">
        <is>
          <t>Instead, it uses a technique called "amortized analysis" or "lazy allocation." This means that when you append an element, Python initially allocates space for the new element in the existing array.</t>
        </is>
      </c>
      <c r="E865" t="inlineStr">
        <is>
          <t>TIDAK (tidak didukung)</t>
        </is>
      </c>
    </row>
    <row r="866">
      <c r="A866" t="n">
        <v>74</v>
      </c>
      <c r="B866" t="inlineStr">
        <is>
          <t>A</t>
        </is>
      </c>
      <c r="C866" t="n">
        <v>3</v>
      </c>
      <c r="D866" s="3" t="inlineStr">
        <is>
          <t>Based on the provided material, I will explain the concept of amortized complexity and why append operation in Python list is not always O(1) using an analogy from daily life.</t>
        </is>
      </c>
      <c r="E866" t="inlineStr">
        <is>
          <t>TIDAK (tidak didukung)</t>
        </is>
      </c>
    </row>
    <row r="867">
      <c r="A867" t="n">
        <v>74</v>
      </c>
      <c r="B867" t="inlineStr">
        <is>
          <t>A</t>
        </is>
      </c>
      <c r="C867" t="n">
        <v>4</v>
      </c>
      <c r="D867" s="3" t="inlineStr">
        <is>
          <t>In conclusion, amortized complexity is a concept used to analyze the average time spent on a sequence of operations rather than just the time taken for a single operation.</t>
        </is>
      </c>
      <c r="E867" t="inlineStr">
        <is>
          <t>TIDAK (tidak didukung)</t>
        </is>
      </c>
    </row>
    <row r="868">
      <c r="A868" t="n">
        <v>74</v>
      </c>
      <c r="B868" t="inlineStr">
        <is>
          <t>A</t>
        </is>
      </c>
      <c r="C868" t="n">
        <v>5</v>
      </c>
      <c r="D868" s="3" t="inlineStr">
        <is>
          <t>In other words, it's like looking at the total cost of processing employee data over a certain period rather than just the cost of processing one piece of data.</t>
        </is>
      </c>
      <c r="E868" t="inlineStr">
        <is>
          <t>YA (didukung konteks)</t>
        </is>
      </c>
    </row>
    <row r="869">
      <c r="A869" t="n">
        <v>74</v>
      </c>
      <c r="B869" t="inlineStr">
        <is>
          <t>A</t>
        </is>
      </c>
      <c r="C869" t="n">
        <v>6</v>
      </c>
      <c r="D869" s="3" t="inlineStr">
        <is>
          <t>When the HR department needs to process employee data, they don't need to know every detail about each employee, such as their skills or personal preferences.</t>
        </is>
      </c>
      <c r="E869" t="inlineStr">
        <is>
          <t>YA (didukung konteks)</t>
        </is>
      </c>
    </row>
    <row r="870">
      <c r="A870" t="n">
        <v>74</v>
      </c>
      <c r="B870" t="inlineStr">
        <is>
          <t>B</t>
        </is>
      </c>
      <c r="C870" t="n">
        <v>1</v>
      </c>
      <c r="D870" s="3" t="inlineStr">
        <is>
          <t>Dalam sintesis, amortized complexity mengambil akun bahwa beberapa operasi mungkin memerlukan waktu yang lebih lama untuk melihat efeknya, namun rata-rata waktu yang dibutuhkan masih tetap menjadi O(1).</t>
        </is>
      </c>
      <c r="E870" t="inlineStr">
        <is>
          <t>TIDAK (tidak didukung)</t>
        </is>
      </c>
    </row>
    <row r="871">
      <c r="A871" t="n">
        <v>74</v>
      </c>
      <c r="B871" t="inlineStr">
        <is>
          <t>B</t>
        </is>
      </c>
      <c r="C871" t="n">
        <v>2</v>
      </c>
      <c r="D871" s="3" t="inlineStr">
        <is>
          <t>Namun, dalam implementasi Python list (disebut sebagai "dynamic arrays"), yang menggunakan alokasi dinamik untuk membagi dan menggabungkan elemen, kompleksitas append tidak selalu O(1).</t>
        </is>
      </c>
      <c r="E871" t="inlineStr">
        <is>
          <t>YA (didukung konteks)</t>
        </is>
      </c>
    </row>
    <row r="872">
      <c r="A872" t="n">
        <v>74</v>
      </c>
      <c r="B872" t="inlineStr">
        <is>
          <t>B</t>
        </is>
      </c>
      <c r="C872" t="n">
        <v>3</v>
      </c>
      <c r="D872" s="3" t="inlineStr">
        <is>
          <t>Dengan demikian, rata-rata kompleksitas (amortized complexity) untuk beberapa operasi append adalah O(1), karena alokasi pertama dihitung sebagai bagian dari kompleksitas keseluruhan.</t>
        </is>
      </c>
      <c r="E872" t="inlineStr">
        <is>
          <t>TIDAK (tidak didukung)</t>
        </is>
      </c>
    </row>
    <row r="873">
      <c r="A873" t="n">
        <v>74</v>
      </c>
      <c r="B873" t="inlineStr">
        <is>
          <t>B</t>
        </is>
      </c>
      <c r="C873" t="n">
        <v>4</v>
      </c>
      <c r="D873" s="3" t="inlineStr">
        <is>
          <t>Dalam teorai kompleksitas, "amortized" refers to the average-case time complexity of a sequence of operations on an object, rather than the time complexity of a single operation.</t>
        </is>
      </c>
      <c r="E873" t="inlineStr">
        <is>
          <t>YA (didukung konteks)</t>
        </is>
      </c>
    </row>
    <row r="874">
      <c r="A874" t="n">
        <v>74</v>
      </c>
      <c r="B874" t="inlineStr">
        <is>
          <t>B</t>
        </is>
      </c>
      <c r="C874" t="n">
        <v>5</v>
      </c>
      <c r="D874" s="3" t="inlineStr">
        <is>
          <t>Namun, setelah alokasi pertama, append berikutnya hanya perlu menambahkan referensi ke elemen baru pada akhir list, sehingga kompleksitasnya menjadi O(1).</t>
        </is>
      </c>
      <c r="E874" t="inlineStr">
        <is>
          <t>TIDAK (tidak didukung)</t>
        </is>
      </c>
    </row>
    <row r="875">
      <c r="A875" t="n">
        <v>74</v>
      </c>
      <c r="B875" t="inlineStr">
        <is>
          <t>B</t>
        </is>
      </c>
      <c r="C875" t="n">
        <v>6</v>
      </c>
      <c r="D875" s="3" t="inlineStr">
        <is>
          <t>Ketika Anda melakukan append pertama kali ke sebuah list yang kosong, Python perlu membuat alokasi baru untuk menyimpan elemen tersebut.</t>
        </is>
      </c>
      <c r="E875" t="inlineStr">
        <is>
          <t>YA (didukung konteks)</t>
        </is>
      </c>
    </row>
    <row r="876">
      <c r="A876" t="n">
        <v>75</v>
      </c>
      <c r="B876" t="inlineStr">
        <is>
          <t>A</t>
        </is>
      </c>
      <c r="C876" t="n">
        <v>1</v>
      </c>
      <c r="D876" s="3" t="inlineStr">
        <is>
          <t>In conclusion, computational thinking is all about breaking down complex problems into smaller, more manageable parts and using efficient algorithms to solve them.</t>
        </is>
      </c>
      <c r="E876" t="inlineStr">
        <is>
          <t>YA (didukung konteks)</t>
        </is>
      </c>
    </row>
    <row r="877">
      <c r="A877" t="n">
        <v>75</v>
      </c>
      <c r="B877" t="inlineStr">
        <is>
          <t>A</t>
        </is>
      </c>
      <c r="C877" t="n">
        <v>2</v>
      </c>
      <c r="D877" s="3" t="inlineStr">
        <is>
          <t>This decomposition approach can significantly reduce the time complexity of the algorithm, making it more efficient for large inputs.</t>
        </is>
      </c>
      <c r="E877" t="inlineStr">
        <is>
          <t>YA (didukung konteks)</t>
        </is>
      </c>
    </row>
    <row r="878">
      <c r="A878" t="n">
        <v>75</v>
      </c>
      <c r="B878" t="inlineStr">
        <is>
          <t>A</t>
        </is>
      </c>
      <c r="C878" t="n">
        <v>3</v>
      </c>
      <c r="D878" s="3" t="inlineStr">
        <is>
          <t>In the context of optimization, decomposition can help reduce the complexity of an algorithm and make it more efficient.</t>
        </is>
      </c>
      <c r="E878" t="inlineStr">
        <is>
          <t>YA (didukung konteks)</t>
        </is>
      </c>
    </row>
    <row r="879">
      <c r="A879" t="n">
        <v>75</v>
      </c>
      <c r="B879" t="inlineStr">
        <is>
          <t>A</t>
        </is>
      </c>
      <c r="C879" t="n">
        <v>4</v>
      </c>
      <c r="D879" s="3" t="inlineStr">
        <is>
          <t>By mastering decomposition and big O notation, we can develop fast and scalable solutions that can handle large inputs.</t>
        </is>
      </c>
      <c r="E879" t="inlineStr">
        <is>
          <t>YA (didukung konteks)</t>
        </is>
      </c>
    </row>
    <row r="880">
      <c r="A880" t="n">
        <v>75</v>
      </c>
      <c r="B880" t="inlineStr">
        <is>
          <t>A</t>
        </is>
      </c>
      <c r="C880" t="n">
        <v>5</v>
      </c>
      <c r="D880" s="3" t="inlineStr">
        <is>
          <t>Firstly, let's trace the binary search for finding the number 25 in the array [3, 7, 12, 18, 25, 31, 44, 56, 67, 89].</t>
        </is>
      </c>
      <c r="E880" t="inlineStr">
        <is>
          <t>TIDAK (tidak didukung)</t>
        </is>
      </c>
    </row>
    <row r="881">
      <c r="A881" t="n">
        <v>75</v>
      </c>
      <c r="B881" t="inlineStr">
        <is>
          <t>A</t>
        </is>
      </c>
      <c r="C881" t="n">
        <v>6</v>
      </c>
      <c r="D881" s="3" t="inlineStr">
        <is>
          <t>Decomposition is a powerful technique to break down complex problems into smaller, more manageable sub-problems.</t>
        </is>
      </c>
      <c r="E881" t="inlineStr">
        <is>
          <t>YA (didukung konteks)</t>
        </is>
      </c>
    </row>
    <row r="882">
      <c r="A882" t="n">
        <v>75</v>
      </c>
      <c r="B882" t="inlineStr">
        <is>
          <t>B</t>
        </is>
      </c>
      <c r="C882" t="n">
        <v>1</v>
      </c>
      <c r="D882" s="3" t="inlineStr">
        <is>
          <t>Kami akan melakukan binary search pada array terurut [3, 7, 12, 18, 25, 31, 44, 56, 67, 89] untuk mencari angka 25.</t>
        </is>
      </c>
      <c r="E882" t="inlineStr">
        <is>
          <t>YA (didukung konteks)</t>
        </is>
      </c>
    </row>
    <row r="883">
      <c r="A883" t="n">
        <v>75</v>
      </c>
      <c r="B883" t="inlineStr">
        <is>
          <t>B</t>
        </is>
      </c>
      <c r="C883" t="n">
        <v>2</v>
      </c>
      <c r="D883" s="3" t="inlineStr">
        <is>
          <t>Jadi, teman saya benar bahwa binary search dapat mencapai angka 25 dalam hanya 2 langkah.</t>
        </is>
      </c>
      <c r="E883" t="inlineStr">
        <is>
          <t>TIDAK (tidak didukung)</t>
        </is>
      </c>
    </row>
    <row r="884">
      <c r="A884" t="n">
        <v>75</v>
      </c>
      <c r="B884" t="inlineStr">
        <is>
          <t>B</t>
        </is>
      </c>
      <c r="C884" t="n">
        <v>3</v>
      </c>
      <c r="D884" s="3" t="inlineStr">
        <is>
          <t>Karena 25 lebih besar daripada 12, maka kita akan lanjutkan ke kanan.</t>
        </is>
      </c>
      <c r="E884" t="inlineStr">
        <is>
          <t>TIDAK (tidak didukung)</t>
        </is>
      </c>
    </row>
    <row r="885">
      <c r="A885" t="n">
        <v>75</v>
      </c>
      <c r="B885" t="inlineStr">
        <is>
          <t>B</t>
        </is>
      </c>
      <c r="C885" t="n">
        <v>4</v>
      </c>
      <c r="D885" s="3" t="inlineStr">
        <is>
          <t>Kita mulai dengan membandingkan nilai tengah dari array, yaitu (10).</t>
        </is>
      </c>
      <c r="E885" t="inlineStr">
        <is>
          <t>YA (didukung konteks)</t>
        </is>
      </c>
    </row>
    <row r="886">
      <c r="A886" t="n">
        <v>75</v>
      </c>
      <c r="B886" t="inlineStr">
        <is>
          <t>B</t>
        </is>
      </c>
      <c r="C886" t="n">
        <v>5</v>
      </c>
      <c r="D886" s="3" t="inlineStr">
        <is>
          <t>Karena 25 adalah angka yang kita cari, maka kita sudah menemukannya!</t>
        </is>
      </c>
      <c r="E886" t="inlineStr">
        <is>
          <t>TIDAK (tidak didukung)</t>
        </is>
      </c>
    </row>
    <row r="887">
      <c r="A887" t="n">
        <v>75</v>
      </c>
      <c r="B887" t="inlineStr">
        <is>
          <t>B</t>
        </is>
      </c>
      <c r="C887" t="n">
        <v>6</v>
      </c>
      <c r="D887" s="3" t="inlineStr">
        <is>
          <t>Array setelah langkah 1: [18, 25, 31, 44, 56, 67, 89]</t>
        </is>
      </c>
      <c r="E887" t="inlineStr">
        <is>
          <t>TIDAK (tidak didukung)</t>
        </is>
      </c>
    </row>
    <row r="888">
      <c r="A888" t="n">
        <v>76</v>
      </c>
      <c r="B888" t="inlineStr">
        <is>
          <t>A</t>
        </is>
      </c>
      <c r="C888" t="n">
        <v>1</v>
      </c>
      <c r="D888" s="3" t="inlineStr">
        <is>
          <t>Binary search hanya bekerja dengan baik jika array terurut, sehingga Anda harus terlebih dahulu mengurutkan array sebelum menjalankan binary search.</t>
        </is>
      </c>
      <c r="E888" t="inlineStr">
        <is>
          <t>YA (didukung konteks)</t>
        </is>
      </c>
    </row>
    <row r="889">
      <c r="A889" t="n">
        <v>76</v>
      </c>
      <c r="B889" t="inlineStr">
        <is>
          <t>A</t>
        </is>
      </c>
      <c r="C889" t="n">
        <v>2</v>
      </c>
      <c r="D889" s="3" t="inlineStr">
        <is>
          <t>Untuk menggunakan binary search dengan benar, Anda harus memastikan bahwa array terurut dan nilai target dapat ditemukan di dalam array tersebut.</t>
        </is>
      </c>
      <c r="E889" t="inlineStr">
        <is>
          <t>YA (didukung konteks)</t>
        </is>
      </c>
    </row>
    <row r="890">
      <c r="A890" t="n">
        <v>76</v>
      </c>
      <c r="B890" t="inlineStr">
        <is>
          <t>A</t>
        </is>
      </c>
      <c r="C890" t="n">
        <v>3</v>
      </c>
      <c r="D890" s="3" t="inlineStr">
        <is>
          <t>Jika nilai target tidak ditemukan, maka binary search akan mengulangi proses pembagian hingga nilai target ditemukan atau array dikemudi.</t>
        </is>
      </c>
      <c r="E890" t="inlineStr">
        <is>
          <t>YA (didukung konteks)</t>
        </is>
      </c>
    </row>
    <row r="891">
      <c r="A891" t="n">
        <v>76</v>
      </c>
      <c r="B891" t="inlineStr">
        <is>
          <t>A</t>
        </is>
      </c>
      <c r="C891" t="n">
        <v>4</v>
      </c>
      <c r="D891" s="3" t="inlineStr">
        <is>
          <t>Namun, dalam kasus ini, binary search Anda gagal karena Anda tidak memastikan bahwa array harus terurut sebelum menggunakan algoritme.</t>
        </is>
      </c>
      <c r="E891" t="inlineStr">
        <is>
          <t>YA (didukung konteks)</t>
        </is>
      </c>
    </row>
    <row r="892">
      <c r="A892" t="n">
        <v>76</v>
      </c>
      <c r="B892" t="inlineStr">
        <is>
          <t>A</t>
        </is>
      </c>
      <c r="C892" t="n">
        <v>5</v>
      </c>
      <c r="D892" s="3" t="inlineStr">
        <is>
          <t>Pertanyaan mahasiswa: Saya coba binary search untuk array [5, 3, 8, 1, 9] dan hasilnya salah — elemen yang ada tidak ketemu.</t>
        </is>
      </c>
      <c r="E892" t="inlineStr">
        <is>
          <t>YA (didukung konteks)</t>
        </is>
      </c>
    </row>
    <row r="893">
      <c r="A893" t="n">
        <v>76</v>
      </c>
      <c r="B893" t="inlineStr">
        <is>
          <t>A</t>
        </is>
      </c>
      <c r="C893" t="n">
        <v>6</v>
      </c>
      <c r="D893" s="3" t="inlineStr">
        <is>
          <t>Algoritme ini bekerja dengan cara membagi array menjadi dua bagian, lalu mencari nilai target di salah satu bagian tersebut.</t>
        </is>
      </c>
      <c r="E893" t="inlineStr">
        <is>
          <t>YA (didukung konteks)</t>
        </is>
      </c>
    </row>
    <row r="894">
      <c r="A894" t="n">
        <v>76</v>
      </c>
      <c r="B894" t="inlineStr">
        <is>
          <t>B</t>
        </is>
      </c>
      <c r="C894" t="n">
        <v>1</v>
      </c>
      <c r="D894" s="3" t="inlineStr">
        <is>
          <t>Jika Anda ingin menggunakan binary search, maka perlu mengurutkan array terlebih dahulu menjadi [1, 3, 5, 8, 9].</t>
        </is>
      </c>
      <c r="E894" t="inlineStr">
        <is>
          <t>YA (didukung konteks)</t>
        </is>
      </c>
    </row>
    <row r="895">
      <c r="A895" t="n">
        <v>76</v>
      </c>
      <c r="B895" t="inlineStr">
        <is>
          <t>B</t>
        </is>
      </c>
      <c r="C895" t="n">
        <v>2</v>
      </c>
      <c r="D895" s="3" t="inlineStr">
        <is>
          <t>Dalam kasus ini, array tidak diurutkan dan sehingga binary search tidak dapat menemukan elemen yang dicari.</t>
        </is>
      </c>
      <c r="E895" t="inlineStr">
        <is>
          <t>TIDAK (tidak didukung)</t>
        </is>
      </c>
    </row>
    <row r="896">
      <c r="A896" t="n">
        <v>76</v>
      </c>
      <c r="B896" t="inlineStr">
        <is>
          <t>B</t>
        </is>
      </c>
      <c r="C896" t="n">
        <v>3</v>
      </c>
      <c r="D896" s="3" t="inlineStr">
        <is>
          <t>Binary search hanya berfungsi jika array yang digunakan telah diurutkan dalam urutan ascending (naik).</t>
        </is>
      </c>
      <c r="E896" t="inlineStr">
        <is>
          <t>YA (didukung konteks)</t>
        </is>
      </c>
    </row>
    <row r="897">
      <c r="A897" t="n">
        <v>76</v>
      </c>
      <c r="B897" t="inlineStr">
        <is>
          <t>B</t>
        </is>
      </c>
      <c r="C897" t="n">
        <v>4</v>
      </c>
      <c r="D897" s="3" t="inlineStr">
        <is>
          <t>Masalahnya terletak pada array [5, 3, 8, 1, 9] yang Anda gunakan sebagai input untuk binary search.</t>
        </is>
      </c>
      <c r="E897" t="inlineStr">
        <is>
          <t>TIDAK (tidak didukung)</t>
        </is>
      </c>
    </row>
    <row r="898">
      <c r="A898" t="n">
        <v>76</v>
      </c>
      <c r="B898" t="inlineStr">
        <is>
          <t>B</t>
        </is>
      </c>
      <c r="C898" t="n">
        <v>5</v>
      </c>
      <c r="D898" s="3" t="inlineStr">
        <is>
          <t>Setelah itu, Anda dapat menggunakan binary search untuk mencari elemen yang dicari.</t>
        </is>
      </c>
      <c r="E898" t="inlineStr">
        <is>
          <t>YA (didukung konteks)</t>
        </is>
      </c>
    </row>
    <row r="899">
      <c r="A899" t="n">
        <v>77</v>
      </c>
      <c r="B899" t="inlineStr">
        <is>
          <t>A</t>
        </is>
      </c>
      <c r="C899" t="n">
        <v>1</v>
      </c>
      <c r="D899" s="3" t="inlineStr">
        <is>
          <t>Selanjutnya, kita diberikan soal-soal lain yang terkait dengan kompleksitas algoritme, seperti analisis FPB Euclidean, kompleksitas rekursi, dan optimasi algoritme.</t>
        </is>
      </c>
      <c r="E899" t="inlineStr">
        <is>
          <t>YA (didukung konteks)</t>
        </is>
      </c>
    </row>
    <row r="900">
      <c r="A900" t="n">
        <v>77</v>
      </c>
      <c r="B900" t="inlineStr">
        <is>
          <t>A</t>
        </is>
      </c>
      <c r="C900" t="n">
        <v>2</v>
      </c>
      <c r="D900" s="3" t="inlineStr">
        <is>
          <t>Dalam soal ini, Anda diminta untuk membantu mahasiswa universitas di Indonesia memahami kompleksitas algoritme dan memberikan rekomendasi yang lebih baik.</t>
        </is>
      </c>
      <c r="E900" t="inlineStr">
        <is>
          <t>YA (didukung konteks)</t>
        </is>
      </c>
    </row>
    <row r="901">
      <c r="A901" t="n">
        <v>77</v>
      </c>
      <c r="B901" t="inlineStr">
        <is>
          <t>A</t>
        </is>
      </c>
      <c r="C901" t="n">
        <v>3</v>
      </c>
      <c r="D901" s="3" t="inlineStr">
        <is>
          <t>Oleh karena itu, kita perlu memahami kompleksitas algoritme dan memberikan rekomendasi yang lebih baik untuk mencapai efisiensi yang lebih tinggi.</t>
        </is>
      </c>
      <c r="E901" t="inlineStr">
        <is>
          <t>YA (didukung konteks)</t>
        </is>
      </c>
    </row>
    <row r="902">
      <c r="A902" t="n">
        <v>77</v>
      </c>
      <c r="B902" t="inlineStr">
        <is>
          <t>A</t>
        </is>
      </c>
      <c r="C902" t="n">
        <v>4</v>
      </c>
      <c r="D902" s="3" t="inlineStr">
        <is>
          <t>Algoritme ini jauh lebih cepat daripada Algoritme A dan Algoritme B, serta lebih efisien dalam mengurangi waktu eksekusi.</t>
        </is>
      </c>
      <c r="E902" t="inlineStr">
        <is>
          <t>TIDAK (tidak didukung)</t>
        </is>
      </c>
    </row>
    <row r="903">
      <c r="A903" t="n">
        <v>77</v>
      </c>
      <c r="B903" t="inlineStr">
        <is>
          <t>A</t>
        </is>
      </c>
      <c r="C903" t="n">
        <v>5</v>
      </c>
      <c r="D903" s="3" t="inlineStr">
        <is>
          <t>Dalam contoh lain, kita diberikan algoritme versi C yang menggunakan hash set dan memiliki kompleksitas O(n) average.</t>
        </is>
      </c>
      <c r="E903" t="inlineStr">
        <is>
          <t>YA (didukung konteks)</t>
        </is>
      </c>
    </row>
    <row r="904">
      <c r="A904" t="n">
        <v>77</v>
      </c>
      <c r="B904" t="inlineStr">
        <is>
          <t>A</t>
        </is>
      </c>
      <c r="C904" t="n">
        <v>6</v>
      </c>
      <c r="D904" s="3" t="inlineStr">
        <is>
          <t>Pertama-tama, kita perlu membandingkan kompleksitas dua algoritme yang diberikan: Algoritme A dan Algoritme B.</t>
        </is>
      </c>
      <c r="E904" t="inlineStr">
        <is>
          <t>YA (didukung konteks)</t>
        </is>
      </c>
    </row>
    <row r="905">
      <c r="A905" t="n">
        <v>77</v>
      </c>
      <c r="B905" t="inlineStr">
        <is>
          <t>B</t>
        </is>
      </c>
      <c r="C905" t="n">
        <v>1</v>
      </c>
      <c r="D905" s="3" t="inlineStr">
        <is>
          <t>+ Cek pasangan pertama (5 dan 2), karena 5 &gt; 2 maka kita melakukan pertukaran, menjadi [2, 5, 8, 1, 9].</t>
        </is>
      </c>
      <c r="E905" t="inlineStr">
        <is>
          <t>TIDAK (tidak didukung)</t>
        </is>
      </c>
    </row>
    <row r="906">
      <c r="A906" t="n">
        <v>77</v>
      </c>
      <c r="B906" t="inlineStr">
        <is>
          <t>B</t>
        </is>
      </c>
      <c r="C906" t="n">
        <v>2</v>
      </c>
      <c r="D906" s="3" t="inlineStr">
        <is>
          <t>+ Cek pasangan pertama (2 dan 1), karena 2 &gt; 1 maka kita melakukan pertukaran, menjadi [1, 2, 5, 8, 9].</t>
        </is>
      </c>
      <c r="E906" t="inlineStr">
        <is>
          <t>TIDAK (tidak didukung)</t>
        </is>
      </c>
    </row>
    <row r="907">
      <c r="A907" t="n">
        <v>77</v>
      </c>
      <c r="B907" t="inlineStr">
        <is>
          <t>B</t>
        </is>
      </c>
      <c r="C907" t="n">
        <v>3</v>
      </c>
      <c r="D907" s="3" t="inlineStr">
        <is>
          <t>+ Cek pasangan ketiga (8 dan 1), karena 8 &gt; 1 maka kita melakukan pertukaran, menjadi [2, 5, 1, 8, 9].</t>
        </is>
      </c>
      <c r="E907" t="inlineStr">
        <is>
          <t>TIDAK (tidak didukung)</t>
        </is>
      </c>
    </row>
    <row r="908">
      <c r="A908" t="n">
        <v>77</v>
      </c>
      <c r="B908" t="inlineStr">
        <is>
          <t>B</t>
        </is>
      </c>
      <c r="C908" t="n">
        <v>4</v>
      </c>
      <c r="D908" s="3" t="inlineStr">
        <is>
          <t>+ Cek pasangan kedua (5 dan 1), karena 5 &gt; 1 maka kita melakukan pertukaran, menjadi [2, 1, 5, 8, 9].</t>
        </is>
      </c>
      <c r="E908" t="inlineStr">
        <is>
          <t>YA (didukung konteks)</t>
        </is>
      </c>
    </row>
    <row r="909">
      <c r="A909" t="n">
        <v>77</v>
      </c>
      <c r="B909" t="inlineStr">
        <is>
          <t>B</t>
        </is>
      </c>
      <c r="C909" t="n">
        <v>5</v>
      </c>
      <c r="D909" s="3" t="inlineStr">
        <is>
          <t>Kami akan menggunakan algoritma bubble sort untuk mengurutkan array [5, 2, 8, 1, 9].</t>
        </is>
      </c>
      <c r="E909" t="inlineStr">
        <is>
          <t>TIDAK (tidak didukung)</t>
        </is>
      </c>
    </row>
    <row r="910">
      <c r="A910" t="n">
        <v>77</v>
      </c>
      <c r="B910" t="inlineStr">
        <is>
          <t>B</t>
        </is>
      </c>
      <c r="C910" t="n">
        <v>6</v>
      </c>
      <c r="D910" s="3" t="inlineStr">
        <is>
          <t>Array telah terurut setelah dua pass, jadi kita berhenti di sini.</t>
        </is>
      </c>
      <c r="E910" t="inlineStr">
        <is>
          <t>TIDAK (tidak didukung)</t>
        </is>
      </c>
    </row>
    <row r="911">
      <c r="A911" t="n">
        <v>78</v>
      </c>
      <c r="B911" t="inlineStr">
        <is>
          <t>A</t>
        </is>
      </c>
      <c r="C911" t="n">
        <v>1</v>
      </c>
      <c r="D911" s="3" t="inlineStr">
        <is>
          <t>Namun, jika Anda menggunakan algoritme lain untuk mencari nilai dalam array, seperti algoritme hash table, maka kompleksitas dapat menjadi lebih baik.</t>
        </is>
      </c>
      <c r="E911" t="inlineStr">
        <is>
          <t>YA (didukung konteks)</t>
        </is>
      </c>
    </row>
    <row r="912">
      <c r="A912" t="n">
        <v>78</v>
      </c>
      <c r="B912" t="inlineStr">
        <is>
          <t>A</t>
        </is>
      </c>
      <c r="C912" t="n">
        <v>2</v>
      </c>
      <c r="D912" s="3" t="inlineStr">
        <is>
          <t>Namun, jika Anda menggunakan algoritme lain untuk menghitung faktorial, seperti algoritme memoized, maka kompleksitas dapat menjadi lebih baik.</t>
        </is>
      </c>
      <c r="E912" t="inlineStr">
        <is>
          <t>YA (didukung konteks)</t>
        </is>
      </c>
    </row>
    <row r="913">
      <c r="A913" t="n">
        <v>78</v>
      </c>
      <c r="B913" t="inlineStr">
        <is>
          <t>A</t>
        </is>
      </c>
      <c r="C913" t="n">
        <v>3</v>
      </c>
      <c r="D913" s="3" t="inlineStr">
        <is>
          <t>Faktorial rekursif memiliki kompleksitas O(n log n) karena setiap iterasi memerlukan operasi pembagian dan perkalian.</t>
        </is>
      </c>
      <c r="E913" t="inlineStr">
        <is>
          <t>TIDAK (tidak didukung)</t>
        </is>
      </c>
    </row>
    <row r="914">
      <c r="A914" t="n">
        <v>78</v>
      </c>
      <c r="B914" t="inlineStr">
        <is>
          <t>A</t>
        </is>
      </c>
      <c r="C914" t="n">
        <v>4</v>
      </c>
      <c r="D914" s="3" t="inlineStr">
        <is>
          <t>Algoritme A memiliki kompleksitas O(n) dan jauh lebih efisien daripada Algoritme B yang memiliki kompleksitas O(n^2).</t>
        </is>
      </c>
      <c r="E914" t="inlineStr">
        <is>
          <t>YA (didukung konteks)</t>
        </is>
      </c>
    </row>
    <row r="915">
      <c r="A915" t="n">
        <v>78</v>
      </c>
      <c r="B915" t="inlineStr">
        <is>
          <t>A</t>
        </is>
      </c>
      <c r="C915" t="n">
        <v>5</v>
      </c>
      <c r="D915" s="3" t="inlineStr">
        <is>
          <t>Algoritme ini memiliki kompleksitas O(n log n) karena setiap iterasi memerlukan operasi pencarian dan pembagian.</t>
        </is>
      </c>
      <c r="E915" t="inlineStr">
        <is>
          <t>TIDAK (tidak didukung)</t>
        </is>
      </c>
    </row>
    <row r="916">
      <c r="A916" t="n">
        <v>78</v>
      </c>
      <c r="B916" t="inlineStr">
        <is>
          <t>A</t>
        </is>
      </c>
      <c r="C916" t="n">
        <v>6</v>
      </c>
      <c r="D916" s="3" t="inlineStr">
        <is>
          <t>Dalam soal ini, Anda diberikan algoritme yang mencari apakah ada dua elemen di array yang memiliki nilai sama.</t>
        </is>
      </c>
      <c r="E916" t="inlineStr">
        <is>
          <t>YA (didukung konteks)</t>
        </is>
      </c>
    </row>
    <row r="917">
      <c r="A917" t="n">
        <v>78</v>
      </c>
      <c r="B917" t="inlineStr">
        <is>
          <t>B</t>
        </is>
      </c>
      <c r="C917" t="n">
        <v>1</v>
      </c>
      <c r="D917" s="3" t="inlineStr">
        <is>
          <t>Tujuannya adalah untuk mengurangi nilai terkecil dan memindahkannya ke posisi awal, sehingga array menjadi lebih teratur.</t>
        </is>
      </c>
      <c r="E917" t="inlineStr">
        <is>
          <t>YA (didukung konteks)</t>
        </is>
      </c>
    </row>
    <row r="918">
      <c r="A918" t="n">
        <v>78</v>
      </c>
      <c r="B918" t="inlineStr">
        <is>
          <t>B</t>
        </is>
      </c>
      <c r="C918" t="n">
        <v>2</v>
      </c>
      <c r="D918" s="3" t="inlineStr">
        <is>
          <t>Artinya, elemen-elemen dalam array akan disusun dalam urutan yang semakin besar, seperti [1, 2, 4, 5, 7, 9].</t>
        </is>
      </c>
      <c r="E918" t="inlineStr">
        <is>
          <t>YA (didukung konteks)</t>
        </is>
      </c>
    </row>
    <row r="919">
      <c r="A919" t="n">
        <v>78</v>
      </c>
      <c r="B919" t="inlineStr">
        <is>
          <t>B</t>
        </is>
      </c>
      <c r="C919" t="n">
        <v>3</v>
      </c>
      <c r="D919" s="3" t="inlineStr">
        <is>
          <t>Kedua, hasil dari proses seleksi sort adalah array yang teratur dalam urutan ascending (naik).</t>
        </is>
      </c>
      <c r="E919" t="inlineStr">
        <is>
          <t>YA (didukung konteks)</t>
        </is>
      </c>
    </row>
    <row r="920">
      <c r="A920" t="n">
        <v>78</v>
      </c>
      <c r="B920" t="inlineStr">
        <is>
          <t>B</t>
        </is>
      </c>
      <c r="C920" t="n">
        <v>4</v>
      </c>
      <c r="D920" s="3" t="inlineStr">
        <is>
          <t>Pertama, seleksi sort (Selection Sort) mencari nilai minimum dalam array, bukan maksimum.</t>
        </is>
      </c>
      <c r="E920" t="inlineStr">
        <is>
          <t>TIDAK (tidak didukung)</t>
        </is>
      </c>
    </row>
    <row r="921">
      <c r="A921" t="n">
        <v>78</v>
      </c>
      <c r="B921" t="inlineStr">
        <is>
          <t>B</t>
        </is>
      </c>
      <c r="C921" t="n">
        <v>5</v>
      </c>
      <c r="D921" s="3" t="inlineStr">
        <is>
          <t>Kedua pertanyaan Anda akan dijawab dengan baik!</t>
        </is>
      </c>
      <c r="E921" t="inlineStr">
        <is>
          <t>YA (didukung konteks)</t>
        </is>
      </c>
    </row>
    <row r="922">
      <c r="A922" t="n">
        <v>79</v>
      </c>
      <c r="B922" t="inlineStr">
        <is>
          <t>A</t>
        </is>
      </c>
      <c r="C922" t="n">
        <v>1</v>
      </c>
      <c r="D922" s="3" t="inlineStr">
        <is>
          <t>Selain itu, jika data input telah terurut secara ascending atau descending, maka linear search dapat lebih efektif karena tidak perlu melakukan searching lagi setelah menemukan nilai target.</t>
        </is>
      </c>
      <c r="E922" t="inlineStr">
        <is>
          <t>YA (didukung konteks)</t>
        </is>
      </c>
    </row>
    <row r="923">
      <c r="A923" t="n">
        <v>79</v>
      </c>
      <c r="B923" t="inlineStr">
        <is>
          <t>A</t>
        </is>
      </c>
      <c r="C923" t="n">
        <v>2</v>
      </c>
      <c r="D923" s="3" t="inlineStr">
        <is>
          <t>Dalam beberapa kasus, linear search dapat menjadi pilihan yang lebih baik daripada binary search, sehingga perlu dipertimbangkan faktor-faktor lain selain hanya kinerja waktu saja.</t>
        </is>
      </c>
      <c r="E923" t="inlineStr">
        <is>
          <t>YA (didukung konteks)</t>
        </is>
      </c>
    </row>
    <row r="924">
      <c r="A924" t="n">
        <v>79</v>
      </c>
      <c r="B924" t="inlineStr">
        <is>
          <t>A</t>
        </is>
      </c>
      <c r="C924" t="n">
        <v>3</v>
      </c>
      <c r="D924" s="3" t="inlineStr">
        <is>
          <t>Teman Anda membandingkan binary search dengan linear search, namun dosen Anda berpendapat bahwa linear search lebih tepat digunakan dalam beberapa kasus.</t>
        </is>
      </c>
      <c r="E924" t="inlineStr">
        <is>
          <t>YA (didukung konteks)</t>
        </is>
      </c>
    </row>
    <row r="925">
      <c r="A925" t="n">
        <v>79</v>
      </c>
      <c r="B925" t="inlineStr">
        <is>
          <t>A</t>
        </is>
      </c>
      <c r="C925" t="n">
        <v>4</v>
      </c>
      <c r="D925" s="3" t="inlineStr">
        <is>
          <t>Dalam hal ini, linear search dengan O(1) space complexity dapat menjadi pilihan yang lebih tepat daripada binary search dengan O(log n) space complexity.</t>
        </is>
      </c>
      <c r="E925" t="inlineStr">
        <is>
          <t>YA (didukung konteks)</t>
        </is>
      </c>
    </row>
    <row r="926">
      <c r="A926" t="n">
        <v>79</v>
      </c>
      <c r="B926" t="inlineStr">
        <is>
          <t>A</t>
        </is>
      </c>
      <c r="C926" t="n">
        <v>5</v>
      </c>
      <c r="D926" s="3" t="inlineStr">
        <is>
          <t>Hal ini karena tidak hanya kinerja waktu yang perlu dipertimbangkan, tetapi juga kompleksitas ruang (space complexity) dan alokasi sumber daya.</t>
        </is>
      </c>
      <c r="E926" t="inlineStr">
        <is>
          <t>YA (didukung konteks)</t>
        </is>
      </c>
    </row>
    <row r="927">
      <c r="A927" t="n">
        <v>79</v>
      </c>
      <c r="B927" t="inlineStr">
        <is>
          <t>A</t>
        </is>
      </c>
      <c r="C927" t="n">
        <v>6</v>
      </c>
      <c r="D927" s="3" t="inlineStr">
        <is>
          <t>Contohnya, jika ukuran input sangat besar sehingga membutuhkan ruang memory yang lebih kecil untuk dipertahankan.</t>
        </is>
      </c>
      <c r="E927" t="inlineStr">
        <is>
          <t>YA (didukung konteks)</t>
        </is>
      </c>
    </row>
    <row r="928">
      <c r="A928" t="n">
        <v>79</v>
      </c>
      <c r="B928" t="inlineStr">
        <is>
          <t>B</t>
        </is>
      </c>
      <c r="C928" t="n">
        <v>1</v>
      </c>
      <c r="D928" s="3" t="inlineStr">
        <is>
          <t>**Data tidak terorganisasi**: Jika data tidak terorganisasi secara logikah (misalnya, tidak diurutkan atau tidak memiliki struktur), maka linear search lebih mudah digunakan karena tidak memerlukan pengetahuan tentang st</t>
        </is>
      </c>
      <c r="E928" t="inlineStr">
        <is>
          <t>YA (didukung konteks)</t>
        </is>
      </c>
    </row>
    <row r="929">
      <c r="A929" t="n">
        <v>79</v>
      </c>
      <c r="B929" t="inlineStr">
        <is>
          <t>B</t>
        </is>
      </c>
      <c r="C929" t="n">
        <v>2</v>
      </c>
      <c r="D929" s="3" t="inlineStr">
        <is>
          <t>**Element yang dicari tidak berada dalam range tertentu**: Jika element yang dicari tidak berada dalam range tertentu, maka binary search tidak akan efektif dan linear search menjadi pilihan yang lebih baik.</t>
        </is>
      </c>
      <c r="E929" t="inlineStr">
        <is>
          <t>YA (didukung konteks)</t>
        </is>
      </c>
    </row>
    <row r="930">
      <c r="A930" t="n">
        <v>79</v>
      </c>
      <c r="B930" t="inlineStr">
        <is>
          <t>B</t>
        </is>
      </c>
      <c r="C930" t="n">
        <v>3</v>
      </c>
      <c r="D930" s="3" t="inlineStr">
        <is>
          <t>**Data memiliki banyak duplicate**: Jika data memiliki banyak duplikat, maka linear search dapat lebih cepat karena tidak perlu melakukan pengecekan lagi untuk menghindari duplikat.</t>
        </is>
      </c>
      <c r="E930" t="inlineStr">
        <is>
          <t>YA (didukung konteks)</t>
        </is>
      </c>
    </row>
    <row r="931">
      <c r="A931" t="n">
        <v>79</v>
      </c>
      <c r="B931" t="inlineStr">
        <is>
          <t>B</t>
        </is>
      </c>
      <c r="C931" t="n">
        <v>4</v>
      </c>
      <c r="D931" s="3" t="inlineStr">
        <is>
          <t>**Ketepatan mutlak dibutuhkan**: Jika aplikasi memerlukan ketepatan mutlak dalam mencari element, maka linear search menjadi pilihan yang lebih tepat daripada binary search.</t>
        </is>
      </c>
      <c r="E931" t="inlineStr">
        <is>
          <t>YA (didukung konteks)</t>
        </is>
      </c>
    </row>
    <row r="932">
      <c r="A932" t="n">
        <v>79</v>
      </c>
      <c r="B932" t="inlineStr">
        <is>
          <t>B</t>
        </is>
      </c>
      <c r="C932" t="n">
        <v>5</v>
      </c>
      <c r="D932" s="3" t="inlineStr">
        <is>
          <t>**Kumpulan data kecil**: Jika ukuran kumpulan data sangat kecil, seperti kurang dari 10 elemen, maka linear search jauh lebih efektif dan cepat daripada binary search.</t>
        </is>
      </c>
      <c r="E932" t="inlineStr">
        <is>
          <t>YA (didukung konteks)</t>
        </is>
      </c>
    </row>
    <row r="933">
      <c r="A933" t="n">
        <v>79</v>
      </c>
      <c r="B933" t="inlineStr">
        <is>
          <t>B</t>
        </is>
      </c>
      <c r="C933" t="n">
        <v>6</v>
      </c>
      <c r="D933" s="3" t="inlineStr">
        <is>
          <t>Dalam beberapa kasus lainnya, seperti pada kumpulan data besar dan terorganisasi secara logikah, binary search akan lebih efektif dan cepat.</t>
        </is>
      </c>
      <c r="E933" t="inlineStr">
        <is>
          <t>YA (didukung konteks)</t>
        </is>
      </c>
    </row>
    <row r="934">
      <c r="A934" t="n">
        <v>80</v>
      </c>
      <c r="B934" t="inlineStr">
        <is>
          <t>A</t>
        </is>
      </c>
      <c r="C934" t="n">
        <v>1</v>
      </c>
      <c r="D934" s="3" t="inlineStr">
        <is>
          <t>Contohnya, jika Anda menggunakan algoritme pencarian linear, maka time complexity-nya akan menjadi O(n), sedangkan jika Anda menggunakan algoritme binary search, maka time complexity-nya akan menjadi O(log n).</t>
        </is>
      </c>
      <c r="E934" t="inlineStr">
        <is>
          <t>YA (didukung konteks)</t>
        </is>
      </c>
    </row>
    <row r="935">
      <c r="A935" t="n">
        <v>80</v>
      </c>
      <c r="B935" t="inlineStr">
        <is>
          <t>A</t>
        </is>
      </c>
      <c r="C935" t="n">
        <v>2</v>
      </c>
      <c r="D935" s="3" t="inlineStr">
        <is>
          <t>Dekomposisi membantu Anda mengidentifikasi sub-masalah yang lebih kecil dan lebih mudah ditangani, sementara analisis Big-O membantu Anda memprediksi kinerja algoritme yang akan digunakan.</t>
        </is>
      </c>
      <c r="E935" t="inlineStr">
        <is>
          <t>YA (didukung konteks)</t>
        </is>
      </c>
    </row>
    <row r="936">
      <c r="A936" t="n">
        <v>80</v>
      </c>
      <c r="B936" t="inlineStr">
        <is>
          <t>A</t>
        </is>
      </c>
      <c r="C936" t="n">
        <v>3</v>
      </c>
      <c r="D936" s="3" t="inlineStr">
        <is>
          <t>Sebagai tutor Computational Thinking, saya akan membantu Anda memahami bagaimana cara menggabungkan dekomposisi dan analisis Big-O untuk memilih solusi yang tepat.</t>
        </is>
      </c>
      <c r="E936" t="inlineStr">
        <is>
          <t>YA (didukung konteks)</t>
        </is>
      </c>
    </row>
    <row r="937">
      <c r="A937" t="n">
        <v>80</v>
      </c>
      <c r="B937" t="inlineStr">
        <is>
          <t>A</t>
        </is>
      </c>
      <c r="C937" t="n">
        <v>4</v>
      </c>
      <c r="D937" s="3" t="inlineStr">
        <is>
          <t>Dalam konteks problema Anda, yaitu membuat sistem pencarian kontak dari 10.000 data, langkah pertama adalah melakukan dekomposisi terhadap masalah tersebut.</t>
        </is>
      </c>
      <c r="E937" t="inlineStr">
        <is>
          <t>YA (didukung konteks)</t>
        </is>
      </c>
    </row>
    <row r="938">
      <c r="A938" t="n">
        <v>80</v>
      </c>
      <c r="B938" t="inlineStr">
        <is>
          <t>A</t>
        </is>
      </c>
      <c r="C938" t="n">
        <v>5</v>
      </c>
      <c r="D938" s="3" t="inlineStr">
        <is>
          <t>Contohnya, Anda dapat membagi tugas menjadi tiga bagian: (1) preprocessing data, (2) mencari kontak yang sesuai, dan (3) menampilkan hasil.</t>
        </is>
      </c>
      <c r="E938" t="inlineStr">
        <is>
          <t>YA (didukung konteks)</t>
        </is>
      </c>
    </row>
    <row r="939">
      <c r="A939" t="n">
        <v>80</v>
      </c>
      <c r="B939" t="inlineStr">
        <is>
          <t>A</t>
        </is>
      </c>
      <c r="C939" t="n">
        <v>6</v>
      </c>
      <c r="D939" s="3" t="inlineStr">
        <is>
          <t>Dalam sintesis, dekomposisi dan analisis Big-O adalah dua konsep yang saling terkait dalam Computational Thinking.</t>
        </is>
      </c>
      <c r="E939" t="inlineStr">
        <is>
          <t>YA (didukung konteks)</t>
        </is>
      </c>
    </row>
    <row r="940">
      <c r="A940" t="n">
        <v>80</v>
      </c>
      <c r="B940" t="inlineStr">
        <is>
          <t>B</t>
        </is>
      </c>
      <c r="C940" t="n">
        <v>1</v>
      </c>
      <c r="D940" s="3" t="inlineStr">
        <is>
          <t>Notasi Big-O digunakan untuk menentukan kompleksitas waktu dari suatu algoritme, yaitu bilangan yang menggambarkan berapa kali operasi harus dilakukan sebelum algoritme dapat mencapai hasil.</t>
        </is>
      </c>
      <c r="E940" t="inlineStr">
        <is>
          <t>YA (didukung konteks)</t>
        </is>
      </c>
    </row>
    <row r="941">
      <c r="A941" t="n">
        <v>80</v>
      </c>
      <c r="B941" t="inlineStr">
        <is>
          <t>B</t>
        </is>
      </c>
      <c r="C941" t="n">
        <v>2</v>
      </c>
      <c r="D941" s="3" t="inlineStr">
        <is>
          <t>Dengan menggunakan notasi Big-O, kita dapat menentukan algoritme mana yang sesuai dengan jumlah data yang besar dan memenuhi kebutan waktu eksekusi yang tinggi.</t>
        </is>
      </c>
      <c r="E941" t="inlineStr">
        <is>
          <t>YA (didukung konteks)</t>
        </is>
      </c>
    </row>
    <row r="942">
      <c r="A942" t="n">
        <v>80</v>
      </c>
      <c r="B942" t="inlineStr">
        <is>
          <t>B</t>
        </is>
      </c>
      <c r="C942" t="n">
        <v>3</v>
      </c>
      <c r="D942" s="3" t="inlineStr">
        <is>
          <t>Dalam menyelesaikan masalah pencarian kontak dengan 10.000 data, pertama-tama kita perlu mendekomposisikan data menjadi lebih kecil dan lebih mudah dipahami.</t>
        </is>
      </c>
      <c r="E942" t="inlineStr">
        <is>
          <t>YA (didukung konteks)</t>
        </is>
      </c>
    </row>
    <row r="943">
      <c r="A943" t="n">
        <v>80</v>
      </c>
      <c r="B943" t="inlineStr">
        <is>
          <t>B</t>
        </is>
      </c>
      <c r="C943" t="n">
        <v>4</v>
      </c>
      <c r="D943" s="3" t="inlineStr">
        <is>
          <t>Menggabungkan dekomposisi dan analisis Big-O: Menggabungkan dekomposisi data dengan analisis Big-O untuk menentukan algoritme mana yang sesuai.</t>
        </is>
      </c>
      <c r="E943" t="inlineStr">
        <is>
          <t>YA (didukung konteks)</t>
        </is>
      </c>
    </row>
    <row r="944">
      <c r="A944" t="n">
        <v>80</v>
      </c>
      <c r="B944" t="inlineStr">
        <is>
          <t>B</t>
        </is>
      </c>
      <c r="C944" t="n">
        <v>5</v>
      </c>
      <c r="D944" s="3" t="inlineStr">
        <is>
          <t>Dengan menggunakan dekomposisi data dan analisis Big-O, kita dapat memilih solusi yang tepat untuk masalah pencarian kontak dengan 10.000 data.</t>
        </is>
      </c>
      <c r="E944" t="inlineStr">
        <is>
          <t>YA (didukung konteks)</t>
        </is>
      </c>
    </row>
    <row r="945">
      <c r="A945" t="n">
        <v>80</v>
      </c>
      <c r="B945" t="inlineStr">
        <is>
          <t>B</t>
        </is>
      </c>
      <c r="C945" t="n">
        <v>6</v>
      </c>
      <c r="D945" s="3" t="inlineStr">
        <is>
          <t>Dalam hal ini, kita perlu memilih algoritme yang memiliki waktu eksekusi yang sesuai dengan jumlah data yang besar, yaitu 10.000 data.</t>
        </is>
      </c>
      <c r="E945" t="inlineStr">
        <is>
          <t>TIDAK (tidak didukung)</t>
        </is>
      </c>
    </row>
    <row r="946">
      <c r="A946" t="n">
        <v>81</v>
      </c>
      <c r="B946" t="inlineStr">
        <is>
          <t>A</t>
        </is>
      </c>
      <c r="C946" t="n">
        <v>1</v>
      </c>
      <c r="D946" s="3" t="inlineStr">
        <is>
          <t>Call stack digunakan dalam rekursi untuk menyimpan pemanggilan fungsi, sementara struktur data stack digunakan untuk menampung dan mengelola data dalam aplikasi komputasi.</t>
        </is>
      </c>
      <c r="E946" t="inlineStr">
        <is>
          <t>YA (didukung konteks)</t>
        </is>
      </c>
    </row>
    <row r="947">
      <c r="A947" t="n">
        <v>81</v>
      </c>
      <c r="B947" t="inlineStr">
        <is>
          <t>A</t>
        </is>
      </c>
      <c r="C947" t="n">
        <v>2</v>
      </c>
      <c r="D947" s="3" t="inlineStr">
        <is>
          <t>Konsep ini sangat mirip dengan struktur data stack, di mana elemen terakhir yang ditambahkan ke dalam stack akan pertama dihapus melalui operasi pop.</t>
        </is>
      </c>
      <c r="E947" t="inlineStr">
        <is>
          <t>YA (didukung konteks)</t>
        </is>
      </c>
    </row>
    <row r="948">
      <c r="A948" t="n">
        <v>81</v>
      </c>
      <c r="B948" t="inlineStr">
        <is>
          <t>A</t>
        </is>
      </c>
      <c r="C948" t="n">
        <v>3</v>
      </c>
      <c r="D948" s="3" t="inlineStr">
        <is>
          <t>Kedua konsep tersebut berbagi prinsip LIFO (Last In First Out), di mana elemen terakhir yang ditambahkan ke dalamnya akan pertama dihapus.</t>
        </is>
      </c>
      <c r="E948" t="inlineStr">
        <is>
          <t>YA (didukung konteks)</t>
        </is>
      </c>
    </row>
    <row r="949">
      <c r="A949" t="n">
        <v>81</v>
      </c>
      <c r="B949" t="inlineStr">
        <is>
          <t>A</t>
        </is>
      </c>
      <c r="C949" t="n">
        <v>4</v>
      </c>
      <c r="D949" s="3" t="inlineStr">
        <is>
          <t>Call stack digunakan untuk menyimpan pemanggilan rekursif, sementara struktur data stack digunakan untuk menampung dan mengelola data.</t>
        </is>
      </c>
      <c r="E949" t="inlineStr">
        <is>
          <t>YA (didukung konteks)</t>
        </is>
      </c>
    </row>
    <row r="950">
      <c r="A950" t="n">
        <v>81</v>
      </c>
      <c r="B950" t="inlineStr">
        <is>
          <t>A</t>
        </is>
      </c>
      <c r="C950" t="n">
        <v>5</v>
      </c>
      <c r="D950" s="3" t="inlineStr">
        <is>
          <t>Dalam rekursi, setiap pemanggilan fungsi rekursif disimpan di call stack, yang berarti call stack tumbuh hingga kedalaman rekursif.</t>
        </is>
      </c>
      <c r="E950" t="inlineStr">
        <is>
          <t>YA (didukung konteks)</t>
        </is>
      </c>
    </row>
    <row r="951">
      <c r="A951" t="n">
        <v>81</v>
      </c>
      <c r="B951" t="inlineStr">
        <is>
          <t>A</t>
        </is>
      </c>
      <c r="C951" t="n">
        <v>6</v>
      </c>
      <c r="D951" s="3" t="inlineStr">
        <is>
          <t>Pada akhirnya, fungsi rekursif akan berhenti dan elemen terakhir yang ditambahkan ke dalam call stack akan pertama dihapus.</t>
        </is>
      </c>
      <c r="E951" t="inlineStr">
        <is>
          <t>YA (didukung konteks)</t>
        </is>
      </c>
    </row>
    <row r="952">
      <c r="A952" t="n">
        <v>81</v>
      </c>
      <c r="B952" t="inlineStr">
        <is>
          <t>B</t>
        </is>
      </c>
      <c r="C952" t="n">
        <v>1</v>
      </c>
      <c r="D952" s="3" t="inlineStr">
        <is>
          <t>'Call stack' hanya digunakan untuk menyimpan informasi tentang pemanggilan fungsi rekursif, sedangkan 'stack' adalah ADT yang dapat digunakan untuk berbagai tujuan, seperti menampung elemen-elemen dalam urutan tertentu.</t>
        </is>
      </c>
      <c r="E952" t="inlineStr">
        <is>
          <t>YA (didukung konteks)</t>
        </is>
      </c>
    </row>
    <row r="953">
      <c r="A953" t="n">
        <v>81</v>
      </c>
      <c r="B953" t="inlineStr">
        <is>
          <t>B</t>
        </is>
      </c>
      <c r="C953" t="n">
        <v>2</v>
      </c>
      <c r="D953" s="3" t="inlineStr">
        <is>
          <t>Sementara itu, dalam struktur data, 'stack' adalah Abstract Data Type (ADT) yang memiliki operasi pengambilan elemen terakhir (pop), penambahan elemen baru (push), dan pengecekkan apakah stack kosong.</t>
        </is>
      </c>
      <c r="E953" t="inlineStr">
        <is>
          <t>YA (didukung konteks)</t>
        </is>
      </c>
    </row>
    <row r="954">
      <c r="A954" t="n">
        <v>81</v>
      </c>
      <c r="B954" t="inlineStr">
        <is>
          <t>B</t>
        </is>
      </c>
      <c r="C954" t="n">
        <v>3</v>
      </c>
      <c r="D954" s="3" t="inlineStr">
        <is>
          <t>Dalam rekursi, 'call stack' adalah struktur data yang digunakan untuk menyimpan informasi tentang setiap pemanggilan fungsi rekursif.</t>
        </is>
      </c>
      <c r="E954" t="inlineStr">
        <is>
          <t>YA (didukung konteks)</t>
        </is>
      </c>
    </row>
    <row r="955">
      <c r="A955" t="n">
        <v>81</v>
      </c>
      <c r="B955" t="inlineStr">
        <is>
          <t>B</t>
        </is>
      </c>
      <c r="C955" t="n">
        <v>4</v>
      </c>
      <c r="D955" s="3" t="inlineStr">
        <is>
          <t>Jawaban saya: Tidak, 'call stack' dalam rekursi tidak sama dengan 'stack' sebagai ADT yang kita pelajari di struktur data.</t>
        </is>
      </c>
      <c r="E955" t="inlineStr">
        <is>
          <t>YA (didukung konteks)</t>
        </is>
      </c>
    </row>
    <row r="956">
      <c r="A956" t="n">
        <v>81</v>
      </c>
      <c r="B956" t="inlineStr">
        <is>
          <t>B</t>
        </is>
      </c>
      <c r="C956" t="n">
        <v>5</v>
      </c>
      <c r="D956" s="3" t="inlineStr">
        <is>
          <t>Namun, perlu diingat bahwa 'call stack' dan 'stack' sebagai ADT memiliki kesamaan dalam hal struktur data yang digunakan.</t>
        </is>
      </c>
      <c r="E956" t="inlineStr">
        <is>
          <t>YA (didukung konteks)</t>
        </is>
      </c>
    </row>
    <row r="957">
      <c r="A957" t="n">
        <v>81</v>
      </c>
      <c r="B957" t="inlineStr">
        <is>
          <t>B</t>
        </is>
      </c>
      <c r="C957" t="n">
        <v>6</v>
      </c>
      <c r="D957" s="3" t="inlineStr">
        <is>
          <t>Saat fungsi rekursif dipanggil, informasinya disimpan di 'call stack' dan menjadi bagian dari lingkaran pemanggilan.</t>
        </is>
      </c>
      <c r="E957" t="inlineStr">
        <is>
          <t>YA (didukung konteks)</t>
        </is>
      </c>
    </row>
    <row r="958">
      <c r="A958" t="n">
        <v>82</v>
      </c>
      <c r="B958" t="inlineStr">
        <is>
          <t>A</t>
        </is>
      </c>
      <c r="C958" t="n">
        <v>1</v>
      </c>
      <c r="D958" s="3" t="inlineStr">
        <is>
          <t>Dalam materi referensi, kita telah belajar tentang berbagai struktur kontrol, termasuk perulangan (loop) dan percabangan (conditionals).</t>
        </is>
      </c>
      <c r="E958" t="inlineStr">
        <is>
          <t>YA (didukung konteks)</t>
        </is>
      </c>
    </row>
    <row r="959">
      <c r="A959" t="n">
        <v>82</v>
      </c>
      <c r="B959" t="inlineStr">
        <is>
          <t>A</t>
        </is>
      </c>
      <c r="C959" t="n">
        <v>2</v>
      </c>
      <c r="D959" s="3" t="inlineStr">
        <is>
          <t>Dengan menggunakan pattern recognition, kita dapat langsung mengetahui Big-O dari kode berdasarkan struktur kontrol yang digunakan.</t>
        </is>
      </c>
      <c r="E959" t="inlineStr">
        <is>
          <t>YA (didukung konteks)</t>
        </is>
      </c>
    </row>
    <row r="960">
      <c r="A960" t="n">
        <v>82</v>
      </c>
      <c r="B960" t="inlineStr">
        <is>
          <t>A</t>
        </is>
      </c>
      <c r="C960" t="n">
        <v>3</v>
      </c>
      <c r="D960" s="3" t="inlineStr">
        <is>
          <t>Dengan demikian, kita dapat menggunakan pattern recognition untuk langsung mengetahui Big-O dari kode tanpa menghitung detail.</t>
        </is>
      </c>
      <c r="E960" t="inlineStr">
        <is>
          <t>YA (didukung konteks)</t>
        </is>
      </c>
    </row>
    <row r="961">
      <c r="A961" t="n">
        <v>82</v>
      </c>
      <c r="B961" t="inlineStr">
        <is>
          <t>A</t>
        </is>
      </c>
      <c r="C961" t="n">
        <v>4</v>
      </c>
      <c r="D961" s="3" t="inlineStr">
        <is>
          <t>Dengan menggunakan pattern recognition, kita dapat langsung mengetahui Big-O dari kode tanpa menghitung detail.</t>
        </is>
      </c>
      <c r="E961" t="inlineStr">
        <is>
          <t>YA (didukung konteks)</t>
        </is>
      </c>
    </row>
    <row r="962">
      <c r="A962" t="n">
        <v>82</v>
      </c>
      <c r="B962" t="inlineStr">
        <is>
          <t>A</t>
        </is>
      </c>
      <c r="C962" t="n">
        <v>5</v>
      </c>
      <c r="D962" s="3" t="inlineStr">
        <is>
          <t>* Percabangan: O(1) untuk kondisi tunggal, O(n) untuk kondisi linear, dan O(log n) untuk kondisi logaritmik</t>
        </is>
      </c>
      <c r="E962" t="inlineStr">
        <is>
          <t>YA (didukung konteks)</t>
        </is>
      </c>
    </row>
    <row r="963">
      <c r="A963" t="n">
        <v>82</v>
      </c>
      <c r="B963" t="inlineStr">
        <is>
          <t>A</t>
        </is>
      </c>
      <c r="C963" t="n">
        <v>6</v>
      </c>
      <c r="D963" s="3" t="inlineStr">
        <is>
          <t>* Loop bersarang dengan percabangan: O(m × n) untuk m × n grid dan O(n) untuk kondisi linear</t>
        </is>
      </c>
      <c r="E963" t="inlineStr">
        <is>
          <t>YA (didukung konteks)</t>
        </is>
      </c>
    </row>
    <row r="964">
      <c r="A964" t="n">
        <v>82</v>
      </c>
      <c r="B964" t="inlineStr">
        <is>
          <t>B</t>
        </is>
      </c>
      <c r="C964" t="n">
        <v>1</v>
      </c>
      <c r="D964" s="3" t="inlineStr">
        <is>
          <t>Selain itu, tidak semua kode dapat langsung diketahui big-O-nya dengan menggunakan pola-pola di atas, karena kompleksitas algoritma dapat tergantung pada input data dan kondisi lainnya.</t>
        </is>
      </c>
      <c r="E964" t="inlineStr">
        <is>
          <t>YA (didukung konteks)</t>
        </is>
      </c>
    </row>
    <row r="965">
      <c r="A965" t="n">
        <v>82</v>
      </c>
      <c r="B965" t="inlineStr">
        <is>
          <t>B</t>
        </is>
      </c>
      <c r="C965" t="n">
        <v>2</v>
      </c>
      <c r="D965" s="3" t="inlineStr">
        <is>
          <t>Perlu diingat bahwa pattern recognition hanya dapat digunakan sebagai estimasi awal dan perlu diperiksa lebih lanjut untuk memastikan big-O notation yang tepat.</t>
        </is>
      </c>
      <c r="E965" t="inlineStr">
        <is>
          <t>YA (didukung konteks)</t>
        </is>
      </c>
    </row>
    <row r="966">
      <c r="A966" t="n">
        <v>82</v>
      </c>
      <c r="B966" t="inlineStr">
        <is>
          <t>B</t>
        </is>
      </c>
      <c r="C966" t="n">
        <v>3</v>
      </c>
      <c r="D966" s="3" t="inlineStr">
        <is>
          <t>Dalam teori kompleksitas, pattern recognition adalah salah satu cara untuk segera mengetahui big-O notation dari sebuah kode tanpa harus menghitung detailnya.</t>
        </is>
      </c>
      <c r="E966" t="inlineStr">
        <is>
          <t>YA (didukung konteks)</t>
        </is>
      </c>
    </row>
    <row r="967">
      <c r="A967" t="n">
        <v>82</v>
      </c>
      <c r="B967" t="inlineStr">
        <is>
          <t>B</t>
        </is>
      </c>
      <c r="C967" t="n">
        <v>4</v>
      </c>
      <c r="D967" s="3" t="inlineStr">
        <is>
          <t>* Quadratic recursion: O(n²) - Contoh: fungsi yang memanggil dirinya sendiri sebanyak n kali dan setiap panggilan memanggil dirinya lagi sebanyak n-1 kali</t>
        </is>
      </c>
      <c r="E967" t="inlineStr">
        <is>
          <t>YA (didukung konteks)</t>
        </is>
      </c>
    </row>
    <row r="968">
      <c r="A968" t="n">
        <v>82</v>
      </c>
      <c r="B968" t="inlineStr">
        <is>
          <t>B</t>
        </is>
      </c>
      <c r="C968" t="n">
        <v>5</v>
      </c>
      <c r="D968" s="3" t="inlineStr">
        <is>
          <t>* Merge sort: O(n log n) - Contoh: algoritma pengurutan yang menggabungkan dua bagian daftar dan membandingkan elemen-elemennya</t>
        </is>
      </c>
      <c r="E968" t="inlineStr">
        <is>
          <t>TIDAK (tidak didukung)</t>
        </is>
      </c>
    </row>
    <row r="969">
      <c r="A969" t="n">
        <v>82</v>
      </c>
      <c r="B969" t="inlineStr">
        <is>
          <t>B</t>
        </is>
      </c>
      <c r="C969" t="n">
        <v>6</v>
      </c>
      <c r="D969" s="3" t="inlineStr">
        <is>
          <t>* Bottom-up approach: O(n) - Contoh: algoritma yang membangun tabel dinamis dengan cara menjalankan loop sebanyak n kali</t>
        </is>
      </c>
      <c r="E969" t="inlineStr">
        <is>
          <t>YA (didukung konteks)</t>
        </is>
      </c>
    </row>
    <row r="970">
      <c r="A970" t="n">
        <v>83</v>
      </c>
      <c r="B970" t="inlineStr">
        <is>
          <t>A</t>
        </is>
      </c>
      <c r="C970" t="n">
        <v>1</v>
      </c>
      <c r="D970" s="3" t="inlineStr">
        <is>
          <t>Fungsi yang mengimplementasikan abstraksi memang mencoba mengabaikan hal-hal yang tidak relevan dan fokus pada hal-hal yang penting, sedangkan fungsi yang tidak mengimplementasikan abstraksi mungkin hanya fokus pada deta</t>
        </is>
      </c>
      <c r="E970" t="inlineStr">
        <is>
          <t>YA (didukung konteks)</t>
        </is>
      </c>
    </row>
    <row r="971">
      <c r="A971" t="n">
        <v>83</v>
      </c>
      <c r="B971" t="inlineStr">
        <is>
          <t>A</t>
        </is>
      </c>
      <c r="C971" t="n">
        <v>2</v>
      </c>
      <c r="D971" s="3" t="inlineStr">
        <is>
          <t>Dalam kaitannya dengan problem solving, abstraksi berarti fokus pada hal-hal yang penting dan relevan, serta mengabaikan hal-hal yang tidak relevan dan menjadi gangguan (distraction).</t>
        </is>
      </c>
      <c r="E971" t="inlineStr">
        <is>
          <t>YA (didukung konteks)</t>
        </is>
      </c>
    </row>
    <row r="972">
      <c r="A972" t="n">
        <v>83</v>
      </c>
      <c r="B972" t="inlineStr">
        <is>
          <t>A</t>
        </is>
      </c>
      <c r="C972" t="n">
        <v>3</v>
      </c>
      <c r="D972" s="3" t="inlineStr">
        <is>
          <t>Sebagai contoh, dalam problem solving, Anda dapat menggunakan prinsip "helicopter view" untuk melihat persoalan dari atas secara menyeluruh sebelum mendalami detail.</t>
        </is>
      </c>
      <c r="E972" t="inlineStr">
        <is>
          <t>YA (didukung konteks)</t>
        </is>
      </c>
    </row>
    <row r="973">
      <c r="A973" t="n">
        <v>83</v>
      </c>
      <c r="B973" t="inlineStr">
        <is>
          <t>A</t>
        </is>
      </c>
      <c r="C973" t="n">
        <v>4</v>
      </c>
      <c r="D973" s="3" t="inlineStr">
        <is>
          <t>Abstraksi bukan membuang bagian yang tidak penting, melainkan hanya memberikan prioritas paling rendah untuk diperhatikan pada bagian tersebut.</t>
        </is>
      </c>
      <c r="E973" t="inlineStr">
        <is>
          <t>YA (didukung konteks)</t>
        </is>
      </c>
    </row>
    <row r="974">
      <c r="A974" t="n">
        <v>83</v>
      </c>
      <c r="B974" t="inlineStr">
        <is>
          <t>A</t>
        </is>
      </c>
      <c r="C974" t="n">
        <v>5</v>
      </c>
      <c r="D974" s="3" t="inlineStr">
        <is>
          <t>Dalam bidang lain, seperti karya ilmiah dan statistika, abstraksi juga digunakan untuk merangkum inti dari keseluruhan karya ilmiah atau data.</t>
        </is>
      </c>
      <c r="E974" t="inlineStr">
        <is>
          <t>YA (didukung konteks)</t>
        </is>
      </c>
    </row>
    <row r="975">
      <c r="A975" t="n">
        <v>83</v>
      </c>
      <c r="B975" t="inlineStr">
        <is>
          <t>A</t>
        </is>
      </c>
      <c r="C975" t="n">
        <v>6</v>
      </c>
      <c r="D975" s="3" t="inlineStr">
        <is>
          <t>Hal ini berbeda dengan "losing sight of the forest for the trees", yang terlalu fokus pada detail hingga kehilangan gambaran besar.</t>
        </is>
      </c>
      <c r="E975" t="inlineStr">
        <is>
          <t>YA (didukung konteks)</t>
        </is>
      </c>
    </row>
    <row r="976">
      <c r="A976" t="n">
        <v>83</v>
      </c>
      <c r="B976" t="inlineStr">
        <is>
          <t>B</t>
        </is>
      </c>
      <c r="C976" t="n">
        <v>1</v>
      </c>
      <c r="D976" s="3" t="inlineStr">
        <is>
          <t>Dalam sintaks, Anda dapat mengidentifikasi fungsi yang mengimplementasikan abstraksi jika kode internalnya tidak terlihat atau tidak berpengaruh pada perilaku fungsi, dan hanya memberikan interface yang sesuai untuk meng</t>
        </is>
      </c>
      <c r="E976" t="inlineStr">
        <is>
          <t>YA (didukung konteks)</t>
        </is>
      </c>
    </row>
    <row r="977">
      <c r="A977" t="n">
        <v>83</v>
      </c>
      <c r="B977" t="inlineStr">
        <is>
          <t>B</t>
        </is>
      </c>
      <c r="C977" t="n">
        <v>2</v>
      </c>
      <c r="D977" s="3" t="inlineStr">
        <is>
          <t>Abstraksi hanya terjadi ketika Anda "sembunyikan detail yang tidak perlu" dengan cara menulis kode yang lebih umum dan fleksibel, sehingga tidak memerlukan pengetahuan tentang bagian-bagian internal fungsi.</t>
        </is>
      </c>
      <c r="E977" t="inlineStr">
        <is>
          <t>YA (didukung konteks)</t>
        </is>
      </c>
    </row>
    <row r="978">
      <c r="A978" t="n">
        <v>83</v>
      </c>
      <c r="B978" t="inlineStr">
        <is>
          <t>B</t>
        </is>
      </c>
      <c r="C978" t="n">
        <v>3</v>
      </c>
      <c r="D978" s="3" t="inlineStr">
        <is>
          <t>Dalam kasus ini, Anda "sembunyikan detail yang tidak perlu" dengan cara menulis kode yang lebih umum, sehingga fungsi tersebut mengimplementasikan abstraksi.</t>
        </is>
      </c>
      <c r="E978" t="inlineStr">
        <is>
          <t>YA (didukung konteks)</t>
        </is>
      </c>
    </row>
    <row r="979">
      <c r="A979" t="n">
        <v>83</v>
      </c>
      <c r="B979" t="inlineStr">
        <is>
          <t>B</t>
        </is>
      </c>
      <c r="C979" t="n">
        <v>4</v>
      </c>
      <c r="D979" s="3" t="inlineStr">
        <is>
          <t>* Fungsi `calculatePayment(amount, taxRate)` mungkin menggunakan cara yang lebih umum dan fleksibel untuk menghitung pajak.</t>
        </is>
      </c>
      <c r="E979" t="inlineStr">
        <is>
          <t>YA (didukung konteks)</t>
        </is>
      </c>
    </row>
    <row r="980">
      <c r="A980" t="n">
        <v>83</v>
      </c>
      <c r="B980" t="inlineStr">
        <is>
          <t>B</t>
        </is>
      </c>
      <c r="C980" t="n">
        <v>5</v>
      </c>
      <c r="D980" s="3" t="inlineStr">
        <is>
          <t>Dalam kasus ini, Anda tidak "sembunyikan detail yang tidak perlu" dan fungsi tersebut tidak mengimplementasikan abstraksi.</t>
        </is>
      </c>
      <c r="E980" t="inlineStr">
        <is>
          <t>TIDAK (tidak didukung)</t>
        </is>
      </c>
    </row>
    <row r="981">
      <c r="A981" t="n">
        <v>83</v>
      </c>
      <c r="B981" t="inlineStr">
        <is>
          <t>B</t>
        </is>
      </c>
      <c r="C981" t="n">
        <v>6</v>
      </c>
      <c r="D981" s="3" t="inlineStr">
        <is>
          <t>Fungsi dapat dibuat tanpa abstraksi jika Anda hanya menggabungkan beberapa operasi yang sederhana dalam sebuah blok kode.</t>
        </is>
      </c>
      <c r="E981" t="inlineStr">
        <is>
          <t>TIDAK (tidak didukung)</t>
        </is>
      </c>
    </row>
    <row r="982">
      <c r="A982" t="n">
        <v>84</v>
      </c>
      <c r="B982" t="inlineStr">
        <is>
          <t>A</t>
        </is>
      </c>
      <c r="C982" t="n">
        <v>1</v>
      </c>
      <c r="D982" s="3" t="inlineStr">
        <is>
          <t>Sebaliknya, BFS di graph diimplementasikan menggunakan antrian (queue), karena algoritma tersebut memerlukan penjelasan semua node yang berada di jalur-jalur yang sama sebelum dapat pergi ke jalur lain.</t>
        </is>
      </c>
      <c r="E982" t="inlineStr">
        <is>
          <t>TIDAK (tidak didukung)</t>
        </is>
      </c>
    </row>
    <row r="983">
      <c r="A983" t="n">
        <v>84</v>
      </c>
      <c r="B983" t="inlineStr">
        <is>
          <t>A</t>
        </is>
      </c>
      <c r="C983" t="n">
        <v>2</v>
      </c>
      <c r="D983" s="3" t="inlineStr">
        <is>
          <t>Jika kita menggunakan rekursi untuk implementasikan BFS, maka akan sulit untuk menangani situasi-situasi seperti graph yang memiliki beberapa jalur yang sama.</t>
        </is>
      </c>
      <c r="E983" t="inlineStr">
        <is>
          <t>YA (didukung konteks)</t>
        </is>
      </c>
    </row>
    <row r="984">
      <c r="A984" t="n">
        <v>84</v>
      </c>
      <c r="B984" t="inlineStr">
        <is>
          <t>A</t>
        </is>
      </c>
      <c r="C984" t="n">
        <v>3</v>
      </c>
      <c r="D984" s="3" t="inlineStr">
        <is>
          <t>Dosen bilang DFS di graph biasanya diimplementasikan rekursif karena algoritma tersebut memiliki struktur hierarkis yang sesuai dengan prinsip rekursi.</t>
        </is>
      </c>
      <c r="E984" t="inlineStr">
        <is>
          <t>YA (didukung konteks)</t>
        </is>
      </c>
    </row>
    <row r="985">
      <c r="A985" t="n">
        <v>84</v>
      </c>
      <c r="B985" t="inlineStr">
        <is>
          <t>A</t>
        </is>
      </c>
      <c r="C985" t="n">
        <v>4</v>
      </c>
      <c r="D985" s="3" t="inlineStr">
        <is>
          <t>Kita tidak perlu memperhatikan jalur-jalur yang telah dikunjungi sebelumnya, karena kita hanya ingin menemukan semua node yang terhubung ke node induk.</t>
        </is>
      </c>
      <c r="E985" t="inlineStr">
        <is>
          <t>TIDAK (tidak didukung)</t>
        </is>
      </c>
    </row>
    <row r="986">
      <c r="A986" t="n">
        <v>84</v>
      </c>
      <c r="B986" t="inlineStr">
        <is>
          <t>A</t>
        </is>
      </c>
      <c r="C986" t="n">
        <v>5</v>
      </c>
      <c r="D986" s="3" t="inlineStr">
        <is>
          <t>Dengan demikian, DFS lebih cocok diimplementasikan secara rekursif karena struktur hierarkisnya sesuai dengan prinsip rekursi.</t>
        </is>
      </c>
      <c r="E986" t="inlineStr">
        <is>
          <t>YA (didukung konteks)</t>
        </is>
      </c>
    </row>
    <row r="987">
      <c r="A987" t="n">
        <v>84</v>
      </c>
      <c r="B987" t="inlineStr">
        <is>
          <t>A</t>
        </is>
      </c>
      <c r="C987" t="n">
        <v>6</v>
      </c>
      <c r="D987" s="3" t="inlineStr">
        <is>
          <t>Dalam DFS, kita mulai dari node tertentu dan kemudian eksplorasi seluruh anak-anaknya secara rekursif.</t>
        </is>
      </c>
      <c r="E987" t="inlineStr">
        <is>
          <t>YA (didukung konteks)</t>
        </is>
      </c>
    </row>
    <row r="988">
      <c r="A988" t="n">
        <v>84</v>
      </c>
      <c r="B988" t="inlineStr">
        <is>
          <t>B</t>
        </is>
      </c>
      <c r="C988" t="n">
        <v>1</v>
      </c>
      <c r="D988" s="3" t="inlineStr">
        <is>
          <t xml:space="preserve">Dalam kesimpulan, DFS diimplementasikan rekursif karena memiliki kelebihan dalam eksplorasi yang dalam dan tidak perlu menyimpan informasi, sementara BFS lebih cocok digunakan dengan implementasi queue karena eksplorasi </t>
        </is>
      </c>
      <c r="E988" t="inlineStr">
        <is>
          <t>YA (didukung konteks)</t>
        </is>
      </c>
    </row>
    <row r="989">
      <c r="A989" t="n">
        <v>84</v>
      </c>
      <c r="B989" t="inlineStr">
        <is>
          <t>B</t>
        </is>
      </c>
      <c r="C989" t="n">
        <v>2</v>
      </c>
      <c r="D989" s="3" t="inlineStr">
        <is>
          <t>**Cepat dan efisien**: Implementasi rekursif DFS dapat lebih cepat dan efisien karena tidak perlu membuat copy dari graph atau menyimpan informasi tentang node-node yang sudah dikunjungi sebelumnya.</t>
        </is>
      </c>
      <c r="E989" t="inlineStr">
        <is>
          <t>YA (didukung konteks)</t>
        </is>
      </c>
    </row>
    <row r="990">
      <c r="A990" t="n">
        <v>84</v>
      </c>
      <c r="B990" t="inlineStr">
        <is>
          <t>B</t>
        </is>
      </c>
      <c r="C990" t="n">
        <v>3</v>
      </c>
      <c r="D990" s="3" t="inlineStr">
        <is>
          <t>**Eksplorasi yang dalam**: DFS melakukan eksplorasi yang sangat dalam dalam graph, artinya DFS akan menjelajahi setiap simpul dan kembali ke simpul awal sebelum melanjutkan ke simpul lainnya.</t>
        </is>
      </c>
      <c r="E990" t="inlineStr">
        <is>
          <t>TIDAK (tidak didukung)</t>
        </is>
      </c>
    </row>
    <row r="991">
      <c r="A991" t="n">
        <v>84</v>
      </c>
      <c r="B991" t="inlineStr">
        <is>
          <t>B</t>
        </is>
      </c>
      <c r="C991" t="n">
        <v>4</v>
      </c>
      <c r="D991" s="3" t="inlineStr">
        <is>
          <t>**Perlu menyimpan informasi**: Dalam implementasi queue, BFS perlu menyimpan informasi tentang node-node yang sudah dikunjungi sebelumnya untuk menghindari revisiting node yang sama.</t>
        </is>
      </c>
      <c r="E991" t="inlineStr">
        <is>
          <t>YA (didukung konteks)</t>
        </is>
      </c>
    </row>
    <row r="992">
      <c r="A992" t="n">
        <v>84</v>
      </c>
      <c r="B992" t="inlineStr">
        <is>
          <t>B</t>
        </is>
      </c>
      <c r="C992" t="n">
        <v>5</v>
      </c>
      <c r="D992" s="3" t="inlineStr">
        <is>
          <t>Rekursi dapat memanfaatkan stack untuk merekam node-node yang akan diunjungi berikutnya, sehingga tidak perlu menggunakan data struktur lain seperti queue atau array.</t>
        </is>
      </c>
      <c r="E992" t="inlineStr">
        <is>
          <t>YA (didukung konteks)</t>
        </is>
      </c>
    </row>
    <row r="993">
      <c r="A993" t="n">
        <v>84</v>
      </c>
      <c r="B993" t="inlineStr">
        <is>
          <t>B</t>
        </is>
      </c>
      <c r="C993" t="n">
        <v>6</v>
      </c>
      <c r="D993" s="3" t="inlineStr">
        <is>
          <t>DFS (Depth-First Search) seringkali diimplementasikan menggunakan rekursi karena memiliki beberapa kelebihan yang membuatnya lebih cocok digunakan pada DFS.</t>
        </is>
      </c>
      <c r="E993" t="inlineStr">
        <is>
          <t>YA (didukung konteks)</t>
        </is>
      </c>
    </row>
    <row r="994">
      <c r="A994" t="n">
        <v>85</v>
      </c>
      <c r="B994" t="inlineStr">
        <is>
          <t>A</t>
        </is>
      </c>
      <c r="C994" t="n">
        <v>1</v>
      </c>
      <c r="D994" s="3" t="inlineStr">
        <is>
          <t>Dalam menyelesaikan masalah cek apakah kata 'katak' adalah palindrom tanpa menggunakan fungsi string bawaan, kita dapat memanfaatkan perulangan untuk menganalisis setiap huruf dalam kata dan menggantikan dengan huruf seb</t>
        </is>
      </c>
      <c r="E994" t="inlineStr">
        <is>
          <t>YA (didukung konteks)</t>
        </is>
      </c>
    </row>
    <row r="995">
      <c r="A995" t="n">
        <v>85</v>
      </c>
      <c r="B995" t="inlineStr">
        <is>
          <t>A</t>
        </is>
      </c>
      <c r="C995" t="n">
        <v>2</v>
      </c>
      <c r="D995" s="3" t="inlineStr">
        <is>
          <t>Perlu diingat bahwa perulangan dalam pseudocode di atas menggunakan konsep iterasi tetap (loop for) yang linear, sehingga kompleksitas waktunya adalah O(n), dimana n adalah panjang kata.</t>
        </is>
      </c>
      <c r="E995" t="inlineStr">
        <is>
          <t>YA (didukung konteks)</t>
        </is>
      </c>
    </row>
    <row r="996">
      <c r="A996" t="n">
        <v>85</v>
      </c>
      <c r="B996" t="inlineStr">
        <is>
          <t>A</t>
        </is>
      </c>
      <c r="C996" t="n">
        <v>3</v>
      </c>
      <c r="D996" s="3" t="inlineStr">
        <is>
          <t>Pada dasarnya, algoritme ini bekerja dengan menginversi kata dan kemudian membandingkan hasilnya dengan kata asli.</t>
        </is>
      </c>
      <c r="E996" t="inlineStr">
        <is>
          <t>TIDAK (tidak didukung)</t>
        </is>
      </c>
    </row>
    <row r="997">
      <c r="A997" t="n">
        <v>85</v>
      </c>
      <c r="B997" t="inlineStr">
        <is>
          <t>A</t>
        </is>
      </c>
      <c r="C997" t="n">
        <v>4</v>
      </c>
      <c r="D997" s="3" t="inlineStr">
        <is>
          <t>Jika hasil inversinya sama dengan kata asli, maka kata tersebut adalah palindrom.</t>
        </is>
      </c>
      <c r="E997" t="inlineStr">
        <is>
          <t>YA (didukung konteks)</t>
        </is>
      </c>
    </row>
    <row r="998">
      <c r="A998" t="n">
        <v>85</v>
      </c>
      <c r="B998" t="inlineStr">
        <is>
          <t>A</t>
        </is>
      </c>
      <c r="C998" t="n">
        <v>5</v>
      </c>
      <c r="D998" s="3" t="inlineStr">
        <is>
          <t>kata_sebelum = kata_sebelum + huruf_sebelum(h)  // A→Z, B→A, dst.</t>
        </is>
      </c>
      <c r="E998" t="inlineStr">
        <is>
          <t>YA (didukung konteks)</t>
        </is>
      </c>
    </row>
    <row r="999">
      <c r="A999" t="n">
        <v>85</v>
      </c>
      <c r="B999" t="inlineStr">
        <is>
          <t>A</t>
        </is>
      </c>
      <c r="C999" t="n">
        <v>6</v>
      </c>
      <c r="D999" s="3" t="inlineStr">
        <is>
          <t>Berikut adalah pseudocode yang dapat digunakan:</t>
        </is>
      </c>
      <c r="E999" t="inlineStr">
        <is>
          <t>YA (didukung konteks)</t>
        </is>
      </c>
    </row>
    <row r="1000">
      <c r="A1000" t="n">
        <v>85</v>
      </c>
      <c r="B1000" t="inlineStr">
        <is>
          <t>B</t>
        </is>
      </c>
      <c r="C1000" t="n">
        <v>1</v>
      </c>
      <c r="D1000" s="3" t="inlineStr">
        <is>
          <t>Akhirnya, kita bandingkan kata asli dengan kata yang dibalik menggunakan fungsi `strcmp`, dan jika sama maka kata asli adalah palindrom.</t>
        </is>
      </c>
      <c r="E1000" t="inlineStr">
        <is>
          <t>YA (didukung konteks)</t>
        </is>
      </c>
    </row>
    <row r="1001">
      <c r="A1001" t="n">
        <v>85</v>
      </c>
      <c r="B1001" t="inlineStr">
        <is>
          <t>B</t>
        </is>
      </c>
      <c r="C1001" t="n">
        <v>2</v>
      </c>
      <c r="D1001" s="3" t="inlineStr">
        <is>
          <t>Dalam kode di atas, kita menggunakan fungsi `strlen` untuk mendapatkan panjang kata, lalu loop melalui setengah bagian dari kata asli.</t>
        </is>
      </c>
      <c r="E1001" t="inlineStr">
        <is>
          <t>TIDAK (tidak didukung)</t>
        </is>
      </c>
    </row>
    <row r="1002">
      <c r="A1002" t="n">
        <v>85</v>
      </c>
      <c r="B1002" t="inlineStr">
        <is>
          <t>B</t>
        </is>
      </c>
      <c r="C1002" t="n">
        <v>3</v>
      </c>
      <c r="D1002" s="3" t="inlineStr">
        <is>
          <t>Pernyataan bahwa "katak" adalah palindrom memang benar, karena kata tersebut dapat dibalik dan tetap sama: "katak" menjadi "katak".</t>
        </is>
      </c>
      <c r="E1002" t="inlineStr">
        <is>
          <t>YA (didukung konteks)</t>
        </is>
      </c>
    </row>
    <row r="1003">
      <c r="A1003" t="n">
        <v>85</v>
      </c>
      <c r="B1003" t="inlineStr">
        <is>
          <t>B</t>
        </is>
      </c>
      <c r="C1003" t="n">
        <v>4</v>
      </c>
      <c r="D1003" s="3" t="inlineStr">
        <is>
          <t>Untuk cek apakah suatu kata adalah palindrom tanpa menggunakan fungsi string bawaan, kita dapat menggunakan algoritme berikut:</t>
        </is>
      </c>
      <c r="E1003" t="inlineStr">
        <is>
          <t>YA (didukung konteks)</t>
        </is>
      </c>
    </row>
    <row r="1004">
      <c r="A1004" t="n">
        <v>85</v>
      </c>
      <c r="B1004" t="inlineStr">
        <is>
          <t>B</t>
        </is>
      </c>
      <c r="C1004" t="n">
        <v>5</v>
      </c>
      <c r="D1004" s="3" t="inlineStr">
        <is>
          <t>Looping melalui setengah bagian dari kata asli (misalnya, jika panjang kata adalah `n`, maka looping dilakukan sampai `n/2`).</t>
        </is>
      </c>
      <c r="E1004" t="inlineStr">
        <is>
          <t>YA (didukung konteks)</t>
        </is>
      </c>
    </row>
    <row r="1005">
      <c r="A1005" t="n">
        <v>85</v>
      </c>
      <c r="B1005" t="inlineStr">
        <is>
          <t>B</t>
        </is>
      </c>
      <c r="C1005" t="n">
        <v>6</v>
      </c>
      <c r="D1005" s="3" t="inlineStr">
        <is>
          <t>Dengan algoritme ini, kita dapat cek apakah suatu kata adalah palindrom tanpa menggunakan fungsi string bawaan.</t>
        </is>
      </c>
      <c r="E1005" t="inlineStr">
        <is>
          <t>YA (didukung konteks)</t>
        </is>
      </c>
    </row>
    <row r="1006">
      <c r="A1006" t="n">
        <v>86</v>
      </c>
      <c r="B1006" t="inlineStr">
        <is>
          <t>A</t>
        </is>
      </c>
      <c r="C1006" t="n">
        <v>1</v>
      </c>
      <c r="D1006" s="3" t="inlineStr">
        <is>
          <t>Dengan menggunakan algoritma cekPrima yang lebih efisien, kita dapat meningkatkan kecepatan pengecekan bilangan prima dan mengurangi kompleksitas waktu perulangan.</t>
        </is>
      </c>
      <c r="E1006" t="inlineStr">
        <is>
          <t>YA (didukung konteks)</t>
        </is>
      </c>
    </row>
    <row r="1007">
      <c r="A1007" t="n">
        <v>86</v>
      </c>
      <c r="B1007" t="inlineStr">
        <is>
          <t>A</t>
        </is>
      </c>
      <c r="C1007" t="n">
        <v>2</v>
      </c>
      <c r="D1007" s="3" t="inlineStr">
        <is>
          <t>Pengecekan bilangan prima dengan loop dari 2 sampai n dapat menjadi lambat ketika nilai n tinggi, seperti pada contoh n = 1.000.000.</t>
        </is>
      </c>
      <c r="E1007" t="inlineStr">
        <is>
          <t>YA (didukung konteks)</t>
        </is>
      </c>
    </row>
    <row r="1008">
      <c r="A1008" t="n">
        <v>86</v>
      </c>
      <c r="B1008" t="inlineStr">
        <is>
          <t>A</t>
        </is>
      </c>
      <c r="C1008" t="n">
        <v>3</v>
      </c>
      <c r="D1008" s="3" t="inlineStr">
        <is>
          <t>Hal ini karena algoritma loop harus melakukan operasi untuk setiap iterasi, sehingga kompleksitas waktu perulangan menjadi O(n).</t>
        </is>
      </c>
      <c r="E1008" t="inlineStr">
        <is>
          <t>YA (didukung konteks)</t>
        </is>
      </c>
    </row>
    <row r="1009">
      <c r="A1009" t="n">
        <v>86</v>
      </c>
      <c r="B1009" t="inlineStr">
        <is>
          <t>A</t>
        </is>
      </c>
      <c r="C1009" t="n">
        <v>4</v>
      </c>
      <c r="D1009" s="3" t="inlineStr">
        <is>
          <t>Algoritma ini memanfaatkan fakta bahwa jika n tidak prima, maka n harus memiliki faktor lain selain 1 dan dirinya sendiri.</t>
        </is>
      </c>
      <c r="E1009" t="inlineStr">
        <is>
          <t>YA (didukung konteks)</t>
        </is>
      </c>
    </row>
    <row r="1010">
      <c r="A1010" t="n">
        <v>86</v>
      </c>
      <c r="B1010" t="inlineStr">
        <is>
          <t>A</t>
        </is>
      </c>
      <c r="C1010" t="n">
        <v>5</v>
      </c>
      <c r="D1010" s="3" t="inlineStr">
        <is>
          <t>Sebagai tutor Computational Thinking, saya akan membantu mahasiswa memahami konsep optimasi pengecekan bilangan prima.</t>
        </is>
      </c>
      <c r="E1010" t="inlineStr">
        <is>
          <t>YA (didukung konteks)</t>
        </is>
      </c>
    </row>
    <row r="1011">
      <c r="A1011" t="n">
        <v>86</v>
      </c>
      <c r="B1011" t="inlineStr">
        <is>
          <t>A</t>
        </is>
      </c>
      <c r="C1011" t="n">
        <v>6</v>
      </c>
      <c r="D1011" s="3" t="inlineStr">
        <is>
          <t>Cara mengoptimasi pengecekan bilangan prima adalah dengan menggunakan algoritma cekPrima yang lebih efisien.</t>
        </is>
      </c>
      <c r="E1011" t="inlineStr">
        <is>
          <t>YA (didukung konteks)</t>
        </is>
      </c>
    </row>
    <row r="1012">
      <c r="A1012" t="n">
        <v>86</v>
      </c>
      <c r="B1012" t="inlineStr">
        <is>
          <t>B</t>
        </is>
      </c>
      <c r="C1012" t="n">
        <v>1</v>
      </c>
      <c r="D1012" s="3" t="inlineStr">
        <is>
          <t>**Hanya perlu cek bilangan prima sampai akar(n)**: Karena bilangan prima hanya dapat terjadi pada faktor prima, maka kita tidak perlu cek semua bilangan dari 2 sampai n.</t>
        </is>
      </c>
      <c r="E1012" t="inlineStr">
        <is>
          <t>YA (didukung konteks)</t>
        </is>
      </c>
    </row>
    <row r="1013">
      <c r="A1013" t="n">
        <v>86</v>
      </c>
      <c r="B1013" t="inlineStr">
        <is>
          <t>B</t>
        </is>
      </c>
      <c r="C1013" t="n">
        <v>2</v>
      </c>
      <c r="D1013" s="3" t="inlineStr">
        <is>
          <t>Cara yang paling efektif untuk mengecek bilangan prima dengan cepat adalah menggunakan algoritma Miller-Rabin, yang memiliki waktu kompleksitas O(log^7 n).</t>
        </is>
      </c>
      <c r="E1013" t="inlineStr">
        <is>
          <t>TIDAK (tidak didukung)</t>
        </is>
      </c>
    </row>
    <row r="1014">
      <c r="A1014" t="n">
        <v>86</v>
      </c>
      <c r="B1014" t="inlineStr">
        <is>
          <t>B</t>
        </is>
      </c>
      <c r="C1014" t="n">
        <v>3</v>
      </c>
      <c r="D1014" s="3" t="inlineStr">
        <is>
          <t>Teknik ini bekerja dengan cara membuat wheel yang terdiri dari bilangan prima-bilangan prima, sehingga kita hanya perlu cek beberapa angka saja.</t>
        </is>
      </c>
      <c r="E1014" t="inlineStr">
        <is>
          <t>YA (didukung konteks)</t>
        </is>
      </c>
    </row>
    <row r="1015">
      <c r="A1015" t="n">
        <v>86</v>
      </c>
      <c r="B1015" t="inlineStr">
        <is>
          <t>B</t>
        </is>
      </c>
      <c r="C1015" t="n">
        <v>4</v>
      </c>
      <c r="D1015" s="3" t="inlineStr">
        <is>
          <t>Namun, jika Anda ingin menggunakan loop dari 2 sampai n, maka saya dapat memberikan beberapa tips untuk mengoptimasi pengecekan bilangan prima:</t>
        </is>
      </c>
      <c r="E1015" t="inlineStr">
        <is>
          <t>YA (didukung konteks)</t>
        </is>
      </c>
    </row>
    <row r="1016">
      <c r="A1016" t="n">
        <v>86</v>
      </c>
      <c r="B1016" t="inlineStr">
        <is>
          <t>B</t>
        </is>
      </c>
      <c r="C1016" t="n">
        <v>5</v>
      </c>
      <c r="D1016" s="3" t="inlineStr">
        <is>
          <t>**Menggunakan Wheel Implementation**: Wheel implementation adalah suatu teknik untuk mengurangi jumlah iterasi dalam cek bilangan prima.</t>
        </is>
      </c>
      <c r="E1016" t="inlineStr">
        <is>
          <t>YA (didukung konteks)</t>
        </is>
      </c>
    </row>
    <row r="1017">
      <c r="A1017" t="n">
        <v>86</v>
      </c>
      <c r="B1017" t="inlineStr">
        <is>
          <t>B</t>
        </is>
      </c>
      <c r="C1017" t="n">
        <v>6</v>
      </c>
      <c r="D1017" s="3" t="inlineStr">
        <is>
          <t>Dengan menggunakan teknik di atas, Anda dapat meningkatkan kinerja program cek bilangan prima dengan waktu kompleksitas O(√n).</t>
        </is>
      </c>
      <c r="E1017" t="inlineStr">
        <is>
          <t>YA (didukung konteks)</t>
        </is>
      </c>
    </row>
    <row r="1018">
      <c r="A1018" t="n">
        <v>87</v>
      </c>
      <c r="B1018" t="inlineStr">
        <is>
          <t>A</t>
        </is>
      </c>
      <c r="C1018" t="n">
        <v>1</v>
      </c>
      <c r="D1018" s="3" t="inlineStr">
        <is>
          <t>Misalnya, jika kita ingin mengetahui apakah bilangan tersebut memiliki 1 digit atau 2 digit, kita dapat menghitung sisa hasil pembagian dengan modulo 10.</t>
        </is>
      </c>
      <c r="E1018" t="inlineStr">
        <is>
          <t>YA (didukung konteks)</t>
        </is>
      </c>
    </row>
    <row r="1019">
      <c r="A1019" t="n">
        <v>87</v>
      </c>
      <c r="B1019" t="inlineStr">
        <is>
          <t>A</t>
        </is>
      </c>
      <c r="C1019" t="n">
        <v>2</v>
      </c>
      <c r="D1019" s="3" t="inlineStr">
        <is>
          <t>Untuk menghitung berapa digit bilangan tersebut tanpa mengubahnya ke string, kita dapat menggunakan operasi aritmatika.</t>
        </is>
      </c>
      <c r="E1019" t="inlineStr">
        <is>
          <t>YA (didukung konteks)</t>
        </is>
      </c>
    </row>
    <row r="1020">
      <c r="A1020" t="n">
        <v>87</v>
      </c>
      <c r="B1020" t="inlineStr">
        <is>
          <t>A</t>
        </is>
      </c>
      <c r="C1020" t="n">
        <v>3</v>
      </c>
      <c r="D1020" s="3" t="inlineStr">
        <is>
          <t>Mahasiswa, untuk menyelesaikan tugas Anda, kita akan menggunakan konsep dasar dari pseudocode dan operasi aritmatika.</t>
        </is>
      </c>
      <c r="E1020" t="inlineStr">
        <is>
          <t>YA (didukung konteks)</t>
        </is>
      </c>
    </row>
    <row r="1021">
      <c r="A1021" t="n">
        <v>87</v>
      </c>
      <c r="B1021" t="inlineStr">
        <is>
          <t>A</t>
        </is>
      </c>
      <c r="C1021" t="n">
        <v>4</v>
      </c>
      <c r="D1021" s="3" t="inlineStr">
        <is>
          <t>Jika kita lanjutkan untuk mendapatkan jumlah digit yang lebih banyak, kita dapat menghitung sisa dengan modulo 100.</t>
        </is>
      </c>
      <c r="E1021" t="inlineStr">
        <is>
          <t>YA (didukung konteks)</t>
        </is>
      </c>
    </row>
    <row r="1022">
      <c r="A1022" t="n">
        <v>87</v>
      </c>
      <c r="B1022" t="inlineStr">
        <is>
          <t>A</t>
        </is>
      </c>
      <c r="C1022" t="n">
        <v>5</v>
      </c>
      <c r="D1022" s="3" t="inlineStr">
        <is>
          <t>Kita dapat menggunakan konsep modulo (sisa) untuk menentukan jumlah digit dari bilangan 98765.</t>
        </is>
      </c>
      <c r="E1022" t="inlineStr">
        <is>
          <t>YA (didukung konteks)</t>
        </is>
      </c>
    </row>
    <row r="1023">
      <c r="A1023" t="n">
        <v>87</v>
      </c>
      <c r="B1023" t="inlineStr">
        <is>
          <t>A</t>
        </is>
      </c>
      <c r="C1023" t="n">
        <v>6</v>
      </c>
      <c r="D1023" s="3" t="inlineStr">
        <is>
          <t>Pertama-tama, kita akan memahami bahwa 98765 adalah bilangan yang memiliki banyak digit.</t>
        </is>
      </c>
      <c r="E1023" t="inlineStr">
        <is>
          <t>YA (didukung konteks)</t>
        </is>
      </c>
    </row>
    <row r="1024">
      <c r="A1024" t="n">
        <v>87</v>
      </c>
      <c r="B1024" t="inlineStr">
        <is>
          <t>B</t>
        </is>
      </c>
      <c r="C1024" t="n">
        <v>1</v>
      </c>
      <c r="D1024" s="3" t="inlineStr">
        <is>
          <t>- Kita lakukan pembagian berulang dengan cara mengalikan bilangan dengan 10 (integer /= 10) dan menambahkan 1 ke variabel jumlah_digit untuk setiap kali pembagian.</t>
        </is>
      </c>
      <c r="E1024" t="inlineStr">
        <is>
          <t>YA (didukung konteks)</t>
        </is>
      </c>
    </row>
    <row r="1025">
      <c r="A1025" t="n">
        <v>87</v>
      </c>
      <c r="B1025" t="inlineStr">
        <is>
          <t>B</t>
        </is>
      </c>
      <c r="C1025" t="n">
        <v>2</v>
      </c>
      <c r="D1025" s="3" t="inlineStr">
        <is>
          <t>- Pembagian akan terhenti ketika integer = 0, artinya kita telah mencapai digit pertama dari bilangan asli.</t>
        </is>
      </c>
      <c r="E1025" t="inlineStr">
        <is>
          <t>YA (didukung konteks)</t>
        </is>
      </c>
    </row>
    <row r="1026">
      <c r="A1026" t="n">
        <v>87</v>
      </c>
      <c r="B1026" t="inlineStr">
        <is>
          <t>B</t>
        </is>
      </c>
      <c r="C1026" t="n">
        <v>3</v>
      </c>
      <c r="D1026" s="3" t="inlineStr">
        <is>
          <t>Dalam masalah ini, kita perlu menghitung jumlah digit bilangan 98765 tanpa mengubahnya menjadi string.</t>
        </is>
      </c>
      <c r="E1026" t="inlineStr">
        <is>
          <t>YA (didukung konteks)</t>
        </is>
      </c>
    </row>
    <row r="1027">
      <c r="A1027" t="n">
        <v>87</v>
      </c>
      <c r="B1027" t="inlineStr">
        <is>
          <t>B</t>
        </is>
      </c>
      <c r="C1027" t="n">
        <v>4</v>
      </c>
      <c r="D1027" s="3" t="inlineStr">
        <is>
          <t>Cara termudah untuk menyelesaikan masalah ini adalah dengan cara pembagian berulang.</t>
        </is>
      </c>
      <c r="E1027" t="inlineStr">
        <is>
          <t>YA (didukung konteks)</t>
        </is>
      </c>
    </row>
    <row r="1028">
      <c r="A1028" t="n">
        <v>87</v>
      </c>
      <c r="B1028" t="inlineStr">
        <is>
          <t>B</t>
        </is>
      </c>
      <c r="C1028" t="n">
        <v>5</v>
      </c>
      <c r="D1028" s="3" t="inlineStr">
        <is>
          <t>Dalam Bahasa Indonesia, jawaban yang kita dapatkan adalah: 5 digit.</t>
        </is>
      </c>
      <c r="E1028" t="inlineStr">
        <is>
          <t>YA (didukung konteks)</t>
        </is>
      </c>
    </row>
    <row r="1029">
      <c r="A1029" t="n">
        <v>87</v>
      </c>
      <c r="B1029" t="inlineStr">
        <is>
          <t>B</t>
        </is>
      </c>
      <c r="C1029" t="n">
        <v>6</v>
      </c>
      <c r="D1029" s="3" t="inlineStr">
        <is>
          <t>Kita hanya boleh menggunakan operasi aritmatika.</t>
        </is>
      </c>
      <c r="E1029" t="inlineStr">
        <is>
          <t>YA (didukung konteks)</t>
        </is>
      </c>
    </row>
    <row r="1030">
      <c r="A1030" t="n">
        <v>88</v>
      </c>
      <c r="B1030" t="inlineStr">
        <is>
          <t>A</t>
        </is>
      </c>
      <c r="C1030" t="n">
        <v>1</v>
      </c>
      <c r="D1030" s="3" t="inlineStr">
        <is>
          <t>Dalam hal ini, lansia dan ibu hamil diprioritaskan karena mereka memiliki prioritas yang lebih tinggi dibandingkan dengan nasabah biasa.</t>
        </is>
      </c>
      <c r="E1030" t="inlineStr">
        <is>
          <t>TIDAK (tidak didukung)</t>
        </is>
      </c>
    </row>
    <row r="1031">
      <c r="A1031" t="n">
        <v>88</v>
      </c>
      <c r="B1031" t="inlineStr">
        <is>
          <t>A</t>
        </is>
      </c>
      <c r="C1031" t="n">
        <v>2</v>
      </c>
      <c r="D1031" s="3" t="inlineStr">
        <is>
          <t>Dengan menggunakan struktur data Queue, Anda dapat menyelesaikan masalah antrian loket bank dengan cara yang efektif dan efisien.</t>
        </is>
      </c>
      <c r="E1031" t="inlineStr">
        <is>
          <t>YA (didukung konteks)</t>
        </is>
      </c>
    </row>
    <row r="1032">
      <c r="A1032" t="n">
        <v>88</v>
      </c>
      <c r="B1032" t="inlineStr">
        <is>
          <t>A</t>
        </is>
      </c>
      <c r="C1032" t="n">
        <v>3</v>
      </c>
      <c r="D1032" s="3" t="inlineStr">
        <is>
          <t>Queue memungkinkan nasabah untuk menunggu giliran tanpa membandingkan prioritas antara lansia, ibu hamil, dan nasabah biasa.</t>
        </is>
      </c>
      <c r="E1032" t="inlineStr">
        <is>
          <t>TIDAK (tidak didukung)</t>
        </is>
      </c>
    </row>
    <row r="1033">
      <c r="A1033" t="n">
        <v>88</v>
      </c>
      <c r="B1033" t="inlineStr">
        <is>
          <t>A</t>
        </is>
      </c>
      <c r="C1033" t="n">
        <v>4</v>
      </c>
      <c r="D1033" s="3" t="inlineStr">
        <is>
          <t>Dalam kasus antrian loket bank, saya merekomendasikan penggunaan struktur data Queue (Antrean) sebagai solusi terbaik.</t>
        </is>
      </c>
      <c r="E1033" t="inlineStr">
        <is>
          <t>YA (didukung konteks)</t>
        </is>
      </c>
    </row>
    <row r="1034">
      <c r="A1034" t="n">
        <v>88</v>
      </c>
      <c r="B1034" t="inlineStr">
        <is>
          <t>A</t>
        </is>
      </c>
      <c r="C1034" t="n">
        <v>5</v>
      </c>
      <c r="D1034" s="3" t="inlineStr">
        <is>
          <t>Saya akan menjawab pertanyaan Anda dengan menggunakan istilah teknis yang ada dalam materi referensi di atas.</t>
        </is>
      </c>
      <c r="E1034" t="inlineStr">
        <is>
          <t>YA (didukung konteks)</t>
        </is>
      </c>
    </row>
    <row r="1035">
      <c r="A1035" t="n">
        <v>88</v>
      </c>
      <c r="B1035" t="inlineStr">
        <is>
          <t>A</t>
        </is>
      </c>
      <c r="C1035" t="n">
        <v>6</v>
      </c>
      <c r="D1035" s="3" t="inlineStr">
        <is>
          <t>Dengan menggunakan Queue, nasabah dapat diprioritaskan berdasarkan kategori yang telah ditentukan sebelumnya.</t>
        </is>
      </c>
      <c r="E1035" t="inlineStr">
        <is>
          <t>TIDAK (tidak didukung)</t>
        </is>
      </c>
    </row>
    <row r="1036">
      <c r="A1036" t="n">
        <v>88</v>
      </c>
      <c r="B1036" t="inlineStr">
        <is>
          <t>B</t>
        </is>
      </c>
      <c r="C1036" t="n">
        <v>1</v>
      </c>
      <c r="D1036" s="3" t="inlineStr">
        <is>
          <t>Dalam kasus antrian loket bank dengan prioritas bagi nasabah lansia dan ibu hamil, saya merekomendasikan penggunaan Priority Queue (Antrean Prioritas) sebagai struktur data terbaik untuk menangani kebutuhan tersebut.</t>
        </is>
      </c>
      <c r="E1036" t="inlineStr">
        <is>
          <t>YA (didukung konteks)</t>
        </is>
      </c>
    </row>
    <row r="1037">
      <c r="A1037" t="n">
        <v>88</v>
      </c>
      <c r="B1037" t="inlineStr">
        <is>
          <t>B</t>
        </is>
      </c>
      <c r="C1037" t="n">
        <v>2</v>
      </c>
      <c r="D1037" s="3" t="inlineStr">
        <is>
          <t>Dengan menggunakan Priority Queue, Anda dapat dengan mudah mengatur prioritas antrian dan memprioritaskan nasabah yang memiliki prioritas lebih tinggi untuk diaturnya dahulu.</t>
        </is>
      </c>
      <c r="E1037" t="inlineStr">
        <is>
          <t>YA (didukung konteks)</t>
        </is>
      </c>
    </row>
    <row r="1038">
      <c r="A1038" t="n">
        <v>88</v>
      </c>
      <c r="B1038" t="inlineStr">
        <is>
          <t>B</t>
        </is>
      </c>
      <c r="C1038" t="n">
        <v>3</v>
      </c>
      <c r="D1038" s="3" t="inlineStr">
        <is>
          <t>Dengan menggunakan Priority Queue, Anda dapat dengan mudah mengatur prioritas antrian dan memprioritaskan nasabah yang memiliki prioritas lebih tinggi untuk diaturnya dahulu.</t>
        </is>
      </c>
      <c r="E1038" t="inlineStr">
        <is>
          <t>YA (didukung konteks)</t>
        </is>
      </c>
    </row>
    <row r="1039">
      <c r="A1039" t="n">
        <v>88</v>
      </c>
      <c r="B1039" t="inlineStr">
        <is>
          <t>B</t>
        </is>
      </c>
      <c r="C1039" t="n">
        <v>4</v>
      </c>
      <c r="D1039" s="3" t="inlineStr">
        <is>
          <t>Priority Queue adalah sebuah data structure yang memungkinkan Anda untuk menginputkan elemen-elemen dengan prioritas yang berbeda.</t>
        </is>
      </c>
      <c r="E1039" t="inlineStr">
        <is>
          <t>YA (didukung konteks)</t>
        </is>
      </c>
    </row>
    <row r="1040">
      <c r="A1040" t="n">
        <v>88</v>
      </c>
      <c r="B1040" t="inlineStr">
        <is>
          <t>B</t>
        </is>
      </c>
      <c r="C1040" t="n">
        <v>5</v>
      </c>
      <c r="D1040" s="3" t="inlineStr">
        <is>
          <t>Dalam kasus ini, Anda dapat membuat tiga jenis prioritas:</t>
        </is>
      </c>
      <c r="E1040" t="inlineStr">
        <is>
          <t>YA (didukung konteks)</t>
        </is>
      </c>
    </row>
    <row r="1041">
      <c r="A1041" t="n">
        <v>88</v>
      </c>
      <c r="B1041" t="inlineStr">
        <is>
          <t>B</t>
        </is>
      </c>
      <c r="C1041" t="n">
        <v>6</v>
      </c>
      <c r="D1041" s="3" t="inlineStr">
        <is>
          <t>Contoh implementasi dalam Bahasa Pemrograman Python:</t>
        </is>
      </c>
      <c r="E1041" t="inlineStr">
        <is>
          <t>YA (didukung konteks)</t>
        </is>
      </c>
    </row>
    <row r="1042">
      <c r="A1042" t="n">
        <v>89</v>
      </c>
      <c r="B1042" t="inlineStr">
        <is>
          <t>A</t>
        </is>
      </c>
      <c r="C1042" t="n">
        <v>1</v>
      </c>
      <c r="D1042" s="3" t="inlineStr">
        <is>
          <t>Computational Thinking (pengenalan pola): Pasangkan bilangan dari ujung kiri dan kanan: 1+10=11, 2+9=11, 3+8=11, 4+7=11, 5+6=11 → Ada 5 pasangan, setiap pasangan = 11 → Total = 5 × 11 = 55 → Formula umum: (n/2) × (n+1)</t>
        </is>
      </c>
      <c r="E1042" t="inlineStr">
        <is>
          <t>YA (didukung konteks)</t>
        </is>
      </c>
    </row>
    <row r="1043">
      <c r="A1043" t="n">
        <v>89</v>
      </c>
      <c r="B1043" t="inlineStr">
        <is>
          <t>A</t>
        </is>
      </c>
      <c r="C1043" t="n">
        <v>2</v>
      </c>
      <c r="D1043" s="3" t="inlineStr">
        <is>
          <t>Soal ujian: tulis fungsi rekursif untuk C(5,2) menggunakan sifat Pascal: C(n,k) = C(n-1,k-1) + C(n-1,k), dengan C(n,0)=C(n,n)=1.</t>
        </is>
      </c>
      <c r="E1043" t="inlineStr">
        <is>
          <t>YA (didukung konteks)</t>
        </is>
      </c>
    </row>
    <row r="1044">
      <c r="A1044" t="n">
        <v>89</v>
      </c>
      <c r="B1044" t="inlineStr">
        <is>
          <t>A</t>
        </is>
      </c>
      <c r="C1044" t="n">
        <v>3</v>
      </c>
      <c r="D1044" s="3" t="inlineStr">
        <is>
          <t>Rasio suku berurutan: 89/55≈1.618, 144/89≈1.618, 233/144≈1.618 → Mendekati bilangan Emas (Golden Ratio) φ ≈ 1.618033...</t>
        </is>
      </c>
      <c r="E1044" t="inlineStr">
        <is>
          <t>YA (didukung konteks)</t>
        </is>
      </c>
    </row>
    <row r="1045">
      <c r="A1045" t="n">
        <v>89</v>
      </c>
      <c r="B1045" t="inlineStr">
        <is>
          <t>A</t>
        </is>
      </c>
      <c r="C1045" t="n">
        <v>4</v>
      </c>
      <c r="D1045" s="3" t="inlineStr">
        <is>
          <t>Dekomposisikan masalah "mencari FPB dari tiga bilangan a, b, c" menjadi sub-masalah yang lebih kecil!</t>
        </is>
      </c>
      <c r="E1045" t="inlineStr">
        <is>
          <t>TIDAK (tidak didukung)</t>
        </is>
      </c>
    </row>
    <row r="1046">
      <c r="A1046" t="n">
        <v>89</v>
      </c>
      <c r="B1046" t="inlineStr">
        <is>
          <t>A</t>
        </is>
      </c>
      <c r="C1046" t="n">
        <v>5</v>
      </c>
      <c r="D1046" s="3" t="inlineStr">
        <is>
          <t>Sesuaikan gaya penjelasan dengan tipe kognitif: Level 5 Lanjut / Pragmatis / Global / Reflektif.</t>
        </is>
      </c>
      <c r="E1046" t="inlineStr">
        <is>
          <t>YA (didukung konteks)</t>
        </is>
      </c>
    </row>
    <row r="1047">
      <c r="A1047" t="n">
        <v>89</v>
      </c>
      <c r="B1047" t="inlineStr">
        <is>
          <t>A</t>
        </is>
      </c>
      <c r="C1047" t="n">
        <v>6</v>
      </c>
      <c r="D1047" s="3" t="inlineStr">
        <is>
          <t>Kunci: CT mencari POLA untuk membangun SOLUSI EFISIEN, bukan menghitung satu per satu.</t>
        </is>
      </c>
      <c r="E1047" t="inlineStr">
        <is>
          <t>YA (didukung konteks)</t>
        </is>
      </c>
    </row>
    <row r="1048">
      <c r="A1048" t="n">
        <v>89</v>
      </c>
      <c r="B1048" t="inlineStr">
        <is>
          <t>B</t>
        </is>
      </c>
      <c r="C1048" t="n">
        <v>1</v>
      </c>
      <c r="D1048" s="3" t="inlineStr">
        <is>
          <t>Dengan demikian, fungsi ini akan terus dipanggil hingga kita mencapai kasus di atas, pada mana kita dapat langsung mengembalikan nilai 1.</t>
        </is>
      </c>
      <c r="E1048" t="inlineStr">
        <is>
          <t>YA (didukung konteks)</t>
        </is>
      </c>
    </row>
    <row r="1049">
      <c r="A1049" t="n">
        <v>89</v>
      </c>
      <c r="B1049" t="inlineStr">
        <is>
          <t>B</t>
        </is>
      </c>
      <c r="C1049" t="n">
        <v>2</v>
      </c>
      <c r="D1049" s="3" t="inlineStr">
        <is>
          <t>Kita hanya perlu memahami algoritma rekursif dan mencoba menerapkan sifat Pascal untuk menghitung nilai C(n,k).</t>
        </is>
      </c>
      <c r="E1049" t="inlineStr">
        <is>
          <t>YA (didukung konteks)</t>
        </is>
      </c>
    </row>
    <row r="1050">
      <c r="A1050" t="n">
        <v>89</v>
      </c>
      <c r="B1050" t="inlineStr">
        <is>
          <t>B</t>
        </is>
      </c>
      <c r="C1050" t="n">
        <v>3</v>
      </c>
      <c r="D1050" s="3" t="inlineStr">
        <is>
          <t>Kita dapat menuliskan fungsi rekursif untuk menghitung nilai C(5,2) menggunakan sifat Pascal sebagai berikut:</t>
        </is>
      </c>
      <c r="E1050" t="inlineStr">
        <is>
          <t>TIDAK (tidak didukung)</t>
        </is>
      </c>
    </row>
    <row r="1051">
      <c r="A1051" t="n">
        <v>89</v>
      </c>
      <c r="B1051" t="inlineStr">
        <is>
          <t>B</t>
        </is>
      </c>
      <c r="C1051" t="n">
        <v>4</v>
      </c>
      <c r="D1051" s="3" t="inlineStr">
        <is>
          <t>Jika k adalah 0 atau n, maka kita dapat langsung mengembalikan nilai 1, karena C(n,0) = C(n,n) = 1.</t>
        </is>
      </c>
      <c r="E1051" t="inlineStr">
        <is>
          <t>YA (didukung konteks)</t>
        </is>
      </c>
    </row>
    <row r="1052">
      <c r="A1052" t="n">
        <v>89</v>
      </c>
      <c r="B1052" t="inlineStr">
        <is>
          <t>B</t>
        </is>
      </c>
      <c r="C1052" t="n">
        <v>5</v>
      </c>
      <c r="D1052" s="3" t="inlineStr">
        <is>
          <t>Jika k bukan 0 dan n, maka kita dapat menggunakan sifat Pascal untuk menghitung nilai C(n,k).</t>
        </is>
      </c>
      <c r="E1052" t="inlineStr">
        <is>
          <t>TIDAK (tidak didukung)</t>
        </is>
      </c>
    </row>
    <row r="1053">
      <c r="A1053" t="n">
        <v>89</v>
      </c>
      <c r="B1053" t="inlineStr">
        <is>
          <t>B</t>
        </is>
      </c>
      <c r="C1053" t="n">
        <v>6</v>
      </c>
      <c r="D1053" s="3" t="inlineStr">
        <is>
          <t>Kita akan memanggil fungsi ini dua kali dengan argumen yang berbeda: C(n-1,k-1) dan C(n-1,k).</t>
        </is>
      </c>
      <c r="E1053" t="inlineStr">
        <is>
          <t>YA (didukung konteks)</t>
        </is>
      </c>
    </row>
    <row r="1054">
      <c r="A1054" t="n">
        <v>90</v>
      </c>
      <c r="B1054" t="inlineStr">
        <is>
          <t>A</t>
        </is>
      </c>
      <c r="C1054" t="n">
        <v>1</v>
      </c>
      <c r="D1054" s="3" t="inlineStr">
        <is>
          <t>Dalam analisis kompleksitas algoritme, kita dapat melihat bahwa algoritme bubble sort memiliki kompleksitas O(n^2) karena pada setiap iterasi, kita melakukan perbandingan dan swap sebanyak n-1 elemen.</t>
        </is>
      </c>
      <c r="E1054" t="inlineStr">
        <is>
          <t>YA (didukung konteks)</t>
        </is>
      </c>
    </row>
    <row r="1055">
      <c r="A1055" t="n">
        <v>90</v>
      </c>
      <c r="B1055" t="inlineStr">
        <is>
          <t>A</t>
        </is>
      </c>
      <c r="C1055" t="n">
        <v>2</v>
      </c>
      <c r="D1055" s="3" t="inlineStr">
        <is>
          <t>Sementara itu, algoritme selection sort memiliki kompleksitas O(n^2) karena pada setiap iterasi, kita memeriksa setiap elemen dalam array dan mengganti posisi elemen terkecil menjadi posisi pertama.</t>
        </is>
      </c>
      <c r="E1055" t="inlineStr">
        <is>
          <t>YA (didukung konteks)</t>
        </is>
      </c>
    </row>
    <row r="1056">
      <c r="A1056" t="n">
        <v>90</v>
      </c>
      <c r="B1056" t="inlineStr">
        <is>
          <t>A</t>
        </is>
      </c>
      <c r="C1056" t="n">
        <v>3</v>
      </c>
      <c r="D1056" s="3" t="inlineStr">
        <is>
          <t>Algoritme merge sort memiliki kompleksitas O(n log n) karena pada setiap iterasi, kita membagi array menjadi dua bagian yang lebih kecil dan kemudian menggabungkan kembali dengan cara yang efisien.</t>
        </is>
      </c>
      <c r="E1056" t="inlineStr">
        <is>
          <t>YA (didukung konteks)</t>
        </is>
      </c>
    </row>
    <row r="1057">
      <c r="A1057" t="n">
        <v>90</v>
      </c>
      <c r="B1057" t="inlineStr">
        <is>
          <t>A</t>
        </is>
      </c>
      <c r="C1057" t="n">
        <v>4</v>
      </c>
      <c r="D1057" s="3" t="inlineStr">
        <is>
          <t>Dalam kaitannya dengan soal kelima, kita dapat melihat bahwa kompleksitas algoritme hanya salah satu aspek yang perlu dipertimbangkan dalam analisis dan implementasi algoritme.</t>
        </is>
      </c>
      <c r="E1057" t="inlineStr">
        <is>
          <t>YA (didukung konteks)</t>
        </is>
      </c>
    </row>
    <row r="1058">
      <c r="A1058" t="n">
        <v>90</v>
      </c>
      <c r="B1058" t="inlineStr">
        <is>
          <t>A</t>
        </is>
      </c>
      <c r="C1058" t="n">
        <v>5</v>
      </c>
      <c r="D1058" s="3" t="inlineStr">
        <is>
          <t>Oleh karena itu, jika kita ingin mencari solusi yang lebih efisien untuk masalah ini, maka kita harus melakukan analisis dan implementasi algoritme yang tepat dan logis.</t>
        </is>
      </c>
      <c r="E1058" t="inlineStr">
        <is>
          <t>YA (didukung konteks)</t>
        </is>
      </c>
    </row>
    <row r="1059">
      <c r="A1059" t="n">
        <v>90</v>
      </c>
      <c r="B1059" t="inlineStr">
        <is>
          <t>A</t>
        </is>
      </c>
      <c r="C1059" t="n">
        <v>6</v>
      </c>
      <c r="D1059" s="3" t="inlineStr">
        <is>
          <t>Oleh karena itu, jika kita ingin mencari solusi yang lebih efisien untuk masalah ini, maka kita harus melakukan analisis dan implementasi algoritme yang tepat dan logis.</t>
        </is>
      </c>
      <c r="E1059" t="inlineStr">
        <is>
          <t>YA (didukung konteks)</t>
        </is>
      </c>
    </row>
    <row r="1060">
      <c r="A1060" t="n">
        <v>90</v>
      </c>
      <c r="B1060" t="inlineStr">
        <is>
          <t>B</t>
        </is>
      </c>
      <c r="C1060" t="n">
        <v>1</v>
      </c>
      <c r="D1060" s="3" t="inlineStr">
        <is>
          <t>Berdasarkan analisis teoretis, merge sort memiliki complexity waktu O(n log n), sedangkan bubble sort dan selection sort memiliki complexity waktu O(n^2).</t>
        </is>
      </c>
      <c r="E1060" t="inlineStr">
        <is>
          <t>YA (didukung konteks)</t>
        </is>
      </c>
    </row>
    <row r="1061">
      <c r="A1061" t="n">
        <v>90</v>
      </c>
      <c r="B1061" t="inlineStr">
        <is>
          <t>B</t>
        </is>
      </c>
      <c r="C1061" t="n">
        <v>2</v>
      </c>
      <c r="D1061" s="3" t="inlineStr">
        <is>
          <t>Merge sort memiliki kecepatan yang jauh lebih cepat dibandingkan dengan bubble sort dan selection sort, terutama ketika data nilai ujian 30.000 mahasiswa.</t>
        </is>
      </c>
      <c r="E1061" t="inlineStr">
        <is>
          <t>YA (didukung konteks)</t>
        </is>
      </c>
    </row>
    <row r="1062">
      <c r="A1062" t="n">
        <v>90</v>
      </c>
      <c r="B1062" t="inlineStr">
        <is>
          <t>B</t>
        </is>
      </c>
      <c r="C1062" t="n">
        <v>3</v>
      </c>
      <c r="D1062" s="3" t="inlineStr">
        <is>
          <t>Dalam soal ini, kita harus membandingkan efisiensi tiga algoritma sorting yang disebut: bubble sort, selection sort, dan merge sort.</t>
        </is>
      </c>
      <c r="E1062" t="inlineStr">
        <is>
          <t>TIDAK (tidak didukung)</t>
        </is>
      </c>
    </row>
    <row r="1063">
      <c r="A1063" t="n">
        <v>90</v>
      </c>
      <c r="B1063" t="inlineStr">
        <is>
          <t>B</t>
        </is>
      </c>
      <c r="C1063" t="n">
        <v>4</v>
      </c>
      <c r="D1063" s="3" t="inlineStr">
        <is>
          <t>Dalam beberapa data nilai ujian 30.000 mahasiswa, perbedaan efisiensi antara algoritma sorting ini akan sangat signifikan.</t>
        </is>
      </c>
      <c r="E1063" t="inlineStr">
        <is>
          <t>YA (didukung konteks)</t>
        </is>
      </c>
    </row>
    <row r="1064">
      <c r="A1064" t="n">
        <v>90</v>
      </c>
      <c r="B1064" t="inlineStr">
        <is>
          <t>B</t>
        </is>
      </c>
      <c r="C1064" t="n">
        <v>5</v>
      </c>
      <c r="D1064" s="3" t="inlineStr">
        <is>
          <t>Dengan demikian, jawaban yang paling tepat adalah: merge sort.</t>
        </is>
      </c>
      <c r="E1064" t="inlineStr">
        <is>
          <t>YA (didukung konteks)</t>
        </is>
      </c>
    </row>
    <row r="1065">
      <c r="A1065" t="n">
        <v>91</v>
      </c>
      <c r="B1065" t="inlineStr">
        <is>
          <t>A</t>
        </is>
      </c>
      <c r="C1065" t="n">
        <v>1</v>
      </c>
      <c r="D1065" s="3" t="inlineStr">
        <is>
          <t>Pertama-tama, perlu ditekankan bahwa fungsi memiliki tujuan utama yaitu mengembalikan nilai yang sesuai dengan kondisi-kondisi tertentu.</t>
        </is>
      </c>
      <c r="E1065" t="inlineStr">
        <is>
          <t>YA (didukung konteks)</t>
        </is>
      </c>
    </row>
    <row r="1066">
      <c r="A1066" t="n">
        <v>91</v>
      </c>
      <c r="B1066" t="inlineStr">
        <is>
          <t>A</t>
        </is>
      </c>
      <c r="C1066" t="n">
        <v>2</v>
      </c>
      <c r="D1066" s="3" t="inlineStr">
        <is>
          <t>Dalam contoh yang diberikan, jika input tertentu memenuhi kondisi if, maka return pertama ("A", "B", atau lainnya) akan dieksekusi.</t>
        </is>
      </c>
      <c r="E1066" t="inlineStr">
        <is>
          <t>YA (didukung konteks)</t>
        </is>
      </c>
    </row>
    <row r="1067">
      <c r="A1067" t="n">
        <v>91</v>
      </c>
      <c r="B1067" t="inlineStr">
        <is>
          <t>A</t>
        </is>
      </c>
      <c r="C1067" t="n">
        <v>3</v>
      </c>
      <c r="D1067" s="3" t="inlineStr">
        <is>
          <t>Dengan demikian, jawaban pada pertanyaan mahasiswa adalah: program akan mengeksekusi return pertama lalu lanjut ke return kedua.</t>
        </is>
      </c>
      <c r="E1067" t="inlineStr">
        <is>
          <t>YA (didukung konteks)</t>
        </is>
      </c>
    </row>
    <row r="1068">
      <c r="A1068" t="n">
        <v>91</v>
      </c>
      <c r="B1068" t="inlineStr">
        <is>
          <t>A</t>
        </is>
      </c>
      <c r="C1068" t="n">
        <v>4</v>
      </c>
      <c r="D1068" s="3" t="inlineStr">
        <is>
          <t>Namun, program tidak akan berhenti di situ, melainkan akan lanjut ke block kode berikutnya dan mengeksekusi return kedua.</t>
        </is>
      </c>
      <c r="E1068" t="inlineStr">
        <is>
          <t>YA (didukung konteks)</t>
        </is>
      </c>
    </row>
    <row r="1069">
      <c r="A1069" t="n">
        <v>91</v>
      </c>
      <c r="B1069" t="inlineStr">
        <is>
          <t>A</t>
        </is>
      </c>
      <c r="C1069" t="n">
        <v>5</v>
      </c>
      <c r="D1069" s="3" t="inlineStr">
        <is>
          <t>Namun, program tidak akan berhenti di situ karena fungsi masih perlu mengeksekusi return kedua.</t>
        </is>
      </c>
      <c r="E1069" t="inlineStr">
        <is>
          <t>YA (didukung konteks)</t>
        </is>
      </c>
    </row>
    <row r="1070">
      <c r="A1070" t="n">
        <v>91</v>
      </c>
      <c r="B1070" t="inlineStr">
        <is>
          <t>A</t>
        </is>
      </c>
      <c r="C1070" t="n">
        <v>6</v>
      </c>
      <c r="D1070" s="3" t="inlineStr">
        <is>
          <t>Dalam kasus ini, fungsi kita memiliki dua return: pertama di dalam if dan kedua di akhir.</t>
        </is>
      </c>
      <c r="E1070" t="inlineStr">
        <is>
          <t>YA (didukung konteks)</t>
        </is>
      </c>
    </row>
    <row r="1071">
      <c r="A1071" t="n">
        <v>91</v>
      </c>
      <c r="B1071" t="inlineStr">
        <is>
          <t>B</t>
        </is>
      </c>
      <c r="C1071" t="n">
        <v>1</v>
      </c>
      <c r="D1071" s="3" t="inlineStr">
        <is>
          <t>Artinya, jawaban yang paling tepat adalah: Program akan stop di return pertama dan tidak akan lanjut ke return kedua.</t>
        </is>
      </c>
      <c r="E1071" t="inlineStr">
        <is>
          <t>YA (didukung konteks)</t>
        </is>
      </c>
    </row>
    <row r="1072">
      <c r="A1072" t="n">
        <v>91</v>
      </c>
      <c r="B1072" t="inlineStr">
        <is>
          <t>B</t>
        </is>
      </c>
      <c r="C1072" t="n">
        <v>2</v>
      </c>
      <c r="D1072" s="3" t="inlineStr">
        <is>
          <t>Dalam hal ini, ketika kondisi if true, maka program akan menghentikan eksekusi dan tidak akan mencapai return kedua.</t>
        </is>
      </c>
      <c r="E1072" t="inlineStr">
        <is>
          <t>YA (didukung konteks)</t>
        </is>
      </c>
    </row>
    <row r="1073">
      <c r="A1073" t="n">
        <v>91</v>
      </c>
      <c r="B1073" t="inlineStr">
        <is>
          <t>B</t>
        </is>
      </c>
      <c r="C1073" t="n">
        <v>3</v>
      </c>
      <c r="D1073" s="3" t="inlineStr">
        <is>
          <t>Dalam bahasa Inggris, fungsi tersebut dikenal sebagai "early returns" atau "short-circuit evaluation".</t>
        </is>
      </c>
      <c r="E1073" t="inlineStr">
        <is>
          <t>YA (didukung konteks)</t>
        </is>
      </c>
    </row>
    <row r="1074">
      <c r="A1074" t="n">
        <v>92</v>
      </c>
      <c r="B1074" t="inlineStr">
        <is>
          <t>A</t>
        </is>
      </c>
      <c r="C1074" t="n">
        <v>1</v>
      </c>
      <c r="D1074" s="3" t="inlineStr">
        <is>
          <t>Teman Anda mungkin mengajukan saran untuk menambahkan n==1 sebagai base case kedua karena beberapa alasan, seperti memastikan fungsi dapat berfungsi dengan benar pada input awal.</t>
        </is>
      </c>
      <c r="E1074" t="inlineStr">
        <is>
          <t>YA (didukung konteks)</t>
        </is>
      </c>
    </row>
    <row r="1075">
      <c r="A1075" t="n">
        <v>92</v>
      </c>
      <c r="B1075" t="inlineStr">
        <is>
          <t>A</t>
        </is>
      </c>
      <c r="C1075" t="n">
        <v>2</v>
      </c>
      <c r="D1075" s="3" t="inlineStr">
        <is>
          <t>Fungsi faktorial hanya memiliki satu definisi yang jelas dan konsisten, yaitu produk dari bilangan natural mulai dari 1 hingga n.</t>
        </is>
      </c>
      <c r="E1075" t="inlineStr">
        <is>
          <t>YA (didukung konteks)</t>
        </is>
      </c>
    </row>
    <row r="1076">
      <c r="A1076" t="n">
        <v>92</v>
      </c>
      <c r="B1076" t="inlineStr">
        <is>
          <t>A</t>
        </is>
      </c>
      <c r="C1076" t="n">
        <v>3</v>
      </c>
      <c r="D1076" s="3" t="inlineStr">
        <is>
          <t>Dalam kasus Anda, n==0 sudah dapat dijadikan sebagai base case karena nilai faktorial 0 secara definitif tidak dipertanyakan.</t>
        </is>
      </c>
      <c r="E1076" t="inlineStr">
        <is>
          <t>YA (didukung konteks)</t>
        </is>
      </c>
    </row>
    <row r="1077">
      <c r="A1077" t="n">
        <v>92</v>
      </c>
      <c r="B1077" t="inlineStr">
        <is>
          <t>A</t>
        </is>
      </c>
      <c r="C1077" t="n">
        <v>4</v>
      </c>
      <c r="D1077" s="3" t="inlineStr">
        <is>
          <t>Dalam fungsi faktorial, base case adalah kondisi penghentian yang tidak memerlukan pemanggilan diri sendiri lagi.</t>
        </is>
      </c>
      <c r="E1077" t="inlineStr">
        <is>
          <t>YA (didukung konteks)</t>
        </is>
      </c>
    </row>
    <row r="1078">
      <c r="A1078" t="n">
        <v>92</v>
      </c>
      <c r="B1078" t="inlineStr">
        <is>
          <t>A</t>
        </is>
      </c>
      <c r="C1078" t="n">
        <v>5</v>
      </c>
      <c r="D1078" s="3" t="inlineStr">
        <is>
          <t>Dalam sintesis, fungsionalitas fungsi faktorial dapat dipertahankan dengan menggunakan base case tunggal n==0.</t>
        </is>
      </c>
      <c r="E1078" t="inlineStr">
        <is>
          <t>YA (didukung konteks)</t>
        </is>
      </c>
    </row>
    <row r="1079">
      <c r="A1079" t="n">
        <v>92</v>
      </c>
      <c r="B1079" t="inlineStr">
        <is>
          <t>A</t>
        </is>
      </c>
      <c r="C1079" t="n">
        <v>6</v>
      </c>
      <c r="D1079" s="3" t="inlineStr">
        <is>
          <t>Tidak perlu menambahkan n==1 sebagai base case kedua karena nilai faktorial 4 masih tetap 24 tanpa ada n==1.</t>
        </is>
      </c>
      <c r="E1079" t="inlineStr">
        <is>
          <t>YA (didukung konteks)</t>
        </is>
      </c>
    </row>
    <row r="1080">
      <c r="A1080" t="n">
        <v>92</v>
      </c>
      <c r="B1080" t="inlineStr">
        <is>
          <t>B</t>
        </is>
      </c>
      <c r="C1080" t="n">
        <v>1</v>
      </c>
      <c r="D1080" s="3" t="inlineStr">
        <is>
          <t>Namun, perlu diingat bahwa penambahan base case n == 1 dapat membantu meningkatkan keterbacaan dan keamanan kode Anda, karena itulah bagian dari definisi faktorial yang lebih lengkap.</t>
        </is>
      </c>
      <c r="E1080" t="inlineStr">
        <is>
          <t>YA (didukung konteks)</t>
        </is>
      </c>
    </row>
    <row r="1081">
      <c r="A1081" t="n">
        <v>92</v>
      </c>
      <c r="B1081" t="inlineStr">
        <is>
          <t>B</t>
        </is>
      </c>
      <c r="C1081" t="n">
        <v>2</v>
      </c>
      <c r="D1081" s="3" t="inlineStr">
        <is>
          <t>Fungsi faktorial yang Anda buat masih berfungsi dengan baik tanpa n == 1 sebagai base case, asalkan Anda tetap memenuhi definisi faktorial untuk semua nilai n positif.</t>
        </is>
      </c>
      <c r="E1081" t="inlineStr">
        <is>
          <t>YA (didukung konteks)</t>
        </is>
      </c>
    </row>
    <row r="1082">
      <c r="A1082" t="n">
        <v>92</v>
      </c>
      <c r="B1082" t="inlineStr">
        <is>
          <t>B</t>
        </is>
      </c>
      <c r="C1082" t="n">
        <v>3</v>
      </c>
      <c r="D1082" s="3" t="inlineStr">
        <is>
          <t>Faktorial (n!) memiliki definisi bahwa jika n adalah bilangan positif, maka faktorialnya adalah hasil kali semua bilangan positif dari 1 sampai n.</t>
        </is>
      </c>
      <c r="E1082" t="inlineStr">
        <is>
          <t>YA (didukung konteks)</t>
        </is>
      </c>
    </row>
    <row r="1083">
      <c r="A1083" t="n">
        <v>92</v>
      </c>
      <c r="B1083" t="inlineStr">
        <is>
          <t>B</t>
        </is>
      </c>
      <c r="C1083" t="n">
        <v>4</v>
      </c>
      <c r="D1083" s="3" t="inlineStr">
        <is>
          <t>Jadi, jika Anda ingin membuat fungsi faktorial yang lebih umum dan lebih mudah dipahami, maka penambahan base case n == 1 dapat diterima.</t>
        </is>
      </c>
      <c r="E1083" t="inlineStr">
        <is>
          <t>YA (didukung konteks)</t>
        </is>
      </c>
    </row>
    <row r="1084">
      <c r="A1084" t="n">
        <v>92</v>
      </c>
      <c r="B1084" t="inlineStr">
        <is>
          <t>B</t>
        </is>
      </c>
      <c r="C1084" t="n">
        <v>5</v>
      </c>
      <c r="D1084" s="3" t="inlineStr">
        <is>
          <t>Namun, Anda juga berhak memiliki argumen bahwa kenyataan bahwa n == 0 adalah base case yang cukup untuk fungsi faktorial.</t>
        </is>
      </c>
      <c r="E1084" t="inlineStr">
        <is>
          <t>YA (didukung konteks)</t>
        </is>
      </c>
    </row>
    <row r="1085">
      <c r="A1085" t="n">
        <v>92</v>
      </c>
      <c r="B1085" t="inlineStr">
        <is>
          <t>B</t>
        </is>
      </c>
      <c r="C1085" t="n">
        <v>6</v>
      </c>
      <c r="D1085" s="3" t="inlineStr">
        <is>
          <t>Karena, dalam definisi faktorial, jika n == 0 maka hasilnya seharusnya adalah 1 (dalam matematika, 0!</t>
        </is>
      </c>
      <c r="E1085" t="inlineStr">
        <is>
          <t>YA (didukung konteks)</t>
        </is>
      </c>
    </row>
    <row r="1086">
      <c r="A1086" t="n">
        <v>93</v>
      </c>
      <c r="B1086" t="inlineStr">
        <is>
          <t>A</t>
        </is>
      </c>
      <c r="C1086" t="n">
        <v>1</v>
      </c>
      <c r="D1086" s="3" t="inlineStr">
        <is>
          <t>Dalam kesimpulan, perulangan bersarang adalah kumpulan perulangan yang di dalamnya terdapat perulangan lain, dan cara membedakan antara algoritme yang sangat lambat dengan yang benar-benar infinite loop adalah dengan mem</t>
        </is>
      </c>
      <c r="E1086" t="inlineStr">
        <is>
          <t>YA (didukung konteks)</t>
        </is>
      </c>
    </row>
    <row r="1087">
      <c r="A1087" t="n">
        <v>93</v>
      </c>
      <c r="B1087" t="inlineStr">
        <is>
          <t>A</t>
        </is>
      </c>
      <c r="C1087" t="n">
        <v>2</v>
      </c>
      <c r="D1087" s="3" t="inlineStr">
        <is>
          <t>Dalam contoh, kita dapat melihat bahwa perulangan luar (outer loop) akan menyelesaikan seluruh iterasinya dari awal hingga akhir, dan setiap satu kali iterasi perulangan luar akan mempengaruhi kondisi perulangan dalam (i</t>
        </is>
      </c>
      <c r="E1087" t="inlineStr">
        <is>
          <t>YA (didukung konteks)</t>
        </is>
      </c>
    </row>
    <row r="1088">
      <c r="A1088" t="n">
        <v>93</v>
      </c>
      <c r="B1088" t="inlineStr">
        <is>
          <t>A</t>
        </is>
      </c>
      <c r="C1088" t="n">
        <v>3</v>
      </c>
      <c r="D1088" s="3" t="inlineStr">
        <is>
          <t>Contoh, jika kita memiliki perulangan seperti `for i = 1 to n do for j = 1 to n do print(i, j)`, maka algoritme tersebut akan berjalan dalam waktu O(n^2) karena jumlah operasi bertumbuh sebanding dengan nilai n.</t>
        </is>
      </c>
      <c r="E1088" t="inlineStr">
        <is>
          <t>YA (didukung konteks)</t>
        </is>
      </c>
    </row>
    <row r="1089">
      <c r="A1089" t="n">
        <v>93</v>
      </c>
      <c r="B1089" t="inlineStr">
        <is>
          <t>A</t>
        </is>
      </c>
      <c r="C1089" t="n">
        <v>4</v>
      </c>
      <c r="D1089" s="3" t="inlineStr">
        <is>
          <t>Saat membedakan antara algoritme yang sangat lambat dengan yang benar-benar infinite loop, kita harus memperhatikan apakah algoritme tersebut mengubah sesuatu yang mempengaruhi kondisi perulangan.</t>
        </is>
      </c>
      <c r="E1089" t="inlineStr">
        <is>
          <t>YA (didukung konteks)</t>
        </is>
      </c>
    </row>
    <row r="1090">
      <c r="A1090" t="n">
        <v>93</v>
      </c>
      <c r="B1090" t="inlineStr">
        <is>
          <t>A</t>
        </is>
      </c>
      <c r="C1090" t="n">
        <v>5</v>
      </c>
      <c r="D1090" s="3" t="inlineStr">
        <is>
          <t>Contoh, jika kita memiliki perulangan seperti `while x &gt; 1 do x = x/2; print(x)`, maka algoritme tersebut akan berada dalam infinite loop karena nilai x tidak akan pernah mencapai nilai 1.</t>
        </is>
      </c>
      <c r="E1090" t="inlineStr">
        <is>
          <t>TIDAK (tidak didukung)</t>
        </is>
      </c>
    </row>
    <row r="1091">
      <c r="A1091" t="n">
        <v>93</v>
      </c>
      <c r="B1091" t="inlineStr">
        <is>
          <t>A</t>
        </is>
      </c>
      <c r="C1091" t="n">
        <v>6</v>
      </c>
      <c r="D1091" s="3" t="inlineStr">
        <is>
          <t>Mahasiswa, saya akan menjelaskan konsep perulangan bersarang (nested loop) dan cara membedakan antara algoritme yang sangat lambat dengan yang benar-benar infinite loop.</t>
        </is>
      </c>
      <c r="E1091" t="inlineStr">
        <is>
          <t>YA (didukung konteks)</t>
        </is>
      </c>
    </row>
    <row r="1092">
      <c r="A1092" t="n">
        <v>93</v>
      </c>
      <c r="B1092" t="inlineStr">
        <is>
          <t>B</t>
        </is>
      </c>
      <c r="C1092" t="n">
        <v>1</v>
      </c>
      <c r="D1092" s="3" t="inlineStr">
        <is>
          <t>Kompleksitas algoritme: Jika algoritme Anda terlalu kompleks dan memerlukan banyak sumber daya sistem (seperti CPU, RAM, atau disk space), maka program tersebut mungkin akan berlangsung lama.</t>
        </is>
      </c>
      <c r="E1092" t="inlineStr">
        <is>
          <t>YA (didukung konteks)</t>
        </is>
      </c>
    </row>
    <row r="1093">
      <c r="A1093" t="n">
        <v>93</v>
      </c>
      <c r="B1093" t="inlineStr">
        <is>
          <t>B</t>
        </is>
      </c>
      <c r="C1093" t="n">
        <v>2</v>
      </c>
      <c r="D1093" s="3" t="inlineStr">
        <is>
          <t>Dalam program komputer, jika suatu program tidak menyelesaikan input besar dan berlangsung lama (lebih dari 5 menit), namun belum selesai, maka kemungkinan besar itu bukan infinite loop.</t>
        </is>
      </c>
      <c r="E1093" t="inlineStr">
        <is>
          <t>YA (didukung konteks)</t>
        </is>
      </c>
    </row>
    <row r="1094">
      <c r="A1094" t="n">
        <v>93</v>
      </c>
      <c r="B1094" t="inlineStr">
        <is>
          <t>B</t>
        </is>
      </c>
      <c r="C1094" t="n">
        <v>3</v>
      </c>
      <c r="D1094" s="3" t="inlineStr">
        <is>
          <t>Jika program Anda lambat tetapi masih dapat menyelesaikan input, maka algoritme tersebut mungkin hanya memerlukan waktu yang lama untuk menyelesaikan tugas, namun bukan infinite loop.</t>
        </is>
      </c>
      <c r="E1094" t="inlineStr">
        <is>
          <t>YA (didukung konteks)</t>
        </is>
      </c>
    </row>
    <row r="1095">
      <c r="A1095" t="n">
        <v>93</v>
      </c>
      <c r="B1095" t="inlineStr">
        <is>
          <t>B</t>
        </is>
      </c>
      <c r="C1095" t="n">
        <v>4</v>
      </c>
      <c r="D1095" s="3" t="inlineStr">
        <is>
          <t>Keterbatasan sumber daya sistem: Jika sistem Anda memiliki keterbatasan sumber daya (seperti RAM atau CPU), maka program tersebut mungkin tidak dapat berjalan dengan cepat.</t>
        </is>
      </c>
      <c r="E1095" t="inlineStr">
        <is>
          <t>YA (didukung konteks)</t>
        </is>
      </c>
    </row>
    <row r="1096">
      <c r="A1096" t="n">
        <v>93</v>
      </c>
      <c r="B1096" t="inlineStr">
        <is>
          <t>B</t>
        </is>
      </c>
      <c r="C1096" t="n">
        <v>5</v>
      </c>
      <c r="D1096" s="3" t="inlineStr">
        <is>
          <t>Cek jalur logika: Jika Anda melihat bahwa program Anda terus-menerus menjalankan cycle yang sama tanpa pernah berhenti, maka kemungkinan besar itu infinite loop.</t>
        </is>
      </c>
      <c r="E1096" t="inlineStr">
        <is>
          <t>YA (didukung konteks)</t>
        </is>
      </c>
    </row>
    <row r="1097">
      <c r="A1097" t="n">
        <v>93</v>
      </c>
      <c r="B1097" t="inlineStr">
        <is>
          <t>B</t>
        </is>
      </c>
      <c r="C1097" t="n">
        <v>6</v>
      </c>
      <c r="D1097" s="3" t="inlineStr">
        <is>
          <t>Cek ketergantungan: Jika program Anda bergantung pada input yang sangat besar, maka kemungkinan besar itu algoritme lambat dan tidak infinite loop.</t>
        </is>
      </c>
      <c r="E1097" t="inlineStr">
        <is>
          <t>YA (didukung konteks)</t>
        </is>
      </c>
    </row>
    <row r="1098">
      <c r="A1098" t="n">
        <v>94</v>
      </c>
      <c r="B1098" t="inlineStr">
        <is>
          <t>A</t>
        </is>
      </c>
      <c r="C1098" t="n">
        <v>1</v>
      </c>
      <c r="D1098" s="3" t="inlineStr">
        <is>
          <t>A recursive function calls itself repeatedly until it reaches a base case, at which point it starts returning values back up the call stack.</t>
        </is>
      </c>
      <c r="E1098" t="inlineStr">
        <is>
          <t>YA (didukung konteks)</t>
        </is>
      </c>
    </row>
    <row r="1099">
      <c r="A1099" t="n">
        <v>94</v>
      </c>
      <c r="B1099" t="inlineStr">
        <is>
          <t>A</t>
        </is>
      </c>
      <c r="C1099" t="n">
        <v>2</v>
      </c>
      <c r="D1099" s="3" t="inlineStr">
        <is>
          <t>At first glance, it seems that there's a discrepancy between your answer (11) and your friend's answer (8).</t>
        </is>
      </c>
      <c r="E1099" t="inlineStr">
        <is>
          <t>YA (didukung konteks)</t>
        </is>
      </c>
    </row>
    <row r="1100">
      <c r="A1100" t="n">
        <v>94</v>
      </c>
      <c r="B1100" t="inlineStr">
        <is>
          <t>A</t>
        </is>
      </c>
      <c r="C1100" t="n">
        <v>3</v>
      </c>
      <c r="D1100" s="3" t="inlineStr">
        <is>
          <t>The problem is related to the recursive function f(n) = if n &lt;= 2 then return 1 else return f(n-1)+f(n-2).</t>
        </is>
      </c>
      <c r="E1100" t="inlineStr">
        <is>
          <t>YA (didukung konteks)</t>
        </is>
      </c>
    </row>
    <row r="1101">
      <c r="A1101" t="n">
        <v>94</v>
      </c>
      <c r="B1101" t="inlineStr">
        <is>
          <t>A</t>
        </is>
      </c>
      <c r="C1101" t="n">
        <v>4</v>
      </c>
      <c r="D1101" s="3" t="inlineStr">
        <is>
          <t>To summarize, the key concepts at play here are recursion and the concept of base cases.</t>
        </is>
      </c>
      <c r="E1101" t="inlineStr">
        <is>
          <t>YA (didukung konteks)</t>
        </is>
      </c>
    </row>
    <row r="1102">
      <c r="A1102" t="n">
        <v>94</v>
      </c>
      <c r="B1102" t="inlineStr">
        <is>
          <t>A</t>
        </is>
      </c>
      <c r="C1102" t="n">
        <v>5</v>
      </c>
      <c r="D1102" s="3" t="inlineStr">
        <is>
          <t>In this case, the base case is when n &lt;= 2, in which case the function returns 1.</t>
        </is>
      </c>
      <c r="E1102" t="inlineStr">
        <is>
          <t>YA (didukung konteks)</t>
        </is>
      </c>
    </row>
    <row r="1103">
      <c r="A1103" t="n">
        <v>94</v>
      </c>
      <c r="B1103" t="inlineStr">
        <is>
          <t>A</t>
        </is>
      </c>
      <c r="C1103" t="n">
        <v>6</v>
      </c>
      <c r="D1103" s="3" t="inlineStr">
        <is>
          <t>By tracing the recursive calls, we can arrive at the correct solution for f(6).</t>
        </is>
      </c>
      <c r="E1103" t="inlineStr">
        <is>
          <t>YA (didukung konteks)</t>
        </is>
      </c>
    </row>
    <row r="1104">
      <c r="A1104" t="n">
        <v>94</v>
      </c>
      <c r="B1104" t="inlineStr">
        <is>
          <t>B</t>
        </is>
      </c>
      <c r="C1104" t="n">
        <v>1</v>
      </c>
      <c r="D1104" s="3" t="inlineStr">
        <is>
          <t>* Untuk `f(5)`: `n = 5` juga tidak memenuhi syarat `n &lt;= 2`, maka kita lanjutkan ke langkah 2.</t>
        </is>
      </c>
      <c r="E1104" t="inlineStr">
        <is>
          <t>YA (didukung konteks)</t>
        </is>
      </c>
    </row>
    <row r="1105">
      <c r="A1105" t="n">
        <v>94</v>
      </c>
      <c r="B1105" t="inlineStr">
        <is>
          <t>B</t>
        </is>
      </c>
      <c r="C1105" t="n">
        <v>2</v>
      </c>
      <c r="D1105" s="3" t="inlineStr">
        <is>
          <t>+ `n = 5`, maka tidak memenuhi syarat `n &lt;= 2`, jadi kita lanjutkan ke langkah 2.</t>
        </is>
      </c>
      <c r="E1105" t="inlineStr">
        <is>
          <t>YA (didukung konteks)</t>
        </is>
      </c>
    </row>
    <row r="1106">
      <c r="A1106" t="n">
        <v>94</v>
      </c>
      <c r="B1106" t="inlineStr">
        <is>
          <t>B</t>
        </is>
      </c>
      <c r="C1106" t="n">
        <v>3</v>
      </c>
      <c r="D1106" s="3" t="inlineStr">
        <is>
          <t>+ `n = 4`, maka tidak memenuhi syarat `n &lt;= 2`, jadi kita lanjutkan ke langkah 2.</t>
        </is>
      </c>
      <c r="E1106" t="inlineStr">
        <is>
          <t>YA (didukung konteks)</t>
        </is>
      </c>
    </row>
    <row r="1107">
      <c r="A1107" t="n">
        <v>94</v>
      </c>
      <c r="B1107" t="inlineStr">
        <is>
          <t>B</t>
        </is>
      </c>
      <c r="C1107" t="n">
        <v>4</v>
      </c>
      <c r="D1107" s="3" t="inlineStr">
        <is>
          <t>+ `n = 3`, maka tidak memenuhi syarat `n &lt;= 2`, jadi kita lanjutkan ke langkah 2.</t>
        </is>
      </c>
      <c r="E1107" t="inlineStr">
        <is>
          <t>YA (didukung konteks)</t>
        </is>
      </c>
    </row>
    <row r="1108">
      <c r="A1108" t="n">
        <v>94</v>
      </c>
      <c r="B1108" t="inlineStr">
        <is>
          <t>B</t>
        </is>
      </c>
      <c r="C1108" t="n">
        <v>5</v>
      </c>
      <c r="D1108" s="3" t="inlineStr">
        <is>
          <t>`n = 6`, maka tidak memenuhi syarat `n &lt;= 2`, jadi kita lanjutkan ke langkah 2.</t>
        </is>
      </c>
      <c r="E1108" t="inlineStr">
        <is>
          <t>YA (didukung konteks)</t>
        </is>
      </c>
    </row>
    <row r="1109">
      <c r="A1109" t="n">
        <v>94</v>
      </c>
      <c r="B1109" t="inlineStr">
        <is>
          <t>B</t>
        </is>
      </c>
      <c r="C1109" t="n">
        <v>6</v>
      </c>
      <c r="D1109" s="3" t="inlineStr">
        <is>
          <t>Kita telah mencapai titik terbawah, yaitu mencari nilai `f(2)` dan `f(1)`.</t>
        </is>
      </c>
      <c r="E1109" t="inlineStr">
        <is>
          <t>YA (didukung konteks)</t>
        </is>
      </c>
    </row>
    <row r="1110">
      <c r="A1110" t="n">
        <v>95</v>
      </c>
      <c r="B1110" t="inlineStr">
        <is>
          <t>A</t>
        </is>
      </c>
      <c r="C1110" t="n">
        <v>1</v>
      </c>
      <c r="D1110" s="3" t="inlineStr">
        <is>
          <t>Konsep utama dalam pseudocode di atas adalah penggunaan variabel (Nilai terbesar) untuk menyimpan nilai tertentu dan perulangan for untuk membandingkan setiap bilangan lain dengan nilai terbesar.</t>
        </is>
      </c>
      <c r="E1110" t="inlineStr">
        <is>
          <t>TIDAK (tidak didukung)</t>
        </is>
      </c>
    </row>
    <row r="1111">
      <c r="A1111" t="n">
        <v>95</v>
      </c>
      <c r="B1111" t="inlineStr">
        <is>
          <t>A</t>
        </is>
      </c>
      <c r="C1111" t="n">
        <v>2</v>
      </c>
      <c r="D1111" s="3" t="inlineStr">
        <is>
          <t>Untuk menjawab pertanyaan Anda, mari kita buat pseudocode untuk membaca 5 bilangan dari input dan menampilkan nilai terbesarnya.</t>
        </is>
      </c>
      <c r="E1111" t="inlineStr">
        <is>
          <t>YA (didukung konteks)</t>
        </is>
      </c>
    </row>
    <row r="1112">
      <c r="A1112" t="n">
        <v>95</v>
      </c>
      <c r="B1112" t="inlineStr">
        <is>
          <t>A</t>
        </is>
      </c>
      <c r="C1112" t="n">
        <v>3</v>
      </c>
      <c r="D1112" s="3" t="inlineStr">
        <is>
          <t>Lalu, kita membandingkan setiap bilangan lain dengan nilai terbesar dan menggantikan jika ditemukan bilangan yang lebih besar.</t>
        </is>
      </c>
      <c r="E1112" t="inlineStr">
        <is>
          <t>YA (didukung konteks)</t>
        </is>
      </c>
    </row>
    <row r="1113">
      <c r="A1113" t="n">
        <v>95</v>
      </c>
      <c r="B1113" t="inlineStr">
        <is>
          <t>A</t>
        </is>
      </c>
      <c r="C1113" t="n">
        <v>4</v>
      </c>
      <c r="D1113" s="3" t="inlineStr">
        <is>
          <t>Kita tidak perlu menyimpan semua bilangan ke array, kita hanya perlu membandingkan satu per satu tanpa menyimpan ke array.</t>
        </is>
      </c>
      <c r="E1113" t="inlineStr">
        <is>
          <t>YA (didukung konteks)</t>
        </is>
      </c>
    </row>
    <row r="1114">
      <c r="A1114" t="n">
        <v>95</v>
      </c>
      <c r="B1114" t="inlineStr">
        <is>
          <t>A</t>
        </is>
      </c>
      <c r="C1114" t="n">
        <v>5</v>
      </c>
      <c r="D1114" s="3" t="inlineStr">
        <is>
          <t>Dalam pseudocode di atas, kita membaca 5 bilangan dari input dan menetapkan nilai terbesar sebagai bilangan pertama.</t>
        </is>
      </c>
      <c r="E1114" t="inlineStr">
        <is>
          <t>YA (didukung konteks)</t>
        </is>
      </c>
    </row>
    <row r="1115">
      <c r="A1115" t="n">
        <v>95</v>
      </c>
      <c r="B1115" t="inlineStr">
        <is>
          <t>A</t>
        </is>
      </c>
      <c r="C1115" t="n">
        <v>6</v>
      </c>
      <c r="D1115" s="3" t="inlineStr">
        <is>
          <t>Dalam materi referensi, pseudocode digunakan untuk mendeskripsikan algoritme secara lebih mudah dan cepat.</t>
        </is>
      </c>
      <c r="E1115" t="inlineStr">
        <is>
          <t>YA (didukung konteks)</t>
        </is>
      </c>
    </row>
    <row r="1116">
      <c r="A1116" t="n">
        <v>95</v>
      </c>
      <c r="B1116" t="inlineStr">
        <is>
          <t>B</t>
        </is>
      </c>
      <c r="C1116" t="n">
        <v>1</v>
      </c>
      <c r="D1116" s="3" t="inlineStr">
        <is>
          <t>Kami hanya perlu membandingkan setiap bilangan dengan nilai terbesar yang telah ditemukan sebelumnya, sehingga kami dapat langsung menemukan nilai terbesar tanpa harus menyimpan semua bilangan.</t>
        </is>
      </c>
      <c r="E1116" t="inlineStr">
        <is>
          <t>YA (didukung konteks)</t>
        </is>
      </c>
    </row>
    <row r="1117">
      <c r="A1117" t="n">
        <v>95</v>
      </c>
      <c r="B1117" t="inlineStr">
        <is>
          <t>B</t>
        </is>
      </c>
      <c r="C1117" t="n">
        <v>2</v>
      </c>
      <c r="D1117" s="3" t="inlineStr">
        <is>
          <t>Berikut adalah pseudocode untuk membaca 5 bilangan dari input dan menampilkan nilai terbesarnya:</t>
        </is>
      </c>
      <c r="E1117" t="inlineStr">
        <is>
          <t>YA (didukung konteks)</t>
        </is>
      </c>
    </row>
    <row r="1118">
      <c r="A1118" t="n">
        <v>95</v>
      </c>
      <c r="B1118" t="inlineStr">
        <is>
          <t>B</t>
        </is>
      </c>
      <c r="C1118" t="n">
        <v>3</v>
      </c>
      <c r="D1118" s="3" t="inlineStr">
        <is>
          <t>Dalam pseudocode ini, kami tidak perlu menyimpan semua bilangan ke array.</t>
        </is>
      </c>
      <c r="E1118" t="inlineStr">
        <is>
          <t>YA (didukung konteks)</t>
        </is>
      </c>
    </row>
    <row r="1119">
      <c r="A1119" t="n">
        <v>95</v>
      </c>
      <c r="B1119" t="inlineStr">
        <is>
          <t>B</t>
        </is>
      </c>
      <c r="C1119" t="n">
        <v>4</v>
      </c>
      <c r="D1119" s="3" t="inlineStr">
        <is>
          <t>// Bandingkan nilai-nilai secara langsung tanpa menyimpan ke array</t>
        </is>
      </c>
      <c r="E1119" t="inlineStr">
        <is>
          <t>YA (didukung konteks)</t>
        </is>
      </c>
    </row>
    <row r="1120">
      <c r="A1120" t="n">
        <v>95</v>
      </c>
      <c r="B1120" t="inlineStr">
        <is>
          <t>B</t>
        </is>
      </c>
      <c r="C1120" t="n">
        <v>5</v>
      </c>
      <c r="D1120" s="3" t="inlineStr">
        <is>
          <t>tulis(s, x): menulis string s diikuti oleh nilai integer x</t>
        </is>
      </c>
      <c r="E1120" t="inlineStr">
        <is>
          <t>YA (didukung konteks)</t>
        </is>
      </c>
    </row>
    <row r="1121">
      <c r="A1121" t="n">
        <v>95</v>
      </c>
      <c r="B1121" t="inlineStr">
        <is>
          <t>B</t>
        </is>
      </c>
      <c r="C1121" t="n">
        <v>6</v>
      </c>
      <c r="D1121" s="3" t="inlineStr">
        <is>
          <t>baca(x): membaca input dan menyimpan ke variabel x</t>
        </is>
      </c>
      <c r="E1121" t="inlineStr">
        <is>
          <t>YA (didukung konteks)</t>
        </is>
      </c>
    </row>
    <row r="1122">
      <c r="A1122" t="n">
        <v>96</v>
      </c>
      <c r="B1122" t="inlineStr">
        <is>
          <t>A</t>
        </is>
      </c>
      <c r="C1122" t="n">
        <v>1</v>
      </c>
      <c r="D1122" s="3" t="inlineStr">
        <is>
          <t>Dengan demikian, kita harus memahami bahwa fungsi hanya memiliki akses kepada nilai parameter yang dikirimkan ke dalamnya, dan tidak dapat mengakses atau mengubah nilai variabel di luar.</t>
        </is>
      </c>
      <c r="E1122" t="inlineStr">
        <is>
          <t>YA (didukung konteks)</t>
        </is>
      </c>
    </row>
    <row r="1123">
      <c r="A1123" t="n">
        <v>96</v>
      </c>
      <c r="B1123" t="inlineStr">
        <is>
          <t>A</t>
        </is>
      </c>
      <c r="C1123" t="n">
        <v>2</v>
      </c>
      <c r="D1123" s="3" t="inlineStr">
        <is>
          <t>Perubahan nilai parameter dalam fungsi tidak mempengaruhi variabel di luar karena fungsi hanya memiliki akses kepada nilai parameter yang dikirimkan ke dalamnya.</t>
        </is>
      </c>
      <c r="E1123" t="inlineStr">
        <is>
          <t>YA (didukung konteks)</t>
        </is>
      </c>
    </row>
    <row r="1124">
      <c r="A1124" t="n">
        <v>96</v>
      </c>
      <c r="B1124" t="inlineStr">
        <is>
          <t>A</t>
        </is>
      </c>
      <c r="C1124" t="n">
        <v>3</v>
      </c>
      <c r="D1124" s="3" t="inlineStr">
        <is>
          <t>Parameter adalah input yang dikirimkan ke dalam fungsi, sedangkan variabel adalah nilai yang didefinisikan di luar fungsi.</t>
        </is>
      </c>
      <c r="E1124" t="inlineStr">
        <is>
          <t>YA (didukung konteks)</t>
        </is>
      </c>
    </row>
    <row r="1125">
      <c r="A1125" t="n">
        <v>96</v>
      </c>
      <c r="B1125" t="inlineStr">
        <is>
          <t>A</t>
        </is>
      </c>
      <c r="C1125" t="n">
        <v>4</v>
      </c>
      <c r="D1125" s="3" t="inlineStr">
        <is>
          <t>Hal ini disebabkan oleh karakteristik fungsi sebagai blok kode yang terisolasi dan memiliki return value saja.</t>
        </is>
      </c>
      <c r="E1125" t="inlineStr">
        <is>
          <t>YA (didukung konteks)</t>
        </is>
      </c>
    </row>
    <row r="1126">
      <c r="A1126" t="n">
        <v>96</v>
      </c>
      <c r="B1126" t="inlineStr">
        <is>
          <t>A</t>
        </is>
      </c>
      <c r="C1126" t="n">
        <v>5</v>
      </c>
      <c r="D1126" s="3" t="inlineStr">
        <is>
          <t>Saya akan menjawab pertanyaan mahasiswa dengan menggunakan istilah teknis yang ada dalam materi referensi.</t>
        </is>
      </c>
      <c r="E1126" t="inlineStr">
        <is>
          <t>YA (didukung konteks)</t>
        </is>
      </c>
    </row>
    <row r="1127">
      <c r="A1127" t="n">
        <v>96</v>
      </c>
      <c r="B1127" t="inlineStr">
        <is>
          <t>A</t>
        </is>
      </c>
      <c r="C1127" t="n">
        <v>6</v>
      </c>
      <c r="D1127" s="3" t="inlineStr">
        <is>
          <t>Fungsi ini memiliki parameter berat yang dikirimkan ke dalamnya, dan return value-nya adalah suara kucing.</t>
        </is>
      </c>
      <c r="E1127" t="inlineStr">
        <is>
          <t>TIDAK (tidak didukung)</t>
        </is>
      </c>
    </row>
    <row r="1128">
      <c r="A1128" t="n">
        <v>96</v>
      </c>
      <c r="B1128" t="inlineStr">
        <is>
          <t>B</t>
        </is>
      </c>
      <c r="C1128" t="n">
        <v>1</v>
      </c>
      <c r="D1128" s="3" t="inlineStr">
        <is>
          <t>Untuk membuat perubahan pada nilai parameter dapat mempengaruhi variabel asli di luar fungsi, Anda harus menggunakan pointer atau referensi ke variabel asli, sehingga perubahan pada pointer atau referensi tersebut akan m</t>
        </is>
      </c>
      <c r="E1128" t="inlineStr">
        <is>
          <t>YA (didukung konteks)</t>
        </is>
      </c>
    </row>
    <row r="1129">
      <c r="A1129" t="n">
        <v>96</v>
      </c>
      <c r="B1129" t="inlineStr">
        <is>
          <t>B</t>
        </is>
      </c>
      <c r="C1129" t="n">
        <v>2</v>
      </c>
      <c r="D1129" s="3" t="inlineStr">
        <is>
          <t>Dalam Bahasa Pemrograman, ketika Anda mendefinisikan sebuah fungsi, Anda membuat sebuah scope (ruang lingkungan) baru untuk variabel-variabel yang didefinisikan dalam fungsi.</t>
        </is>
      </c>
      <c r="E1129" t="inlineStr">
        <is>
          <t>YA (didukung konteks)</t>
        </is>
      </c>
    </row>
    <row r="1130">
      <c r="A1130" t="n">
        <v>96</v>
      </c>
      <c r="B1130" t="inlineStr">
        <is>
          <t>B</t>
        </is>
      </c>
      <c r="C1130" t="n">
        <v>3</v>
      </c>
      <c r="D1130" s="3" t="inlineStr">
        <is>
          <t>Perubahan nilai tersebut mempengaruhi variabel asli (`array`) di luar fungsi, karena fungsi mengakses dan mengubah nilai pada array dengan menggunakan referensi ke array.</t>
        </is>
      </c>
      <c r="E1130" t="inlineStr">
        <is>
          <t>YA (didukung konteks)</t>
        </is>
      </c>
    </row>
    <row r="1131">
      <c r="A1131" t="n">
        <v>96</v>
      </c>
      <c r="B1131" t="inlineStr">
        <is>
          <t>B</t>
        </is>
      </c>
      <c r="C1131" t="n">
        <v>4</v>
      </c>
      <c r="D1131" s="3" t="inlineStr">
        <is>
          <t>Jadi, ketika Anda mengubah nilai parameter dalam fungsi, Anda sebenarnya hanya mengubah nilai lokal dalam scope fungsi, bukan referensi ke variabel asli di luar fungsi.</t>
        </is>
      </c>
      <c r="E1131" t="inlineStr">
        <is>
          <t>YA (didukung konteks)</t>
        </is>
      </c>
    </row>
    <row r="1132">
      <c r="A1132" t="n">
        <v>96</v>
      </c>
      <c r="B1132" t="inlineStr">
        <is>
          <t>B</t>
        </is>
      </c>
      <c r="C1132" t="n">
        <v>5</v>
      </c>
      <c r="D1132" s="3" t="inlineStr">
        <is>
          <t>Hal ini terjadi karena parameter yang Anda ubah adalah nilai lokal dalam fungsi, bukan referensi ke variabel asli di luar fungsi.</t>
        </is>
      </c>
      <c r="E1132" t="inlineStr">
        <is>
          <t>YA (didukung konteks)</t>
        </is>
      </c>
    </row>
    <row r="1133">
      <c r="A1133" t="n">
        <v>96</v>
      </c>
      <c r="B1133" t="inlineStr">
        <is>
          <t>B</t>
        </is>
      </c>
      <c r="C1133" t="n">
        <v>6</v>
      </c>
      <c r="D1133" s="3" t="inlineStr">
        <is>
          <t>Contoh kode berikut menunjukkan bagaimana Anda dapat membuat perubahan nilai parameter mempengaruhi variabel asli di luar fungsi:</t>
        </is>
      </c>
      <c r="E1133" t="inlineStr">
        <is>
          <t>YA (didukung konteks)</t>
        </is>
      </c>
    </row>
    <row r="1134">
      <c r="A1134" t="n">
        <v>97</v>
      </c>
      <c r="B1134" t="inlineStr">
        <is>
          <t>A</t>
        </is>
      </c>
      <c r="C1134" t="n">
        <v>1</v>
      </c>
      <c r="D1134" s="3" t="inlineStr">
        <is>
          <t>Dalam Computational Thinking, error handling atau exception handling sangat penting dilakukan untuk memastikan program dapat bekerja dengan baik dan tidak crash ketika user masukkan input yang tidak sesuai dengan yang di</t>
        </is>
      </c>
      <c r="E1134" t="inlineStr">
        <is>
          <t>YA (didukung konteks)</t>
        </is>
      </c>
    </row>
    <row r="1135">
      <c r="A1135" t="n">
        <v>97</v>
      </c>
      <c r="B1135" t="inlineStr">
        <is>
          <t>A</t>
        </is>
      </c>
      <c r="C1135" t="n">
        <v>2</v>
      </c>
      <c r="D1135" s="3" t="inlineStr">
        <is>
          <t>Dengan demikian, error handling atau exception handling sangat penting dilakukan dalam Computational Thinking untuk memastikan program dapat bekerja dengan baik dan tidak crash ketika user masukkan input yang tidak sesua</t>
        </is>
      </c>
      <c r="E1135" t="inlineStr">
        <is>
          <t>YA (didukung konteks)</t>
        </is>
      </c>
    </row>
    <row r="1136">
      <c r="A1136" t="n">
        <v>97</v>
      </c>
      <c r="B1136" t="inlineStr">
        <is>
          <t>A</t>
        </is>
      </c>
      <c r="C1136" t="n">
        <v>3</v>
      </c>
      <c r="D1136" s="3" t="inlineStr">
        <is>
          <t>Contohnya, jika kita memiliki input huruf ketika diharapkan angka, kita dapat menangani kesalahan dengan cara menguji apakah input adalah huruf atau tidak.</t>
        </is>
      </c>
      <c r="E1136" t="inlineStr">
        <is>
          <t>YA (didukung konteks)</t>
        </is>
      </c>
    </row>
    <row r="1137">
      <c r="A1137" t="n">
        <v>97</v>
      </c>
      <c r="B1137" t="inlineStr">
        <is>
          <t>A</t>
        </is>
      </c>
      <c r="C1137" t="n">
        <v>4</v>
      </c>
      <c r="D1137" s="3" t="inlineStr">
        <is>
          <t>Dalam pseudocode, error handling dapat dilakukan menggunakan instruksi khusus seperti "if-else" statement atau "try-catch" block.</t>
        </is>
      </c>
      <c r="E1137" t="inlineStr">
        <is>
          <t>YA (didukung konteks)</t>
        </is>
      </c>
    </row>
    <row r="1138">
      <c r="A1138" t="n">
        <v>97</v>
      </c>
      <c r="B1138" t="inlineStr">
        <is>
          <t>A</t>
        </is>
      </c>
      <c r="C1138" t="n">
        <v>5</v>
      </c>
      <c r="D1138" s="3" t="inlineStr">
        <is>
          <t>Pada dasarnya, error handling adalah proses pengujian dan penanganan kesalahan yang terjadi pada saat program berjalan.</t>
        </is>
      </c>
      <c r="E1138" t="inlineStr">
        <is>
          <t>YA (didukung konteks)</t>
        </is>
      </c>
    </row>
    <row r="1139">
      <c r="A1139" t="n">
        <v>97</v>
      </c>
      <c r="B1139" t="inlineStr">
        <is>
          <t>A</t>
        </is>
      </c>
      <c r="C1139" t="n">
        <v>6</v>
      </c>
      <c r="D1139" s="3" t="inlineStr">
        <is>
          <t>Kita dapat menggunakan konvensi penulisan pseudocode untuk mendefinisikan variabel dan instruksi error handling.</t>
        </is>
      </c>
      <c r="E1139" t="inlineStr">
        <is>
          <t>YA (didukung konteks)</t>
        </is>
      </c>
    </row>
    <row r="1140">
      <c r="A1140" t="n">
        <v>97</v>
      </c>
      <c r="B1140" t="inlineStr">
        <is>
          <t>B</t>
        </is>
      </c>
      <c r="C1140" t="n">
        <v>1</v>
      </c>
      <c r="D1140" s="3" t="inlineStr">
        <is>
          <t>Iya, error handling atau exception handling adalah konsep yang diajarkan di CT (Computer Science) untuk menghadapi situasi ketika program tidak dapat menyelesaikan tugas seperti biasanya karena terjadi kesalahan atau mas</t>
        </is>
      </c>
      <c r="E1140" t="inlineStr">
        <is>
          <t>YA (didukung konteks)</t>
        </is>
      </c>
    </row>
    <row r="1141">
      <c r="A1141" t="n">
        <v>97</v>
      </c>
      <c r="B1141" t="inlineStr">
        <is>
          <t>B</t>
        </is>
      </c>
      <c r="C1141" t="n">
        <v>2</v>
      </c>
      <c r="D1141" s="3" t="inlineStr">
        <is>
          <t>Namun, perlu diingat bahwa error handling harus dilakukan dengan bijak dan tepat, karena kesalahan yang tidak dihandle dapat menyebabkan program menjadi lebih rumit atau bahkan crash.</t>
        </is>
      </c>
      <c r="E1141" t="inlineStr">
        <is>
          <t>YA (didukung konteks)</t>
        </is>
      </c>
    </row>
    <row r="1142">
      <c r="A1142" t="n">
        <v>97</v>
      </c>
      <c r="B1142" t="inlineStr">
        <is>
          <t>B</t>
        </is>
      </c>
      <c r="C1142" t="n">
        <v>3</v>
      </c>
      <c r="D1142" s="3" t="inlineStr">
        <is>
          <t>Tujuan error handling adalah membuat program menjadi lebih robust dan dapat berfungsi dengan baik meskipun terjadi kesalahan.</t>
        </is>
      </c>
      <c r="E1142" t="inlineStr">
        <is>
          <t>YA (didukung konteks)</t>
        </is>
      </c>
    </row>
    <row r="1143">
      <c r="A1143" t="n">
        <v>97</v>
      </c>
      <c r="B1143" t="inlineStr">
        <is>
          <t>B</t>
        </is>
      </c>
      <c r="C1143" t="n">
        <v>4</v>
      </c>
      <c r="D1143" s="3" t="inlineStr">
        <is>
          <t>Dalam contoh di atas, kita menggunakan kondisi IF untuk memeriksa apakah input dari user adalah angka atau tidak.</t>
        </is>
      </c>
      <c r="E1143" t="inlineStr">
        <is>
          <t>YA (didukung konteks)</t>
        </is>
      </c>
    </row>
    <row r="1144">
      <c r="A1144" t="n">
        <v>97</v>
      </c>
      <c r="B1144" t="inlineStr">
        <is>
          <t>B</t>
        </is>
      </c>
      <c r="C1144" t="n">
        <v>5</v>
      </c>
      <c r="D1144" s="3" t="inlineStr">
        <is>
          <t>Error handling adalah proses mendeteksi dan menghandle (mengatasi) kesalahan yang terjadi dalam program.</t>
        </is>
      </c>
      <c r="E1144" t="inlineStr">
        <is>
          <t>YA (didukung konteks)</t>
        </is>
      </c>
    </row>
    <row r="1145">
      <c r="A1145" t="n">
        <v>97</v>
      </c>
      <c r="B1145" t="inlineStr">
        <is>
          <t>B</t>
        </is>
      </c>
      <c r="C1145" t="n">
        <v>6</v>
      </c>
      <c r="D1145" s="3" t="inlineStr">
        <is>
          <t>Jika bukan angka, maka program akan menampilkan pesan error dan minta input lagi.</t>
        </is>
      </c>
      <c r="E1145" t="inlineStr">
        <is>
          <t>YA (didukung konteks)</t>
        </is>
      </c>
    </row>
    <row r="1146">
      <c r="A1146" t="n">
        <v>98</v>
      </c>
      <c r="B1146" t="inlineStr">
        <is>
          <t>A</t>
        </is>
      </c>
      <c r="C1146" t="n">
        <v>1</v>
      </c>
      <c r="D1146" s="3" t="inlineStr">
        <is>
          <t>Berdasarkan tipe kognitif mahasiswa yang Level 2 Dasar/Pragmatis/Global/Reflektif, saya akan menjelaskan konsep pattern recognition dan modulo dengan menggunakan istilah teknis dan contoh konkret.</t>
        </is>
      </c>
      <c r="E1146" t="inlineStr">
        <is>
          <t>YA (didukung konteks)</t>
        </is>
      </c>
    </row>
    <row r="1147">
      <c r="A1147" t="n">
        <v>98</v>
      </c>
      <c r="B1147" t="inlineStr">
        <is>
          <t>A</t>
        </is>
      </c>
      <c r="C1147" t="n">
        <v>2</v>
      </c>
      <c r="D1147" s="3" t="inlineStr">
        <is>
          <t>Pola ini dapat ditemukan melalui analisis modulo 2, yaitu jika N mod 2 = 0 maka digit terakhir adalah 6, jika N mod 2 = 1 maka digit terakhir adalah 2.</t>
        </is>
      </c>
      <c r="E1147" t="inlineStr">
        <is>
          <t>YA (didukung konteks)</t>
        </is>
      </c>
    </row>
    <row r="1148">
      <c r="A1148" t="n">
        <v>98</v>
      </c>
      <c r="B1148" t="inlineStr">
        <is>
          <t>A</t>
        </is>
      </c>
      <c r="C1148" t="n">
        <v>3</v>
      </c>
      <c r="D1148" s="3" t="inlineStr">
        <is>
          <t>Kita dapat melihat bahwa jika N mod 7 = 1 maka digit terakhir adalah bebek, jika N mod 7 = 2 maka digit terakhir adalah ayam, dan seterusnya.</t>
        </is>
      </c>
      <c r="E1148" t="inlineStr">
        <is>
          <t>YA (didukung konteks)</t>
        </is>
      </c>
    </row>
    <row r="1149">
      <c r="A1149" t="n">
        <v>98</v>
      </c>
      <c r="B1149" t="inlineStr">
        <is>
          <t>A</t>
        </is>
      </c>
      <c r="C1149" t="n">
        <v>4</v>
      </c>
      <c r="D1149" s="3" t="inlineStr">
        <is>
          <t>Konsep utama yang dibahas adalah pattern recognition dan modulo, serta cara menghubungkannya dengan hari dalam seminggu.</t>
        </is>
      </c>
      <c r="E1149" t="inlineStr">
        <is>
          <t>YA (didukung konteks)</t>
        </is>
      </c>
    </row>
    <row r="1150">
      <c r="A1150" t="n">
        <v>98</v>
      </c>
      <c r="B1150" t="inlineStr">
        <is>
          <t>A</t>
        </is>
      </c>
      <c r="C1150" t="n">
        <v>5</v>
      </c>
      <c r="D1150" s="3" t="inlineStr">
        <is>
          <t>Dalam penjelasan ini, saya menggunakan istilah teknis seperti pattern recognition, modulo, dan analisis data.</t>
        </is>
      </c>
      <c r="E1150" t="inlineStr">
        <is>
          <t>YA (didukung konteks)</t>
        </is>
      </c>
    </row>
    <row r="1151">
      <c r="A1151" t="n">
        <v>98</v>
      </c>
      <c r="B1151" t="inlineStr">
        <is>
          <t>A</t>
        </is>
      </c>
      <c r="C1151" t="n">
        <v>6</v>
      </c>
      <c r="D1151" s="3" t="inlineStr">
        <is>
          <t>Dalam kasus soal ini, kita berhadapan dengan pola yang berubah-ubah antara bebek dan ayam setiap hari.</t>
        </is>
      </c>
      <c r="E1151" t="inlineStr">
        <is>
          <t>YA (didukung konteks)</t>
        </is>
      </c>
    </row>
    <row r="1152">
      <c r="A1152" t="n">
        <v>98</v>
      </c>
      <c r="B1152" t="inlineStr">
        <is>
          <t>B</t>
        </is>
      </c>
      <c r="C1152" t="n">
        <v>1</v>
      </c>
      <c r="D1152" s="3" t="inlineStr">
        <is>
          <t>Karena 7 hari dalam satu minggu, maka kita dapat menggunakan modulo 7 untuk mencari hari ke-1000.</t>
        </is>
      </c>
      <c r="E1152" t="inlineStr">
        <is>
          <t>TIDAK (tidak didukung)</t>
        </is>
      </c>
    </row>
    <row r="1153">
      <c r="A1153" t="n">
        <v>98</v>
      </c>
      <c r="B1153" t="inlineStr">
        <is>
          <t>B</t>
        </is>
      </c>
      <c r="C1153" t="n">
        <v>2</v>
      </c>
      <c r="D1153" s="3" t="inlineStr">
        <is>
          <t>Jadi, 1000 hari dari sekarang adalah Senin (karena 1 + 2 + 3 + 4 + 5 = 15, dan 15 modulo 7 = 5).</t>
        </is>
      </c>
      <c r="E1153" t="inlineStr">
        <is>
          <t>TIDAK (tidak didukung)</t>
        </is>
      </c>
    </row>
    <row r="1154">
      <c r="A1154" t="n">
        <v>98</v>
      </c>
      <c r="B1154" t="inlineStr">
        <is>
          <t>B</t>
        </is>
      </c>
      <c r="C1154" t="n">
        <v>3</v>
      </c>
      <c r="D1154" s="3" t="inlineStr">
        <is>
          <t>Pertama-tama, kita harus menentukan hari ke-n yang kita inginkan (yaitu, hari ke-1000).</t>
        </is>
      </c>
      <c r="E1154" t="inlineStr">
        <is>
          <t>YA (didukung konteks)</t>
        </is>
      </c>
    </row>
    <row r="1155">
      <c r="A1155" t="n">
        <v>98</v>
      </c>
      <c r="B1155" t="inlineStr">
        <is>
          <t>B</t>
        </is>
      </c>
      <c r="C1155" t="n">
        <v>4</v>
      </c>
      <c r="D1155" s="3" t="inlineStr">
        <is>
          <t>Jadi, 2000 hari dari sekarang adalah Rabu (karena 1 + 2 = 3, dan 3 modulo 7 = 2).</t>
        </is>
      </c>
      <c r="E1155" t="inlineStr">
        <is>
          <t>YA (didukung konteks)</t>
        </is>
      </c>
    </row>
    <row r="1156">
      <c r="A1156" t="n">
        <v>98</v>
      </c>
      <c r="B1156" t="inlineStr">
        <is>
          <t>B</t>
        </is>
      </c>
      <c r="C1156" t="n">
        <v>5</v>
      </c>
      <c r="D1156" s="3" t="inlineStr">
        <is>
          <t>Dengan demikian, jawaban untuk soal tersebut adalah: Hari ke-1000 adalah Senin.</t>
        </is>
      </c>
      <c r="E1156" t="inlineStr">
        <is>
          <t>YA (didukung konteks)</t>
        </is>
      </c>
    </row>
    <row r="1157">
      <c r="A1157" t="n">
        <v>98</v>
      </c>
      <c r="B1157" t="inlineStr">
        <is>
          <t>B</t>
        </is>
      </c>
      <c r="C1157" t="n">
        <v>6</v>
      </c>
      <c r="D1157" s="3" t="inlineStr">
        <is>
          <t>Contohnya, untuk mencari hari ke-1000, kita dapat menghitung sebagai berikut:</t>
        </is>
      </c>
      <c r="E1157" t="inlineStr">
        <is>
          <t>YA (didukung konteks)</t>
        </is>
      </c>
    </row>
    <row r="1158">
      <c r="A1158" t="n">
        <v>99</v>
      </c>
      <c r="B1158" t="inlineStr">
        <is>
          <t>A</t>
        </is>
      </c>
      <c r="C1158" t="n">
        <v>1</v>
      </c>
      <c r="D1158" s="3" t="inlineStr">
        <is>
          <t>Saya harap pseudocode di atas membantu Anda memahami konsep dasar dari percabangan dan loop dalam sistem login dengan maksimal 3 percobaan.</t>
        </is>
      </c>
      <c r="E1158" t="inlineStr">
        <is>
          <t>YA (didukung konteks)</t>
        </is>
      </c>
    </row>
    <row r="1159">
      <c r="A1159" t="n">
        <v>99</v>
      </c>
      <c r="B1159" t="inlineStr">
        <is>
          <t>A</t>
        </is>
      </c>
      <c r="C1159" t="n">
        <v>2</v>
      </c>
      <c r="D1159" s="3" t="inlineStr">
        <is>
          <t>Dalam sintaks pseudocode, kita menggunakan istilah teknis seperti "read", "print", "break", dan "while" untuk mendefinisikan algoritme.</t>
        </is>
      </c>
      <c r="E1159" t="inlineStr">
        <is>
          <t>YA (didukung konteks)</t>
        </is>
      </c>
    </row>
    <row r="1160">
      <c r="A1160" t="n">
        <v>99</v>
      </c>
      <c r="B1160" t="inlineStr">
        <is>
          <t>A</t>
        </is>
      </c>
      <c r="C1160" t="n">
        <v>3</v>
      </c>
      <c r="D1160" s="3" t="inlineStr">
        <is>
          <t>Fungsi `verify_username_and_password` digunakan untuk memverifikasi username dan password yang diinputkan.</t>
        </is>
      </c>
      <c r="E1160" t="inlineStr">
        <is>
          <t>YA (didukung konteks)</t>
        </is>
      </c>
    </row>
    <row r="1161">
      <c r="A1161" t="n">
        <v>99</v>
      </c>
      <c r="B1161" t="inlineStr">
        <is>
          <t>A</t>
        </is>
      </c>
      <c r="C1161" t="n">
        <v>4</v>
      </c>
      <c r="D1161" s="3" t="inlineStr">
        <is>
          <t>Dalam pseudocode di atas, kita menggunakan loop `while` untuk menghitung jumlah percobaan yang dilakukan.</t>
        </is>
      </c>
      <c r="E1161" t="inlineStr">
        <is>
          <t>YA (didukung konteks)</t>
        </is>
      </c>
    </row>
    <row r="1162">
      <c r="A1162" t="n">
        <v>99</v>
      </c>
      <c r="B1162" t="inlineStr">
        <is>
          <t>A</t>
        </is>
      </c>
      <c r="C1162" t="n">
        <v>5</v>
      </c>
      <c r="D1162" s="3" t="inlineStr">
        <is>
          <t>Pertama-tama, kita perlu memahami konsep dasar dari percabangan (conditionals) dan loop (perulangan).</t>
        </is>
      </c>
      <c r="E1162" t="inlineStr">
        <is>
          <t>YA (didukung konteks)</t>
        </is>
      </c>
    </row>
    <row r="1163">
      <c r="A1163" t="n">
        <v>99</v>
      </c>
      <c r="B1163" t="inlineStr">
        <is>
          <t>A</t>
        </is>
      </c>
      <c r="C1163" t="n">
        <v>6</v>
      </c>
      <c r="D1163" s="3" t="inlineStr">
        <is>
          <t>Kita juga menggunakan konvensi penulisan pseudocode untuk membuat kode mudah dipahami dan dikodekan.</t>
        </is>
      </c>
      <c r="E1163" t="inlineStr">
        <is>
          <t>YA (didukung konteks)</t>
        </is>
      </c>
    </row>
    <row r="1164">
      <c r="A1164" t="n">
        <v>99</v>
      </c>
      <c r="B1164" t="inlineStr">
        <is>
          <t>B</t>
        </is>
      </c>
      <c r="C1164" t="n">
        <v>1</v>
      </c>
      <c r="D1164" s="3" t="inlineStr">
        <is>
          <t>* Pada langkah 3, jika pengguna memasukkan kredensial yang salah, maka percobaan akan diincrement menjadi nilai berikutnya (0, 1, atau 2).</t>
        </is>
      </c>
      <c r="E1164" t="inlineStr">
        <is>
          <t>YA (didukung konteks)</t>
        </is>
      </c>
    </row>
    <row r="1165">
      <c r="A1165" t="n">
        <v>99</v>
      </c>
      <c r="B1165" t="inlineStr">
        <is>
          <t>B</t>
        </is>
      </c>
      <c r="C1165" t="n">
        <v>2</v>
      </c>
      <c r="D1165" s="3" t="inlineStr">
        <is>
          <t>Saya akan membantu Anda membuat pseudocode sistem login dengan batas 3 percobaan gagal sebelum akun terkunci.</t>
        </is>
      </c>
      <c r="E1165" t="inlineStr">
        <is>
          <t>YA (didukung konteks)</t>
        </is>
      </c>
    </row>
    <row r="1166">
      <c r="A1166" t="n">
        <v>99</v>
      </c>
      <c r="B1166" t="inlineStr">
        <is>
          <t>B</t>
        </is>
      </c>
      <c r="C1166" t="n">
        <v>3</v>
      </c>
      <c r="D1166" s="3" t="inlineStr">
        <is>
          <t>* Percobaan adalah variabel yang merekam jumlah kali pengguna mencoba login dengan kredensial yang salah.</t>
        </is>
      </c>
      <c r="E1166" t="inlineStr">
        <is>
          <t>YA (didukung konteks)</t>
        </is>
      </c>
    </row>
    <row r="1167">
      <c r="A1167" t="n">
        <v>99</v>
      </c>
      <c r="B1167" t="inlineStr">
        <is>
          <t>B</t>
        </is>
      </c>
      <c r="C1167" t="n">
        <v>4</v>
      </c>
      <c r="D1167" s="3" t="inlineStr">
        <is>
          <t>* Dalam pseudocode di atas, tidak ada penjelasan tentang cara menghitung waktu antar percobaan.</t>
        </is>
      </c>
      <c r="E1167" t="inlineStr">
        <is>
          <t>YA (didukung konteks)</t>
        </is>
      </c>
    </row>
    <row r="1168">
      <c r="A1168" t="n">
        <v>99</v>
      </c>
      <c r="B1168" t="inlineStr">
        <is>
          <t>B</t>
        </is>
      </c>
      <c r="C1168" t="n">
        <v>5</v>
      </c>
      <c r="D1168" s="3" t="inlineStr">
        <is>
          <t>* Jika percobaan mencapai nilai 3, maka akun terkunci dan tidak dapat digunakan lagi.</t>
        </is>
      </c>
      <c r="E1168" t="inlineStr">
        <is>
          <t>YA (didukung konteks)</t>
        </is>
      </c>
    </row>
    <row r="1169">
      <c r="A1169" t="n">
        <v>99</v>
      </c>
      <c r="B1169" t="inlineStr">
        <is>
          <t>B</t>
        </is>
      </c>
      <c r="C1169" t="n">
        <v>6</v>
      </c>
      <c r="D1169" s="3" t="inlineStr">
        <is>
          <t>* Cetak "Akun Terkunci, Silakan Kontak Admin" dan berhenti</t>
        </is>
      </c>
      <c r="E1169" t="inlineStr">
        <is>
          <t>YA (didukung konteks)</t>
        </is>
      </c>
    </row>
    <row r="1170">
      <c r="A1170" t="n">
        <v>100</v>
      </c>
      <c r="B1170" t="inlineStr">
        <is>
          <t>A</t>
        </is>
      </c>
      <c r="C1170" t="n">
        <v>1</v>
      </c>
      <c r="D1170" s="3" t="inlineStr">
        <is>
          <t>Adjacency list adalah representasi graph dalam bentuk daftar-dari-list, di mana setiap node memiliki daftar kunci yang menunjukkan node-node lain yang terhubung dengan node tersebut.</t>
        </is>
      </c>
      <c r="E1170" t="inlineStr">
        <is>
          <t>YA (didukung konteks)</t>
        </is>
      </c>
    </row>
    <row r="1171">
      <c r="A1171" t="n">
        <v>100</v>
      </c>
      <c r="B1171" t="inlineStr">
        <is>
          <t>A</t>
        </is>
      </c>
      <c r="C1171" t="n">
        <v>2</v>
      </c>
      <c r="D1171" s="3" t="inlineStr">
        <is>
          <t>Dalam kasus Anda, adjacency list akan lebih efisien karena kita hanya perlu mencari node-node yang terkait dengan suatu node tanpa harus membandingkan semua node lainnya.</t>
        </is>
      </c>
      <c r="E1171" t="inlineStr">
        <is>
          <t>YA (didukung konteks)</t>
        </is>
      </c>
    </row>
    <row r="1172">
      <c r="A1172" t="n">
        <v>100</v>
      </c>
      <c r="B1172" t="inlineStr">
        <is>
          <t>A</t>
        </is>
      </c>
      <c r="C1172" t="n">
        <v>3</v>
      </c>
      <c r="D1172" s="3" t="inlineStr">
        <is>
          <t>Adjacency matrix adalah representasi graph dalam bentuk matriks boolean, di mana setiap selnya menunjukkan apakah ada hubungan antar node (1) atau tidak (0).</t>
        </is>
      </c>
      <c r="E1172" t="inlineStr">
        <is>
          <t>YA (didukung konteks)</t>
        </is>
      </c>
    </row>
    <row r="1173">
      <c r="A1173" t="n">
        <v>100</v>
      </c>
      <c r="B1173" t="inlineStr">
        <is>
          <t>A</t>
        </is>
      </c>
      <c r="C1173" t="n">
        <v>4</v>
      </c>
      <c r="D1173" s="3" t="inlineStr">
        <is>
          <t>Saya harap jawaban ini membantu Anda memahami konsep-konsep dasar Computational Thinking dan membuat pilihan yang tepat untuk representasikan peta kota.</t>
        </is>
      </c>
      <c r="E1173" t="inlineStr">
        <is>
          <t>YA (didukung konteks)</t>
        </is>
      </c>
    </row>
    <row r="1174">
      <c r="A1174" t="n">
        <v>100</v>
      </c>
      <c r="B1174" t="inlineStr">
        <is>
          <t>A</t>
        </is>
      </c>
      <c r="C1174" t="n">
        <v>5</v>
      </c>
      <c r="D1174" s="3" t="inlineStr">
        <is>
          <t>Untuk representasikan peta kota dengan ratusan persimpangan dan ribuan jalan, kita memiliki dua opsi: adjacency matrix atau adjacency list.</t>
        </is>
      </c>
      <c r="E1174" t="inlineStr">
        <is>
          <t>YA (didukung konteks)</t>
        </is>
      </c>
    </row>
    <row r="1175">
      <c r="A1175" t="n">
        <v>100</v>
      </c>
      <c r="B1175" t="inlineStr">
        <is>
          <t>A</t>
        </is>
      </c>
      <c r="C1175" t="n">
        <v>6</v>
      </c>
      <c r="D1175" s="3" t="inlineStr">
        <is>
          <t>Dalam kasus Anda, dengan ratusan persimpangan dan ribuan jalan, adjacency matrix akan memiliki ukuran yang besar dan sulit untuk ditelaah.</t>
        </is>
      </c>
      <c r="E1175" t="inlineStr">
        <is>
          <t>YA (didukung konteks)</t>
        </is>
      </c>
    </row>
    <row r="1176">
      <c r="A1176" t="n">
        <v>100</v>
      </c>
      <c r="B1176" t="inlineStr">
        <is>
          <t>B</t>
        </is>
      </c>
      <c r="C1176" t="n">
        <v>1</v>
      </c>
      <c r="D1176" s="3" t="inlineStr">
        <is>
          <t>**Matrix Operations**: Jika Anda ingin melakukan operasi matematika pada peta kota, seperti mencari path terpendek antara dua persimpangan, maka adjacency matrix dapat membantu Anda dalam melakukan operasi tersebut lebih</t>
        </is>
      </c>
      <c r="E1176" t="inlineStr">
        <is>
          <t>YA (didukung konteks)</t>
        </is>
      </c>
    </row>
    <row r="1177">
      <c r="A1177" t="n">
        <v>100</v>
      </c>
      <c r="B1177" t="inlineStr">
        <is>
          <t>B</t>
        </is>
      </c>
      <c r="C1177" t="n">
        <v>2</v>
      </c>
      <c r="D1177" s="3" t="inlineStr">
        <is>
          <t>**Insertion and Deletion Efficiency**: Dalam adjacency matrix, ketika Anda ingin menambah atau menghapus suatu persimpangan atau jalan, Anda harus mereplace seluruh matrix dengan informasi baru.</t>
        </is>
      </c>
      <c r="E1177" t="inlineStr">
        <is>
          <t>TIDAK (tidak didukung)</t>
        </is>
      </c>
    </row>
    <row r="1178">
      <c r="A1178" t="n">
        <v>100</v>
      </c>
      <c r="B1178" t="inlineStr">
        <is>
          <t>B</t>
        </is>
      </c>
      <c r="C1178" t="n">
        <v>3</v>
      </c>
      <c r="D1178" s="3" t="inlineStr">
        <is>
          <t>**Symmetry**: Adjacency matrix mempunyai sifat simetri, yang berarti bahwa informasi tentang jalan-jalan yang terhubung ke suatu persimpangan juga terkait dengan persimpangan lainnya.</t>
        </is>
      </c>
      <c r="E1178" t="inlineStr">
        <is>
          <t>YA (didukung konteks)</t>
        </is>
      </c>
    </row>
    <row r="1179">
      <c r="A1179" t="n">
        <v>100</v>
      </c>
      <c r="B1179" t="inlineStr">
        <is>
          <t>B</t>
        </is>
      </c>
      <c r="C1179" t="n">
        <v>4</v>
      </c>
      <c r="D1179" s="3" t="inlineStr">
        <is>
          <t>Karena setiap persimpangan hanya terhubung ke 4 jalan lain (rata-rata), Anda tidak perlu menyimpan semua informasi tentang jalan yang tidak terkait dengan persimpangan tersebut.</t>
        </is>
      </c>
      <c r="E1179" t="inlineStr">
        <is>
          <t>YA (didukung konteks)</t>
        </is>
      </c>
    </row>
    <row r="1180">
      <c r="A1180" t="n">
        <v>100</v>
      </c>
      <c r="B1180" t="inlineStr">
        <is>
          <t>B</t>
        </is>
      </c>
      <c r="C1180" t="n">
        <v>5</v>
      </c>
      <c r="D1180" s="3" t="inlineStr">
        <is>
          <t>Misalnya, jika Anda ingin mengetahui jalan-jalan yang terhubung ke suatu persimpangan, Anda hanya perlu mengakses 4 elemen dalam list yang terkait dengan persimpangan tersebut.</t>
        </is>
      </c>
      <c r="E1180" t="inlineStr">
        <is>
          <t>YA (didukung konteks)</t>
        </is>
      </c>
    </row>
    <row r="1181">
      <c r="A1181" t="n">
        <v>100</v>
      </c>
      <c r="B1181" t="inlineStr">
        <is>
          <t>B</t>
        </is>
      </c>
      <c r="C1181" t="n">
        <v>6</v>
      </c>
      <c r="D1181" s="3" t="inlineStr">
        <is>
          <t>Namun, dalam kasus Anda yang memiliki ratusan persimpangan dan ribuan jalan, saya merekomendasikan menggunakan adjacency list sebagai representasi peta kota.</t>
        </is>
      </c>
      <c r="E1181" t="inlineStr">
        <is>
          <t>YA (didukung konteks)</t>
        </is>
      </c>
    </row>
    <row r="1182">
      <c r="A1182" t="n">
        <v>101</v>
      </c>
      <c r="B1182" t="inlineStr">
        <is>
          <t>A</t>
        </is>
      </c>
      <c r="C1182" t="n">
        <v>1</v>
      </c>
      <c r="D1182" s="3" t="inlineStr">
        <is>
          <t>Pada soal 4, kita diminta untuk menemukan jam 00:00 (tengah malam) dengan menggunakan modulo dan siklus.</t>
        </is>
      </c>
      <c r="E1182" t="inlineStr">
        <is>
          <t>TIDAK (tidak didukung)</t>
        </is>
      </c>
    </row>
    <row r="1183">
      <c r="A1183" t="n">
        <v>101</v>
      </c>
      <c r="B1183" t="inlineStr">
        <is>
          <t>A</t>
        </is>
      </c>
      <c r="C1183" t="n">
        <v>2</v>
      </c>
      <c r="D1183" s="3" t="inlineStr">
        <is>
          <t>Pada soal 5, kita diminta untuk menemukan bebek pertama yang tidak dapat coklat dari C buah coklat.</t>
        </is>
      </c>
      <c r="E1183" t="inlineStr">
        <is>
          <t>YA (didukung konteks)</t>
        </is>
      </c>
    </row>
    <row r="1184">
      <c r="A1184" t="n">
        <v>101</v>
      </c>
      <c r="B1184" t="inlineStr">
        <is>
          <t>A</t>
        </is>
      </c>
      <c r="C1184" t="n">
        <v>3</v>
      </c>
      <c r="D1184" s="3" t="inlineStr">
        <is>
          <t>Kali ini, kita akan membahas tentang Pattern Recognition dengan menggunakan modulo dan siklus.</t>
        </is>
      </c>
      <c r="E1184" t="inlineStr">
        <is>
          <t>YA (didukung konteks)</t>
        </is>
      </c>
    </row>
    <row r="1185">
      <c r="A1185" t="n">
        <v>101</v>
      </c>
      <c r="B1185" t="inlineStr">
        <is>
          <t>A</t>
        </is>
      </c>
      <c r="C1185" t="n">
        <v>4</v>
      </c>
      <c r="D1185" s="3" t="inlineStr">
        <is>
          <t>Pada soal 3, kita diminta untuk menemukan pola dari barisan berikut: 2, 5, 10, 17, 26, ...</t>
        </is>
      </c>
      <c r="E1185" t="inlineStr">
        <is>
          <t>YA (didukung konteks)</t>
        </is>
      </c>
    </row>
    <row r="1186">
      <c r="A1186" t="n">
        <v>101</v>
      </c>
      <c r="B1186" t="inlineStr">
        <is>
          <t>A</t>
        </is>
      </c>
      <c r="C1186" t="n">
        <v>5</v>
      </c>
      <c r="D1186" s="3" t="inlineStr">
        <is>
          <t>Kita dapat melihat bahwa setiap suku meningkat dengan selisih yang bertambah 2.</t>
        </is>
      </c>
      <c r="E1186" t="inlineStr">
        <is>
          <t>YA (didukung konteks)</t>
        </is>
      </c>
    </row>
    <row r="1187">
      <c r="A1187" t="n">
        <v>101</v>
      </c>
      <c r="B1187" t="inlineStr">
        <is>
          <t>A</t>
        </is>
      </c>
      <c r="C1187" t="n">
        <v>6</v>
      </c>
      <c r="D1187" s="3" t="inlineStr">
        <is>
          <t>Siklus muncul karena modulo menciptakan nilai yang berulang secara periodik.</t>
        </is>
      </c>
      <c r="E1187" t="inlineStr">
        <is>
          <t>YA (didukung konteks)</t>
        </is>
      </c>
    </row>
    <row r="1188">
      <c r="A1188" t="n">
        <v>101</v>
      </c>
      <c r="B1188" t="inlineStr">
        <is>
          <t>B</t>
        </is>
      </c>
      <c r="C1188" t="n">
        <v>1</v>
      </c>
      <c r="D1188" s="3" t="inlineStr">
        <is>
          <t>Dengan demikian, kita dapat melihat bahwa sisa dari perkalian 3 dengan eksponen ganjil adalah 7, sedangkan sisa dari perkalian 3 dengan eksponen genap adalah 1.</t>
        </is>
      </c>
      <c r="E1188" t="inlineStr">
        <is>
          <t>YA (didukung konteks)</t>
        </is>
      </c>
    </row>
    <row r="1189">
      <c r="A1189" t="n">
        <v>101</v>
      </c>
      <c r="B1189" t="inlineStr">
        <is>
          <t>B</t>
        </is>
      </c>
      <c r="C1189" t="n">
        <v>2</v>
      </c>
      <c r="D1189" s="3" t="inlineStr">
        <is>
          <t>Dalam matematika, kita dapat melihat bahwa digit terakhir dari hasil perkalian 3 dengan suatu eksponen berulang-ulang adalah 7, yaitu:</t>
        </is>
      </c>
      <c r="E1189" t="inlineStr">
        <is>
          <t>YA (didukung konteks)</t>
        </is>
      </c>
    </row>
    <row r="1190">
      <c r="A1190" t="n">
        <v>101</v>
      </c>
      <c r="B1190" t="inlineStr">
        <is>
          <t>B</t>
        </is>
      </c>
      <c r="C1190" t="n">
        <v>3</v>
      </c>
      <c r="D1190" s="3" t="inlineStr">
        <is>
          <t>Untuk menentukan digit terakhir dari 3^100, kita dapat menggunakan konsep sisa (modulo) dan sifat eksponen.</t>
        </is>
      </c>
      <c r="E1190" t="inlineStr">
        <is>
          <t>YA (didukung konteks)</t>
        </is>
      </c>
    </row>
    <row r="1191">
      <c r="A1191" t="n">
        <v>101</v>
      </c>
      <c r="B1191" t="inlineStr">
        <is>
          <t>B</t>
        </is>
      </c>
      <c r="C1191" t="n">
        <v>4</v>
      </c>
      <c r="D1191" s="3" t="inlineStr">
        <is>
          <t>Setelah beberapa kali, digit terakhir akan berulang-ulang menjadi 7, 9, 3, 1.</t>
        </is>
      </c>
      <c r="E1191" t="inlineStr">
        <is>
          <t>YA (didukung konteks)</t>
        </is>
      </c>
    </row>
    <row r="1192">
      <c r="A1192" t="n">
        <v>101</v>
      </c>
      <c r="B1192" t="inlineStr">
        <is>
          <t>B</t>
        </is>
      </c>
      <c r="C1192" t="n">
        <v>5</v>
      </c>
      <c r="D1192" s="3" t="inlineStr">
        <is>
          <t>Maka, untuk menentukan digit terakhir dari 3^100, kita dapat menghitung:</t>
        </is>
      </c>
      <c r="E1192" t="inlineStr">
        <is>
          <t>YA (didukung konteks)</t>
        </is>
      </c>
    </row>
    <row r="1193">
      <c r="A1193" t="n">
        <v>101</v>
      </c>
      <c r="B1193" t="inlineStr">
        <is>
          <t>B</t>
        </is>
      </c>
      <c r="C1193" t="n">
        <v>6</v>
      </c>
      <c r="D1193" s="3" t="inlineStr">
        <is>
          <t>Karena 10 adalah faktor dari 100, maka kita dapat melihat bahwa:</t>
        </is>
      </c>
      <c r="E1193" t="inlineStr">
        <is>
          <t>TIDAK (tidak didukung)</t>
        </is>
      </c>
    </row>
    <row r="1194">
      <c r="A1194" t="n">
        <v>102</v>
      </c>
      <c r="B1194" t="inlineStr">
        <is>
          <t>A</t>
        </is>
      </c>
      <c r="C1194" t="n">
        <v>1</v>
      </c>
      <c r="D1194" s="3" t="inlineStr">
        <is>
          <t>Dengan demikian, binary search dengan kompleksitas O(log n) masih lebih efisien untuk input besar, tetapi pada ukuran data kecil seperti 8 elemen, linear search rata-rata butuh 4 langkah yang tidak jauh beda dengan 3 lan</t>
        </is>
      </c>
      <c r="E1194" t="inlineStr">
        <is>
          <t>YA (didukung konteks)</t>
        </is>
      </c>
    </row>
    <row r="1195">
      <c r="A1195" t="n">
        <v>102</v>
      </c>
      <c r="B1195" t="inlineStr">
        <is>
          <t>A</t>
        </is>
      </c>
      <c r="C1195" t="n">
        <v>2</v>
      </c>
      <c r="D1195" s="3" t="inlineStr">
        <is>
          <t>Dalam materi referensi, dosen menjelaskan bahwa algoritme ideal memiliki pertambahan operasi yang tidak serta merta bertambah signifikan ketika ukuran input bertambah.</t>
        </is>
      </c>
      <c r="E1195" t="inlineStr">
        <is>
          <t>YA (didukung konteks)</t>
        </is>
      </c>
    </row>
    <row r="1196">
      <c r="A1196" t="n">
        <v>102</v>
      </c>
      <c r="B1196" t="inlineStr">
        <is>
          <t>A</t>
        </is>
      </c>
      <c r="C1196" t="n">
        <v>3</v>
      </c>
      <c r="D1196" s="3" t="inlineStr">
        <is>
          <t>Namun, jika kita lihat pada ukuran data kecil seperti 8 elemen, maka perbedaan antara binary search dan linear search tidak terlalu signifikan.</t>
        </is>
      </c>
      <c r="E1196" t="inlineStr">
        <is>
          <t>YA (didukung konteks)</t>
        </is>
      </c>
    </row>
    <row r="1197">
      <c r="A1197" t="n">
        <v>102</v>
      </c>
      <c r="B1197" t="inlineStr">
        <is>
          <t>A</t>
        </is>
      </c>
      <c r="C1197" t="n">
        <v>4</v>
      </c>
      <c r="D1197" s="3" t="inlineStr">
        <is>
          <t>Binary search masih lebih efisien jika input besar, tetapi pada ukuran data kecil, linear search dapat menjadi pilihan yang lebih efektif.</t>
        </is>
      </c>
      <c r="E1197" t="inlineStr">
        <is>
          <t>YA (didukung konteks)</t>
        </is>
      </c>
    </row>
    <row r="1198">
      <c r="A1198" t="n">
        <v>102</v>
      </c>
      <c r="B1198" t="inlineStr">
        <is>
          <t>A</t>
        </is>
      </c>
      <c r="C1198" t="n">
        <v>5</v>
      </c>
      <c r="D1198" s="3" t="inlineStr">
        <is>
          <t>Mahasiswa, algoritme binary search memang memiliki kompleksitas O(log n) yang dianggap sangat efisien untuk input besar.</t>
        </is>
      </c>
      <c r="E1198" t="inlineStr">
        <is>
          <t>YA (didukung konteks)</t>
        </is>
      </c>
    </row>
    <row r="1199">
      <c r="A1199" t="n">
        <v>102</v>
      </c>
      <c r="B1199" t="inlineStr">
        <is>
          <t>A</t>
        </is>
      </c>
      <c r="C1199" t="n">
        <v>6</v>
      </c>
      <c r="D1199" s="3" t="inlineStr">
        <is>
          <t>Jadi, jawaban bagi pertanyaan apakah binary search benar-benar sepadan untuk ukuran data kecil adalah tidak.</t>
        </is>
      </c>
      <c r="E1199" t="inlineStr">
        <is>
          <t>YA (didukung konteks)</t>
        </is>
      </c>
    </row>
    <row r="1200">
      <c r="A1200" t="n">
        <v>102</v>
      </c>
      <c r="B1200" t="inlineStr">
        <is>
          <t>B</t>
        </is>
      </c>
      <c r="C1200" t="n">
        <v>1</v>
      </c>
      <c r="D1200" s="3" t="inlineStr">
        <is>
          <t>Pada kenyataannya, jika array memiliki ukuran kecil, maka biaya overhead untuk melakukan proses pencarian menggunakan algoritme binary search justru lebih besar dibandingkan dengan biaya overhead untuk melakukan linear s</t>
        </is>
      </c>
      <c r="E1200" t="inlineStr">
        <is>
          <t>YA (didukung konteks)</t>
        </is>
      </c>
    </row>
    <row r="1201">
      <c r="A1201" t="n">
        <v>102</v>
      </c>
      <c r="B1201" t="inlineStr">
        <is>
          <t>B</t>
        </is>
      </c>
      <c r="C1201" t="n">
        <v>2</v>
      </c>
      <c r="D1201" s="3" t="inlineStr">
        <is>
          <t>Namun, perlu diingat bahwa algoritme binary search memiliki kelebihan lain, seperti dapat menemukan elemen yang dicari dalam waktu konstan untuk array yang disimpan secara terorganisir, seperti array yang telah diurutkan</t>
        </is>
      </c>
      <c r="E1201" t="inlineStr">
        <is>
          <t>YA (didukung konteks)</t>
        </is>
      </c>
    </row>
    <row r="1202">
      <c r="A1202" t="n">
        <v>102</v>
      </c>
      <c r="B1202" t="inlineStr">
        <is>
          <t>B</t>
        </is>
      </c>
      <c r="C1202" t="n">
        <v>3</v>
      </c>
      <c r="D1202" s="3" t="inlineStr">
        <is>
          <t>Ternyata, pada awalnya, jawaban yang dijawabkan oleh dosen masih relatif benar, karena algoritme binary search memang memiliki kompleksitas waktu O(log n) yang relatif efisien untuk mencari elemen dalam array yang besar.</t>
        </is>
      </c>
      <c r="E1202" t="inlineStr">
        <is>
          <t>YA (didukung konteks)</t>
        </is>
      </c>
    </row>
    <row r="1203">
      <c r="A1203" t="n">
        <v>102</v>
      </c>
      <c r="B1203" t="inlineStr">
        <is>
          <t>B</t>
        </is>
      </c>
      <c r="C1203" t="n">
        <v>4</v>
      </c>
      <c r="D1203" s="3" t="inlineStr">
        <is>
          <t>Oleh karena itu, pada kenyataannya, ketika membuat keputusan tentang menggunakan algoritme binary search atau linear search, maka harus mempertimbangkan juga ukuran data dan aplikasinya dalam konteks tertentu.</t>
        </is>
      </c>
      <c r="E1203" t="inlineStr">
        <is>
          <t>YA (didukung konteks)</t>
        </is>
      </c>
    </row>
    <row r="1204">
      <c r="A1204" t="n">
        <v>102</v>
      </c>
      <c r="B1204" t="inlineStr">
        <is>
          <t>B</t>
        </is>
      </c>
      <c r="C1204" t="n">
        <v>5</v>
      </c>
      <c r="D1204" s="3" t="inlineStr">
        <is>
          <t>Namun, ketika diterapkan pada ukuran data kecil seperti array berisi 8 elemen, maka perbedaan kompleksitas waktu antara binary search dan linear search menjadi kurang signifikan.</t>
        </is>
      </c>
      <c r="E1204" t="inlineStr">
        <is>
          <t>YA (didukung konteks)</t>
        </is>
      </c>
    </row>
    <row r="1205">
      <c r="A1205" t="n">
        <v>102</v>
      </c>
      <c r="B1205" t="inlineStr">
        <is>
          <t>B</t>
        </is>
      </c>
      <c r="C1205" t="n">
        <v>6</v>
      </c>
      <c r="D1205" s="3" t="inlineStr">
        <is>
          <t>Oleh karena itu, pada kasus seperti ini, algoritme binary search tidak sepenuhnya sepadan.</t>
        </is>
      </c>
      <c r="E1205" t="inlineStr">
        <is>
          <t>YA (didukung konteks)</t>
        </is>
      </c>
    </row>
    <row r="1206">
      <c r="A1206" t="n">
        <v>103</v>
      </c>
      <c r="B1206" t="inlineStr">
        <is>
          <t>A</t>
        </is>
      </c>
      <c r="C1206" t="n">
        <v>1</v>
      </c>
      <c r="D1206" s="3" t="inlineStr">
        <is>
          <t>Dalam hal ini, saya ingin menegaskan bahwa untuk mengimplementasikan rekursi tidak langsung, kita harus memiliki kemampuan untuk mengembangkan algoritme yang dapat berhenti pada suatu titik dan tidak terus-menerus memang</t>
        </is>
      </c>
      <c r="E1206" t="inlineStr">
        <is>
          <t>TIDAK (tidak didukung)</t>
        </is>
      </c>
    </row>
    <row r="1207">
      <c r="A1207" t="n">
        <v>103</v>
      </c>
      <c r="B1207" t="inlineStr">
        <is>
          <t>A</t>
        </is>
      </c>
      <c r="C1207" t="n">
        <v>2</v>
      </c>
      <c r="D1207" s="3" t="inlineStr">
        <is>
          <t>Namun, jika kita berbicara tentang rekursi tidak langsung, maka kita dapat melihat bahwa rekursi tidak langsung adalah suatu situasi di mana fungsi A memanggil fungsi B, dan fungsi B memanggil fungsi A kembali.</t>
        </is>
      </c>
      <c r="E1207" t="inlineStr">
        <is>
          <t>TIDAK (tidak didukung)</t>
        </is>
      </c>
    </row>
    <row r="1208">
      <c r="A1208" t="n">
        <v>103</v>
      </c>
      <c r="B1208" t="inlineStr">
        <is>
          <t>A</t>
        </is>
      </c>
      <c r="C1208" t="n">
        <v>3</v>
      </c>
      <c r="D1208" s="3" t="inlineStr">
        <is>
          <t>Namun, kita dapat melihat bahwa konsep rekursi dapat diterapkan dalam situasi di mana fungsi A dan B memanggil dirinya sendiri, sehingga terciptalah suatu situasi rekursi tidak langsung.</t>
        </is>
      </c>
      <c r="E1208" t="inlineStr">
        <is>
          <t>TIDAK (tidak didukung)</t>
        </is>
      </c>
    </row>
    <row r="1209">
      <c r="A1209" t="n">
        <v>103</v>
      </c>
      <c r="B1209" t="inlineStr">
        <is>
          <t>A</t>
        </is>
      </c>
      <c r="C1209" t="n">
        <v>4</v>
      </c>
      <c r="D1209" s="3" t="inlineStr">
        <is>
          <t>Contoh yang paling mudah untuk memahami rekursi tidak langsung adalah ketika Anda memiliki sebuah program yang memiliki dua fungsi yang saling memanggil dirinya sendiri.</t>
        </is>
      </c>
      <c r="E1209" t="inlineStr">
        <is>
          <t>TIDAK (tidak didukung)</t>
        </is>
      </c>
    </row>
    <row r="1210">
      <c r="A1210" t="n">
        <v>103</v>
      </c>
      <c r="B1210" t="inlineStr">
        <is>
          <t>A</t>
        </is>
      </c>
      <c r="C1210" t="n">
        <v>5</v>
      </c>
      <c r="D1210" s="3" t="inlineStr">
        <is>
          <t>Dalam penjelasan saya, saya menggunakan istilah teknis yang ada dalam materi referensi di atas, seperti rekursi, base case, dan recursive case.</t>
        </is>
      </c>
      <c r="E1210" t="inlineStr">
        <is>
          <t>YA (didukung konteks)</t>
        </is>
      </c>
    </row>
    <row r="1211">
      <c r="A1211" t="n">
        <v>103</v>
      </c>
      <c r="B1211" t="inlineStr">
        <is>
          <t>A</t>
        </is>
      </c>
      <c r="C1211" t="n">
        <v>6</v>
      </c>
      <c r="D1211" s="3" t="inlineStr">
        <is>
          <t>Menurut materi referensi [GT_SUBTOPIK_11_Rekursi.txt], konsep rekursi memanggil dirinya sendiri, memiliki base case dan recursive case.</t>
        </is>
      </c>
      <c r="E1211" t="inlineStr">
        <is>
          <t>TIDAK (tidak didukung)</t>
        </is>
      </c>
    </row>
    <row r="1212">
      <c r="A1212" t="n">
        <v>103</v>
      </c>
      <c r="B1212" t="inlineStr">
        <is>
          <t>B</t>
        </is>
      </c>
      <c r="C1212" t="n">
        <v>1</v>
      </c>
      <c r="D1212" s="3" t="inlineStr">
        <is>
          <t>Sementara dalam rekursi tidak langsung, base case-nya dapat berupa kondisi di mana fungsi A atau B tidak memanggil dirinya sendiri lagi dan mencapai akhir.</t>
        </is>
      </c>
      <c r="E1212" t="inlineStr">
        <is>
          <t>YA (didukung konteks)</t>
        </is>
      </c>
    </row>
    <row r="1213">
      <c r="A1213" t="n">
        <v>103</v>
      </c>
      <c r="B1213" t="inlineStr">
        <is>
          <t>B</t>
        </is>
      </c>
      <c r="C1213" t="n">
        <v>2</v>
      </c>
      <c r="D1213" s="3" t="inlineStr">
        <is>
          <t>Rekursi adalah konsep matematika dan programing yang memungkinkan fungsi memanggil dirinya sendiri secara terus menerus hingga mencapai base case-nya.</t>
        </is>
      </c>
      <c r="E1213" t="inlineStr">
        <is>
          <t>TIDAK (tidak didukung)</t>
        </is>
      </c>
    </row>
    <row r="1214">
      <c r="A1214" t="n">
        <v>103</v>
      </c>
      <c r="B1214" t="inlineStr">
        <is>
          <t>B</t>
        </is>
      </c>
      <c r="C1214" t="n">
        <v>3</v>
      </c>
      <c r="D1214" s="3" t="inlineStr">
        <is>
          <t>Dalam hal ini, kita dapat melihat bahwa rekursi tidak langsung adalah sebuah proses yang terdiri dari panggilan antara dua atau lebih fungsi.</t>
        </is>
      </c>
      <c r="E1214" t="inlineStr">
        <is>
          <t>TIDAK (tidak didukung)</t>
        </is>
      </c>
    </row>
    <row r="1215">
      <c r="A1215" t="n">
        <v>103</v>
      </c>
      <c r="B1215" t="inlineStr">
        <is>
          <t>B</t>
        </is>
      </c>
      <c r="C1215" t="n">
        <v>4</v>
      </c>
      <c r="D1215" s="3" t="inlineStr">
        <is>
          <t>Dalam rekursi langsung, base case-nya adalah kondisi di mana fungsi tidak memanggil dirinya sendiri lagi dan mencapai akhir.</t>
        </is>
      </c>
      <c r="E1215" t="inlineStr">
        <is>
          <t>TIDAK (tidak didukung)</t>
        </is>
      </c>
    </row>
    <row r="1216">
      <c r="A1216" t="n">
        <v>103</v>
      </c>
      <c r="B1216" t="inlineStr">
        <is>
          <t>B</t>
        </is>
      </c>
      <c r="C1216" t="n">
        <v>5</v>
      </c>
      <c r="D1216" s="3" t="inlineStr">
        <is>
          <t>Namun, dalam kasus rekursi tidak langsung, seperti yang dijelaskan dosen, fungsi A memanggil B dan B memanggil A kembali.</t>
        </is>
      </c>
      <c r="E1216" t="inlineStr">
        <is>
          <t>TIDAK (tidak didukung)</t>
        </is>
      </c>
    </row>
    <row r="1217">
      <c r="A1217" t="n">
        <v>103</v>
      </c>
      <c r="B1217" t="inlineStr">
        <is>
          <t>B</t>
        </is>
      </c>
      <c r="C1217" t="n">
        <v>6</v>
      </c>
      <c r="D1217" s="3" t="inlineStr">
        <is>
          <t>Rekursi tidak langsung ini seringkali digunakan dalam pembuatan algoritma dan programing untuk mencapai tujuan tertentu.</t>
        </is>
      </c>
      <c r="E1217" t="inlineStr">
        <is>
          <t>YA (didukung konteks)</t>
        </is>
      </c>
    </row>
    <row r="1218">
      <c r="A1218" t="n">
        <v>104</v>
      </c>
      <c r="B1218" t="inlineStr">
        <is>
          <t>A</t>
        </is>
      </c>
      <c r="C1218" t="n">
        <v>1</v>
      </c>
      <c r="D1218" s="3" t="inlineStr">
        <is>
          <t>Dalam penjelasan ini, saya menggunakan istilah teknis seperti "pola bilangan deret", "selisih bertingkat pertama", dan "konstan" untuk menjelaskan konsep utama.</t>
        </is>
      </c>
      <c r="E1218" t="inlineStr">
        <is>
          <t>YA (didukung konteks)</t>
        </is>
      </c>
    </row>
    <row r="1219">
      <c r="A1219" t="n">
        <v>104</v>
      </c>
      <c r="B1219" t="inlineStr">
        <is>
          <t>A</t>
        </is>
      </c>
      <c r="C1219" t="n">
        <v>2</v>
      </c>
      <c r="D1219" s="3" t="inlineStr">
        <is>
          <t>Sebagai tutor Computational Thinking, saya akan menjawab pertanyaan mahasiswa dengan menggunakan konsep utama dari materi referensi.</t>
        </is>
      </c>
      <c r="E1219" t="inlineStr">
        <is>
          <t>YA (didukung konteks)</t>
        </is>
      </c>
    </row>
    <row r="1220">
      <c r="A1220" t="n">
        <v>104</v>
      </c>
      <c r="B1220" t="inlineStr">
        <is>
          <t>A</t>
        </is>
      </c>
      <c r="C1220" t="n">
        <v>3</v>
      </c>
      <c r="D1220" s="3" t="inlineStr">
        <is>
          <t>Artinya, bahwa pola bilangan deret ini memiliki suku ke-n yang berfungsi sebagai penjumlahan bilangan ganjil.</t>
        </is>
      </c>
      <c r="E1220" t="inlineStr">
        <is>
          <t>YA (didukung konteks)</t>
        </is>
      </c>
    </row>
    <row r="1221">
      <c r="A1221" t="n">
        <v>104</v>
      </c>
      <c r="B1221" t="inlineStr">
        <is>
          <t>A</t>
        </is>
      </c>
      <c r="C1221" t="n">
        <v>4</v>
      </c>
      <c r="D1221" s="3" t="inlineStr">
        <is>
          <t>Dengan cara menghitung selisihnya, kita mendapatkan selisih bertingkat pertama: 2, 4, 6, 8, 10.</t>
        </is>
      </c>
      <c r="E1221" t="inlineStr">
        <is>
          <t>YA (didukung konteks)</t>
        </is>
      </c>
    </row>
    <row r="1222">
      <c r="A1222" t="n">
        <v>104</v>
      </c>
      <c r="B1222" t="inlineStr">
        <is>
          <t>A</t>
        </is>
      </c>
      <c r="C1222" t="n">
        <v>5</v>
      </c>
      <c r="D1222" s="3" t="inlineStr">
        <is>
          <t>Jadi, untuk menemukan rumus suku ke-n dari barisan aslinya, kita perlu menghitung suku ke-10.</t>
        </is>
      </c>
      <c r="E1222" t="inlineStr">
        <is>
          <t>YA (didukung konteks)</t>
        </is>
      </c>
    </row>
    <row r="1223">
      <c r="A1223" t="n">
        <v>104</v>
      </c>
      <c r="B1223" t="inlineStr">
        <is>
          <t>A</t>
        </is>
      </c>
      <c r="C1223" t="n">
        <v>6</v>
      </c>
      <c r="D1223" s="3" t="inlineStr">
        <is>
          <t>Pertama-tama, kita perlu memahami pola bilangan deret yang diberikan: 1, 3, 7, 13, 21, 31.</t>
        </is>
      </c>
      <c r="E1223" t="inlineStr">
        <is>
          <t>TIDAK (tidak didukung)</t>
        </is>
      </c>
    </row>
    <row r="1224">
      <c r="A1224" t="n">
        <v>104</v>
      </c>
      <c r="B1224" t="inlineStr">
        <is>
          <t>B</t>
        </is>
      </c>
      <c r="C1224" t="n">
        <v>1</v>
      </c>
      <c r="D1224" s="3" t="inlineStr">
        <is>
          <t>Dari analisis yang dilakukan, kita dapat menemukan bahwa barisan asli memiliki perbedaan antar dua suku yang konstan, yaitu 2.</t>
        </is>
      </c>
      <c r="E1224" t="inlineStr">
        <is>
          <t>YA (didukung konteks)</t>
        </is>
      </c>
    </row>
    <row r="1225">
      <c r="A1225" t="n">
        <v>104</v>
      </c>
      <c r="B1225" t="inlineStr">
        <is>
          <t>B</t>
        </is>
      </c>
      <c r="C1225" t="n">
        <v>2</v>
      </c>
      <c r="D1225" s="3" t="inlineStr">
        <is>
          <t>Dengan demikian, kita dapat menemukan rumus suku ke-n dengan cara memanipulasi perbedaan antar dua suku tersebut.</t>
        </is>
      </c>
      <c r="E1225" t="inlineStr">
        <is>
          <t>YA (didukung konteks)</t>
        </is>
      </c>
    </row>
    <row r="1226">
      <c r="A1226" t="n">
        <v>104</v>
      </c>
      <c r="B1226" t="inlineStr">
        <is>
          <t>B</t>
        </is>
      </c>
      <c r="C1226" t="n">
        <v>3</v>
      </c>
      <c r="D1226" s="3" t="inlineStr">
        <is>
          <t>Kita dapat menemukan rumus tersebut dengan cara menghitung perbedaan antar dua suku secara berulang.</t>
        </is>
      </c>
      <c r="E1226" t="inlineStr">
        <is>
          <t>YA (didukung konteks)</t>
        </is>
      </c>
    </row>
    <row r="1227">
      <c r="A1227" t="n">
        <v>104</v>
      </c>
      <c r="B1227" t="inlineStr">
        <is>
          <t>B</t>
        </is>
      </c>
      <c r="C1227" t="n">
        <v>4</v>
      </c>
      <c r="D1227" s="3" t="inlineStr">
        <is>
          <t>Jadi, untuk menemukan suku ke-n dari barisan asli, kita hanya perlu menghitung (n^2 + n)/2.</t>
        </is>
      </c>
      <c r="E1227" t="inlineStr">
        <is>
          <t>YA (didukung konteks)</t>
        </is>
      </c>
    </row>
    <row r="1228">
      <c r="A1228" t="n">
        <v>104</v>
      </c>
      <c r="B1228" t="inlineStr">
        <is>
          <t>B</t>
        </is>
      </c>
      <c r="C1228" t="n">
        <v>5</v>
      </c>
      <c r="D1228" s="3" t="inlineStr">
        <is>
          <t>Misalnya, untuk menemukan perbedaan antara suku ke-1 dan suku ke-3, kita dapat menghitung:</t>
        </is>
      </c>
      <c r="E1228" t="inlineStr">
        <is>
          <t>YA (didukung konteks)</t>
        </is>
      </c>
    </row>
    <row r="1229">
      <c r="A1229" t="n">
        <v>104</v>
      </c>
      <c r="B1229" t="inlineStr">
        <is>
          <t>B</t>
        </is>
      </c>
      <c r="C1229" t="n">
        <v>6</v>
      </c>
      <c r="D1229" s="3" t="inlineStr">
        <is>
          <t>Kemudian, untuk menemukan perbedaan antara suku ke-3 dan suku ke-5, kita dapat menghitung:</t>
        </is>
      </c>
      <c r="E1229" t="inlineStr">
        <is>
          <t>YA (didukung konteks)</t>
        </is>
      </c>
    </row>
    <row r="1230">
      <c r="A1230" t="n">
        <v>105</v>
      </c>
      <c r="B1230" t="inlineStr">
        <is>
          <t>A</t>
        </is>
      </c>
      <c r="C1230" t="n">
        <v>1</v>
      </c>
      <c r="D1230" s="3" t="inlineStr">
        <is>
          <t>Contohnya, dalam pengembangan aplikasi mobile, kita mungkin ingin membuat aplikasi yang berjalan terus-menerus untuk mengumpulkan data atau melakukan proses lainnya.</t>
        </is>
      </c>
      <c r="E1230" t="inlineStr">
        <is>
          <t>YA (didukung konteks)</t>
        </is>
      </c>
    </row>
    <row r="1231">
      <c r="A1231" t="n">
        <v>105</v>
      </c>
      <c r="B1231" t="inlineStr">
        <is>
          <t>A</t>
        </is>
      </c>
      <c r="C1231" t="n">
        <v>2</v>
      </c>
      <c r="D1231" s="3" t="inlineStr">
        <is>
          <t>Dengan demikian, saya menyarankan agar mahasiswa jangan terburu-buru dalam menggolongkan while(true) sebagai bug tanpa memeriksa kondisinya lebih lanjut.</t>
        </is>
      </c>
      <c r="E1231" t="inlineStr">
        <is>
          <t>YA (didukung konteks)</t>
        </is>
      </c>
    </row>
    <row r="1232">
      <c r="A1232" t="n">
        <v>105</v>
      </c>
      <c r="B1232" t="inlineStr">
        <is>
          <t>A</t>
        </is>
      </c>
      <c r="C1232" t="n">
        <v>3</v>
      </c>
      <c r="D1232" s="3" t="inlineStr">
        <is>
          <t>Sebagai gantinya, kita dapat menggunakan istilah "loop berbasis nilai" untuk deskripsikan jenis loop yang tidak memiliki batas pengulangan yang jelas.</t>
        </is>
      </c>
      <c r="E1232" t="inlineStr">
        <is>
          <t>YA (didukung konteks)</t>
        </is>
      </c>
    </row>
    <row r="1233">
      <c r="A1233" t="n">
        <v>105</v>
      </c>
      <c r="B1233" t="inlineStr">
        <is>
          <t>A</t>
        </is>
      </c>
      <c r="C1233" t="n">
        <v>4</v>
      </c>
      <c r="D1233" s="3" t="inlineStr">
        <is>
          <t>Kita perlu memeriksa kondisi dan tujuan aplikasinya sebelum menyimpulkan bahwa while(true) adalah infinite loop yang harus diperbaiki.</t>
        </is>
      </c>
      <c r="E1233" t="inlineStr">
        <is>
          <t>YA (didukung konteks)</t>
        </is>
      </c>
    </row>
    <row r="1234">
      <c r="A1234" t="n">
        <v>105</v>
      </c>
      <c r="B1234" t="inlineStr">
        <is>
          <t>A</t>
        </is>
      </c>
      <c r="C1234" t="n">
        <v>5</v>
      </c>
      <c r="D1234" s="3" t="inlineStr">
        <is>
          <t>Kondisi dievaluasi SEBELUM body dijalankan, jadi jika kondisi False sejak awal, maka body tidak akan pernah dijalankan.</t>
        </is>
      </c>
      <c r="E1234" t="inlineStr">
        <is>
          <t>YA (didukung konteks)</t>
        </is>
      </c>
    </row>
    <row r="1235">
      <c r="A1235" t="n">
        <v>105</v>
      </c>
      <c r="B1235" t="inlineStr">
        <is>
          <t>A</t>
        </is>
      </c>
      <c r="C1235" t="n">
        <v>6</v>
      </c>
      <c r="D1235" s="3" t="inlineStr">
        <is>
          <t>Saya akan menjawab pertanyaan mahasiswa dengan menggunakan istilah teknis yang ada dalam materi referensi.</t>
        </is>
      </c>
      <c r="E1235" t="inlineStr">
        <is>
          <t>YA (didukung konteks)</t>
        </is>
      </c>
    </row>
    <row r="1236">
      <c r="A1236" t="n">
        <v>105</v>
      </c>
      <c r="B1236" t="inlineStr">
        <is>
          <t>B</t>
        </is>
      </c>
      <c r="C1236" t="n">
        <v>1</v>
      </c>
      <c r="D1236" s="3" t="inlineStr">
        <is>
          <t>Dalam beberapa kasus, penggunaan while(true) dapat dimaksudkan sebagai sintaks sengaja untuk membuat program berjalan secara terus-menerus atau melakukan suatu tugas yang harus dilakukan tanpa henti.</t>
        </is>
      </c>
      <c r="E1236" t="inlineStr">
        <is>
          <t>YA (didukung konteks)</t>
        </is>
      </c>
    </row>
    <row r="1237">
      <c r="A1237" t="n">
        <v>105</v>
      </c>
      <c r="B1237" t="inlineStr">
        <is>
          <t>B</t>
        </is>
      </c>
      <c r="C1237" t="n">
        <v>2</v>
      </c>
      <c r="D1237" s="3" t="inlineStr">
        <is>
          <t>Namun, dalam beberapa kasus, penggunaan while(true) tanpa henti dapat berarti bug atau error, seperti ketika program tidak memiliki cara untuk berhenti atau keluar dari loop.</t>
        </is>
      </c>
      <c r="E1237" t="inlineStr">
        <is>
          <t>YA (didukung konteks)</t>
        </is>
      </c>
    </row>
    <row r="1238">
      <c r="A1238" t="n">
        <v>105</v>
      </c>
      <c r="B1238" t="inlineStr">
        <is>
          <t>B</t>
        </is>
      </c>
      <c r="C1238" t="n">
        <v>3</v>
      </c>
      <c r="D1238" s="3" t="inlineStr">
        <is>
          <t>Contohnya, dalam aplikasi real-time seperti sistem monitoring, while(true) dapat digunakan untuk memantau dan mengupdate data secara terus-menerus.</t>
        </is>
      </c>
      <c r="E1238" t="inlineStr">
        <is>
          <t>YA (didukung konteks)</t>
        </is>
      </c>
    </row>
    <row r="1239">
      <c r="A1239" t="n">
        <v>105</v>
      </c>
      <c r="B1239" t="inlineStr">
        <is>
          <t>B</t>
        </is>
      </c>
      <c r="C1239" t="n">
        <v>4</v>
      </c>
      <c r="D1239" s="3" t="inlineStr">
        <is>
          <t>Jadi, sebelum mengatakan bahwa while(true) adalah bug, kita harus memahami konteks dan tujuan penggunaan sintaks tersebut dalam kode program.</t>
        </is>
      </c>
      <c r="E1239" t="inlineStr">
        <is>
          <t>YA (didukung konteks)</t>
        </is>
      </c>
    </row>
    <row r="1240">
      <c r="A1240" t="n">
        <v>105</v>
      </c>
      <c r="B1240" t="inlineStr">
        <is>
          <t>B</t>
        </is>
      </c>
      <c r="C1240" t="n">
        <v>5</v>
      </c>
      <c r="D1240" s="3" t="inlineStr">
        <is>
          <t>Dalam kasus lain, while(true) dapat digunakan sebagai loop utama untuk membuat program berjalan secara konstan dan tidak berhenti.</t>
        </is>
      </c>
      <c r="E1240" t="inlineStr">
        <is>
          <t>YA (didukung konteks)</t>
        </is>
      </c>
    </row>
    <row r="1241">
      <c r="A1241" t="n">
        <v>105</v>
      </c>
      <c r="B1241" t="inlineStr">
        <is>
          <t>B</t>
        </is>
      </c>
      <c r="C1241" t="n">
        <v>6</v>
      </c>
      <c r="D1241" s="3" t="inlineStr">
        <is>
          <t>Oleh karena itu, perlu diperhatikan konteks dan tujuan penggunaan while(true) dalam kode program.</t>
        </is>
      </c>
      <c r="E1241" t="inlineStr">
        <is>
          <t>YA (didukung konteks)</t>
        </is>
      </c>
    </row>
    <row r="1242">
      <c r="A1242" t="n">
        <v>106</v>
      </c>
      <c r="B1242" t="inlineStr">
        <is>
          <t>A</t>
        </is>
      </c>
      <c r="C1242" t="n">
        <v>1</v>
      </c>
      <c r="D1242" s="3" t="inlineStr">
        <is>
          <t>Contoh yang dapat membantu memahami perbedaan ini adalah sebagai berikut: jika Anda memiliki mobil yang rusak dan tidak bisa dijalankan, maka PROBLEM adalah kondisi mobil rusak, sedangkan GOAL adalah mendapatkan mobil ya</t>
        </is>
      </c>
      <c r="E1242" t="inlineStr">
        <is>
          <t>YA (didukung konteks)</t>
        </is>
      </c>
    </row>
    <row r="1243">
      <c r="A1243" t="n">
        <v>106</v>
      </c>
      <c r="B1243" t="inlineStr">
        <is>
          <t>A</t>
        </is>
      </c>
      <c r="C1243" t="n">
        <v>2</v>
      </c>
      <c r="D1243" s="3" t="inlineStr">
        <is>
          <t>Dalam situasi abstraksi, kita harus dapat mengidentifikasi PROBLEM dan GOAL dengan jelas sehingga kita dapat membuat keputusan yang tepat untuk menyelesaikan PROBLEM.</t>
        </is>
      </c>
      <c r="E1243" t="inlineStr">
        <is>
          <t>YA (didukung konteks)</t>
        </is>
      </c>
    </row>
    <row r="1244">
      <c r="A1244" t="n">
        <v>106</v>
      </c>
      <c r="B1244" t="inlineStr">
        <is>
          <t>A</t>
        </is>
      </c>
      <c r="C1244" t="n">
        <v>3</v>
      </c>
      <c r="D1244" s="3" t="inlineStr">
        <is>
          <t>PROBLEM adalah situasi atau kondisi yang tidak sesuai dengan ekspektasi, sedangkan GOAL adalah tujuan yang ingin dicapai untuk menyelesaikan PROBLEM.</t>
        </is>
      </c>
      <c r="E1244" t="inlineStr">
        <is>
          <t>YA (didukung konteks)</t>
        </is>
      </c>
    </row>
    <row r="1245">
      <c r="A1245" t="n">
        <v>106</v>
      </c>
      <c r="B1245" t="inlineStr">
        <is>
          <t>A</t>
        </is>
      </c>
      <c r="C1245" t="n">
        <v>4</v>
      </c>
      <c r="D1245" s="3" t="inlineStr">
        <is>
          <t>Dalam kasus ini, PROBLEM adalah masalah yang harus dipecahkan, sementara GOAL adalah tujuan yang ingin dicapai untuk menyelesaikan PROBLEM.</t>
        </is>
      </c>
      <c r="E1245" t="inlineStr">
        <is>
          <t>YA (didukung konteks)</t>
        </is>
      </c>
    </row>
    <row r="1246">
      <c r="A1246" t="n">
        <v>106</v>
      </c>
      <c r="B1246" t="inlineStr">
        <is>
          <t>A</t>
        </is>
      </c>
      <c r="C1246" t="n">
        <v>5</v>
      </c>
      <c r="D1246" s="3" t="inlineStr">
        <is>
          <t>Dengan kata lain, PROBLEM adalah kondisi yang tidak sesuai dengan ekspektasi, sedangkan GOAL adalah apa yang Anda inginkan untuk mencapai.</t>
        </is>
      </c>
      <c r="E1246" t="inlineStr">
        <is>
          <t>YA (didukung konteks)</t>
        </is>
      </c>
    </row>
    <row r="1247">
      <c r="A1247" t="n">
        <v>106</v>
      </c>
      <c r="B1247" t="inlineStr">
        <is>
          <t>A</t>
        </is>
      </c>
      <c r="C1247" t="n">
        <v>6</v>
      </c>
      <c r="D1247" s="3" t="inlineStr">
        <is>
          <t>Pertama-tama, perlu kita pahami bahwa PROBLEM dan GOAL memiliki perbedaan yang signifikan.</t>
        </is>
      </c>
      <c r="E1247" t="inlineStr">
        <is>
          <t>TIDAK (tidak didukung)</t>
        </is>
      </c>
    </row>
    <row r="1248">
      <c r="A1248" t="n">
        <v>106</v>
      </c>
      <c r="B1248" t="inlineStr">
        <is>
          <t>B</t>
        </is>
      </c>
      <c r="C1248" t="n">
        <v>1</v>
      </c>
      <c r="D1248" s="3" t="inlineStr">
        <is>
          <t>Goal: "Meningkatkan kehadiran pelajar di SMP X menjadi 90% dalam enam bulan ke depan dengan menggunakan strategi motivasi dan pengawasan" (apa yang ingin dicapai)</t>
        </is>
      </c>
      <c r="E1248" t="inlineStr">
        <is>
          <t>TIDAK (tidak didukung)</t>
        </is>
      </c>
    </row>
    <row r="1249">
      <c r="A1249" t="n">
        <v>106</v>
      </c>
      <c r="B1249" t="inlineStr">
        <is>
          <t>B</t>
        </is>
      </c>
      <c r="C1249" t="n">
        <v>2</v>
      </c>
      <c r="D1249" s="3" t="inlineStr">
        <is>
          <t>**PROBLEM**: Dalam konteks abstraksi, problem referensi ke kondisi atau situasi yang tidak sesuai dengan ekspektasi, kebutuhan, atau tujuan.</t>
        </is>
      </c>
      <c r="E1249" t="inlineStr">
        <is>
          <t>YA (didukung konteks)</t>
        </is>
      </c>
    </row>
    <row r="1250">
      <c r="A1250" t="n">
        <v>106</v>
      </c>
      <c r="B1250" t="inlineStr">
        <is>
          <t>B</t>
        </is>
      </c>
      <c r="C1250" t="n">
        <v>3</v>
      </c>
      <c r="D1250" s="3" t="inlineStr">
        <is>
          <t>Untuk bagian **BATASAN**, Batasan referensi ke keterbatasan atau situasi yang mempengaruhi kemampuan Anda untuk mencapai goal.</t>
        </is>
      </c>
      <c r="E1250" t="inlineStr">
        <is>
          <t>TIDAK (tidak didukung)</t>
        </is>
      </c>
    </row>
    <row r="1251">
      <c r="A1251" t="n">
        <v>106</v>
      </c>
      <c r="B1251" t="inlineStr">
        <is>
          <t>B</t>
        </is>
      </c>
      <c r="C1251" t="n">
        <v>4</v>
      </c>
      <c r="D1251" s="3" t="inlineStr">
        <is>
          <t>Saya harap jawaban ini membantu Anda memahami perbedaan antara problem, goal, batasan, dan data dalam konteks abstraksi!</t>
        </is>
      </c>
      <c r="E1251" t="inlineStr">
        <is>
          <t>TIDAK (tidak didukung)</t>
        </is>
      </c>
    </row>
    <row r="1252">
      <c r="A1252" t="n">
        <v>106</v>
      </c>
      <c r="B1252" t="inlineStr">
        <is>
          <t>B</t>
        </is>
      </c>
      <c r="C1252" t="n">
        <v>5</v>
      </c>
      <c r="D1252" s="3" t="inlineStr">
        <is>
          <t>* Problem dapat berupa masalah sosial, lingkungan, atau teknis, sedangkan goal lebih terkait dengan tujuan dan sasaran.</t>
        </is>
      </c>
      <c r="E1252" t="inlineStr">
        <is>
          <t>YA (didukung konteks)</t>
        </is>
      </c>
    </row>
    <row r="1253">
      <c r="A1253" t="n">
        <v>106</v>
      </c>
      <c r="B1253" t="inlineStr">
        <is>
          <t>B</t>
        </is>
      </c>
      <c r="C1253" t="n">
        <v>6</v>
      </c>
      <c r="D1253" s="3" t="inlineStr">
        <is>
          <t>* Problem lebih fokus pada kondisi sekarang, sedangkan goal lebih fokus pada hasil yang diinginkan di masa depan.</t>
        </is>
      </c>
      <c r="E1253" t="inlineStr">
        <is>
          <t>YA (didukung konteks)</t>
        </is>
      </c>
    </row>
    <row r="1254">
      <c r="A1254" t="n">
        <v>107</v>
      </c>
      <c r="B1254" t="inlineStr">
        <is>
          <t>A</t>
        </is>
      </c>
      <c r="C1254" t="n">
        <v>1</v>
      </c>
      <c r="D1254" s="3" t="inlineStr">
        <is>
          <t>Percabangan adalah struktur kontrol yang memungkinkan algoritme untuk mengambil keputusan dan menjalankan blok instruksi yang berbeda bergantung pada kondisi tertentu.</t>
        </is>
      </c>
      <c r="E1254" t="inlineStr">
        <is>
          <t>YA (didukung konteks)</t>
        </is>
      </c>
    </row>
    <row r="1255">
      <c r="A1255" t="n">
        <v>107</v>
      </c>
      <c r="B1255" t="inlineStr">
        <is>
          <t>A</t>
        </is>
      </c>
      <c r="C1255" t="n">
        <v>2</v>
      </c>
      <c r="D1255" s="3" t="inlineStr">
        <is>
          <t>Kita dapat menggunakan loop untuk melakukan iterasi dari 1 hingga n, dan dalam setiap iterasi, kita akan cek apakah bilangan tersebut adalah faktor n atau tidak.</t>
        </is>
      </c>
      <c r="E1255" t="inlineStr">
        <is>
          <t>YA (didukung konteks)</t>
        </is>
      </c>
    </row>
    <row r="1256">
      <c r="A1256" t="n">
        <v>107</v>
      </c>
      <c r="B1256" t="inlineStr">
        <is>
          <t>A</t>
        </is>
      </c>
      <c r="C1256" t="n">
        <v>3</v>
      </c>
      <c r="D1256" s="3" t="inlineStr">
        <is>
          <t>Dalam setiap iterasi, kita cek apakah bilangan tersebut adalah faktor n atau tidak dengan menggunakan operator modulus (mod).</t>
        </is>
      </c>
      <c r="E1256" t="inlineStr">
        <is>
          <t>YA (didukung konteks)</t>
        </is>
      </c>
    </row>
    <row r="1257">
      <c r="A1257" t="n">
        <v>107</v>
      </c>
      <c r="B1257" t="inlineStr">
        <is>
          <t>A</t>
        </is>
      </c>
      <c r="C1257" t="n">
        <v>4</v>
      </c>
      <c r="D1257" s="3" t="inlineStr">
        <is>
          <t>Saya harap pseudocode di atas dapat membantu Anda dalam membuat program untuk menampilkan semua faktor bilangan n.</t>
        </is>
      </c>
      <c r="E1257" t="inlineStr">
        <is>
          <t>YA (didukung konteks)</t>
        </is>
      </c>
    </row>
    <row r="1258">
      <c r="A1258" t="n">
        <v>107</v>
      </c>
      <c r="B1258" t="inlineStr">
        <is>
          <t>A</t>
        </is>
      </c>
      <c r="C1258" t="n">
        <v>5</v>
      </c>
      <c r="D1258" s="3" t="inlineStr">
        <is>
          <t>Dalam kasus ini, kita akan membuat pseudocode untuk menampilkan semua faktor bilangan n.</t>
        </is>
      </c>
      <c r="E1258" t="inlineStr">
        <is>
          <t>YA (didukung konteks)</t>
        </is>
      </c>
    </row>
    <row r="1259">
      <c r="A1259" t="n">
        <v>107</v>
      </c>
      <c r="B1259" t="inlineStr">
        <is>
          <t>A</t>
        </is>
      </c>
      <c r="C1259" t="n">
        <v>6</v>
      </c>
      <c r="D1259" s="3" t="inlineStr">
        <is>
          <t>Dalam pseudocode di atas, kita menggunakan loop untuk melakukan iterasi dari 1 hingga n.</t>
        </is>
      </c>
      <c r="E1259" t="inlineStr">
        <is>
          <t>TIDAK (tidak didukung)</t>
        </is>
      </c>
    </row>
    <row r="1260">
      <c r="A1260" t="n">
        <v>107</v>
      </c>
      <c r="B1260" t="inlineStr">
        <is>
          <t>B</t>
        </is>
      </c>
      <c r="C1260" t="n">
        <v>1</v>
      </c>
      <c r="D1260" s="3" t="inlineStr">
        <is>
          <t>Cara ini lebih efisien daripada looping sampai n karena hanya perlu mencoba nilai i yang dapat membagi n tanpa sisa.</t>
        </is>
      </c>
      <c r="E1260" t="inlineStr">
        <is>
          <t>YA (didukung konteks)</t>
        </is>
      </c>
    </row>
    <row r="1261">
      <c r="A1261" t="n">
        <v>107</v>
      </c>
      <c r="B1261" t="inlineStr">
        <is>
          <t>B</t>
        </is>
      </c>
      <c r="C1261" t="n">
        <v>2</v>
      </c>
      <c r="D1261" s="3" t="inlineStr">
        <is>
          <t>Cara kerja pseudocode ini adalah dengan menggunakan loop yang berulang (iterate) dari i = 1 sampai i &lt;= n.</t>
        </is>
      </c>
      <c r="E1261" t="inlineStr">
        <is>
          <t>YA (didukung konteks)</t>
        </is>
      </c>
    </row>
    <row r="1262">
      <c r="A1262" t="n">
        <v>107</v>
      </c>
      <c r="B1262" t="inlineStr">
        <is>
          <t>B</t>
        </is>
      </c>
      <c r="C1262" t="n">
        <v>3</v>
      </c>
      <c r="D1262" s="3" t="inlineStr">
        <is>
          <t>Dalam setiap iterasi, program akan cek apakah n dapat dibagi tanpa sisa oleh nilai i.</t>
        </is>
      </c>
      <c r="E1262" t="inlineStr">
        <is>
          <t>YA (didukung konteks)</t>
        </is>
      </c>
    </row>
    <row r="1263">
      <c r="A1263" t="n">
        <v>107</v>
      </c>
      <c r="B1263" t="inlineStr">
        <is>
          <t>B</t>
        </is>
      </c>
      <c r="C1263" t="n">
        <v>4</v>
      </c>
      <c r="D1263" s="3" t="inlineStr">
        <is>
          <t>Berikut adalah pseudocode untuk menampilkan semua faktor bilangan n:</t>
        </is>
      </c>
      <c r="E1263" t="inlineStr">
        <is>
          <t>YA (didukung konteks)</t>
        </is>
      </c>
    </row>
    <row r="1264">
      <c r="A1264" t="n">
        <v>107</v>
      </c>
      <c r="B1264" t="inlineStr">
        <is>
          <t>B</t>
        </is>
      </c>
      <c r="C1264" t="n">
        <v>5</v>
      </c>
      <c r="D1264" s="3" t="inlineStr">
        <is>
          <t>Jika dapat, maka nilai i ditampilkan sebagai faktor n.</t>
        </is>
      </c>
      <c r="E1264" t="inlineStr">
        <is>
          <t>YA (didukung konteks)</t>
        </is>
      </c>
    </row>
    <row r="1265">
      <c r="A1265" t="n">
        <v>107</v>
      </c>
      <c r="B1265" t="inlineStr">
        <is>
          <t>B</t>
        </is>
      </c>
      <c r="C1265" t="n">
        <v>6</v>
      </c>
      <c r="D1265" s="3" t="inlineStr">
        <is>
          <t>Jika 12 mod i = 0 (i.e., 12 dibagi i tanpa sisa)</t>
        </is>
      </c>
      <c r="E1265" t="inlineStr">
        <is>
          <t>YA (didukung konteks)</t>
        </is>
      </c>
    </row>
    <row r="1266">
      <c r="A1266" t="n">
        <v>108</v>
      </c>
      <c r="B1266" t="inlineStr">
        <is>
          <t>A</t>
        </is>
      </c>
      <c r="C1266" t="n">
        <v>1</v>
      </c>
      <c r="D1266" s="3" t="inlineStr">
        <is>
          <t>Dalam kesimpulan, proses abstraksi dan desain penyimpanan data nilai 500 mahasiswa untuk 10 mata kuliah dapat dilakukan dengan menggunakan konsep Computational Thinking (CT) dan struktur data LIST.</t>
        </is>
      </c>
      <c r="E1266" t="inlineStr">
        <is>
          <t>YA (didukung konteks)</t>
        </is>
      </c>
    </row>
    <row r="1267">
      <c r="A1267" t="n">
        <v>108</v>
      </c>
      <c r="B1267" t="inlineStr">
        <is>
          <t>A</t>
        </is>
      </c>
      <c r="C1267" t="n">
        <v>2</v>
      </c>
      <c r="D1267" s="3" t="inlineStr">
        <is>
          <t>Dengan menggunakan struktur data LIST, saya dapat melakukan manipulasi data massal dengan mudah, seperti menghitung rata-rata nilai, mencari nilai tertinggi atau terendah, dan lain-lain.</t>
        </is>
      </c>
      <c r="E1267" t="inlineStr">
        <is>
          <t>YA (didukung konteks)</t>
        </is>
      </c>
    </row>
    <row r="1268">
      <c r="A1268" t="n">
        <v>108</v>
      </c>
      <c r="B1268" t="inlineStr">
        <is>
          <t>A</t>
        </is>
      </c>
      <c r="C1268" t="n">
        <v>3</v>
      </c>
      <c r="D1268" s="3" t="inlineStr">
        <is>
          <t>Abstraksi adalah proses mengidentifikasi pola atau karakteristik yang relevan dalam data dan menemukan konsep dasar yang dapat membantu memahami data tersebut.</t>
        </is>
      </c>
      <c r="E1268" t="inlineStr">
        <is>
          <t>YA (didukung konteks)</t>
        </is>
      </c>
    </row>
    <row r="1269">
      <c r="A1269" t="n">
        <v>108</v>
      </c>
      <c r="B1269" t="inlineStr">
        <is>
          <t>A</t>
        </is>
      </c>
      <c r="C1269" t="n">
        <v>4</v>
      </c>
      <c r="D1269" s="3" t="inlineStr">
        <is>
          <t>Selain itu, LIST juga memungkinkan saya untuk memanipulasi data secara berurutan, seperti menghitung jumlah nilai mahasiswa untuk setiap mata kuliah.</t>
        </is>
      </c>
      <c r="E1269" t="inlineStr">
        <is>
          <t>YA (didukung konteks)</t>
        </is>
      </c>
    </row>
    <row r="1270">
      <c r="A1270" t="n">
        <v>108</v>
      </c>
      <c r="B1270" t="inlineStr">
        <is>
          <t>A</t>
        </is>
      </c>
      <c r="C1270" t="n">
        <v>5</v>
      </c>
      <c r="D1270" s="3" t="inlineStr">
        <is>
          <t>Saya akan menjawab pertanyaan mahasiswa dengan menggunakan konsep Computational Thinking (CT) dan referensi materi yang diberikan.</t>
        </is>
      </c>
      <c r="E1270" t="inlineStr">
        <is>
          <t>YA (didukung konteks)</t>
        </is>
      </c>
    </row>
    <row r="1271">
      <c r="A1271" t="n">
        <v>108</v>
      </c>
      <c r="B1271" t="inlineStr">
        <is>
          <t>A</t>
        </is>
      </c>
      <c r="C1271" t="n">
        <v>6</v>
      </c>
      <c r="D1271" s="3" t="inlineStr">
        <is>
          <t>Dalam kasus ini, saya akan melakukan abstraksi terhadap data nilai dengan mencari pola-pola dan karakteristik berikut:</t>
        </is>
      </c>
      <c r="E1271" t="inlineStr">
        <is>
          <t>YA (didukung konteks)</t>
        </is>
      </c>
    </row>
    <row r="1272">
      <c r="A1272" t="n">
        <v>108</v>
      </c>
      <c r="B1272" t="inlineStr">
        <is>
          <t>B</t>
        </is>
      </c>
      <c r="C1272" t="n">
        <v>1</v>
      </c>
      <c r="D1272" s="3" t="inlineStr">
        <is>
          <t>Dalam bentuk data Relational Database, masing-masing record dalam table-nilai dapat dihubungkan menggunakan kunci asing (foreign key), sehingga memudahkan proses pengambilan data dan analisis.</t>
        </is>
      </c>
      <c r="E1272" t="inlineStr">
        <is>
          <t>YA (didukung konteks)</t>
        </is>
      </c>
    </row>
    <row r="1273">
      <c r="A1273" t="n">
        <v>108</v>
      </c>
      <c r="B1273" t="inlineStr">
        <is>
          <t>B</t>
        </is>
      </c>
      <c r="C1273" t="n">
        <v>2</v>
      </c>
      <c r="D1273" s="3" t="inlineStr">
        <is>
          <t>Struktur data yang tepat untuk menyimpan data nilai 500 mahasiswa untuk 10 mata kuliah adalah menggunakan bentuk data yang disebut "Relational Database" atau "Database Relasional".</t>
        </is>
      </c>
      <c r="E1273" t="inlineStr">
        <is>
          <t>TIDAK (tidak didukung)</t>
        </is>
      </c>
    </row>
    <row r="1274">
      <c r="A1274" t="n">
        <v>108</v>
      </c>
      <c r="B1274" t="inlineStr">
        <is>
          <t>B</t>
        </is>
      </c>
      <c r="C1274" t="n">
        <v>3</v>
      </c>
      <c r="D1274" s="3" t="inlineStr">
        <is>
          <t>Abstraksi Data dan Proses: Identifikasi atribut-atribut yang diperlukan untuk masing-masing konsep dan proses-proses yang terjadi, seperti:</t>
        </is>
      </c>
      <c r="E1274" t="inlineStr">
        <is>
          <t>YA (didukung konteks)</t>
        </is>
      </c>
    </row>
    <row r="1275">
      <c r="A1275" t="n">
        <v>108</v>
      </c>
      <c r="B1275" t="inlineStr">
        <is>
          <t>B</t>
        </is>
      </c>
      <c r="C1275" t="n">
        <v>4</v>
      </c>
      <c r="D1275" s="3" t="inlineStr">
        <is>
          <t>Analisis Requirements: Identifikasi kebutuhan dosen, yaitu menyimpan nilai 500 mahasiswa untuk 10 mata kuliah.</t>
        </is>
      </c>
      <c r="E1275" t="inlineStr">
        <is>
          <t>TIDAK (tidak didukung)</t>
        </is>
      </c>
    </row>
    <row r="1276">
      <c r="A1276" t="n">
        <v>108</v>
      </c>
      <c r="B1276" t="inlineStr">
        <is>
          <t>B</t>
        </is>
      </c>
      <c r="C1276" t="n">
        <v>5</v>
      </c>
      <c r="D1276" s="3" t="inlineStr">
        <is>
          <t>* Table Nilai (table): memiliki atribut-atribut seperti Nama Mata Kuliah, Nilai, dan Tahun Ajaran.</t>
        </is>
      </c>
      <c r="E1276" t="inlineStr">
        <is>
          <t>TIDAK (tidak didukung)</t>
        </is>
      </c>
    </row>
    <row r="1277">
      <c r="A1277" t="n">
        <v>108</v>
      </c>
      <c r="B1277" t="inlineStr">
        <is>
          <t>B</t>
        </is>
      </c>
      <c r="C1277" t="n">
        <v>6</v>
      </c>
      <c r="D1277" s="3" t="inlineStr">
        <is>
          <t>Identifikasi Conceptual Classes: Jelaskan konsep-konsep yang relevan dalam masalah ini, seperti:</t>
        </is>
      </c>
      <c r="E1277" t="inlineStr">
        <is>
          <t>YA (didukung konteks)</t>
        </is>
      </c>
    </row>
    <row r="1278">
      <c r="A1278" t="n">
        <v>109</v>
      </c>
      <c r="B1278" t="inlineStr">
        <is>
          <t>A</t>
        </is>
      </c>
      <c r="C1278" t="n">
        <v>1</v>
      </c>
      <c r="D1278" s="3" t="inlineStr">
        <is>
          <t>Tree adalah struktur data yang sesuai untuk mencapai pencarian O(1) karena setiap kemungkinan langkah bercabang secara hierarkis dari kondisi papan saat ini.</t>
        </is>
      </c>
      <c r="E1278" t="inlineStr">
        <is>
          <t>YA (didukung konteks)</t>
        </is>
      </c>
    </row>
    <row r="1279">
      <c r="A1279" t="n">
        <v>109</v>
      </c>
      <c r="B1279" t="inlineStr">
        <is>
          <t>A</t>
        </is>
      </c>
      <c r="C1279" t="n">
        <v>2</v>
      </c>
      <c r="D1279" s="3" t="inlineStr">
        <is>
          <t>Dengan menggunakan Tree, kita dapat membuat sebuah node untuk setiap nama mahasiswa dan NIM-nya, sehingga pencarian O(1) menjadi lebih cepat dan efisien.</t>
        </is>
      </c>
      <c r="E1279" t="inlineStr">
        <is>
          <t>YA (didukung konteks)</t>
        </is>
      </c>
    </row>
    <row r="1280">
      <c r="A1280" t="n">
        <v>109</v>
      </c>
      <c r="B1280" t="inlineStr">
        <is>
          <t>A</t>
        </is>
      </c>
      <c r="C1280" t="n">
        <v>3</v>
      </c>
      <c r="D1280" s="3" t="inlineStr">
        <is>
          <t>Berdasarkan materi referensi, saya menemukan bahwa struktur data Tree sangat cocok untuk mencari nama mahasiswa berdasarkan NIM-nya dengan waktu O(1).</t>
        </is>
      </c>
      <c r="E1280" t="inlineStr">
        <is>
          <t>TIDAK (tidak didukung)</t>
        </is>
      </c>
    </row>
    <row r="1281">
      <c r="A1281" t="n">
        <v>109</v>
      </c>
      <c r="B1281" t="inlineStr">
        <is>
          <t>A</t>
        </is>
      </c>
      <c r="C1281" t="n">
        <v>4</v>
      </c>
      <c r="D1281" s="3" t="inlineStr">
        <is>
          <t>Namun, perlu diingat bahwa dictionary juga dapat digunakan untuk mencari nama mahasiswa berdasarkan NIM-nya dengan waktu O(1).</t>
        </is>
      </c>
      <c r="E1281" t="inlineStr">
        <is>
          <t>TIDAK (tidak didukung)</t>
        </is>
      </c>
    </row>
    <row r="1282">
      <c r="A1282" t="n">
        <v>109</v>
      </c>
      <c r="B1282" t="inlineStr">
        <is>
          <t>A</t>
        </is>
      </c>
      <c r="C1282" t="n">
        <v>5</v>
      </c>
      <c r="D1282" s="3" t="inlineStr">
        <is>
          <t>Namun, dalam materi referensi tidak ada contoh penggunaan dictionary, jadi saya hanya menjelaskan tentang Tree sebagai solusi.</t>
        </is>
      </c>
      <c r="E1282" t="inlineStr">
        <is>
          <t>YA (didukung konteks)</t>
        </is>
      </c>
    </row>
    <row r="1283">
      <c r="A1283" t="n">
        <v>109</v>
      </c>
      <c r="B1283" t="inlineStr">
        <is>
          <t>A</t>
        </is>
      </c>
      <c r="C1283" t="n">
        <v>6</v>
      </c>
      <c r="D1283" s="3" t="inlineStr">
        <is>
          <t>Saya dapat membantu menjawab pertanyaan mahasiswa.</t>
        </is>
      </c>
      <c r="E1283" t="inlineStr">
        <is>
          <t>YA (didukung konteks)</t>
        </is>
      </c>
    </row>
    <row r="1284">
      <c r="A1284" t="n">
        <v>109</v>
      </c>
      <c r="B1284" t="inlineStr">
        <is>
          <t>B</t>
        </is>
      </c>
      <c r="C1284" t="n">
        <v>1</v>
      </c>
      <c r="D1284" s="3" t="inlineStr">
        <is>
          <t>Dalam CT, Anda juga dapat belajar tentang cara membuat struktur data sendiri yang sesuai dengan kebutuhan Anda, seperti struktur data yang memungkinkan pencarian O(1) dan lain-lain.</t>
        </is>
      </c>
      <c r="E1284" t="inlineStr">
        <is>
          <t>YA (didukung konteks)</t>
        </is>
      </c>
    </row>
    <row r="1285">
      <c r="A1285" t="n">
        <v>109</v>
      </c>
      <c r="B1285" t="inlineStr">
        <is>
          <t>B</t>
        </is>
      </c>
      <c r="C1285" t="n">
        <v>2</v>
      </c>
      <c r="D1285" s="3" t="inlineStr">
        <is>
          <t>Komputasi yang diajar dalam CT lebih fokus pada algoritma, pemrograman, dan logika, namun tidak secara khusus membahas tentang dictionary atau struktur data lainnya.</t>
        </is>
      </c>
      <c r="E1285" t="inlineStr">
        <is>
          <t>TIDAK (tidak didukung)</t>
        </is>
      </c>
    </row>
    <row r="1286">
      <c r="A1286" t="n">
        <v>109</v>
      </c>
      <c r="B1286" t="inlineStr">
        <is>
          <t>B</t>
        </is>
      </c>
      <c r="C1286" t="n">
        <v>3</v>
      </c>
      <c r="D1286" s="3" t="inlineStr">
        <is>
          <t>* Hash Table: Struktur data yang mirip dengan dictionary, namun dengan cara kerja yang lebih rumit dan lebih efisien dalam mencari nilai berdasarkan kunci.</t>
        </is>
      </c>
      <c r="E1286" t="inlineStr">
        <is>
          <t>YA (didukung konteks)</t>
        </is>
      </c>
    </row>
    <row r="1287">
      <c r="A1287" t="n">
        <v>109</v>
      </c>
      <c r="B1287" t="inlineStr">
        <is>
          <t>B</t>
        </is>
      </c>
      <c r="C1287" t="n">
        <v>4</v>
      </c>
      <c r="D1287" s="3" t="inlineStr">
        <is>
          <t>Namun, jika kita ingin mengetahui apakah struktur data tersebut diajarkan di CT (Computational Thinking), maka jawabannya adalah tidak.</t>
        </is>
      </c>
      <c r="E1287" t="inlineStr">
        <is>
          <t>YA (didukung konteks)</t>
        </is>
      </c>
    </row>
    <row r="1288">
      <c r="A1288" t="n">
        <v>109</v>
      </c>
      <c r="B1288" t="inlineStr">
        <is>
          <t>B</t>
        </is>
      </c>
      <c r="C1288" t="n">
        <v>5</v>
      </c>
      <c r="D1288" s="3" t="inlineStr">
        <is>
          <t>Pertama, pada dasarnya, penggunaan dictionary untuk mencari nama mahasiswa dengan cepat (O(1)) di Python memang benar dan efektif.</t>
        </is>
      </c>
      <c r="E1288" t="inlineStr">
        <is>
          <t>TIDAK (tidak didukung)</t>
        </is>
      </c>
    </row>
    <row r="1289">
      <c r="A1289" t="n">
        <v>109</v>
      </c>
      <c r="B1289" t="inlineStr">
        <is>
          <t>B</t>
        </is>
      </c>
      <c r="C1289" t="n">
        <v>6</v>
      </c>
      <c r="D1289" s="3" t="inlineStr">
        <is>
          <t>* Bitap: Struktur data yang digunakan untuk mencari nilai berdasarkan kunci dengan menggunakan bit manipulation.</t>
        </is>
      </c>
      <c r="E1289" t="inlineStr">
        <is>
          <t>TIDAK (tidak didukung)</t>
        </is>
      </c>
    </row>
    <row r="1290">
      <c r="A1290" t="n">
        <v>110</v>
      </c>
      <c r="B1290" t="inlineStr">
        <is>
          <t>A</t>
        </is>
      </c>
      <c r="C1290" t="n">
        <v>1</v>
      </c>
      <c r="D1290" s="3" t="inlineStr">
        <is>
          <t>Rangkuman: Dalam algoritme sederhana ini, kita menggunakan dekomposisi untuk membagi masalah menjadi sub-masalah yang lebih kecil, kemudian menggunakan algoritme pengurutan untuk mengurutkan data mahasiswa dan mencari na</t>
        </is>
      </c>
      <c r="E1290" t="inlineStr">
        <is>
          <t>YA (didukung konteks)</t>
        </is>
      </c>
    </row>
    <row r="1291">
      <c r="A1291" t="n">
        <v>110</v>
      </c>
      <c r="B1291" t="inlineStr">
        <is>
          <t>A</t>
        </is>
      </c>
      <c r="C1291" t="n">
        <v>2</v>
      </c>
      <c r="D1291" s="3" t="inlineStr">
        <is>
          <t>Pemilihan Algoritme: Menggunakan algoritme pengurutan karena tujuan adalah mengurutkan data secara efisien dan sesuai dengan struktur data yang digunakan.</t>
        </is>
      </c>
      <c r="E1291" t="inlineStr">
        <is>
          <t>YA (didukung konteks)</t>
        </is>
      </c>
    </row>
    <row r="1292">
      <c r="A1292" t="n">
        <v>110</v>
      </c>
      <c r="B1292" t="inlineStr">
        <is>
          <t>A</t>
        </is>
      </c>
      <c r="C1292" t="n">
        <v>3</v>
      </c>
      <c r="D1292" s="3" t="inlineStr">
        <is>
          <t>Berikut adalah rancangan algoritme sederhana untuk mengurutkan dan mencari nama mahasiswa dari file yang berisi 1000 data:</t>
        </is>
      </c>
      <c r="E1292" t="inlineStr">
        <is>
          <t>YA (didukung konteks)</t>
        </is>
      </c>
    </row>
    <row r="1293">
      <c r="A1293" t="n">
        <v>110</v>
      </c>
      <c r="B1293" t="inlineStr">
        <is>
          <t>A</t>
        </is>
      </c>
      <c r="C1293" t="n">
        <v>4</v>
      </c>
      <c r="D1293" s="3" t="inlineStr">
        <is>
          <t>Data terorganisir sebagai list/array dengan 1000 elemen, masing-masing elemen berisi informasi mahasiswa termasuk nama.</t>
        </is>
      </c>
      <c r="E1293" t="inlineStr">
        <is>
          <t>TIDAK (tidak didukung)</t>
        </is>
      </c>
    </row>
    <row r="1294">
      <c r="A1294" t="n">
        <v>110</v>
      </c>
      <c r="B1294" t="inlineStr">
        <is>
          <t>A</t>
        </is>
      </c>
      <c r="C1294" t="n">
        <v>5</v>
      </c>
      <c r="D1294" s="3" t="inlineStr">
        <is>
          <t>Algoritme pengurutan juga membantu mencari nama mahasiswa secara cepat dan efektif.</t>
        </is>
      </c>
      <c r="E1294" t="inlineStr">
        <is>
          <t>YA (didukung konteks)</t>
        </is>
      </c>
    </row>
    <row r="1295">
      <c r="A1295" t="n">
        <v>110</v>
      </c>
      <c r="B1295" t="inlineStr">
        <is>
          <t>A</t>
        </is>
      </c>
      <c r="C1295" t="n">
        <v>6</v>
      </c>
      <c r="D1295" s="3" t="inlineStr">
        <is>
          <t>Mengekstrak nama mahasiswa dari setiap data dan menyimpannya ke dalam list lain.</t>
        </is>
      </c>
      <c r="E1295" t="inlineStr">
        <is>
          <t>YA (didukung konteks)</t>
        </is>
      </c>
    </row>
    <row r="1296">
      <c r="A1296" t="n">
        <v>110</v>
      </c>
      <c r="B1296" t="inlineStr">
        <is>
          <t>B</t>
        </is>
      </c>
      <c r="C1296" t="n">
        <v>1</v>
      </c>
      <c r="D1296" s="3" t="inlineStr">
        <is>
          <t>Berikut adalah contoh kode pemrograman dalam Bahasa Indonesia yang menggunakan algoritme QuickSort untuk mengurutkan data dan Linear Search untuk mencari nama mahasiswa:</t>
        </is>
      </c>
      <c r="E1296" t="inlineStr">
        <is>
          <t>YA (didukung konteks)</t>
        </is>
      </c>
    </row>
    <row r="1297">
      <c r="A1297" t="n">
        <v>110</v>
      </c>
      <c r="B1297" t="inlineStr">
        <is>
          <t>B</t>
        </is>
      </c>
      <c r="C1297" t="n">
        <v>2</v>
      </c>
      <c r="D1297" s="3" t="inlineStr">
        <is>
          <t>Dalam kode di atas, saya menggunakan fungsi `quicksort` untuk mengurutkan data mahasiswa dan fungsi `linearSearch` untuk mencari nama mahasiswa tertentu.</t>
        </is>
      </c>
      <c r="E1297" t="inlineStr">
        <is>
          <t>YA (didukung konteks)</t>
        </is>
      </c>
    </row>
    <row r="1298">
      <c r="A1298" t="n">
        <v>110</v>
      </c>
      <c r="B1298" t="inlineStr">
        <is>
          <t>B</t>
        </is>
      </c>
      <c r="C1298" t="n">
        <v>3</v>
      </c>
      <c r="D1298" s="3" t="inlineStr">
        <is>
          <t>**Search Algorithm**: Saya akan menggunakan algoritme pencarian linear (Linear Search) untuk mencari nama mahasiswa tertentu dari dalam file.</t>
        </is>
      </c>
      <c r="E1298" t="inlineStr">
        <is>
          <t>YA (didukung konteks)</t>
        </is>
      </c>
    </row>
    <row r="1299">
      <c r="A1299" t="n">
        <v>110</v>
      </c>
      <c r="B1299" t="inlineStr">
        <is>
          <t>B</t>
        </is>
      </c>
      <c r="C1299" t="n">
        <v>4</v>
      </c>
      <c r="D1299" s="3" t="inlineStr">
        <is>
          <t>**Sorting Algorithm**: Saya akan menggunakan algoritme pengurutan ascending atau descending berdasarkan nama mahasiswa.</t>
        </is>
      </c>
      <c r="E1299" t="inlineStr">
        <is>
          <t>YA (didukung konteks)</t>
        </is>
      </c>
    </row>
    <row r="1300">
      <c r="A1300" t="n">
        <v>110</v>
      </c>
      <c r="B1300" t="inlineStr">
        <is>
          <t>B</t>
        </is>
      </c>
      <c r="C1300" t="n">
        <v>5</v>
      </c>
      <c r="D1300" s="3" t="inlineStr">
        <is>
          <t>Masalahnya adalah: Rancang algoritme untuk mengurutkan dan mencari nama mahasiswa dari file yang berisi 1000 data.</t>
        </is>
      </c>
      <c r="E1300" t="inlineStr">
        <is>
          <t>YA (didukung konteks)</t>
        </is>
      </c>
    </row>
    <row r="1301">
      <c r="A1301" t="n">
        <v>110</v>
      </c>
      <c r="B1301" t="inlineStr">
        <is>
          <t>B</t>
        </is>
      </c>
      <c r="C1301" t="n">
        <v>6</v>
      </c>
      <c r="D1301" s="3" t="inlineStr">
        <is>
          <t>Dosen meminta saya menunjukkan cara mengurutkan data dan mencari nama mahasiswa dengan efektif dan efisien.</t>
        </is>
      </c>
      <c r="E1301" t="inlineStr">
        <is>
          <t>YA (didukung konteks)</t>
        </is>
      </c>
    </row>
    <row r="1302">
      <c r="A1302" t="n">
        <v>111</v>
      </c>
      <c r="B1302" t="inlineStr">
        <is>
          <t>A</t>
        </is>
      </c>
      <c r="C1302" t="n">
        <v>1</v>
      </c>
      <c r="D1302" s="3" t="inlineStr">
        <is>
          <t>Dalam kasus Anda, aktivitas 'mengelompokkan soal-soal serupa sebelum mengerjakan' dapat dikategorikan sebagai Pattern Recognition karena Anda mencoba mencari keterkaitan antara soal-soal dan mengelompokkan mereka berdasa</t>
        </is>
      </c>
      <c r="E1302" t="inlineStr">
        <is>
          <t>YA (didukung konteks)</t>
        </is>
      </c>
    </row>
    <row r="1303">
      <c r="A1303" t="n">
        <v>111</v>
      </c>
      <c r="B1303" t="inlineStr">
        <is>
          <t>A</t>
        </is>
      </c>
      <c r="C1303" t="n">
        <v>2</v>
      </c>
      <c r="D1303" s="3" t="inlineStr">
        <is>
          <t>Aktivitas 'mengelompokkan soal-soal serupa sebelum mengerjakan' dapat dikategorikan ke dalam pilar Pattern Recognition (PR) dalam AADP (Abstraksi, Analisis, Desain, dan Pemrograman).</t>
        </is>
      </c>
      <c r="E1303" t="inlineStr">
        <is>
          <t>YA (didukung konteks)</t>
        </is>
      </c>
    </row>
    <row r="1304">
      <c r="A1304" t="n">
        <v>111</v>
      </c>
      <c r="B1304" t="inlineStr">
        <is>
          <t>A</t>
        </is>
      </c>
      <c r="C1304" t="n">
        <v>3</v>
      </c>
      <c r="D1304" s="3" t="inlineStr">
        <is>
          <t>Abstraksi lebih berfokus pada pengurangan informasi menjadi bentuk yang sederhana, seperti mengidentifikasi konsep dasar atau tema.</t>
        </is>
      </c>
      <c r="E1304" t="inlineStr">
        <is>
          <t>YA (didukung konteks)</t>
        </is>
      </c>
    </row>
    <row r="1305">
      <c r="A1305" t="n">
        <v>111</v>
      </c>
      <c r="B1305" t="inlineStr">
        <is>
          <t>A</t>
        </is>
      </c>
      <c r="C1305" t="n">
        <v>4</v>
      </c>
      <c r="D1305" s="3" t="inlineStr">
        <is>
          <t>Perbedaan antara Abstraksi (A) dan Pattern Recognition (PR) terletak pada tingkat keterlibatan dan kompleksitas.</t>
        </is>
      </c>
      <c r="E1305" t="inlineStr">
        <is>
          <t>YA (didukung konteks)</t>
        </is>
      </c>
    </row>
    <row r="1306">
      <c r="A1306" t="n">
        <v>111</v>
      </c>
      <c r="B1306" t="inlineStr">
        <is>
          <t>A</t>
        </is>
      </c>
      <c r="C1306" t="n">
        <v>5</v>
      </c>
      <c r="D1306" s="3" t="inlineStr">
        <is>
          <t>Dalam konteks ini, Anda mengelompokkan soal-soal serupa untuk memudahkan analisis dan pemahaman.</t>
        </is>
      </c>
      <c r="E1306" t="inlineStr">
        <is>
          <t>YA (didukung konteks)</t>
        </is>
      </c>
    </row>
    <row r="1307">
      <c r="A1307" t="n">
        <v>111</v>
      </c>
      <c r="B1307" t="inlineStr">
        <is>
          <t>A</t>
        </is>
      </c>
      <c r="C1307" t="n">
        <v>6</v>
      </c>
      <c r="D1307" s="3" t="inlineStr">
        <is>
          <t>PR adalah proses mencari pola, keterkaitan, atau kesamaan antara data atau informasi.</t>
        </is>
      </c>
      <c r="E1307" t="inlineStr">
        <is>
          <t>YA (didukung konteks)</t>
        </is>
      </c>
    </row>
    <row r="1308">
      <c r="A1308" t="n">
        <v>111</v>
      </c>
      <c r="B1308" t="inlineStr">
        <is>
          <t>B</t>
        </is>
      </c>
      <c r="C1308" t="n">
        <v>1</v>
      </c>
      <c r="D1308" s="3" t="inlineStr">
        <is>
          <t>Mengelompokkan soal-soal serupa berarti Anda melakukan abstraksi, yaitu menggabungkan unsur-unsur yang terkait (soal-soal serupa) menjadi kategori atau kelompok yang lebih umum.</t>
        </is>
      </c>
      <c r="E1308" t="inlineStr">
        <is>
          <t>YA (didukung konteks)</t>
        </is>
      </c>
    </row>
    <row r="1309">
      <c r="A1309" t="n">
        <v>111</v>
      </c>
      <c r="B1309" t="inlineStr">
        <is>
          <t>B</t>
        </is>
      </c>
      <c r="C1309" t="n">
        <v>2</v>
      </c>
      <c r="D1309" s="3" t="inlineStr">
        <is>
          <t>Berhubung dengan soal "mengelompokkan soal-soal serupa sebelum mengerjakan", saya rasa ini lebih mirip dengan Abstraksi daripada Pattern Recognition.</t>
        </is>
      </c>
      <c r="E1309" t="inlineStr">
        <is>
          <t>TIDAK (tidak didukung)</t>
        </is>
      </c>
    </row>
    <row r="1310">
      <c r="A1310" t="n">
        <v>111</v>
      </c>
      <c r="B1310" t="inlineStr">
        <is>
          <t>B</t>
        </is>
      </c>
      <c r="C1310" t="n">
        <v>3</v>
      </c>
      <c r="D1310" s="3" t="inlineStr">
        <is>
          <t>Pada dasarnya, AADP (Abstraksi, Analisis, Desain, dan Pengembangan) adalah framework untuk mengklasifikasikan aktivitas atau proses berpikir.</t>
        </is>
      </c>
      <c r="E1310" t="inlineStr">
        <is>
          <t>YA (didukung konteks)</t>
        </is>
      </c>
    </row>
    <row r="1311">
      <c r="A1311" t="n">
        <v>111</v>
      </c>
      <c r="B1311" t="inlineStr">
        <is>
          <t>B</t>
        </is>
      </c>
      <c r="C1311" t="n">
        <v>4</v>
      </c>
      <c r="D1311" s="3" t="inlineStr">
        <is>
          <t>Abstraksi: Mengekstrak unsur-unsur penting dari informasi yang diberikan dan menggabungkan menjadi konsep atau ide yang lebih umum.</t>
        </is>
      </c>
      <c r="E1311" t="inlineStr">
        <is>
          <t>YA (didukung konteks)</t>
        </is>
      </c>
    </row>
    <row r="1312">
      <c r="A1312" t="n">
        <v>111</v>
      </c>
      <c r="B1312" t="inlineStr">
        <is>
          <t>B</t>
        </is>
      </c>
      <c r="C1312" t="n">
        <v>5</v>
      </c>
      <c r="D1312" s="3" t="inlineStr">
        <is>
          <t>Pattern Recognition (Pengenalan Pola): Membuat hubungan antara unsur-unsur yang terkait dan menemukan pola atau pattern dalam data.</t>
        </is>
      </c>
      <c r="E1312" t="inlineStr">
        <is>
          <t>YA (didukung konteks)</t>
        </is>
      </c>
    </row>
    <row r="1313">
      <c r="A1313" t="n">
        <v>111</v>
      </c>
      <c r="B1313" t="inlineStr">
        <is>
          <t>B</t>
        </is>
      </c>
      <c r="C1313" t="n">
        <v>6</v>
      </c>
      <c r="D1313" s="3" t="inlineStr">
        <is>
          <t>Jadi, saya menyarankan Anda untuk memilih "Abstraksi" sebagai pilihan jawaban.</t>
        </is>
      </c>
      <c r="E1313" t="inlineStr">
        <is>
          <t>TIDAK (tidak didukung)</t>
        </is>
      </c>
    </row>
    <row r="1314">
      <c r="A1314" t="n">
        <v>112</v>
      </c>
      <c r="B1314" t="inlineStr">
        <is>
          <t>A</t>
        </is>
      </c>
      <c r="C1314" t="n">
        <v>1</v>
      </c>
      <c r="D1314" s="3" t="inlineStr">
        <is>
          <t>Misalnya, dalam membuat daftar belanja, kita membagi tugas menjadi beberapa fungsi yang lebih kecil, seperti menghitung total pengeluaran, menentukan prioritas, dan menemukan cara untuk menghemat biaya.</t>
        </is>
      </c>
      <c r="E1314" t="inlineStr">
        <is>
          <t>YA (didukung konteks)</t>
        </is>
      </c>
    </row>
    <row r="1315">
      <c r="A1315" t="n">
        <v>112</v>
      </c>
      <c r="B1315" t="inlineStr">
        <is>
          <t>A</t>
        </is>
      </c>
      <c r="C1315" t="n">
        <v>2</v>
      </c>
      <c r="D1315" s="3" t="inlineStr">
        <is>
          <t>Saya senang dapat membantu mahasiswa universitas di Indonesia memahami konsep Computational Thinking (CT) yang lebih luas dan tidak hanya terbatas pada teknologi.</t>
        </is>
      </c>
      <c r="E1315" t="inlineStr">
        <is>
          <t>YA (didukung konteks)</t>
        </is>
      </c>
    </row>
    <row r="1316">
      <c r="A1316" t="n">
        <v>112</v>
      </c>
      <c r="B1316" t="inlineStr">
        <is>
          <t>A</t>
        </is>
      </c>
      <c r="C1316" t="n">
        <v>3</v>
      </c>
      <c r="D1316" s="3" t="inlineStr">
        <is>
          <t>Kita hanya perlu memiliki kemampuan untuk membagi tugas menjadi beberapa fungsi yang lebih kecil dan menggunakan algoritme sederhana untuk mencapai tujuan.</t>
        </is>
      </c>
      <c r="E1316" t="inlineStr">
        <is>
          <t>YA (didukung konteks)</t>
        </is>
      </c>
    </row>
    <row r="1317">
      <c r="A1317" t="n">
        <v>112</v>
      </c>
      <c r="B1317" t="inlineStr">
        <is>
          <t>A</t>
        </is>
      </c>
      <c r="C1317" t="n">
        <v>4</v>
      </c>
      <c r="D1317" s="3" t="inlineStr">
        <is>
          <t>Kita dapat membagi tugas menjadi beberapa fungsi yang lebih kecil, seperti mencari tempat-tempat wisata, menentukan rute, dan membuat itinerary.</t>
        </is>
      </c>
      <c r="E1317" t="inlineStr">
        <is>
          <t>YA (didukung konteks)</t>
        </is>
      </c>
    </row>
    <row r="1318">
      <c r="A1318" t="n">
        <v>112</v>
      </c>
      <c r="B1318" t="inlineStr">
        <is>
          <t>A</t>
        </is>
      </c>
      <c r="C1318" t="n">
        <v>5</v>
      </c>
      <c r="D1318" s="3" t="inlineStr">
        <is>
          <t>Dalam hal ini, kita menggunakan dekomposisi untuk mengurai tugas kompleks menjadi beberapa bagian yang lebih mudah dikelola.</t>
        </is>
      </c>
      <c r="E1318" t="inlineStr">
        <is>
          <t>YA (didukung konteks)</t>
        </is>
      </c>
    </row>
    <row r="1319">
      <c r="A1319" t="n">
        <v>112</v>
      </c>
      <c r="B1319" t="inlineStr">
        <is>
          <t>A</t>
        </is>
      </c>
      <c r="C1319" t="n">
        <v>6</v>
      </c>
      <c r="D1319" s="3" t="inlineStr">
        <is>
          <t>Dengan demikian, CT dapat diterapkan dalam berbagai bidang, tidak hanya terbatas pada teknologi.</t>
        </is>
      </c>
      <c r="E1319" t="inlineStr">
        <is>
          <t>YA (didukung konteks)</t>
        </is>
      </c>
    </row>
    <row r="1320">
      <c r="A1320" t="n">
        <v>112</v>
      </c>
      <c r="B1320" t="inlineStr">
        <is>
          <t>B</t>
        </is>
      </c>
      <c r="C1320" t="n">
        <v>1</v>
      </c>
      <c r="D1320" s="3" t="inlineStr">
        <is>
          <t>Contoh penerapan CT (Conceptual Thinking) yang sama sekali tidak melibatkan komputer adalah dengan cara berpikir analitis dan kreatif dalam menghadapi masalah sehari-hari.</t>
        </is>
      </c>
      <c r="E1320" t="inlineStr">
        <is>
          <t>YA (didukung konteks)</t>
        </is>
      </c>
    </row>
    <row r="1321">
      <c r="A1321" t="n">
        <v>112</v>
      </c>
      <c r="B1321" t="inlineStr">
        <is>
          <t>B</t>
        </is>
      </c>
      <c r="C1321" t="n">
        <v>2</v>
      </c>
      <c r="D1321" s="3" t="inlineStr">
        <is>
          <t>Menyelesaikan masalah etika: Anda menghadapi situasi di mana Anda harus membuat keputusan yang sulit dalam menentukan apa yang benar dan salah.</t>
        </is>
      </c>
      <c r="E1321" t="inlineStr">
        <is>
          <t>YA (didukung konteks)</t>
        </is>
      </c>
    </row>
    <row r="1322">
      <c r="A1322" t="n">
        <v>112</v>
      </c>
      <c r="B1322" t="inlineStr">
        <is>
          <t>B</t>
        </is>
      </c>
      <c r="C1322" t="n">
        <v>3</v>
      </c>
      <c r="D1322" s="3" t="inlineStr">
        <is>
          <t>Dalam contoh-contoh di atas, CT digunakan untuk menghadapi masalah sehari-hari tanpa melibatkan teknologi seperti komputer.</t>
        </is>
      </c>
      <c r="E1322" t="inlineStr">
        <is>
          <t>YA (didukung konteks)</t>
        </is>
      </c>
    </row>
    <row r="1323">
      <c r="A1323" t="n">
        <v>112</v>
      </c>
      <c r="B1323" t="inlineStr">
        <is>
          <t>B</t>
        </is>
      </c>
      <c r="C1323" t="n">
        <v>4</v>
      </c>
      <c r="D1323" s="3" t="inlineStr">
        <is>
          <t>Anda harus berpikir konsepual, mempertimbangkan faktor-faktor seperti jarak, waktu, cuaca, dan keterbatasan transportasi.</t>
        </is>
      </c>
      <c r="E1323" t="inlineStr">
        <is>
          <t>YA (didukung konteks)</t>
        </is>
      </c>
    </row>
    <row r="1324">
      <c r="A1324" t="n">
        <v>112</v>
      </c>
      <c r="B1324" t="inlineStr">
        <is>
          <t>B</t>
        </is>
      </c>
      <c r="C1324" t="n">
        <v>5</v>
      </c>
      <c r="D1324" s="3" t="inlineStr">
        <is>
          <t>Anda harus berpikir konsepual, mempertimbangkan faktor-faktor seperti jarak, waktu, biaya, dan keterbatasan sumber daya.</t>
        </is>
      </c>
      <c r="E1324" t="inlineStr">
        <is>
          <t>YA (didukung konteks)</t>
        </is>
      </c>
    </row>
    <row r="1325">
      <c r="A1325" t="n">
        <v>112</v>
      </c>
      <c r="B1325" t="inlineStr">
        <is>
          <t>B</t>
        </is>
      </c>
      <c r="C1325" t="n">
        <v>6</v>
      </c>
      <c r="D1325" s="3" t="inlineStr">
        <is>
          <t>Menyelesaikan masalah logistik: Anda perlu menentukan cara terbaik untuk mengirimkan bahan-bahan ke beberapa wilayah.</t>
        </is>
      </c>
      <c r="E1325" t="inlineStr">
        <is>
          <t>YA (didukung konteks)</t>
        </is>
      </c>
    </row>
    <row r="1326">
      <c r="A1326" t="n">
        <v>113</v>
      </c>
      <c r="B1326" t="inlineStr">
        <is>
          <t>A</t>
        </is>
      </c>
      <c r="C1326" t="n">
        <v>1</v>
      </c>
      <c r="D1326" s="3" t="inlineStr">
        <is>
          <t>Dalam pengajaran CT, unplugged activities seperti mencari solution untuk masalah-masalah sederhana, seperti menghitung total jam belajar dengan menggunakan algoritme, dapat membantu mahasiswa memahami konsep CT secara le</t>
        </is>
      </c>
      <c r="E1326" t="inlineStr">
        <is>
          <t>YA (didukung konteks)</t>
        </is>
      </c>
    </row>
    <row r="1327">
      <c r="A1327" t="n">
        <v>113</v>
      </c>
      <c r="B1327" t="inlineStr">
        <is>
          <t>A</t>
        </is>
      </c>
      <c r="C1327" t="n">
        <v>2</v>
      </c>
      <c r="D1327" s="3" t="inlineStr">
        <is>
          <t>Selain itu, Anda juga dapat menggunakan contoh "Image Generator" yang diberikan sebelumnya untuk memahami bagaimana algoritme dapat digunakan untuk menciptakan hasil yang diinginkan.</t>
        </is>
      </c>
      <c r="E1327" t="inlineStr">
        <is>
          <t>YA (didukung konteks)</t>
        </is>
      </c>
    </row>
    <row r="1328">
      <c r="A1328" t="n">
        <v>113</v>
      </c>
      <c r="B1328" t="inlineStr">
        <is>
          <t>A</t>
        </is>
      </c>
      <c r="C1328" t="n">
        <v>3</v>
      </c>
      <c r="D1328" s="3" t="inlineStr">
        <is>
          <t>Dalam hal ini, saya yakin bahwa pengajaran CT tanpa komputer dapat menjadi salah satu cara efektif dalam membantu mahasiswa mengembangkan kemampuan analisis dan pemecahan masalah.</t>
        </is>
      </c>
      <c r="E1328" t="inlineStr">
        <is>
          <t>YA (didukung konteks)</t>
        </is>
      </c>
    </row>
    <row r="1329">
      <c r="A1329" t="n">
        <v>113</v>
      </c>
      <c r="B1329" t="inlineStr">
        <is>
          <t>A</t>
        </is>
      </c>
      <c r="C1329" t="n">
        <v>4</v>
      </c>
      <c r="D1329" s="3" t="inlineStr">
        <is>
          <t>Dalam hal ini, Anda dapat menggunakan strategi Pattern Recognition untuk mengenali pola-pola dan kemudian menyusun langkah sistematis (algorithm) untuk menyelesaikan masalah.</t>
        </is>
      </c>
      <c r="E1329" t="inlineStr">
        <is>
          <t>YA (didukung konteks)</t>
        </is>
      </c>
    </row>
    <row r="1330">
      <c r="A1330" t="n">
        <v>113</v>
      </c>
      <c r="B1330" t="inlineStr">
        <is>
          <t>A</t>
        </is>
      </c>
      <c r="C1330" t="n">
        <v>5</v>
      </c>
      <c r="D1330" s="3" t="inlineStr">
        <is>
          <t>Sebagai tutor Computational Thinking (CT) untuk mahasiswa universitas di Indonesia, saya senang menjawab pertanyaan Anda tentang "unplugged activities" dalam pengajaran CT.</t>
        </is>
      </c>
      <c r="E1330" t="inlineStr">
        <is>
          <t>YA (didukung konteks)</t>
        </is>
      </c>
    </row>
    <row r="1331">
      <c r="A1331" t="n">
        <v>113</v>
      </c>
      <c r="B1331" t="inlineStr">
        <is>
          <t>A</t>
        </is>
      </c>
      <c r="C1331" t="n">
        <v>6</v>
      </c>
      <c r="D1331" s="3" t="inlineStr">
        <is>
          <t>Pengajaran CT tanpa komputer (unplugged activities) memungkinkan mahasiswa mendapatkan pengalaman langsung dalam mengembangkan kemampuan analisis dan pemecahan masalah.</t>
        </is>
      </c>
      <c r="E1331" t="inlineStr">
        <is>
          <t>YA (didukung konteks)</t>
        </is>
      </c>
    </row>
    <row r="1332">
      <c r="A1332" t="n">
        <v>113</v>
      </c>
      <c r="B1332" t="inlineStr">
        <is>
          <t>B</t>
        </is>
      </c>
      <c r="C1332" t="n">
        <v>1</v>
      </c>
      <c r="D1332" s="3" t="inlineStr">
        <is>
          <t>Dengan menggunakan unplugged activities seperti itu, IPB dapat membantu mahasiswa mengerti dan memahami konsep-konsep teknologi informasi lebih baik, tanpa harus menggunakan perangkat lunak atau komputer.</t>
        </is>
      </c>
      <c r="E1332" t="inlineStr">
        <is>
          <t>YA (didukung konteks)</t>
        </is>
      </c>
    </row>
    <row r="1333">
      <c r="A1333" t="n">
        <v>113</v>
      </c>
      <c r="B1333" t="inlineStr">
        <is>
          <t>B</t>
        </is>
      </c>
      <c r="C1333" t="n">
        <v>2</v>
      </c>
      <c r="D1333" s="3" t="inlineStr">
        <is>
          <t>Iya, istilah "unplugged activities" memang digunakan dalam pengajaran Computer Science (CT) untuk menerapkan konsep-konsep teknologi informasi tanpa menggunakan perangkat lunak atau komputer sama sekali.</t>
        </is>
      </c>
      <c r="E1333" t="inlineStr">
        <is>
          <t>YA (didukung konteks)</t>
        </is>
      </c>
    </row>
    <row r="1334">
      <c r="A1334" t="n">
        <v>113</v>
      </c>
      <c r="B1334" t="inlineStr">
        <is>
          <t>B</t>
        </is>
      </c>
      <c r="C1334" t="n">
        <v>3</v>
      </c>
      <c r="D1334" s="3" t="inlineStr">
        <is>
          <t>"Sorting Game": Mahasiswa dibagi menjadi beberapa kelompok dan diberikan kartu-kartu dengan simbol-simbol berbeda (misalnya, huruf, angka, atau bentuk-bentuk).</t>
        </is>
      </c>
      <c r="E1334" t="inlineStr">
        <is>
          <t>YA (didukung konteks)</t>
        </is>
      </c>
    </row>
    <row r="1335">
      <c r="A1335" t="n">
        <v>113</v>
      </c>
      <c r="B1335" t="inlineStr">
        <is>
          <t>B</t>
        </is>
      </c>
      <c r="C1335" t="n">
        <v>4</v>
      </c>
      <c r="D1335" s="3" t="inlineStr">
        <is>
          <t>IPB sendiri juga menggunakan pendekatan ini dalam beberapa mata kuliah CT, terutama untuk memperkenalkan konsep dasar teknologi informasi pada mahasiswa.</t>
        </is>
      </c>
      <c r="E1335" t="inlineStr">
        <is>
          <t>YA (didukung konteks)</t>
        </is>
      </c>
    </row>
    <row r="1336">
      <c r="A1336" t="n">
        <v>113</v>
      </c>
      <c r="B1336" t="inlineStr">
        <is>
          <t>B</t>
        </is>
      </c>
      <c r="C1336" t="n">
        <v>5</v>
      </c>
      <c r="D1336" s="3" t="inlineStr">
        <is>
          <t>Mereka harus mencari cara untuk mengurutkan kartu-kartu tersebut berdasarkan suatu kriteria (misalnya, warna, jenis simbol, atau nilai numerik).</t>
        </is>
      </c>
      <c r="E1336" t="inlineStr">
        <is>
          <t>TIDAK (tidak didukung)</t>
        </is>
      </c>
    </row>
    <row r="1337">
      <c r="A1337" t="n">
        <v>113</v>
      </c>
      <c r="B1337" t="inlineStr">
        <is>
          <t>B</t>
        </is>
      </c>
      <c r="C1337" t="n">
        <v>6</v>
      </c>
      <c r="D1337" s="3" t="inlineStr">
        <is>
          <t>Mereka harus mencari cara untuk memecahkan persoalan-persoalan yang diberikan (misalnya, membuat sebuah lingkaran dari bagian-bagian tersebut).</t>
        </is>
      </c>
      <c r="E1337" t="inlineStr">
        <is>
          <t>YA (didukung konteks)</t>
        </is>
      </c>
    </row>
    <row r="1338">
      <c r="A1338" t="n">
        <v>114</v>
      </c>
      <c r="B1338" t="inlineStr">
        <is>
          <t>A</t>
        </is>
      </c>
      <c r="C1338" t="n">
        <v>1</v>
      </c>
      <c r="D1338" s="3" t="inlineStr">
        <is>
          <t>Saya senang membantu mahasiswa untuk menerapkan keempat pilar Computational Thinking (CT) secara berurutan untuk menyelesaikan masalah penjadwalan kuliah di sebuah universitas kecil.</t>
        </is>
      </c>
      <c r="E1338" t="inlineStr">
        <is>
          <t>YA (didukung konteks)</t>
        </is>
      </c>
    </row>
    <row r="1339">
      <c r="A1339" t="n">
        <v>114</v>
      </c>
      <c r="B1339" t="inlineStr">
        <is>
          <t>A</t>
        </is>
      </c>
      <c r="C1339" t="n">
        <v>2</v>
      </c>
      <c r="D1339" s="3" t="inlineStr">
        <is>
          <t>Kita dapat menggunakan algoritma scheduling untuk menentukan jadwal kuliah yang optimal, berdasarkan kapasitas ruang, jumlah mata kuliah, dan jam kuliah.</t>
        </is>
      </c>
      <c r="E1339" t="inlineStr">
        <is>
          <t>YA (didukung konteks)</t>
        </is>
      </c>
    </row>
    <row r="1340">
      <c r="A1340" t="n">
        <v>114</v>
      </c>
      <c r="B1340" t="inlineStr">
        <is>
          <t>A</t>
        </is>
      </c>
      <c r="C1340" t="n">
        <v>3</v>
      </c>
      <c r="D1340" s="3" t="inlineStr">
        <is>
          <t>Kita perlu mempertimbangkan apakah solusi tersebut dapat diimplementasikan dalam praktek dan bagaimana kita dapat meningkatkan kualitas solusi tersebut.</t>
        </is>
      </c>
      <c r="E1340" t="inlineStr">
        <is>
          <t>YA (didukung konteks)</t>
        </is>
      </c>
    </row>
    <row r="1341">
      <c r="A1341" t="n">
        <v>114</v>
      </c>
      <c r="B1341" t="inlineStr">
        <is>
          <t>A</t>
        </is>
      </c>
      <c r="C1341" t="n">
        <v>4</v>
      </c>
      <c r="D1341" s="3" t="inlineStr">
        <is>
          <t>Dalam hal ini, kita dapat menemukan beberapa unsur yang terkait dengan penjadwalan kuliah, seperti ruang kuliah, jam kuliah, dan kelas.</t>
        </is>
      </c>
      <c r="E1341" t="inlineStr">
        <is>
          <t>YA (didukung konteks)</t>
        </is>
      </c>
    </row>
    <row r="1342">
      <c r="A1342" t="n">
        <v>114</v>
      </c>
      <c r="B1342" t="inlineStr">
        <is>
          <t>A</t>
        </is>
      </c>
      <c r="C1342" t="n">
        <v>5</v>
      </c>
      <c r="D1342" s="3" t="inlineStr">
        <is>
          <t>Dengan cara ini, kita dapat menerapkan keempat pilar CT secara berurutan untuk menyelesaikan masalah penjadwalan kuliah.</t>
        </is>
      </c>
      <c r="E1342" t="inlineStr">
        <is>
          <t>YA (didukung konteks)</t>
        </is>
      </c>
    </row>
    <row r="1343">
      <c r="A1343" t="n">
        <v>114</v>
      </c>
      <c r="B1343" t="inlineStr">
        <is>
          <t>A</t>
        </is>
      </c>
      <c r="C1343" t="n">
        <v>6</v>
      </c>
      <c r="D1343" s="3" t="inlineStr">
        <is>
          <t>Kita juga perlu mempertimbangkan konsep-konsep dasar penjadwalan, seperti scheduling algorithm dan constraints.</t>
        </is>
      </c>
      <c r="E1343" t="inlineStr">
        <is>
          <t>YA (didukung konteks)</t>
        </is>
      </c>
    </row>
    <row r="1344">
      <c r="A1344" t="n">
        <v>114</v>
      </c>
      <c r="B1344" t="inlineStr">
        <is>
          <t>B</t>
        </is>
      </c>
      <c r="C1344" t="n">
        <v>1</v>
      </c>
      <c r="D1344" s="3" t="inlineStr">
        <is>
          <t>Dengan menerapkan keempat pilar CT secara berurutan, Anda dapat mengembangkan strategi yang lebih efektif untuk menyelesaikan masalah penjadwalan kuliah di universitas kecil.</t>
        </is>
      </c>
      <c r="E1344" t="inlineStr">
        <is>
          <t>YA (didukung konteks)</t>
        </is>
      </c>
    </row>
    <row r="1345">
      <c r="A1345" t="n">
        <v>114</v>
      </c>
      <c r="B1345" t="inlineStr">
        <is>
          <t>B</t>
        </is>
      </c>
      <c r="C1345" t="n">
        <v>2</v>
      </c>
      <c r="D1345" s="3" t="inlineStr">
        <is>
          <t>Untuk menyelesaikan masalah penjadwalan kuliah di sebuah universitas kecil, Anda dapat menerapkan keempat pilar CT (Contextual Thinking) secara berurutan sebagai berikut:</t>
        </is>
      </c>
      <c r="E1345" t="inlineStr">
        <is>
          <t>YA (didukung konteks)</t>
        </is>
      </c>
    </row>
    <row r="1346">
      <c r="A1346" t="n">
        <v>114</v>
      </c>
      <c r="B1346" t="inlineStr">
        <is>
          <t>B</t>
        </is>
      </c>
      <c r="C1346" t="n">
        <v>3</v>
      </c>
      <c r="D1346" s="3" t="inlineStr">
        <is>
          <t>Apa saja kriteria penting yang harus dipertimbangkan (misalnya, jumlah jam pelajaran, jumlah mahasiswa per kuliah, dll.)?</t>
        </is>
      </c>
      <c r="E1346" t="inlineStr">
        <is>
          <t>YA (didukung konteks)</t>
        </is>
      </c>
    </row>
    <row r="1347">
      <c r="A1347" t="n">
        <v>114</v>
      </c>
      <c r="B1347" t="inlineStr">
        <is>
          <t>B</t>
        </is>
      </c>
      <c r="C1347" t="n">
        <v>4</v>
      </c>
      <c r="D1347" s="3" t="inlineStr">
        <is>
          <t>Apa saja kendala atau constraints yang perlu dipertimbangkan (misalnya, jam pelajaran harus berakhir sebelum malam)?</t>
        </is>
      </c>
      <c r="E1347" t="inlineStr">
        <is>
          <t>YA (didukung konteks)</t>
        </is>
      </c>
    </row>
    <row r="1348">
      <c r="A1348" t="n">
        <v>114</v>
      </c>
      <c r="B1348" t="inlineStr">
        <is>
          <t>B</t>
        </is>
      </c>
      <c r="C1348" t="n">
        <v>5</v>
      </c>
      <c r="D1348" s="3" t="inlineStr">
        <is>
          <t>Misalnya, apakah Anda ingin menjamin bahwa setiap mahasiswa dapat mengikuti kuliah favoritnya tanpa konflik waktu?</t>
        </is>
      </c>
      <c r="E1348" t="inlineStr">
        <is>
          <t>YA (didukung konteks)</t>
        </is>
      </c>
    </row>
    <row r="1349">
      <c r="A1349" t="n">
        <v>114</v>
      </c>
      <c r="B1349" t="inlineStr">
        <is>
          <t>B</t>
        </is>
      </c>
      <c r="C1349" t="n">
        <v>6</v>
      </c>
      <c r="D1349" s="3" t="inlineStr">
        <is>
          <t>Apa jenis solusi yang dapat Anda desain untuk menyelesaikan masalah penjadwalan kuliah ini?</t>
        </is>
      </c>
      <c r="E1349" t="inlineStr">
        <is>
          <t>YA (didukung konteks)</t>
        </is>
      </c>
    </row>
    <row r="1350">
      <c r="A1350" t="n">
        <v>115</v>
      </c>
      <c r="B1350" t="inlineStr">
        <is>
          <t>A</t>
        </is>
      </c>
      <c r="C1350" t="n">
        <v>1</v>
      </c>
      <c r="D1350" s="3" t="inlineStr">
        <is>
          <t>Kita akan membahas berbagai kategori alat (tools) berbasis AI yang dapat dimanfaatkan, seperti Image Generator, yang mampu menghasilkan gambar berdasarkan deskripsi teks (prompt).</t>
        </is>
      </c>
      <c r="E1350" t="inlineStr">
        <is>
          <t>YA (didukung konteks)</t>
        </is>
      </c>
    </row>
    <row r="1351">
      <c r="A1351" t="n">
        <v>115</v>
      </c>
      <c r="B1351" t="inlineStr">
        <is>
          <t>A</t>
        </is>
      </c>
      <c r="C1351" t="n">
        <v>2</v>
      </c>
      <c r="D1351" s="3" t="inlineStr">
        <is>
          <t>Contoh konkret dari computational artifact dalam konteks belajar CT adalah algoritma yang digunakan oleh robot DeepMind milik Google yang dilatih untuk bermain tenis meja.</t>
        </is>
      </c>
      <c r="E1351" t="inlineStr">
        <is>
          <t>YA (didukung konteks)</t>
        </is>
      </c>
    </row>
    <row r="1352">
      <c r="A1352" t="n">
        <v>115</v>
      </c>
      <c r="B1352" t="inlineStr">
        <is>
          <t>A</t>
        </is>
      </c>
      <c r="C1352" t="n">
        <v>3</v>
      </c>
      <c r="D1352" s="3" t="inlineStr">
        <is>
          <t>Dalam proses belajar CT, kita akan memahami bagaimana menggunakan AI untuk memecahkan persoalan dan meningkatkan kemampuan digital and technological fluency.</t>
        </is>
      </c>
      <c r="E1352" t="inlineStr">
        <is>
          <t>YA (didukung konteks)</t>
        </is>
      </c>
    </row>
    <row r="1353">
      <c r="A1353" t="n">
        <v>115</v>
      </c>
      <c r="B1353" t="inlineStr">
        <is>
          <t>A</t>
        </is>
      </c>
      <c r="C1353" t="n">
        <v>4</v>
      </c>
      <c r="D1353" s="3" t="inlineStr">
        <is>
          <t>Dalam proses belajar, kita akan memahami bagaimana mengembangkan algoritma dan menggunakan AI untuk membuat solusi yang lebih efektif.</t>
        </is>
      </c>
      <c r="E1353" t="inlineStr">
        <is>
          <t>YA (didukung konteks)</t>
        </is>
      </c>
    </row>
    <row r="1354">
      <c r="A1354" t="n">
        <v>115</v>
      </c>
      <c r="B1354" t="inlineStr">
        <is>
          <t>A</t>
        </is>
      </c>
      <c r="C1354" t="n">
        <v>5</v>
      </c>
      <c r="D1354" s="3" t="inlineStr">
        <is>
          <t>Namun, dalam proses belajar CT, kita akan memahami bagaimana membuat algoritma dan mengembangkan solusi menggunakan AI.</t>
        </is>
      </c>
      <c r="E1354" t="inlineStr">
        <is>
          <t>YA (didukung konteks)</t>
        </is>
      </c>
    </row>
    <row r="1355">
      <c r="A1355" t="n">
        <v>115</v>
      </c>
      <c r="B1355" t="inlineStr">
        <is>
          <t>A</t>
        </is>
      </c>
      <c r="C1355" t="n">
        <v>6</v>
      </c>
      <c r="D1355" s="3" t="inlineStr">
        <is>
          <t>Dalam konteks belajar Computational Thinking (CT), kita tidak akan membuat computational artifact secara langsung.</t>
        </is>
      </c>
      <c r="E1355" t="inlineStr">
        <is>
          <t>YA (didukung konteks)</t>
        </is>
      </c>
    </row>
    <row r="1356">
      <c r="A1356" t="n">
        <v>115</v>
      </c>
      <c r="B1356" t="inlineStr">
        <is>
          <t>B</t>
        </is>
      </c>
      <c r="C1356" t="n">
        <v>1</v>
      </c>
      <c r="D1356" s="3" t="inlineStr">
        <is>
          <t>Dalam mata kuliah ini, Anda tidak akan membuat computational artifact sebagai hasilnya, tetapi Anda akan mempelajari prinsip-prinsip dasar teknologi CT dan bagaimana komputer digunakan dalam proses analisis data.</t>
        </is>
      </c>
      <c r="E1356" t="inlineStr">
        <is>
          <t>YA (didukung konteks)</t>
        </is>
      </c>
    </row>
    <row r="1357">
      <c r="A1357" t="n">
        <v>115</v>
      </c>
      <c r="B1357" t="inlineStr">
        <is>
          <t>B</t>
        </is>
      </c>
      <c r="C1357" t="n">
        <v>2</v>
      </c>
      <c r="D1357" s="3" t="inlineStr">
        <is>
          <t>Computational artifact memang terkait dengan teknologi komputer, tapi bagaimana hubungannya dengan belajar CT (Computed Tomography)?</t>
        </is>
      </c>
      <c r="E1357" t="inlineStr">
        <is>
          <t>TIDAK (tidak didukung)</t>
        </is>
      </c>
    </row>
    <row r="1358">
      <c r="A1358" t="n">
        <v>115</v>
      </c>
      <c r="B1358" t="inlineStr">
        <is>
          <t>B</t>
        </is>
      </c>
      <c r="C1358" t="n">
        <v>3</v>
      </c>
      <c r="D1358" s="3" t="inlineStr">
        <is>
          <t>Dalam mata kuliah CT, kita akan belajar tentang prinsip dasar teknologi CT, mulai dari konsep fisika hingga aplikasinya dalam medis.</t>
        </is>
      </c>
      <c r="E1358" t="inlineStr">
        <is>
          <t>YA (didukung konteks)</t>
        </is>
      </c>
    </row>
    <row r="1359">
      <c r="A1359" t="n">
        <v>115</v>
      </c>
      <c r="B1359" t="inlineStr">
        <is>
          <t>B</t>
        </is>
      </c>
      <c r="C1359" t="n">
        <v>4</v>
      </c>
      <c r="D1359" s="3" t="inlineStr">
        <is>
          <t>Dalam proses tersebut, komputer digunakan untuk mengolah dan menganalisis gambar 2D atau 3D yang dihasilkan oleh scanner CT.</t>
        </is>
      </c>
      <c r="E1359" t="inlineStr">
        <is>
          <t>YA (didukung konteks)</t>
        </is>
      </c>
    </row>
    <row r="1360">
      <c r="A1360" t="n">
        <v>115</v>
      </c>
      <c r="B1360" t="inlineStr">
        <is>
          <t>B</t>
        </is>
      </c>
      <c r="C1360" t="n">
        <v>5</v>
      </c>
      <c r="D1360" s="3" t="inlineStr">
        <is>
          <t>Filtering dan pengolah citra: Membantu menghilangkan noise atau gangguan pada citra, sehingga hasil analisis lebih akurat.</t>
        </is>
      </c>
      <c r="E1360" t="inlineStr">
        <is>
          <t>YA (didukung konteks)</t>
        </is>
      </c>
    </row>
    <row r="1361">
      <c r="A1361" t="n">
        <v>115</v>
      </c>
      <c r="B1361" t="inlineStr">
        <is>
          <t>B</t>
        </is>
      </c>
      <c r="C1361" t="n">
        <v>6</v>
      </c>
      <c r="D1361" s="3" t="inlineStr">
        <is>
          <t>Analisis citra: Melakukan analisis statistik atau algoritme lain untuk mengekstrak informasi penting dari citra CT.</t>
        </is>
      </c>
      <c r="E1361" t="inlineStr">
        <is>
          <t>YA (didukung konteks)</t>
        </is>
      </c>
    </row>
    <row r="1362">
      <c r="A1362" t="n">
        <v>116</v>
      </c>
      <c r="B1362" t="inlineStr">
        <is>
          <t>A</t>
        </is>
      </c>
      <c r="C1362" t="n">
        <v>1</v>
      </c>
      <c r="D1362" s="3" t="inlineStr">
        <is>
          <t>Namun, prinsip utama dalam dekomposisi adalah memecahkan masalah besar menjadi sub-masalah yang lebih kecil dan mudah ditangani, sehingga dapat diselesaikan secara sistematis dan efektif.</t>
        </is>
      </c>
      <c r="E1362" t="inlineStr">
        <is>
          <t>YA (didukung konteks)</t>
        </is>
      </c>
    </row>
    <row r="1363">
      <c r="A1363" t="n">
        <v>116</v>
      </c>
      <c r="B1363" t="inlineStr">
        <is>
          <t>A</t>
        </is>
      </c>
      <c r="C1363" t="n">
        <v>2</v>
      </c>
      <c r="D1363" s="3" t="inlineStr">
        <is>
          <t>Dalam konteks ini, Anda dapat menggunakan contoh seperti yang diberikan dalam materi referensi, seperti menghitung luas bangun datar tidak beraturan atau membuat sarapan.</t>
        </is>
      </c>
      <c r="E1363" t="inlineStr">
        <is>
          <t>YA (didukung konteks)</t>
        </is>
      </c>
    </row>
    <row r="1364">
      <c r="A1364" t="n">
        <v>116</v>
      </c>
      <c r="B1364" t="inlineStr">
        <is>
          <t>A</t>
        </is>
      </c>
      <c r="C1364" t="n">
        <v>3</v>
      </c>
      <c r="D1364" s="3" t="inlineStr">
        <is>
          <t>Dengan demikian, Anda dapat memahami bagaimana dekomposisi dapat digunakan untuk memecahkan masalah kompleks menjadi sub-masalah yang lebih kecil dan mudah ditangani.</t>
        </is>
      </c>
      <c r="E1364" t="inlineStr">
        <is>
          <t>YA (didukung konteks)</t>
        </is>
      </c>
    </row>
    <row r="1365">
      <c r="A1365" t="n">
        <v>116</v>
      </c>
      <c r="B1365" t="inlineStr">
        <is>
          <t>A</t>
        </is>
      </c>
      <c r="C1365" t="n">
        <v>4</v>
      </c>
      <c r="D1365" s="3" t="inlineStr">
        <is>
          <t>Jika Anda ingin membuat aplikasi kalkulator sederhana, mungkin 15 sub-masalah yang sangat kecil-kecil lebih sesuai untuk memecahkan masalah tersebut.</t>
        </is>
      </c>
      <c r="E1365" t="inlineStr">
        <is>
          <t>YA (didukung konteks)</t>
        </is>
      </c>
    </row>
    <row r="1366">
      <c r="A1366" t="n">
        <v>116</v>
      </c>
      <c r="B1366" t="inlineStr">
        <is>
          <t>A</t>
        </is>
      </c>
      <c r="C1366" t="n">
        <v>5</v>
      </c>
      <c r="D1366" s="3" t="inlineStr">
        <is>
          <t>Hal ini benar-benar sesuai dengan konsep dekomposisi, karena Anda memecahkan masalah besar menjadi sub-masalah yang lebih kecil dan mudah ditangani.</t>
        </is>
      </c>
      <c r="E1366" t="inlineStr">
        <is>
          <t>YA (didukung konteks)</t>
        </is>
      </c>
    </row>
    <row r="1367">
      <c r="A1367" t="n">
        <v>116</v>
      </c>
      <c r="B1367" t="inlineStr">
        <is>
          <t>A</t>
        </is>
      </c>
      <c r="C1367" t="n">
        <v>6</v>
      </c>
      <c r="D1367" s="3" t="inlineStr">
        <is>
          <t>Standar seberapa detail dekomposisi yang baik tidak ada, karena setiap masalah memiliki tingkat kompleksitas dan tujuan akhir yang berbeda.</t>
        </is>
      </c>
      <c r="E1367" t="inlineStr">
        <is>
          <t>YA (didukung konteks)</t>
        </is>
      </c>
    </row>
    <row r="1368">
      <c r="A1368" t="n">
        <v>116</v>
      </c>
      <c r="B1368" t="inlineStr">
        <is>
          <t>B</t>
        </is>
      </c>
      <c r="C1368" t="n">
        <v>1</v>
      </c>
      <c r="D1368" s="3" t="inlineStr">
        <is>
          <t>Dekomposisi menjadi 3 bagian (input → hitung → output) seperti yang Anda lakukan memang lebih umum dan lebih mudah untuk diikuti, terutama bagi orang yang tidak familiar dengan tahapan pengembangan aplikasi.</t>
        </is>
      </c>
      <c r="E1368" t="inlineStr">
        <is>
          <t>YA (didukung konteks)</t>
        </is>
      </c>
    </row>
    <row r="1369">
      <c r="A1369" t="n">
        <v>116</v>
      </c>
      <c r="B1369" t="inlineStr">
        <is>
          <t>B</t>
        </is>
      </c>
      <c r="C1369" t="n">
        <v>2</v>
      </c>
      <c r="D1369" s="3" t="inlineStr">
        <is>
          <t>Dekomposisi menjadi 3-5 sub-masalah yang lebih besar dan lebih spesifik dapat membantu dalam mengorganisir tugas dan meningkatkan kemampuan analisis dan desain aplikasi.</t>
        </is>
      </c>
      <c r="E1369" t="inlineStr">
        <is>
          <t>YA (didukung konteks)</t>
        </is>
      </c>
    </row>
    <row r="1370">
      <c r="A1370" t="n">
        <v>116</v>
      </c>
      <c r="B1370" t="inlineStr">
        <is>
          <t>B</t>
        </is>
      </c>
      <c r="C1370" t="n">
        <v>3</v>
      </c>
      <c r="D1370" s="3" t="inlineStr">
        <is>
          <t>Sementara itu, dekomposisi menjadi 15 sub-masalah yang sangat kecil-kecil seperti yang teman Anda lakukan memang memiliki beberapa kelebihan.</t>
        </is>
      </c>
      <c r="E1370" t="inlineStr">
        <is>
          <t>YA (didukung konteks)</t>
        </is>
      </c>
    </row>
    <row r="1371">
      <c r="A1371" t="n">
        <v>116</v>
      </c>
      <c r="B1371" t="inlineStr">
        <is>
          <t>B</t>
        </is>
      </c>
      <c r="C1371" t="n">
        <v>4</v>
      </c>
      <c r="D1371" s="3" t="inlineStr">
        <is>
          <t>Dengan demikian, Anda dapat membagi tugas menjadi bagian-bagian yang lebih kecil namun masih signifikan untuk aplikasi.</t>
        </is>
      </c>
      <c r="E1371" t="inlineStr">
        <is>
          <t>YA (didukung konteks)</t>
        </is>
      </c>
    </row>
    <row r="1372">
      <c r="A1372" t="n">
        <v>116</v>
      </c>
      <c r="B1372" t="inlineStr">
        <is>
          <t>B</t>
        </is>
      </c>
      <c r="C1372" t="n">
        <v>5</v>
      </c>
      <c r="D1372" s="3" t="inlineStr">
        <is>
          <t>Dalam kasus Anda, mungkin lebih baik jika Anda mencoba untuk menemukan keseimbangan antara detail dan kompleksitas.</t>
        </is>
      </c>
      <c r="E1372" t="inlineStr">
        <is>
          <t>YA (didukung konteks)</t>
        </is>
      </c>
    </row>
    <row r="1373">
      <c r="A1373" t="n">
        <v>116</v>
      </c>
      <c r="B1373" t="inlineStr">
        <is>
          <t>B</t>
        </is>
      </c>
      <c r="C1373" t="n">
        <v>6</v>
      </c>
      <c r="D1373" s="3" t="inlineStr">
        <is>
          <t>Sebuah standar yang baik adalah dekomposisi menjadi sub-tugas yang memiliki ukuran sekitar 1-5% dari tugas utama.</t>
        </is>
      </c>
      <c r="E1373" t="inlineStr">
        <is>
          <t>YA (didukung konteks)</t>
        </is>
      </c>
    </row>
    <row r="1374">
      <c r="A1374" t="n">
        <v>117</v>
      </c>
      <c r="B1374" t="inlineStr">
        <is>
          <t>A</t>
        </is>
      </c>
      <c r="C1374" t="n">
        <v>1</v>
      </c>
      <c r="D1374" s="3" t="inlineStr">
        <is>
          <t>Dengan demikian, Anda dapat membuat hierarki dekomposisi yang tepat dan memecahkan masalah besar menjadi sub-masalah yang lebih kecil.</t>
        </is>
      </c>
      <c r="E1374" t="inlineStr">
        <is>
          <t>YA (didukung konteks)</t>
        </is>
      </c>
    </row>
    <row r="1375">
      <c r="A1375" t="n">
        <v>117</v>
      </c>
      <c r="B1375" t="inlineStr">
        <is>
          <t>A</t>
        </is>
      </c>
      <c r="C1375" t="n">
        <v>2</v>
      </c>
      <c r="D1375" s="3" t="inlineStr">
        <is>
          <t>+ Solusi parsial (Solusi A1): Menjadi lebih mudah untuk memverifikasi pembayaran dengan cara-cara yang telah didefinisikan sebelumnya</t>
        </is>
      </c>
      <c r="E1375" t="inlineStr">
        <is>
          <t>YA (didukung konteks)</t>
        </is>
      </c>
    </row>
    <row r="1376">
      <c r="A1376" t="n">
        <v>117</v>
      </c>
      <c r="B1376" t="inlineStr">
        <is>
          <t>A</t>
        </is>
      </c>
      <c r="C1376" t="n">
        <v>3</v>
      </c>
      <c r="D1376" s="3" t="inlineStr">
        <is>
          <t>Dekomposisi adalah proses mengidentifikasi masalah besar dan memecahkannya menjadi sub-masalah yang lebih kecil dan mudah ditangani.</t>
        </is>
      </c>
      <c r="E1376" t="inlineStr">
        <is>
          <t>YA (didukung konteks)</t>
        </is>
      </c>
    </row>
    <row r="1377">
      <c r="A1377" t="n">
        <v>117</v>
      </c>
      <c r="B1377" t="inlineStr">
        <is>
          <t>A</t>
        </is>
      </c>
      <c r="C1377" t="n">
        <v>4</v>
      </c>
      <c r="D1377" s="3" t="inlineStr">
        <is>
          <t>+ Solusi parsial (Solusi B1): Menjadi lebih mudah untuk mengemas setiap pesanan dengan cara-cara yang telah didefinisikan sebelumnya</t>
        </is>
      </c>
      <c r="E1377" t="inlineStr">
        <is>
          <t>YA (didukung konteks)</t>
        </is>
      </c>
    </row>
    <row r="1378">
      <c r="A1378" t="n">
        <v>117</v>
      </c>
      <c r="B1378" t="inlineStr">
        <is>
          <t>A</t>
        </is>
      </c>
      <c r="C1378" t="n">
        <v>5</v>
      </c>
      <c r="D1378" s="3" t="inlineStr">
        <is>
          <t>Kemudian, pecahkan proses penyelesaiannya menjadi langkah-langkah lebih kecil yang dapat diselesaikan satu per satu.</t>
        </is>
      </c>
      <c r="E1378" t="inlineStr">
        <is>
          <t>YA (didukung konteks)</t>
        </is>
      </c>
    </row>
    <row r="1379">
      <c r="A1379" t="n">
        <v>117</v>
      </c>
      <c r="B1379" t="inlineStr">
        <is>
          <t>A</t>
        </is>
      </c>
      <c r="C1379" t="n">
        <v>6</v>
      </c>
      <c r="D1379" s="3" t="inlineStr">
        <is>
          <t>Mahasiswa, saya senang dapat membantu Anda memahami konsep dekomposisi dalam Computational Thinking.</t>
        </is>
      </c>
      <c r="E1379" t="inlineStr">
        <is>
          <t>YA (didukung konteks)</t>
        </is>
      </c>
    </row>
    <row r="1380">
      <c r="A1380" t="n">
        <v>117</v>
      </c>
      <c r="B1380" t="inlineStr">
        <is>
          <t>B</t>
        </is>
      </c>
      <c r="C1380" t="n">
        <v>1</v>
      </c>
      <c r="D1380" s="3" t="inlineStr">
        <is>
          <t>Buat bagian-bagian menjadi sub-bagian: Bagikan bagian-bagian tadi menjadi sub-bagian yang masih lebih kecil dan dapat diukur (contohnya, verifikasi pembayaran melalui kartu kredit, PayPal, atau transfer bank).</t>
        </is>
      </c>
      <c r="E1380" t="inlineStr">
        <is>
          <t>YA (didukung konteks)</t>
        </is>
      </c>
    </row>
    <row r="1381">
      <c r="A1381" t="n">
        <v>117</v>
      </c>
      <c r="B1381" t="inlineStr">
        <is>
          <t>B</t>
        </is>
      </c>
      <c r="C1381" t="n">
        <v>2</v>
      </c>
      <c r="D1381" s="3" t="inlineStr">
        <is>
          <t>Bagikan menjadi bagian-bagian: Bagikan tujuan utama menjadi bagian-bagian yang lebih kecil dan dapat diukur (misalnya, diverifikasi pembayaran, dikemas, dan dikirim).</t>
        </is>
      </c>
      <c r="E1381" t="inlineStr">
        <is>
          <t>YA (didukung konteks)</t>
        </is>
      </c>
    </row>
    <row r="1382">
      <c r="A1382" t="n">
        <v>117</v>
      </c>
      <c r="B1382" t="inlineStr">
        <is>
          <t>B</t>
        </is>
      </c>
      <c r="C1382" t="n">
        <v>3</v>
      </c>
      <c r="D1382" s="3" t="inlineStr">
        <is>
          <t>Teruskan dengan cara yang sama: Ulangi langkah 2 dan 3 hingga semua bagian dan sub-bagian telah terurai menjadi unsur-unsur yang dapat diukur dan diantisipasi.</t>
        </is>
      </c>
      <c r="E1382" t="inlineStr">
        <is>
          <t>YA (didukung konteks)</t>
        </is>
      </c>
    </row>
    <row r="1383">
      <c r="A1383" t="n">
        <v>117</v>
      </c>
      <c r="B1383" t="inlineStr">
        <is>
          <t>B</t>
        </is>
      </c>
      <c r="C1383" t="n">
        <v>4</v>
      </c>
      <c r="D1383" s="3" t="inlineStr">
        <is>
          <t>Mulai dari tujuan: Identifikasi tujuan utama yang ingin dicapai (dalam kasus ini, toko online menerima 1000 pesanan per hari).</t>
        </is>
      </c>
      <c r="E1383" t="inlineStr">
        <is>
          <t>YA (didukung konteks)</t>
        </is>
      </c>
    </row>
    <row r="1384">
      <c r="A1384" t="n">
        <v>117</v>
      </c>
      <c r="B1384" t="inlineStr">
        <is>
          <t>B</t>
        </is>
      </c>
      <c r="C1384" t="n">
        <v>5</v>
      </c>
      <c r="D1384" s="3" t="inlineStr">
        <is>
          <t>Dengan demikian, hierarki dekomposisi untuk toko online yang menerima 1000 pesanan per hari dapat dibuat sebagai berikut:</t>
        </is>
      </c>
      <c r="E1384" t="inlineStr">
        <is>
          <t>YA (didukung konteks)</t>
        </is>
      </c>
    </row>
    <row r="1385">
      <c r="A1385" t="n">
        <v>117</v>
      </c>
      <c r="B1385" t="inlineStr">
        <is>
          <t>B</t>
        </is>
      </c>
      <c r="C1385" t="n">
        <v>6</v>
      </c>
      <c r="D1385" s="3" t="inlineStr">
        <is>
          <t>Sekarang, kamu telah membuat hierarki dekomposisi yang benar untuk toko online!</t>
        </is>
      </c>
      <c r="E1385" t="inlineStr">
        <is>
          <t>TIDAK (tidak didukung)</t>
        </is>
      </c>
    </row>
    <row r="1386">
      <c r="A1386" t="n">
        <v>118</v>
      </c>
      <c r="B1386" t="inlineStr">
        <is>
          <t>A</t>
        </is>
      </c>
      <c r="C1386" t="n">
        <v>1</v>
      </c>
      <c r="D1386" s="3" t="inlineStr">
        <is>
          <t>Dengan demikian, prinsip "loosely coupled" dan "highly cohesive" dalam dekomposisi CT mirip dengan prinsipnya di software engineering, tapi dengan fokus pada kemampuan memecahkan masalah besar menjadi sub-masalah yang le</t>
        </is>
      </c>
      <c r="E1386" t="inlineStr">
        <is>
          <t>YA (didukung konteks)</t>
        </is>
      </c>
    </row>
    <row r="1387">
      <c r="A1387" t="n">
        <v>118</v>
      </c>
      <c r="B1387" t="inlineStr">
        <is>
          <t>A</t>
        </is>
      </c>
      <c r="C1387" t="n">
        <v>2</v>
      </c>
      <c r="D1387" s="3" t="inlineStr">
        <is>
          <t>Pada tahap pertama, kita mengidentifikasi goal (menghitung berapa banyak pasangan yang memenuhi syarat) dan kemudian memecah proses penyelesaiannya menjadi langkah-langkah lebih kecil yang dapat diselesaikan satu per sat</t>
        </is>
      </c>
      <c r="E1387" t="inlineStr">
        <is>
          <t>YA (didukung konteks)</t>
        </is>
      </c>
    </row>
    <row r="1388">
      <c r="A1388" t="n">
        <v>118</v>
      </c>
      <c r="B1388" t="inlineStr">
        <is>
          <t>A</t>
        </is>
      </c>
      <c r="C1388" t="n">
        <v>3</v>
      </c>
      <c r="D1388" s="3" t="inlineStr">
        <is>
          <t>Dalam hal ini, sub-masalah tersebut "loosely coupled" karena dapat dikerjakan secara independen, tetapi juga "highly cohesive" karena memiliki tujuan yang jelas dan terkait dengan tujuan utama.</t>
        </is>
      </c>
      <c r="E1388" t="inlineStr">
        <is>
          <t>YA (didukung konteks)</t>
        </is>
      </c>
    </row>
    <row r="1389">
      <c r="A1389" t="n">
        <v>118</v>
      </c>
      <c r="B1389" t="inlineStr">
        <is>
          <t>A</t>
        </is>
      </c>
      <c r="C1389" t="n">
        <v>4</v>
      </c>
      <c r="D1389" s="3" t="inlineStr">
        <is>
          <t>Dalam dekomposisi Computational Thinking (CT), prinsip "loosely coupled" dan "highly cohesive" memang berlaku, tetapi dengan konteks yang sedikit berbeda dari software engineering.</t>
        </is>
      </c>
      <c r="E1389" t="inlineStr">
        <is>
          <t>YA (didukung konteks)</t>
        </is>
      </c>
    </row>
    <row r="1390">
      <c r="A1390" t="n">
        <v>118</v>
      </c>
      <c r="B1390" t="inlineStr">
        <is>
          <t>A</t>
        </is>
      </c>
      <c r="C1390" t="n">
        <v>5</v>
      </c>
      <c r="D1390" s="3" t="inlineStr">
        <is>
          <t>Dalam hal ini, "loosely coupled" merujuk pada kemampuan sub-masalah untuk dikerjakan secara independen, tanpa harus berhubungan erat dengan sub-masalah lainnya.</t>
        </is>
      </c>
      <c r="E1390" t="inlineStr">
        <is>
          <t>YA (didukung konteks)</t>
        </is>
      </c>
    </row>
    <row r="1391">
      <c r="A1391" t="n">
        <v>118</v>
      </c>
      <c r="B1391" t="inlineStr">
        <is>
          <t>A</t>
        </is>
      </c>
      <c r="C1391" t="n">
        <v>6</v>
      </c>
      <c r="D1391" s="3" t="inlineStr">
        <is>
          <t>Pada dasarnya, dekomposisi di CT bertujuan untuk memecahkan masalah besar menjadi sub-masalah yang lebih kecil dan lebih mudah ditangani.</t>
        </is>
      </c>
      <c r="E1391" t="inlineStr">
        <is>
          <t>YA (didukung konteks)</t>
        </is>
      </c>
    </row>
    <row r="1392">
      <c r="A1392" t="n">
        <v>118</v>
      </c>
      <c r="B1392" t="inlineStr">
        <is>
          <t>B</t>
        </is>
      </c>
      <c r="C1392" t="n">
        <v>1</v>
      </c>
      <c r="D1392" s="3" t="inlineStr">
        <is>
          <t>Pada dasarnya, CT lebih fokus pada cara membantu siswa memahami konsep dasar programming dan logika pemrograman, seperti algoritma, struktur data, dan keterkaitan antara bagian-bagian program.</t>
        </is>
      </c>
      <c r="E1392" t="inlineStr">
        <is>
          <t>YA (didukung konteks)</t>
        </is>
      </c>
    </row>
    <row r="1393">
      <c r="A1393" t="n">
        <v>118</v>
      </c>
      <c r="B1393" t="inlineStr">
        <is>
          <t>B</t>
        </is>
      </c>
      <c r="C1393" t="n">
        <v>2</v>
      </c>
      <c r="D1393" s="3" t="inlineStr">
        <is>
          <t>Dekomposisi di Software Engineering lebih fokus pada desain sistem yang efektif, sedangkan dekomposisi di CT lebih fokus pada memahami konsep dasar programming dan logika pemrograman.</t>
        </is>
      </c>
      <c r="E1393" t="inlineStr">
        <is>
          <t>YA (didukung konteks)</t>
        </is>
      </c>
    </row>
    <row r="1394">
      <c r="A1394" t="n">
        <v>118</v>
      </c>
      <c r="B1394" t="inlineStr">
        <is>
          <t>B</t>
        </is>
      </c>
      <c r="C1394" t="n">
        <v>3</v>
      </c>
      <c r="D1394" s="3" t="inlineStr">
        <is>
          <t>Dalam Software Engineering, dekomposisi bertujuan untuk membuat sistem yang lebih mudah dipelihara, fleksibel, dan dapat diubah tanpa mempengaruhi bagian lain.</t>
        </is>
      </c>
      <c r="E1394" t="inlineStr">
        <is>
          <t>YA (didukung konteks)</t>
        </is>
      </c>
    </row>
    <row r="1395">
      <c r="A1395" t="n">
        <v>118</v>
      </c>
      <c r="B1395" t="inlineStr">
        <is>
          <t>B</t>
        </is>
      </c>
      <c r="C1395" t="n">
        <v>4</v>
      </c>
      <c r="D1395" s="3" t="inlineStr">
        <is>
          <t>Istilah "loosely coupled" dan "highly cohesive" digunakan untuk menggambarkan sifat interaksi antara sub-sistem atau modul dalam mendesain sistem yang efektif.</t>
        </is>
      </c>
      <c r="E1395" t="inlineStr">
        <is>
          <t>YA (didukung konteks)</t>
        </is>
      </c>
    </row>
    <row r="1396">
      <c r="A1396" t="n">
        <v>118</v>
      </c>
      <c r="B1396" t="inlineStr">
        <is>
          <t>B</t>
        </is>
      </c>
      <c r="C1396" t="n">
        <v>5</v>
      </c>
      <c r="D1396" s="3" t="inlineStr">
        <is>
          <t>Dalam bidang Software Engineering, "loosely coupled" dan "highly cohesive" merujuk pada konsep dekomposisi yang efektif dalam mendesain sistem.</t>
        </is>
      </c>
      <c r="E1396" t="inlineStr">
        <is>
          <t>YA (didukung konteks)</t>
        </is>
      </c>
    </row>
    <row r="1397">
      <c r="A1397" t="n">
        <v>118</v>
      </c>
      <c r="B1397" t="inlineStr">
        <is>
          <t>B</t>
        </is>
      </c>
      <c r="C1397" t="n">
        <v>6</v>
      </c>
      <c r="D1397" s="3" t="inlineStr">
        <is>
          <t>Artinya, setiap modul memiliki peran yang spesifik dalam sistem dan tidak ada bagian yang menjadi "lumping" (tidak memiliki tujuan yang jelas).</t>
        </is>
      </c>
      <c r="E1397" t="inlineStr">
        <is>
          <t>YA (didukung konteks)</t>
        </is>
      </c>
    </row>
    <row r="1398">
      <c r="A1398" t="n">
        <v>119</v>
      </c>
      <c r="B1398" t="inlineStr">
        <is>
          <t>A</t>
        </is>
      </c>
      <c r="C1398" t="n">
        <v>1</v>
      </c>
      <c r="D1398" s="3" t="inlineStr">
        <is>
          <t>Dalam kasus ini, goal yang lebih sesuai mungkin adalah "menentukan sistem peminjaman buku perpustakaan yang efektif" atau "mengoptimalkan penggunaan buku perpustakaan".</t>
        </is>
      </c>
      <c r="E1398" t="inlineStr">
        <is>
          <t>YA (didukung konteks)</t>
        </is>
      </c>
    </row>
    <row r="1399">
      <c r="A1399" t="n">
        <v>119</v>
      </c>
      <c r="B1399" t="inlineStr">
        <is>
          <t>A</t>
        </is>
      </c>
      <c r="C1399" t="n">
        <v>2</v>
      </c>
      <c r="D1399" s="3" t="inlineStr">
        <is>
          <t>Dengan melakukan abstraksi CT, kita dapat memfokuskan perhatian pada hal-hal esensial dan mencari solusi yang tepat untuk masalah tersebut.</t>
        </is>
      </c>
      <c r="E1399" t="inlineStr">
        <is>
          <t>YA (didukung konteks)</t>
        </is>
      </c>
    </row>
    <row r="1400">
      <c r="A1400" t="n">
        <v>119</v>
      </c>
      <c r="B1400" t="inlineStr">
        <is>
          <t>A</t>
        </is>
      </c>
      <c r="C1400" t="n">
        <v>3</v>
      </c>
      <c r="D1400" s="3" t="inlineStr">
        <is>
          <t>Dalam kasus sistem peminjaman buku perpustakaan, problema mungkin adalah kekurangan ruang penyimpanan atau biaya pengelolaan buku.</t>
        </is>
      </c>
      <c r="E1400" t="inlineStr">
        <is>
          <t>YA (didukung konteks)</t>
        </is>
      </c>
    </row>
    <row r="1401">
      <c r="A1401" t="n">
        <v>119</v>
      </c>
      <c r="B1401" t="inlineStr">
        <is>
          <t>A</t>
        </is>
      </c>
      <c r="C1401" t="n">
        <v>4</v>
      </c>
      <c r="D1401" s="3" t="inlineStr">
        <is>
          <t>Batasan mungkin adalah waktu pinjam, jumlah buku yang dapat dipinjam, atau keterbatasan kemampuan perpustakaan.</t>
        </is>
      </c>
      <c r="E1401" t="inlineStr">
        <is>
          <t>YA (didukung konteks)</t>
        </is>
      </c>
    </row>
    <row r="1402">
      <c r="A1402" t="n">
        <v>119</v>
      </c>
      <c r="B1402" t="inlineStr">
        <is>
          <t>A</t>
        </is>
      </c>
      <c r="C1402" t="n">
        <v>5</v>
      </c>
      <c r="D1402" s="3" t="inlineStr">
        <is>
          <t>Goal yang baik dalam abstraksi CT harus lebih spesifik dan mengarah pada solusi masalah yang ingin dipecahkan.</t>
        </is>
      </c>
      <c r="E1402" t="inlineStr">
        <is>
          <t>YA (didukung konteks)</t>
        </is>
      </c>
    </row>
    <row r="1403">
      <c r="A1403" t="n">
        <v>119</v>
      </c>
      <c r="B1403" t="inlineStr">
        <is>
          <t>A</t>
        </is>
      </c>
      <c r="C1403" t="n">
        <v>6</v>
      </c>
      <c r="D1403" s="3" t="inlineStr">
        <is>
          <t>Saya coba menjelaskan konsep abstraksi dalam Computational Thinking (CT) sehubungan dengan soal mahasiswa.</t>
        </is>
      </c>
      <c r="E1403" t="inlineStr">
        <is>
          <t>YA (didukung konteks)</t>
        </is>
      </c>
    </row>
    <row r="1404">
      <c r="A1404" t="n">
        <v>119</v>
      </c>
      <c r="B1404" t="inlineStr">
        <is>
          <t>B</t>
        </is>
      </c>
      <c r="C1404" t="n">
        <v>1</v>
      </c>
      <c r="D1404" s="3" t="inlineStr">
        <is>
          <t>Sebagai contoh, goal yang lebih baik dalam abstraksi CT mungkin adalah: "Menjamin 80% pengguna perpustakaan dapat meminjam buku secara efektif dan efisien dalam jangka waktu tertentu".</t>
        </is>
      </c>
      <c r="E1404" t="inlineStr">
        <is>
          <t>YA (didukung konteks)</t>
        </is>
      </c>
    </row>
    <row r="1405">
      <c r="A1405" t="n">
        <v>119</v>
      </c>
      <c r="B1405" t="inlineStr">
        <is>
          <t>B</t>
        </is>
      </c>
      <c r="C1405" t="n">
        <v>2</v>
      </c>
      <c r="D1405" s="3" t="inlineStr">
        <is>
          <t>Goal yang Anda tulis, "agar buku bisa dipinjam", sebenarnya lebih seperti sebuah keharapan atau tujuan umum daripada goal yang sesuai dengan abstraksi CT (Contextual Theory).</t>
        </is>
      </c>
      <c r="E1405" t="inlineStr">
        <is>
          <t>TIDAK (tidak didukung)</t>
        </is>
      </c>
    </row>
    <row r="1406">
      <c r="A1406" t="n">
        <v>119</v>
      </c>
      <c r="B1406" t="inlineStr">
        <is>
          <t>B</t>
        </is>
      </c>
      <c r="C1406" t="n">
        <v>3</v>
      </c>
      <c r="D1406" s="3" t="inlineStr">
        <is>
          <t>Dengan demikian, Anda harus lebih spesifik dan memberikan goal yang lebih jelas dan realistis untuk abstraksi CT.</t>
        </is>
      </c>
      <c r="E1406" t="inlineStr">
        <is>
          <t>YA (didukung konteks)</t>
        </is>
      </c>
    </row>
    <row r="1407">
      <c r="A1407" t="n">
        <v>119</v>
      </c>
      <c r="B1407" t="inlineStr">
        <is>
          <t>B</t>
        </is>
      </c>
      <c r="C1407" t="n">
        <v>4</v>
      </c>
      <c r="D1407" s="3" t="inlineStr">
        <is>
          <t>Goal yang Anda tulis, "agar buku bisa dipinjam", tidak memenuhi kriteria tersebut.</t>
        </is>
      </c>
      <c r="E1407" t="inlineStr">
        <is>
          <t>TIDAK (tidak didukung)</t>
        </is>
      </c>
    </row>
    <row r="1408">
      <c r="A1408" t="n">
        <v>119</v>
      </c>
      <c r="B1408" t="inlineStr">
        <is>
          <t>B</t>
        </is>
      </c>
      <c r="C1408" t="n">
        <v>5</v>
      </c>
      <c r="D1408" s="3" t="inlineStr">
        <is>
          <t>Goal dalam abstraksi CT harus memiliki beberapa karakteristik, yaitu:</t>
        </is>
      </c>
      <c r="E1408" t="inlineStr">
        <is>
          <t>YA (didukung konteks)</t>
        </is>
      </c>
    </row>
    <row r="1409">
      <c r="A1409" t="n">
        <v>119</v>
      </c>
      <c r="B1409" t="inlineStr">
        <is>
          <t>B</t>
        </is>
      </c>
      <c r="C1409" t="n">
        <v>6</v>
      </c>
      <c r="D1409" s="3" t="inlineStr">
        <is>
          <t>Misalnya, apakah "dapat dipinjam" berarti hanya untuk siswa saja?</t>
        </is>
      </c>
      <c r="E1409" t="inlineStr">
        <is>
          <t>TIDAK (tidak didukung)</t>
        </is>
      </c>
    </row>
    <row r="1410">
      <c r="A1410" t="n">
        <v>120</v>
      </c>
      <c r="B1410" t="inlineStr">
        <is>
          <t>A</t>
        </is>
      </c>
      <c r="C1410" t="n">
        <v>1</v>
      </c>
      <c r="D1410" s="3" t="inlineStr">
        <is>
          <t>Dalam soal ini, goal adalah memuat sebanyak mungkin berang-berang dalam satu kali perjalanan, sementara batasan adalah kapasitas masing-masing lift dan total berat berang-berang yang tidak dapat terangkut dalam satu kali</t>
        </is>
      </c>
      <c r="E1410" t="inlineStr">
        <is>
          <t>YA (didukung konteks)</t>
        </is>
      </c>
    </row>
    <row r="1411">
      <c r="A1411" t="n">
        <v>120</v>
      </c>
      <c r="B1411" t="inlineStr">
        <is>
          <t>A</t>
        </is>
      </c>
      <c r="C1411" t="n">
        <v>2</v>
      </c>
      <c r="D1411" s="3" t="inlineStr">
        <is>
          <t>Dalam soal lift, data mencakup berat masing-masing berang-berang, sementara batasan mencakup kapasitas masing-masing lift dan total berat berang-berang yang tidak dapat terangkut dalam satu kali perjalanan.</t>
        </is>
      </c>
      <c r="E1411" t="inlineStr">
        <is>
          <t>YA (didukung konteks)</t>
        </is>
      </c>
    </row>
    <row r="1412">
      <c r="A1412" t="n">
        <v>120</v>
      </c>
      <c r="B1412" t="inlineStr">
        <is>
          <t>A</t>
        </is>
      </c>
      <c r="C1412" t="n">
        <v>3</v>
      </c>
      <c r="D1412" s="3" t="inlineStr">
        <is>
          <t>Perbedaan antara DATA dan BATASAN adalah bahwa data menyangkut informasi yang tersedia dan relevan seputar masalah, sedangkan batasan menyangkut keterbatasan atau restruktur yang mempengaruhi solusi.</t>
        </is>
      </c>
      <c r="E1412" t="inlineStr">
        <is>
          <t>YA (didukung konteks)</t>
        </is>
      </c>
    </row>
    <row r="1413">
      <c r="A1413" t="n">
        <v>120</v>
      </c>
      <c r="B1413" t="inlineStr">
        <is>
          <t>A</t>
        </is>
      </c>
      <c r="C1413" t="n">
        <v>4</v>
      </c>
      <c r="D1413" s="3" t="inlineStr">
        <is>
          <t>Dengan memahami konsep utama abstraksi, kita dapat mengidentifikasi problema, goal, batasan, dan data, serta menggunakan strategi untuk menyelesaikan masalah.</t>
        </is>
      </c>
      <c r="E1413" t="inlineStr">
        <is>
          <t>YA (didukung konteks)</t>
        </is>
      </c>
    </row>
    <row r="1414">
      <c r="A1414" t="n">
        <v>120</v>
      </c>
      <c r="B1414" t="inlineStr">
        <is>
          <t>A</t>
        </is>
      </c>
      <c r="C1414" t="n">
        <v>5</v>
      </c>
      <c r="D1414" s="3" t="inlineStr">
        <is>
          <t>Dalam soal ini, batasan adalah kapasitas masing-masing lift dan total berat berang-berang yang tidak dapat terangkut dalam satu kali perjalanan.</t>
        </is>
      </c>
      <c r="E1414" t="inlineStr">
        <is>
          <t>YA (didukung konteks)</t>
        </is>
      </c>
    </row>
    <row r="1415">
      <c r="A1415" t="n">
        <v>120</v>
      </c>
      <c r="B1415" t="inlineStr">
        <is>
          <t>A</t>
        </is>
      </c>
      <c r="C1415" t="n">
        <v>6</v>
      </c>
      <c r="D1415" s="3" t="inlineStr">
        <is>
          <t>Dengan menggunakan kerangka PGBD (Problem Gambaran Berbasis Data), kita dapat mengidentifikasi goal, batasan, dan data.</t>
        </is>
      </c>
      <c r="E1415" t="inlineStr">
        <is>
          <t>YA (didukung konteks)</t>
        </is>
      </c>
    </row>
    <row r="1416">
      <c r="A1416" t="n">
        <v>120</v>
      </c>
      <c r="B1416" t="inlineStr">
        <is>
          <t>B</t>
        </is>
      </c>
      <c r="C1416" t="n">
        <v>1</v>
      </c>
      <c r="D1416" s="3" t="inlineStr">
        <is>
          <t xml:space="preserve">Dalam soal Anda, data adalah informasi tentang berang-berang dan kapasitas lift, sedangkan batasan adalah keterbatasan atau kondisi yang mempengaruhi cara Anda menyelesaikan masalah, seperti tidak dapat mengangkat lebih </t>
        </is>
      </c>
      <c r="E1416" t="inlineStr">
        <is>
          <t>YA (didukung konteks)</t>
        </is>
      </c>
    </row>
    <row r="1417">
      <c r="A1417" t="n">
        <v>120</v>
      </c>
      <c r="B1417" t="inlineStr">
        <is>
          <t>B</t>
        </is>
      </c>
      <c r="C1417" t="n">
        <v>2</v>
      </c>
      <c r="D1417" s="3" t="inlineStr">
        <is>
          <t>Dalam kerangka Problem-Based Game Development (PGBD), "batasan" (constraint) memiliki arti sebagai batas-batas atau keterbatasan yang ditemui oleh pemain dalam mencapai goal.</t>
        </is>
      </c>
      <c r="E1417" t="inlineStr">
        <is>
          <t>YA (didukung konteks)</t>
        </is>
      </c>
    </row>
    <row r="1418">
      <c r="A1418" t="n">
        <v>120</v>
      </c>
      <c r="B1418" t="inlineStr">
        <is>
          <t>B</t>
        </is>
      </c>
      <c r="C1418" t="n">
        <v>3</v>
      </c>
      <c r="D1418" s="3" t="inlineStr">
        <is>
          <t>Dalam konteks soal lift Anda, "data" (information) dapat diartikan sebagai informasi tentang keberadaan 9 berang-berang dan kapasitas masing-masing lift sebesar 30 kg.</t>
        </is>
      </c>
      <c r="E1418" t="inlineStr">
        <is>
          <t>YA (didukung konteks)</t>
        </is>
      </c>
    </row>
    <row r="1419">
      <c r="A1419" t="n">
        <v>120</v>
      </c>
      <c r="B1419" t="inlineStr">
        <is>
          <t>B</t>
        </is>
      </c>
      <c r="C1419" t="n">
        <v>4</v>
      </c>
      <c r="D1419" s="3" t="inlineStr">
        <is>
          <t>* Data adalah informasi yang diperoleh tentang situasi, sementara batasan adalah keterbatasan atau kondisi yang mempengaruhi cara pemain menyelesaikan masalah.</t>
        </is>
      </c>
      <c r="E1419" t="inlineStr">
        <is>
          <t>YA (didukung konteks)</t>
        </is>
      </c>
    </row>
    <row r="1420">
      <c r="A1420" t="n">
        <v>120</v>
      </c>
      <c r="B1420" t="inlineStr">
        <is>
          <t>B</t>
        </is>
      </c>
      <c r="C1420" t="n">
        <v>5</v>
      </c>
      <c r="D1420" s="3" t="inlineStr">
        <is>
          <t>Sementara itu, "batasan" (constraint) dapat diartikan sebagai keterbatasan atau kondisi yang mempengaruhi cara Anda menyelesaikan masalah, seperti:</t>
        </is>
      </c>
      <c r="E1420" t="inlineStr">
        <is>
          <t>YA (didukung konteks)</t>
        </is>
      </c>
    </row>
    <row r="1421">
      <c r="A1421" t="n">
        <v>120</v>
      </c>
      <c r="B1421" t="inlineStr">
        <is>
          <t>B</t>
        </is>
      </c>
      <c r="C1421" t="n">
        <v>6</v>
      </c>
      <c r="D1421" s="3" t="inlineStr">
        <is>
          <t>Batasan ini dapat berupa kondisi, aturan, atau situasi yang mempengaruhi cara pemain menyelesaikan masalah.</t>
        </is>
      </c>
      <c r="E1421" t="inlineStr">
        <is>
          <t>YA (didukung konteks)</t>
        </is>
      </c>
    </row>
    <row r="1422">
      <c r="A1422" t="n">
        <v>121</v>
      </c>
      <c r="B1422" t="inlineStr">
        <is>
          <t>A</t>
        </is>
      </c>
      <c r="C1422" t="n">
        <v>1</v>
      </c>
      <c r="D1422" s="3" t="inlineStr">
        <is>
          <t>Cara memilih level abstraksi yang tepat dapat dilakukan dengan mengidentifikasi empat komponen utama, yaitu: (1) apa problemnya (root cause), (2) apa goal-nya, (3) apa batasannya (constraint), dan (4) apa datanya (inform</t>
        </is>
      </c>
      <c r="E1422" t="inlineStr">
        <is>
          <t>YA (didukung konteks)</t>
        </is>
      </c>
    </row>
    <row r="1423">
      <c r="A1423" t="n">
        <v>121</v>
      </c>
      <c r="B1423" t="inlineStr">
        <is>
          <t>A</t>
        </is>
      </c>
      <c r="C1423" t="n">
        <v>2</v>
      </c>
      <c r="D1423" s="3" t="inlineStr">
        <is>
          <t>Kita dapat mengabaikan detail teknis dan fokus pada analisis root cause dari problemnya, yaitu scheduled job/batch process yang berjalan setiap Senin pagi dan mengonsumsi banyak resource server.</t>
        </is>
      </c>
      <c r="E1423" t="inlineStr">
        <is>
          <t>YA (didukung konteks)</t>
        </is>
      </c>
    </row>
    <row r="1424">
      <c r="A1424" t="n">
        <v>121</v>
      </c>
      <c r="B1424" t="inlineStr">
        <is>
          <t>A</t>
        </is>
      </c>
      <c r="C1424" t="n">
        <v>3</v>
      </c>
      <c r="D1424" s="3" t="inlineStr">
        <is>
          <t>Contoh konkret, dalam masalah "Website saya lambat setiap hari Senin pagi", level abstraksi yang relevan adalah level menengah, yakni level yang memfokuskan pada aspek sistematis dan logika.</t>
        </is>
      </c>
      <c r="E1424" t="inlineStr">
        <is>
          <t>YA (didukung konteks)</t>
        </is>
      </c>
    </row>
    <row r="1425">
      <c r="A1425" t="n">
        <v>121</v>
      </c>
      <c r="B1425" t="inlineStr">
        <is>
          <t>A</t>
        </is>
      </c>
      <c r="C1425" t="n">
        <v>4</v>
      </c>
      <c r="D1425" s="3" t="inlineStr">
        <is>
          <t>Level rendah, seperti detail hardware, lebih berfokus pada aspek fisik dan teknis, sedangkan level tinggi, seperti konsep bisnis, lebih berfokus pada aspek strategis dan konseptual.</t>
        </is>
      </c>
      <c r="E1425" t="inlineStr">
        <is>
          <t>YA (didukung konteks)</t>
        </is>
      </c>
    </row>
    <row r="1426">
      <c r="A1426" t="n">
        <v>121</v>
      </c>
      <c r="B1426" t="inlineStr">
        <is>
          <t>A</t>
        </is>
      </c>
      <c r="C1426" t="n">
        <v>5</v>
      </c>
      <c r="D1426" s="3" t="inlineStr">
        <is>
          <t>Dalam konteks CT, level abstraksi yang relevan adalah level menengah, yakni level yang memfokuskan pada aspek logika dan sistematis.</t>
        </is>
      </c>
      <c r="E1426" t="inlineStr">
        <is>
          <t>YA (didukung konteks)</t>
        </is>
      </c>
    </row>
    <row r="1427">
      <c r="A1427" t="n">
        <v>121</v>
      </c>
      <c r="B1427" t="inlineStr">
        <is>
          <t>A</t>
        </is>
      </c>
      <c r="C1427" t="n">
        <v>6</v>
      </c>
      <c r="D1427" s="3" t="inlineStr">
        <is>
          <t>Dengan memahami level abstraksi, kita dapat mengurangi distraction dan fokus pada hal-hal esensial sebelum merancang solusi.</t>
        </is>
      </c>
      <c r="E1427" t="inlineStr">
        <is>
          <t>YA (didukung konteks)</t>
        </is>
      </c>
    </row>
    <row r="1428">
      <c r="A1428" t="n">
        <v>121</v>
      </c>
      <c r="B1428" t="inlineStr">
        <is>
          <t>B</t>
        </is>
      </c>
      <c r="C1428" t="n">
        <v>1</v>
      </c>
      <c r="D1428" s="3" t="inlineStr">
        <is>
          <t>Contohnya, jika Anda sedang membuat aplikasi untuk perusahaan, Anda mungkin perlu memahami bagaimana bisnis bekerja, seperti analisis data, strategi marketing, dan manajemen kantor.</t>
        </is>
      </c>
      <c r="E1428" t="inlineStr">
        <is>
          <t>YA (didukung konteks)</t>
        </is>
      </c>
    </row>
    <row r="1429">
      <c r="A1429" t="n">
        <v>121</v>
      </c>
      <c r="B1429" t="inlineStr">
        <is>
          <t>B</t>
        </is>
      </c>
      <c r="C1429" t="n">
        <v>2</v>
      </c>
      <c r="D1429" s="3" t="inlineStr">
        <is>
          <t>**Level rendah (detail hardware)**: Pada level ini, Anda memfokuskan pada detail-detail hardware, seperti struktur CPU, arsitektur memory, atau konfigurasi network.</t>
        </is>
      </c>
      <c r="E1429" t="inlineStr">
        <is>
          <t>YA (didukung konteks)</t>
        </is>
      </c>
    </row>
    <row r="1430">
      <c r="A1430" t="n">
        <v>121</v>
      </c>
      <c r="B1430" t="inlineStr">
        <is>
          <t>B</t>
        </is>
      </c>
      <c r="C1430" t="n">
        <v>3</v>
      </c>
      <c r="D1430" s="3" t="inlineStr">
        <is>
          <t>Sekarang, jika Anda bertanya tentang level abstraksi mana yang relevan dalam CT, saya harus menjawab bahwa level abstraksi bergantung pada tujuan dan konteks Anda.</t>
        </is>
      </c>
      <c r="E1430" t="inlineStr">
        <is>
          <t>YA (didukung konteks)</t>
        </is>
      </c>
    </row>
    <row r="1431">
      <c r="A1431" t="n">
        <v>121</v>
      </c>
      <c r="B1431" t="inlineStr">
        <is>
          <t>B</t>
        </is>
      </c>
      <c r="C1431" t="n">
        <v>4</v>
      </c>
      <c r="D1431" s="3" t="inlineStr">
        <is>
          <t>Contohnya, jika Anda sedang membuat aplikasi, Anda mungkin perlu memahami konsep programming, seperti loop, variabel, dan conditional statements.</t>
        </is>
      </c>
      <c r="E1431" t="inlineStr">
        <is>
          <t>YA (didukung konteks)</t>
        </is>
      </c>
    </row>
    <row r="1432">
      <c r="A1432" t="n">
        <v>121</v>
      </c>
      <c r="B1432" t="inlineStr">
        <is>
          <t>B</t>
        </is>
      </c>
      <c r="C1432" t="n">
        <v>5</v>
      </c>
      <c r="D1432" s="3" t="inlineStr">
        <is>
          <t>Dalam konteks Computer Science (CT), abstraksi digunakan untuk mengurangi kompleksitas dan meningkatkan keefektifan dalam menyelesaikan masalah.</t>
        </is>
      </c>
      <c r="E1432" t="inlineStr">
        <is>
          <t>YA (didukung konteks)</t>
        </is>
      </c>
    </row>
    <row r="1433">
      <c r="A1433" t="n">
        <v>121</v>
      </c>
      <c r="B1433" t="inlineStr">
        <is>
          <t>B</t>
        </is>
      </c>
      <c r="C1433" t="n">
        <v>6</v>
      </c>
      <c r="D1433" s="3" t="inlineStr">
        <is>
          <t>**Level tinggi (konsep bisnis)**: Pada level ini, Anda memfokuskan pada konsep-konsep bisnis atau pendekatan yang digunakan dalam industri.</t>
        </is>
      </c>
      <c r="E1433" t="inlineStr">
        <is>
          <t>YA (didukung konteks)</t>
        </is>
      </c>
    </row>
    <row r="1434">
      <c r="A1434" t="n">
        <v>122</v>
      </c>
      <c r="B1434" t="inlineStr">
        <is>
          <t>A</t>
        </is>
      </c>
      <c r="C1434" t="n">
        <v>1</v>
      </c>
      <c r="D1434" s="3" t="inlineStr">
        <is>
          <t>Barisan 1, 1, 2, 3, 5, 8, 13, 21 adalah barisan Fibonacci, yang dikenal dengan prinsip bahwa setiap suku berisi jumlah dua suku sebelumnya.</t>
        </is>
      </c>
      <c r="E1434" t="inlineStr">
        <is>
          <t>YA (didukung konteks)</t>
        </is>
      </c>
    </row>
    <row r="1435">
      <c r="A1435" t="n">
        <v>122</v>
      </c>
      <c r="B1435" t="inlineStr">
        <is>
          <t>A</t>
        </is>
      </c>
      <c r="C1435" t="n">
        <v>2</v>
      </c>
      <c r="D1435" s="3" t="inlineStr">
        <is>
          <t>Rumus ini dapat membantu Anda untuk menghitung suku ke-n pada barisan Fibonacci tanpa perlu menghitung satu per satu.</t>
        </is>
      </c>
      <c r="E1435" t="inlineStr">
        <is>
          <t>YA (didukung konteks)</t>
        </is>
      </c>
    </row>
    <row r="1436">
      <c r="A1436" t="n">
        <v>122</v>
      </c>
      <c r="B1436" t="inlineStr">
        <is>
          <t>A</t>
        </is>
      </c>
      <c r="C1436" t="n">
        <v>3</v>
      </c>
      <c r="D1436" s="3" t="inlineStr">
        <is>
          <t>Untuk identifikasi pola dan membuat rumus rekursif, kita dapat menggunakan contoh konkrit seperti berikut:</t>
        </is>
      </c>
      <c r="E1436" t="inlineStr">
        <is>
          <t>YA (didukung konteks)</t>
        </is>
      </c>
    </row>
    <row r="1437">
      <c r="A1437" t="n">
        <v>122</v>
      </c>
      <c r="B1437" t="inlineStr">
        <is>
          <t>A</t>
        </is>
      </c>
      <c r="C1437" t="n">
        <v>4</v>
      </c>
      <c r="D1437" s="3" t="inlineStr">
        <is>
          <t>Pada kenyataannya, saya ingin membantu Anda memahami pola dan rumus rekursif pada barisan Fibonacci.</t>
        </is>
      </c>
      <c r="E1437" t="inlineStr">
        <is>
          <t>YA (didukung konteks)</t>
        </is>
      </c>
    </row>
    <row r="1438">
      <c r="A1438" t="n">
        <v>122</v>
      </c>
      <c r="B1438" t="inlineStr">
        <is>
          <t>A</t>
        </is>
      </c>
      <c r="C1438" t="n">
        <v>5</v>
      </c>
      <c r="D1438" s="3" t="inlineStr">
        <is>
          <t>Dalam materi referensi, kita juga dapat menggunakan istilah teknis seperti "rekursif" dan "pola".</t>
        </is>
      </c>
      <c r="E1438" t="inlineStr">
        <is>
          <t>YA (didukung konteks)</t>
        </is>
      </c>
    </row>
    <row r="1439">
      <c r="A1439" t="n">
        <v>122</v>
      </c>
      <c r="B1439" t="inlineStr">
        <is>
          <t>A</t>
        </is>
      </c>
      <c r="C1439" t="n">
        <v>6</v>
      </c>
      <c r="D1439" s="3" t="inlineStr">
        <is>
          <t>Dengan demikian, rumus rekursif untuk barisan Fibonacci dapat dituliskan sebagai berikut:</t>
        </is>
      </c>
      <c r="E1439" t="inlineStr">
        <is>
          <t>YA (didukung konteks)</t>
        </is>
      </c>
    </row>
    <row r="1440">
      <c r="A1440" t="n">
        <v>122</v>
      </c>
      <c r="B1440" t="inlineStr">
        <is>
          <t>B</t>
        </is>
      </c>
      <c r="C1440" t="n">
        <v>1</v>
      </c>
      <c r="D1440" s="3" t="inlineStr">
        <is>
          <t>Pola barisan yang diberikan adalah pola Fibonacci, yaitu suatu pola dimana setiap suku berikutnya adalah penjumlahan dari dua suku sebelumnya.</t>
        </is>
      </c>
      <c r="E1440" t="inlineStr">
        <is>
          <t>YA (didukung konteks)</t>
        </is>
      </c>
    </row>
    <row r="1441">
      <c r="A1441" t="n">
        <v>122</v>
      </c>
      <c r="B1441" t="inlineStr">
        <is>
          <t>B</t>
        </is>
      </c>
      <c r="C1441" t="n">
        <v>2</v>
      </c>
      <c r="D1441" s="3" t="inlineStr">
        <is>
          <t>Di mana F(n) adalah suku ke-n, dan F(n-1) serta F(n-2) adalah suku-suku sebelumnya.</t>
        </is>
      </c>
      <c r="E1441" t="inlineStr">
        <is>
          <t>YA (didukung konteks)</t>
        </is>
      </c>
    </row>
    <row r="1442">
      <c r="A1442" t="n">
        <v>122</v>
      </c>
      <c r="B1442" t="inlineStr">
        <is>
          <t>B</t>
        </is>
      </c>
      <c r="C1442" t="n">
        <v>3</v>
      </c>
      <c r="D1442" s="3" t="inlineStr">
        <is>
          <t>Untuk mendapatkan suku ke-10, kita dapat menggunakan rumus rekursif tersebut.</t>
        </is>
      </c>
      <c r="E1442" t="inlineStr">
        <is>
          <t>YA (didukung konteks)</t>
        </is>
      </c>
    </row>
    <row r="1443">
      <c r="A1443" t="n">
        <v>122</v>
      </c>
      <c r="B1443" t="inlineStr">
        <is>
          <t>B</t>
        </is>
      </c>
      <c r="C1443" t="n">
        <v>4</v>
      </c>
      <c r="D1443" s="3" t="inlineStr">
        <is>
          <t>Rumus rekursif untuk pola Fibonacci adalah sebagai berikut:</t>
        </is>
      </c>
      <c r="E1443" t="inlineStr">
        <is>
          <t>YA (didukung konteks)</t>
        </is>
      </c>
    </row>
    <row r="1444">
      <c r="A1444" t="n">
        <v>122</v>
      </c>
      <c r="B1444" t="inlineStr">
        <is>
          <t>B</t>
        </is>
      </c>
      <c r="C1444" t="n">
        <v>5</v>
      </c>
      <c r="D1444" s="3" t="inlineStr">
        <is>
          <t>Kita mulai dari suku awal yaitu F(0) = 1, kemudian:</t>
        </is>
      </c>
      <c r="E1444" t="inlineStr">
        <is>
          <t>YA (didukung konteks)</t>
        </is>
      </c>
    </row>
    <row r="1445">
      <c r="A1445" t="n">
        <v>122</v>
      </c>
      <c r="B1445" t="inlineStr">
        <is>
          <t>B</t>
        </is>
      </c>
      <c r="C1445" t="n">
        <v>6</v>
      </c>
      <c r="D1445" s="3" t="inlineStr">
        <is>
          <t>Jadi, suku ke-10 dari pola Fibonacci adalah 144.</t>
        </is>
      </c>
      <c r="E1445" t="inlineStr">
        <is>
          <t>TIDAK (tidak didukung)</t>
        </is>
      </c>
    </row>
    <row r="1446">
      <c r="A1446" t="n">
        <v>123</v>
      </c>
      <c r="B1446" t="inlineStr">
        <is>
          <t>A</t>
        </is>
      </c>
      <c r="C1446" t="n">
        <v>1</v>
      </c>
      <c r="D1446" s="3" t="inlineStr">
        <is>
          <t>Kita dapat mengenali pola ini dengan menggunakan analisis statistik sederhana, seperti membuat grafik garis untuk setiap hari dan melihat apakah ada perbedaan signifikan antara hari-hari.</t>
        </is>
      </c>
      <c r="E1446" t="inlineStr">
        <is>
          <t>TIDAK (tidak didukung)</t>
        </is>
      </c>
    </row>
    <row r="1447">
      <c r="A1447" t="n">
        <v>123</v>
      </c>
      <c r="B1447" t="inlineStr">
        <is>
          <t>A</t>
        </is>
      </c>
      <c r="C1447" t="n">
        <v>2</v>
      </c>
      <c r="D1447" s="3" t="inlineStr">
        <is>
          <t>Dengan demikian, kita dapat menyatakannya sebagai "pola" secara formal dalam CT dengan menggunakan konsep trend dan seasonal pattern.</t>
        </is>
      </c>
      <c r="E1447" t="inlineStr">
        <is>
          <t>YA (didukung konteks)</t>
        </is>
      </c>
    </row>
    <row r="1448">
      <c r="A1448" t="n">
        <v>123</v>
      </c>
      <c r="B1448" t="inlineStr">
        <is>
          <t>A</t>
        </is>
      </c>
      <c r="C1448" t="n">
        <v>3</v>
      </c>
      <c r="D1448" s="3" t="inlineStr">
        <is>
          <t>Dalam hal ini, kita lihat bahwa Sabtu dan Minggu memiliki jumlah pengunjung yang lebih tinggi dibandingkan dengan hari-hari lainnya.</t>
        </is>
      </c>
      <c r="E1448" t="inlineStr">
        <is>
          <t>TIDAK (tidak didukung)</t>
        </is>
      </c>
    </row>
    <row r="1449">
      <c r="A1449" t="n">
        <v>123</v>
      </c>
      <c r="B1449" t="inlineStr">
        <is>
          <t>A</t>
        </is>
      </c>
      <c r="C1449" t="n">
        <v>4</v>
      </c>
      <c r="D1449" s="3" t="inlineStr">
        <is>
          <t>Saya akan menjawab pertanyaan mahasiswa dengan menggunakan istilah teknis dan konsep CT yang telah dipelajari.</t>
        </is>
      </c>
      <c r="E1449" t="inlineStr">
        <is>
          <t>YA (didukung konteks)</t>
        </is>
      </c>
    </row>
    <row r="1450">
      <c r="A1450" t="n">
        <v>123</v>
      </c>
      <c r="B1450" t="inlineStr">
        <is>
          <t>A</t>
        </is>
      </c>
      <c r="C1450" t="n">
        <v>5</v>
      </c>
      <c r="D1450" s="3" t="inlineStr">
        <is>
          <t>Kita dapat mengatakan bahwa pola yang terjadi adalah "Akhir Pekan Trend" atau "Weekend Effect".</t>
        </is>
      </c>
      <c r="E1450" t="inlineStr">
        <is>
          <t>YA (didukung konteks)</t>
        </is>
      </c>
    </row>
    <row r="1451">
      <c r="A1451" t="n">
        <v>123</v>
      </c>
      <c r="B1451" t="inlineStr">
        <is>
          <t>A</t>
        </is>
      </c>
      <c r="C1451" t="n">
        <v>6</v>
      </c>
      <c r="D1451" s="3" t="inlineStr">
        <is>
          <t>Pola Recognition pada data pengunjung adalah tentang mengenali pola yang terjadi dalam data.</t>
        </is>
      </c>
      <c r="E1451" t="inlineStr">
        <is>
          <t>YA (didukung konteks)</t>
        </is>
      </c>
    </row>
    <row r="1452">
      <c r="A1452" t="n">
        <v>123</v>
      </c>
      <c r="B1452" t="inlineStr">
        <is>
          <t>B</t>
        </is>
      </c>
      <c r="C1452" t="n">
        <v>1</v>
      </c>
      <c r="D1452" s="3" t="inlineStr">
        <is>
          <t>Dalam contoh ini, Anda dapat menganggap "a" sebagai konstanta yang mewakili rata-rata pengunjung selama pekan dan "b" sebagai koefisien yang meningkatkan pengunjung di akhir pekan.</t>
        </is>
      </c>
      <c r="E1452" t="inlineStr">
        <is>
          <t>YA (didukung konteks)</t>
        </is>
      </c>
    </row>
    <row r="1453">
      <c r="A1453" t="n">
        <v>123</v>
      </c>
      <c r="B1453" t="inlineStr">
        <is>
          <t>B</t>
        </is>
      </c>
      <c r="C1453" t="n">
        <v>2</v>
      </c>
      <c r="D1453" s="3" t="inlineStr">
        <is>
          <t>Dalam pattern recognition, Anda dapat mengidentifikasi pola dengan melihat dan menganalisis data yang diberikan.</t>
        </is>
      </c>
      <c r="E1453" t="inlineStr">
        <is>
          <t>YA (didukung konteks)</t>
        </is>
      </c>
    </row>
    <row r="1454">
      <c r="A1454" t="n">
        <v>123</v>
      </c>
      <c r="B1454" t="inlineStr">
        <is>
          <t>B</t>
        </is>
      </c>
      <c r="C1454" t="n">
        <v>3</v>
      </c>
      <c r="D1454" s="3" t="inlineStr">
        <is>
          <t>Pola ini dapat digambarkan sebagai pola "peaks at the end of the week" atau "increasing trend at the weekend".</t>
        </is>
      </c>
      <c r="E1454" t="inlineStr">
        <is>
          <t>YA (didukung konteks)</t>
        </is>
      </c>
    </row>
    <row r="1455">
      <c r="A1455" t="n">
        <v>123</v>
      </c>
      <c r="B1455" t="inlineStr">
        <is>
          <t>B</t>
        </is>
      </c>
      <c r="C1455" t="n">
        <v>4</v>
      </c>
      <c r="D1455" s="3" t="inlineStr">
        <is>
          <t>Berdasarkan data tersebut, pola yang terlihat adalah lonjakan pengunjung di akhir pekan (Jumat-Sabtu-Minggu).</t>
        </is>
      </c>
      <c r="E1455" t="inlineStr">
        <is>
          <t>TIDAK (tidak didukung)</t>
        </is>
      </c>
    </row>
    <row r="1456">
      <c r="A1456" t="n">
        <v>123</v>
      </c>
      <c r="B1456" t="inlineStr">
        <is>
          <t>B</t>
        </is>
      </c>
      <c r="C1456" t="n">
        <v>5</v>
      </c>
      <c r="D1456" s="3" t="inlineStr">
        <is>
          <t>* Pattern: T(x) = a + bx^2, where x is the day of the week and T(x) is the number of visitors.</t>
        </is>
      </c>
      <c r="E1456" t="inlineStr">
        <is>
          <t>TIDAK (tidak didukung)</t>
        </is>
      </c>
    </row>
    <row r="1457">
      <c r="A1457" t="n">
        <v>123</v>
      </c>
      <c r="B1457" t="inlineStr">
        <is>
          <t>B</t>
        </is>
      </c>
      <c r="C1457" t="n">
        <v>6</v>
      </c>
      <c r="D1457" s="3" t="inlineStr">
        <is>
          <t>Dalam sintaks formal CT (Continuous-Time), Anda dapat menuliskannya sebagai berikut:</t>
        </is>
      </c>
      <c r="E1457" t="inlineStr">
        <is>
          <t>TIDAK (tidak didukung)</t>
        </is>
      </c>
    </row>
    <row r="1458">
      <c r="A1458" t="n">
        <v>124</v>
      </c>
      <c r="B1458" t="inlineStr">
        <is>
          <t>A</t>
        </is>
      </c>
      <c r="C1458" t="n">
        <v>1</v>
      </c>
      <c r="D1458" s="3" t="inlineStr">
        <is>
          <t>We can recognize the pattern in this algorithm by analyzing the steps: (a) sorting the numbers, (b) initializing p to 0, and (c) iterating through the pairs and checking if the difference is equal to d.</t>
        </is>
      </c>
      <c r="E1458" t="inlineStr">
        <is>
          <t>TIDAK (tidak didukung)</t>
        </is>
      </c>
    </row>
    <row r="1459">
      <c r="A1459" t="n">
        <v>124</v>
      </c>
      <c r="B1459" t="inlineStr">
        <is>
          <t>A</t>
        </is>
      </c>
      <c r="C1459" t="n">
        <v>2</v>
      </c>
      <c r="D1459" s="3" t="inlineStr">
        <is>
          <t>We're given that Pak Dengklek has a series of ducks with numbers starting from 1, and each duck gets coklat equal to its number until the total amount of coklat is exhausted.</t>
        </is>
      </c>
      <c r="E1459" t="inlineStr">
        <is>
          <t>YA (didukung konteks)</t>
        </is>
      </c>
    </row>
    <row r="1460">
      <c r="A1460" t="n">
        <v>124</v>
      </c>
      <c r="B1460" t="inlineStr">
        <is>
          <t>A</t>
        </is>
      </c>
      <c r="C1460" t="n">
        <v>3</v>
      </c>
      <c r="D1460" s="3" t="inlineStr">
        <is>
          <t>Mathematical Thinking focuses on step-by-step calculations, whereas Computational Thinking emphasizes recognizing patterns and building solutions based on those patterns.</t>
        </is>
      </c>
      <c r="E1460" t="inlineStr">
        <is>
          <t>YA (didukung konteks)</t>
        </is>
      </c>
    </row>
    <row r="1461">
      <c r="A1461" t="n">
        <v>124</v>
      </c>
      <c r="B1461" t="inlineStr">
        <is>
          <t>A</t>
        </is>
      </c>
      <c r="C1461" t="n">
        <v>4</v>
      </c>
      <c r="D1461" s="3" t="inlineStr">
        <is>
          <t>Lastly, for the Pola dalam Algoritme problem, we're given an algorithm that takes a sequence of n numbers and finds the number of pairs with a difference d.</t>
        </is>
      </c>
      <c r="E1461" t="inlineStr">
        <is>
          <t>TIDAK (tidak didukung)</t>
        </is>
      </c>
    </row>
    <row r="1462">
      <c r="A1462" t="n">
        <v>124</v>
      </c>
      <c r="B1462" t="inlineStr">
        <is>
          <t>A</t>
        </is>
      </c>
      <c r="C1462" t="n">
        <v>5</v>
      </c>
      <c r="D1462" s="3" t="inlineStr">
        <is>
          <t>To solve this problem, we can recognize the pattern in the sequence: the cumulative sum of the first n ducks is given by the formula n(n+1)/2.</t>
        </is>
      </c>
      <c r="E1462" t="inlineStr">
        <is>
          <t>YA (didukung konteks)</t>
        </is>
      </c>
    </row>
    <row r="1463">
      <c r="A1463" t="n">
        <v>124</v>
      </c>
      <c r="B1463" t="inlineStr">
        <is>
          <t>A</t>
        </is>
      </c>
      <c r="C1463" t="n">
        <v>6</v>
      </c>
      <c r="D1463" s="3" t="inlineStr">
        <is>
          <t>By trial and error, we find that the 32nd duck gets the most coklat, but it would require more than the total amount available (500 coklat).</t>
        </is>
      </c>
      <c r="E1463" t="inlineStr">
        <is>
          <t>YA (didukung konteks)</t>
        </is>
      </c>
    </row>
    <row r="1464">
      <c r="A1464" t="n">
        <v>124</v>
      </c>
      <c r="B1464" t="inlineStr">
        <is>
          <t>B</t>
        </is>
      </c>
      <c r="C1464" t="n">
        <v>1</v>
      </c>
      <c r="D1464" s="3" t="inlineStr">
        <is>
          <t>Ketika Anda menggunakan modulo, Anda harus membagi total detik (247) dengan periode siklus lampu lalu lintas, kemudian mencari sisa dari hasil pembagian tersebut.</t>
        </is>
      </c>
      <c r="E1464" t="inlineStr">
        <is>
          <t>TIDAK (tidak didukung)</t>
        </is>
      </c>
    </row>
    <row r="1465">
      <c r="A1465" t="n">
        <v>124</v>
      </c>
      <c r="B1465" t="inlineStr">
        <is>
          <t>B</t>
        </is>
      </c>
      <c r="C1465" t="n">
        <v>2</v>
      </c>
      <c r="D1465" s="3" t="inlineStr">
        <is>
          <t>Bagi total detik (247) dengan periode siklus lampu lalu lintas (60): 247 ÷ 60 = 4 (hasilnya), sisanya adalah: 247 - (4 × 60) = 7</t>
        </is>
      </c>
      <c r="E1465" t="inlineStr">
        <is>
          <t>YA (didukung konteks)</t>
        </is>
      </c>
    </row>
    <row r="1466">
      <c r="A1466" t="n">
        <v>124</v>
      </c>
      <c r="B1466" t="inlineStr">
        <is>
          <t>B</t>
        </is>
      </c>
      <c r="C1466" t="n">
        <v>3</v>
      </c>
      <c r="D1466" s="3" t="inlineStr">
        <is>
          <t>Maka, Anda perlu mengetahui bagaimana lampu berwarna pada detik ke-247 jika awal merah pada detik ke-0.</t>
        </is>
      </c>
      <c r="E1466" t="inlineStr">
        <is>
          <t>TIDAK (tidak didukung)</t>
        </is>
      </c>
    </row>
    <row r="1467">
      <c r="A1467" t="n">
        <v>124</v>
      </c>
      <c r="B1467" t="inlineStr">
        <is>
          <t>B</t>
        </is>
      </c>
      <c r="C1467" t="n">
        <v>4</v>
      </c>
      <c r="D1467" s="3" t="inlineStr">
        <is>
          <t>Karena sisanya lebih kecil dari 30 (periode merah), maka Anda tidak perlu melakukan proses modulo lagi.</t>
        </is>
      </c>
      <c r="E1467" t="inlineStr">
        <is>
          <t>YA (didukung konteks)</t>
        </is>
      </c>
    </row>
    <row r="1468">
      <c r="A1468" t="n">
        <v>124</v>
      </c>
      <c r="B1468" t="inlineStr">
        <is>
          <t>B</t>
        </is>
      </c>
      <c r="C1468" t="n">
        <v>5</v>
      </c>
      <c r="D1468" s="3" t="inlineStr">
        <is>
          <t>Periode siklus lampu lalu lintas adalah: 30 (merah) + 5 (kuning) + 25 (hijau) = 60 detik.</t>
        </is>
      </c>
      <c r="E1468" t="inlineStr">
        <is>
          <t>TIDAK (tidak didukung)</t>
        </is>
      </c>
    </row>
    <row r="1469">
      <c r="A1469" t="n">
        <v>124</v>
      </c>
      <c r="B1469" t="inlineStr">
        <is>
          <t>B</t>
        </is>
      </c>
      <c r="C1469" t="n">
        <v>6</v>
      </c>
      <c r="D1469" s="3" t="inlineStr">
        <is>
          <t>Jadi, pada detik ke-247, lampu lalu lintas berwarna merah.</t>
        </is>
      </c>
      <c r="E1469" t="inlineStr">
        <is>
          <t>TIDAK (tidak didukung)</t>
        </is>
      </c>
    </row>
    <row r="1470">
      <c r="A1470" t="n">
        <v>125</v>
      </c>
      <c r="B1470" t="inlineStr">
        <is>
          <t>A</t>
        </is>
      </c>
      <c r="C1470" t="n">
        <v>1</v>
      </c>
      <c r="D1470" s="3" t="inlineStr">
        <is>
          <t>Dengan demikian, dekomposisi membantu kita dalam mengurai masalah menjadi beberapa bagian yang lebih kecil dan mudah dikerjakan, sehingga kita dapat mencari solusi yang tepat.</t>
        </is>
      </c>
      <c r="E1470" t="inlineStr">
        <is>
          <t>YA (didukung konteks)</t>
        </is>
      </c>
    </row>
    <row r="1471">
      <c r="A1471" t="n">
        <v>125</v>
      </c>
      <c r="B1471" t="inlineStr">
        <is>
          <t>A</t>
        </is>
      </c>
      <c r="C1471" t="n">
        <v>2</v>
      </c>
      <c r="D1471" s="3" t="inlineStr">
        <is>
          <t>Dalam materi referensi, kita telah membahas tentang dekomposisi (divide and conquer) sebagai salah satu konsep penting dalam computational thinking.</t>
        </is>
      </c>
      <c r="E1471" t="inlineStr">
        <is>
          <t>YA (didukung konteks)</t>
        </is>
      </c>
    </row>
    <row r="1472">
      <c r="A1472" t="n">
        <v>125</v>
      </c>
      <c r="B1472" t="inlineStr">
        <is>
          <t>A</t>
        </is>
      </c>
      <c r="C1472" t="n">
        <v>3</v>
      </c>
      <c r="D1472" s="3" t="inlineStr">
        <is>
          <t>Dengan demikian, dekomposisi membantu kita dalam mengurai masalah menjadi beberapa bagian yang lebih kecil dan mudah dikerjakan.</t>
        </is>
      </c>
      <c r="E1472" t="inlineStr">
        <is>
          <t>YA (didukung konteks)</t>
        </is>
      </c>
    </row>
    <row r="1473">
      <c r="A1473" t="n">
        <v>125</v>
      </c>
      <c r="B1473" t="inlineStr">
        <is>
          <t>A</t>
        </is>
      </c>
      <c r="C1473" t="n">
        <v>4</v>
      </c>
      <c r="D1473" s="3" t="inlineStr">
        <is>
          <t>Kemudian, kita cari terbesar di setiap kelompok (7 operasi paralel) dan bandingkan 7 hasil untuk menemukan terbesar global.</t>
        </is>
      </c>
      <c r="E1473" t="inlineStr">
        <is>
          <t>YA (didukung konteks)</t>
        </is>
      </c>
    </row>
    <row r="1474">
      <c r="A1474" t="n">
        <v>125</v>
      </c>
      <c r="B1474" t="inlineStr">
        <is>
          <t>A</t>
        </is>
      </c>
      <c r="C1474" t="n">
        <v>5</v>
      </c>
      <c r="D1474" s="3" t="inlineStr">
        <is>
          <t>Dalam pseudocode di atas, kita membagi 49 bilangan menjadi 7 kelompok dan kemudian mencari terbesar di setiap kelompok.</t>
        </is>
      </c>
      <c r="E1474" t="inlineStr">
        <is>
          <t>YA (didukung konteks)</t>
        </is>
      </c>
    </row>
    <row r="1475">
      <c r="A1475" t="n">
        <v>125</v>
      </c>
      <c r="B1475" t="inlineStr">
        <is>
          <t>A</t>
        </is>
      </c>
      <c r="C1475" t="n">
        <v>6</v>
      </c>
      <c r="D1475" s="3" t="inlineStr">
        <is>
          <t>Dekomposisi adalah strategi untuk mengurai masalah menjadi beberapa bagian yang lebih kecil dan mudah dikerjakan.</t>
        </is>
      </c>
      <c r="E1475" t="inlineStr">
        <is>
          <t>YA (didukung konteks)</t>
        </is>
      </c>
    </row>
    <row r="1476">
      <c r="A1476" t="n">
        <v>125</v>
      </c>
      <c r="B1476" t="inlineStr">
        <is>
          <t>B</t>
        </is>
      </c>
      <c r="C1476" t="n">
        <v>1</v>
      </c>
      <c r="D1476" s="3" t="inlineStr">
        <is>
          <t>Jadi, Anda tidak perlu menghitung pangkat 7 sampai 2025, tetapi hanya perlu memprediksi digit terakhir berdasarkan pola yang terjadi.</t>
        </is>
      </c>
      <c r="E1476" t="inlineStr">
        <is>
          <t>YA (didukung konteks)</t>
        </is>
      </c>
    </row>
    <row r="1477">
      <c r="A1477" t="n">
        <v>125</v>
      </c>
      <c r="B1477" t="inlineStr">
        <is>
          <t>B</t>
        </is>
      </c>
      <c r="C1477" t="n">
        <v>2</v>
      </c>
      <c r="D1477" s="3" t="inlineStr">
        <is>
          <t>Setelah Anda mencatat digit terakhir dari pangkat 7 pada beberapa nilai, Anda dapat melihat bahwa ada pola yang terjadi.</t>
        </is>
      </c>
      <c r="E1477" t="inlineStr">
        <is>
          <t>YA (didukung konteks)</t>
        </is>
      </c>
    </row>
    <row r="1478">
      <c r="A1478" t="n">
        <v>125</v>
      </c>
      <c r="B1478" t="inlineStr">
        <is>
          <t>B</t>
        </is>
      </c>
      <c r="C1478" t="n">
        <v>3</v>
      </c>
      <c r="D1478" s="3" t="inlineStr">
        <is>
          <t>Karena 2025 dapat dibagi dengan 4 (4 × 502,5), maka Anda dapat menggunakan nilai ke-1 dari siklus: 7.</t>
        </is>
      </c>
      <c r="E1478" t="inlineStr">
        <is>
          <t>YA (didukung konteks)</t>
        </is>
      </c>
    </row>
    <row r="1479">
      <c r="A1479" t="n">
        <v>125</v>
      </c>
      <c r="B1479" t="inlineStr">
        <is>
          <t>B</t>
        </is>
      </c>
      <c r="C1479" t="n">
        <v>4</v>
      </c>
      <c r="D1479" s="3" t="inlineStr">
        <is>
          <t>Kesempatan untuk mengapplikasikan konsep pattern recognition!</t>
        </is>
      </c>
      <c r="E1479" t="inlineStr">
        <is>
          <t>YA (didukung konteks)</t>
        </is>
      </c>
    </row>
    <row r="1480">
      <c r="A1480" t="n">
        <v>125</v>
      </c>
      <c r="B1480" t="inlineStr">
        <is>
          <t>B</t>
        </is>
      </c>
      <c r="C1480" t="n">
        <v>5</v>
      </c>
      <c r="D1480" s="3" t="inlineStr">
        <is>
          <t>Pola tersebut adalah siklus 4, yaitu: 7, 9, 3, 1.</t>
        </is>
      </c>
      <c r="E1480" t="inlineStr">
        <is>
          <t>YA (didukung konteks)</t>
        </is>
      </c>
    </row>
    <row r="1481">
      <c r="A1481" t="n">
        <v>126</v>
      </c>
      <c r="B1481" t="inlineStr">
        <is>
          <t>A</t>
        </is>
      </c>
      <c r="C1481" t="n">
        <v>1</v>
      </c>
      <c r="D1481" s="3" t="inlineStr">
        <is>
          <t>Kesimpulan: Dalam pseudocode di atas, kita menggunakan perulangan untuk menghitung jumlah pembaginya dan kemudian membandingkan dengan bilangan n.</t>
        </is>
      </c>
      <c r="E1481" t="inlineStr">
        <is>
          <t>YA (didukung konteks)</t>
        </is>
      </c>
    </row>
    <row r="1482">
      <c r="A1482" t="n">
        <v>126</v>
      </c>
      <c r="B1482" t="inlineStr">
        <is>
          <t>A</t>
        </is>
      </c>
      <c r="C1482" t="n">
        <v>2</v>
      </c>
      <c r="D1482" s="3" t="inlineStr">
        <is>
          <t>Berdasarkan konsep bilangan sempurna (perfect number), saya akan menjelaskan langkah-langkah untuk membuat pseudocode.</t>
        </is>
      </c>
      <c r="E1482" t="inlineStr">
        <is>
          <t>YA (didukung konteks)</t>
        </is>
      </c>
    </row>
    <row r="1483">
      <c r="A1483" t="n">
        <v>126</v>
      </c>
      <c r="B1483" t="inlineStr">
        <is>
          <t>A</t>
        </is>
      </c>
      <c r="C1483" t="n">
        <v>3</v>
      </c>
      <c r="D1483" s="3" t="inlineStr">
        <is>
          <t>Sebuah bilangan sempurna adalah bilangan yang jumlah pembaginya (selain dirinya) sama dengan bilangan itu sendiri.</t>
        </is>
      </c>
      <c r="E1483" t="inlineStr">
        <is>
          <t>YA (didukung konteks)</t>
        </is>
      </c>
    </row>
    <row r="1484">
      <c r="A1484" t="n">
        <v>126</v>
      </c>
      <c r="B1484" t="inlineStr">
        <is>
          <t>A</t>
        </is>
      </c>
      <c r="C1484" t="n">
        <v>4</v>
      </c>
      <c r="D1484" s="3" t="inlineStr">
        <is>
          <t>Dengan demikian, pseudocode untuk mengecek apakah sebuah bilangan adalah bilangan sempurna adalah sebagai berikut:</t>
        </is>
      </c>
      <c r="E1484" t="inlineStr">
        <is>
          <t>YA (didukung konteks)</t>
        </is>
      </c>
    </row>
    <row r="1485">
      <c r="A1485" t="n">
        <v>126</v>
      </c>
      <c r="B1485" t="inlineStr">
        <is>
          <t>A</t>
        </is>
      </c>
      <c r="C1485" t="n">
        <v>5</v>
      </c>
      <c r="D1485" s="3" t="inlineStr">
        <is>
          <t>Langkah berikutnya, kita perlu menghitung jumlah pembaginya (selain dirinya) dan membandingkan dengan bilangan n.</t>
        </is>
      </c>
      <c r="E1485" t="inlineStr">
        <is>
          <t>YA (didukung konteks)</t>
        </is>
      </c>
    </row>
    <row r="1486">
      <c r="A1486" t="n">
        <v>126</v>
      </c>
      <c r="B1486" t="inlineStr">
        <is>
          <t>A</t>
        </is>
      </c>
      <c r="C1486" t="n">
        <v>6</v>
      </c>
      <c r="D1486" s="3" t="inlineStr">
        <is>
          <t>Saya akan menggunakan variabel `sum` untuk menghitung jumlah pembaginya.</t>
        </is>
      </c>
      <c r="E1486" t="inlineStr">
        <is>
          <t>YA (didukung konteks)</t>
        </is>
      </c>
    </row>
    <row r="1487">
      <c r="A1487" t="n">
        <v>126</v>
      </c>
      <c r="B1487" t="inlineStr">
        <is>
          <t>B</t>
        </is>
      </c>
      <c r="C1487" t="n">
        <v>1</v>
      </c>
      <c r="D1487" s="3" t="inlineStr">
        <is>
          <t>Untuk setiap pembagian, jika pembagian tersebut bukan nol dan tidak sama dengan `n`, tambahkan ke variable `sum`.</t>
        </is>
      </c>
      <c r="E1487" t="inlineStr">
        <is>
          <t>YA (didukung konteks)</t>
        </is>
      </c>
    </row>
    <row r="1488">
      <c r="A1488" t="n">
        <v>126</v>
      </c>
      <c r="B1488" t="inlineStr">
        <is>
          <t>B</t>
        </is>
      </c>
      <c r="C1488" t="n">
        <v>2</v>
      </c>
      <c r="D1488" s="3" t="inlineStr">
        <is>
          <t>Kita cek apakah setiap pembagian bukan `n` dan tidak sama dengan `n`, lalu tambahkan ke variable `SUM` jika iya.</t>
        </is>
      </c>
      <c r="E1488" t="inlineStr">
        <is>
          <t>YA (didukung konteks)</t>
        </is>
      </c>
    </row>
    <row r="1489">
      <c r="A1489" t="n">
        <v>126</v>
      </c>
      <c r="B1489" t="inlineStr">
        <is>
          <t>B</t>
        </is>
      </c>
      <c r="C1489" t="n">
        <v>3</v>
      </c>
      <c r="D1489" s="3" t="inlineStr">
        <is>
          <t>Untuk mengecek apakah sebuah bilangan adalah bilangan sempurna, kita dapat menggunakan algoritme berikut:</t>
        </is>
      </c>
      <c r="E1489" t="inlineStr">
        <is>
          <t>YA (didukung konteks)</t>
        </is>
      </c>
    </row>
    <row r="1490">
      <c r="A1490" t="n">
        <v>126</v>
      </c>
      <c r="B1490" t="inlineStr">
        <is>
          <t>B</t>
        </is>
      </c>
      <c r="C1490" t="n">
        <v>4</v>
      </c>
      <c r="D1490" s="3" t="inlineStr">
        <is>
          <t>Dalam pseudocode di atas, kita menggunakan loop `FOR` untuk iterasi dari pembagian 1 hingga `n-1`.</t>
        </is>
      </c>
      <c r="E1490" t="inlineStr">
        <is>
          <t>TIDAK (tidak didukung)</t>
        </is>
      </c>
    </row>
    <row r="1491">
      <c r="A1491" t="n">
        <v>126</v>
      </c>
      <c r="B1491" t="inlineStr">
        <is>
          <t>B</t>
        </is>
      </c>
      <c r="C1491" t="n">
        <v>5</v>
      </c>
      <c r="D1491" s="3" t="inlineStr">
        <is>
          <t>Deklarasikan variabel `sum` sebagai variable untuk menghitung jumlah pembagian bilangan tersebut.</t>
        </is>
      </c>
      <c r="E1491" t="inlineStr">
        <is>
          <t>YA (didukung konteks)</t>
        </is>
      </c>
    </row>
    <row r="1492">
      <c r="A1492" t="n">
        <v>126</v>
      </c>
      <c r="B1492" t="inlineStr">
        <is>
          <t>B</t>
        </is>
      </c>
      <c r="C1492" t="n">
        <v>6</v>
      </c>
      <c r="D1492" s="3" t="inlineStr">
        <is>
          <t>Akhirnya, kita cek apakah `SUM` sama dengan `n`, maka bilangan tersebut adalah bilangan sempurna.</t>
        </is>
      </c>
      <c r="E1492" t="inlineStr">
        <is>
          <t>YA (didukung konteks)</t>
        </is>
      </c>
    </row>
    <row r="1493">
      <c r="A1493" t="n">
        <v>127</v>
      </c>
      <c r="B1493" t="inlineStr">
        <is>
          <t>A</t>
        </is>
      </c>
      <c r="C1493" t="n">
        <v>1</v>
      </c>
      <c r="D1493" s="3" t="inlineStr">
        <is>
          <t>Dalam materinya, kita telah belajar bahwa percabangan adalah struktur kontrol yang memungkinkan algoritme untuk mengambil keputusan dan menjalankan blok instruksi yang berbeda bergantung pada kondisi tertentu.</t>
        </is>
      </c>
      <c r="E1493" t="inlineStr">
        <is>
          <t>YA (didukung konteks)</t>
        </is>
      </c>
    </row>
    <row r="1494">
      <c r="A1494" t="n">
        <v>127</v>
      </c>
      <c r="B1494" t="inlineStr">
        <is>
          <t>A</t>
        </is>
      </c>
      <c r="C1494" t="n">
        <v>2</v>
      </c>
      <c r="D1494" s="3" t="inlineStr">
        <is>
          <t>Kita akan membahas topik percabangan (conditionals) dan membuat pseudocode untuk konversi suhu Celsius ke Fahrenheit dan Kelvin.</t>
        </is>
      </c>
      <c r="E1494" t="inlineStr">
        <is>
          <t>YA (didukung konteks)</t>
        </is>
      </c>
    </row>
    <row r="1495">
      <c r="A1495" t="n">
        <v>127</v>
      </c>
      <c r="B1495" t="inlineStr">
        <is>
          <t>A</t>
        </is>
      </c>
      <c r="C1495" t="n">
        <v>3</v>
      </c>
      <c r="D1495" s="3" t="inlineStr">
        <is>
          <t>Dalam pseudocode di atas, kita menggunakan fungsi terpisah untuk setiap konversi (Celsius ke Fahrenheit dan Celsius ke Kelvin).</t>
        </is>
      </c>
      <c r="E1495" t="inlineStr">
        <is>
          <t>TIDAK (tidak didukung)</t>
        </is>
      </c>
    </row>
    <row r="1496">
      <c r="A1496" t="n">
        <v>127</v>
      </c>
      <c r="B1496" t="inlineStr">
        <is>
          <t>A</t>
        </is>
      </c>
      <c r="C1496" t="n">
        <v>4</v>
      </c>
      <c r="D1496" s="3" t="inlineStr">
        <is>
          <t>Namun, perlu diingat bahwa pseudocode tidak memerlukan aturan grammar (sintaks) yang ketat seperti dalam bahasa pemrograman.</t>
        </is>
      </c>
      <c r="E1496" t="inlineStr">
        <is>
          <t>YA (didukung konteks)</t>
        </is>
      </c>
    </row>
    <row r="1497">
      <c r="A1497" t="n">
        <v>127</v>
      </c>
      <c r="B1497" t="inlineStr">
        <is>
          <t>A</t>
        </is>
      </c>
      <c r="C1497" t="n">
        <v>5</v>
      </c>
      <c r="D1497" s="3" t="inlineStr">
        <is>
          <t>Jangan lupa bahwa dalam membuat pseudocode, kita perlu menggunakan istilah teknis yang ada dalam materi referensi.</t>
        </is>
      </c>
      <c r="E1497" t="inlineStr">
        <is>
          <t>YA (didukung konteks)</t>
        </is>
      </c>
    </row>
    <row r="1498">
      <c r="A1498" t="n">
        <v>127</v>
      </c>
      <c r="B1498" t="inlineStr">
        <is>
          <t>A</t>
        </is>
      </c>
      <c r="C1498" t="n">
        <v>6</v>
      </c>
      <c r="D1498" s="3" t="inlineStr">
        <is>
          <t>Saya berharap jawaban ini membantu Anda memahami konsep percabangan dan membuat pseudocode yang benar!</t>
        </is>
      </c>
      <c r="E1498" t="inlineStr">
        <is>
          <t>YA (didukung konteks)</t>
        </is>
      </c>
    </row>
    <row r="1499">
      <c r="A1499" t="n">
        <v>127</v>
      </c>
      <c r="B1499" t="inlineStr">
        <is>
          <t>B</t>
        </is>
      </c>
      <c r="C1499" t="n">
        <v>1</v>
      </c>
      <c r="D1499" s="3" t="inlineStr">
        <is>
          <t>Program utama memanggil kedua fungsi tersebut dengan input suhu Celsius, lalu menulis output hasil konversi ke Fahrenheit dan Kelvin.</t>
        </is>
      </c>
      <c r="E1499" t="inlineStr">
        <is>
          <t>YA (didukung konteks)</t>
        </is>
      </c>
    </row>
    <row r="1500">
      <c r="A1500" t="n">
        <v>127</v>
      </c>
      <c r="B1500" t="inlineStr">
        <is>
          <t>B</t>
        </is>
      </c>
      <c r="C1500" t="n">
        <v>2</v>
      </c>
      <c r="D1500" s="3" t="inlineStr">
        <is>
          <t>Dalam pseudocode di atas, kami menggunakan fungsi terpisah untuk setiap konversi, yaitu `ConvertToFahrenheit` dan `ConvertToKelvin`.</t>
        </is>
      </c>
      <c r="E1500" t="inlineStr">
        <is>
          <t>TIDAK (tidak didukung)</t>
        </is>
      </c>
    </row>
    <row r="1501">
      <c r="A1501" t="n">
        <v>127</v>
      </c>
      <c r="B1501" t="inlineStr">
        <is>
          <t>B</t>
        </is>
      </c>
      <c r="C1501" t="n">
        <v>3</v>
      </c>
      <c r="D1501" s="3" t="inlineStr">
        <is>
          <t>Berikut adalah pseudocode yang benar untuk konversi suhu Celsius ke Fahrenheit dan Kelvin:</t>
        </is>
      </c>
      <c r="E1501" t="inlineStr">
        <is>
          <t>TIDAK (tidak didukung)</t>
        </is>
      </c>
    </row>
    <row r="1502">
      <c r="A1502" t="n">
        <v>127</v>
      </c>
      <c r="B1502" t="inlineStr">
        <is>
          <t>B</t>
        </is>
      </c>
      <c r="C1502" t="n">
        <v>4</v>
      </c>
      <c r="D1502" s="3" t="inlineStr">
        <is>
          <t>Fahrenheit := ConvertToFahrenheit(inputCelsius)</t>
        </is>
      </c>
      <c r="E1502" t="inlineStr">
        <is>
          <t>YA (didukung konteks)</t>
        </is>
      </c>
    </row>
    <row r="1503">
      <c r="A1503" t="n">
        <v>127</v>
      </c>
      <c r="B1503" t="inlineStr">
        <is>
          <t>B</t>
        </is>
      </c>
      <c r="C1503" t="n">
        <v>5</v>
      </c>
      <c r="D1503" s="3" t="inlineStr">
        <is>
          <t>Kelving := ConvertToKelvin(inputCelsius)</t>
        </is>
      </c>
      <c r="E1503" t="inlineStr">
        <is>
          <t>YA (didukung konteks)</t>
        </is>
      </c>
    </row>
    <row r="1504">
      <c r="A1504" t="n">
        <v>127</v>
      </c>
      <c r="B1504" t="inlineStr">
        <is>
          <t>B</t>
        </is>
      </c>
      <c r="C1504" t="n">
        <v>6</v>
      </c>
      <c r="D1504" s="3" t="inlineStr">
        <is>
          <t>Tulis output suhu Fahrenheit: Fahrenheit</t>
        </is>
      </c>
      <c r="E1504" t="inlineStr">
        <is>
          <t>TIDAK (tidak didukung)</t>
        </is>
      </c>
    </row>
    <row r="1505">
      <c r="A1505" t="n">
        <v>128</v>
      </c>
      <c r="B1505" t="inlineStr">
        <is>
          <t>A</t>
        </is>
      </c>
      <c r="C1505" t="n">
        <v>1</v>
      </c>
      <c r="D1505" s="3" t="inlineStr">
        <is>
          <t>Pada dasarnya, Anda diminta untuk menuliskan pseudocode untuk menghitung nilai rata-rata, nilai terbesar, dan nilai terkecil dari array yang diinput pengguna secara dinamis.</t>
        </is>
      </c>
      <c r="E1505" t="inlineStr">
        <is>
          <t>YA (didukung konteks)</t>
        </is>
      </c>
    </row>
    <row r="1506">
      <c r="A1506" t="n">
        <v>128</v>
      </c>
      <c r="B1506" t="inlineStr">
        <is>
          <t>A</t>
        </is>
      </c>
      <c r="C1506" t="n">
        <v>2</v>
      </c>
      <c r="D1506" s="3" t="inlineStr">
        <is>
          <t>Dalam pseudocode di atas, perulangan dilakukan sebanyak n kali, sehingga Anda dapat yakin bahwa program akan berhenti setelah semua elemen dalam array telah dihitung.</t>
        </is>
      </c>
      <c r="E1506" t="inlineStr">
        <is>
          <t>TIDAK (tidak didukung)</t>
        </is>
      </c>
    </row>
    <row r="1507">
      <c r="A1507" t="n">
        <v>128</v>
      </c>
      <c r="B1507" t="inlineStr">
        <is>
          <t>A</t>
        </is>
      </c>
      <c r="C1507" t="n">
        <v>3</v>
      </c>
      <c r="D1507" s="3" t="inlineStr">
        <is>
          <t>Pseudocode untuk menghitung nilai rata-rata, nilai terbesar, dan nilai terkecil dari array yang diinput pengguna secara dinamis adalah sebagai berikut:</t>
        </is>
      </c>
      <c r="E1507" t="inlineStr">
        <is>
          <t>TIDAK (tidak didukung)</t>
        </is>
      </c>
    </row>
    <row r="1508">
      <c r="A1508" t="n">
        <v>128</v>
      </c>
      <c r="B1508" t="inlineStr">
        <is>
          <t>A</t>
        </is>
      </c>
      <c r="C1508" t="n">
        <v>4</v>
      </c>
      <c r="D1508" s="3" t="inlineStr">
        <is>
          <t>Dalam setiap iterasi perulangan, program akan membandingkan nilai elemen dengan nilai max dan min, serta menghitung nilai rata-rata.</t>
        </is>
      </c>
      <c r="E1508" t="inlineStr">
        <is>
          <t>TIDAK (tidak didukung)</t>
        </is>
      </c>
    </row>
    <row r="1509">
      <c r="A1509" t="n">
        <v>128</v>
      </c>
      <c r="B1509" t="inlineStr">
        <is>
          <t>A</t>
        </is>
      </c>
      <c r="C1509" t="n">
        <v>5</v>
      </c>
      <c r="D1509" s="3" t="inlineStr">
        <is>
          <t>Pseudocode di atas menggunakan perulangan (loop) untuk menghitung nilai rata-rata, nilai terbesar, dan nilai terkecil dari array.</t>
        </is>
      </c>
      <c r="E1509" t="inlineStr">
        <is>
          <t>TIDAK (tidak didukung)</t>
        </is>
      </c>
    </row>
    <row r="1510">
      <c r="A1510" t="n">
        <v>128</v>
      </c>
      <c r="B1510" t="inlineStr">
        <is>
          <t>A</t>
        </is>
      </c>
      <c r="C1510" t="n">
        <v>6</v>
      </c>
      <c r="D1510" s="3" t="inlineStr">
        <is>
          <t>Untuk menentukan kapan berhenti, program akan terus melakukan perulangan hingga semua elemen dalam array telah dihitung.</t>
        </is>
      </c>
      <c r="E1510" t="inlineStr">
        <is>
          <t>YA (didukung konteks)</t>
        </is>
      </c>
    </row>
    <row r="1511">
      <c r="A1511" t="n">
        <v>128</v>
      </c>
      <c r="B1511" t="inlineStr">
        <is>
          <t>B</t>
        </is>
      </c>
      <c r="C1511" t="n">
        <v>1</v>
      </c>
      <c r="D1511" s="3" t="inlineStr">
        <is>
          <t>Dalam setiap iterasi, program akan membaca input dari pengguna, menambahkan nilainya ke variabel `average`, dan membandingkan nilai tersebut dengan `max_value` dan `min_value`.</t>
        </is>
      </c>
      <c r="E1511" t="inlineStr">
        <is>
          <t>TIDAK (tidak didukung)</t>
        </is>
      </c>
    </row>
    <row r="1512">
      <c r="A1512" t="n">
        <v>128</v>
      </c>
      <c r="B1512" t="inlineStr">
        <is>
          <t>B</t>
        </is>
      </c>
      <c r="C1512" t="n">
        <v>2</v>
      </c>
      <c r="D1512" s="3" t="inlineStr">
        <is>
          <t>Saya dapat membantu Anda dengan menulis pseudocode untuk menghitung nilai rata-rata, nilai terbesar, dan nilai terkecil dari array yang diinput pengguna secara dinamis.</t>
        </is>
      </c>
      <c r="E1512" t="inlineStr">
        <is>
          <t>YA (didukung konteks)</t>
        </is>
      </c>
    </row>
    <row r="1513">
      <c r="A1513" t="n">
        <v>128</v>
      </c>
      <c r="B1513" t="inlineStr">
        <is>
          <t>B</t>
        </is>
      </c>
      <c r="C1513" t="n">
        <v>3</v>
      </c>
      <c r="D1513" s="3" t="inlineStr">
        <is>
          <t>Struktur loop yang digunakan adalah WHILE loop, yang akan terus berulang sampai pengguna selesai input -1.</t>
        </is>
      </c>
      <c r="E1513" t="inlineStr">
        <is>
          <t>YA (didukung konteks)</t>
        </is>
      </c>
    </row>
    <row r="1514">
      <c r="A1514" t="n">
        <v>128</v>
      </c>
      <c r="B1514" t="inlineStr">
        <is>
          <t>B</t>
        </is>
      </c>
      <c r="C1514" t="n">
        <v>4</v>
      </c>
      <c r="D1514" s="3" t="inlineStr">
        <is>
          <t>Saya harap pseudocode ini dapat membantu Anda dalam menciptakan program yang sesuai dengan kebutuhan Anda!</t>
        </is>
      </c>
      <c r="E1514" t="inlineStr">
        <is>
          <t>YA (didukung konteks)</t>
        </is>
      </c>
    </row>
    <row r="1515">
      <c r="A1515" t="n">
        <v>128</v>
      </c>
      <c r="B1515" t="inlineStr">
        <is>
          <t>B</t>
        </is>
      </c>
      <c r="C1515" t="n">
        <v>5</v>
      </c>
      <c r="D1515" s="3" t="inlineStr">
        <is>
          <t>Jika input -1, maka proses akan dihentikan dan program akan menampilkan hasil.</t>
        </is>
      </c>
      <c r="E1515" t="inlineStr">
        <is>
          <t>TIDAK (tidak didukung)</t>
        </is>
      </c>
    </row>
    <row r="1516">
      <c r="A1516" t="n">
        <v>129</v>
      </c>
      <c r="B1516" t="inlineStr">
        <is>
          <t>A</t>
        </is>
      </c>
      <c r="C1516" t="n">
        <v>1</v>
      </c>
      <c r="D1516" s="3" t="inlineStr">
        <is>
          <t>Kita dapat menggunakan komponen-komponen yang telah kita pelajari sebelumnya, seperti cek prima dengan algoritme O(√n) dan loop for untuk mengulangi proses tersebut.</t>
        </is>
      </c>
      <c r="E1516" t="inlineStr">
        <is>
          <t>YA (didukung konteks)</t>
        </is>
      </c>
    </row>
    <row r="1517">
      <c r="A1517" t="n">
        <v>129</v>
      </c>
      <c r="B1517" t="inlineStr">
        <is>
          <t>A</t>
        </is>
      </c>
      <c r="C1517" t="n">
        <v>2</v>
      </c>
      <c r="D1517" s="3" t="inlineStr">
        <is>
          <t>Kita dapat menggunakan algoritme ini sebagai dasar untuk membuat loop yang akan mencari semua bilangan prima antara 1 sampai N.</t>
        </is>
      </c>
      <c r="E1517" t="inlineStr">
        <is>
          <t>YA (didukung konteks)</t>
        </is>
      </c>
    </row>
    <row r="1518">
      <c r="A1518" t="n">
        <v>129</v>
      </c>
      <c r="B1518" t="inlineStr">
        <is>
          <t>A</t>
        </is>
      </c>
      <c r="C1518" t="n">
        <v>3</v>
      </c>
      <c r="D1518" s="3" t="inlineStr">
        <is>
          <t>Dengan demikian, pseudocode di atas akan mencari semua bilangan prima antara 1 sampai N dan menampilkan hasilnya.</t>
        </is>
      </c>
      <c r="E1518" t="inlineStr">
        <is>
          <t>TIDAK (tidak didukung)</t>
        </is>
      </c>
    </row>
    <row r="1519">
      <c r="A1519" t="n">
        <v>129</v>
      </c>
      <c r="B1519" t="inlineStr">
        <is>
          <t>A</t>
        </is>
      </c>
      <c r="C1519" t="n">
        <v>4</v>
      </c>
      <c r="D1519" s="3" t="inlineStr">
        <is>
          <t>Saya senang membantu Anda dengan pseudocode untuk menampilkan semua bilangan prima antara 1 sampai N.</t>
        </is>
      </c>
      <c r="E1519" t="inlineStr">
        <is>
          <t>TIDAK (tidak didukung)</t>
        </is>
      </c>
    </row>
    <row r="1520">
      <c r="A1520" t="n">
        <v>129</v>
      </c>
      <c r="B1520" t="inlineStr">
        <is>
          <t>A</t>
        </is>
      </c>
      <c r="C1520" t="n">
        <v>5</v>
      </c>
      <c r="D1520" s="3" t="inlineStr">
        <is>
          <t>Saya harap pseudocode di atas membantu Anda dalam mencari semua bilangan prima antara 1 sampai N!</t>
        </is>
      </c>
      <c r="E1520" t="inlineStr">
        <is>
          <t>TIDAK (tidak didukung)</t>
        </is>
      </c>
    </row>
    <row r="1521">
      <c r="A1521" t="n">
        <v>129</v>
      </c>
      <c r="B1521" t="inlineStr">
        <is>
          <t>A</t>
        </is>
      </c>
      <c r="C1521" t="n">
        <v>6</v>
      </c>
      <c r="D1521" s="3" t="inlineStr">
        <is>
          <t>Pertama-tama, kita perlu memahami bagaimana cara cek apakah suatu bilangan adalah prima.</t>
        </is>
      </c>
      <c r="E1521" t="inlineStr">
        <is>
          <t>YA (didukung konteks)</t>
        </is>
      </c>
    </row>
    <row r="1522">
      <c r="A1522" t="n">
        <v>129</v>
      </c>
      <c r="B1522" t="inlineStr">
        <is>
          <t>B</t>
        </is>
      </c>
      <c r="C1522" t="n">
        <v>1</v>
      </c>
      <c r="D1522" s="3" t="inlineStr">
        <is>
          <t>* Fungsi `IS_PRIME(x)` bekerja dengan cara mengulangi proses mencari faktor-faktor dari x hingga akar-akarnya (saya gunakan `SQUAREROOT(D)` untuk mendapatkan akar-akar dari D).</t>
        </is>
      </c>
      <c r="E1522" t="inlineStr">
        <is>
          <t>TIDAK (tidak didukung)</t>
        </is>
      </c>
    </row>
    <row r="1523">
      <c r="A1523" t="n">
        <v>129</v>
      </c>
      <c r="B1523" t="inlineStr">
        <is>
          <t>B</t>
        </is>
      </c>
      <c r="C1523" t="n">
        <v>2</v>
      </c>
      <c r="D1523" s="3" t="inlineStr">
        <is>
          <t>* Dalam setiap iterasi, kita memanggil fungsi `IS_PRIME(I)` untuk memeriksa apakah I adalah bilangan prima atau tidak.</t>
        </is>
      </c>
      <c r="E1523" t="inlineStr">
        <is>
          <t>TIDAK (tidak didukung)</t>
        </is>
      </c>
    </row>
    <row r="1524">
      <c r="A1524" t="n">
        <v>129</v>
      </c>
      <c r="B1524" t="inlineStr">
        <is>
          <t>B</t>
        </is>
      </c>
      <c r="C1524" t="n">
        <v>3</v>
      </c>
      <c r="D1524" s="3" t="inlineStr">
        <is>
          <t>* Dalam proses, kita menggunakan loop `SAMPAI I &lt;= N` untuk mengulangi proses mencari bilangan prima dari 2 sampai N.</t>
        </is>
      </c>
      <c r="E1524" t="inlineStr">
        <is>
          <t>TIDAK (tidak didukung)</t>
        </is>
      </c>
    </row>
    <row r="1525">
      <c r="A1525" t="n">
        <v>129</v>
      </c>
      <c r="B1525" t="inlineStr">
        <is>
          <t>B</t>
        </is>
      </c>
      <c r="C1525" t="n">
        <v>4</v>
      </c>
      <c r="D1525" s="3" t="inlineStr">
        <is>
          <t>* `TAMPIL_PRIMA(N)` adalah prosedur yang bertujuan menampilkan semua bilangan prima antara 1 sampai N.</t>
        </is>
      </c>
      <c r="E1525" t="inlineStr">
        <is>
          <t>TIDAK (tidak didukung)</t>
        </is>
      </c>
    </row>
    <row r="1526">
      <c r="A1526" t="n">
        <v>129</v>
      </c>
      <c r="B1526" t="inlineStr">
        <is>
          <t>B</t>
        </is>
      </c>
      <c r="C1526" t="n">
        <v>5</v>
      </c>
      <c r="D1526" s="3" t="inlineStr">
        <is>
          <t>Dengan demikian, pseudocode di atas akan menampilkan semua bilangan prima antara 1 sampai N.</t>
        </is>
      </c>
      <c r="E1526" t="inlineStr">
        <is>
          <t>TIDAK (tidak didukung)</t>
        </is>
      </c>
    </row>
    <row r="1527">
      <c r="A1527" t="n">
        <v>129</v>
      </c>
      <c r="B1527" t="inlineStr">
        <is>
          <t>B</t>
        </is>
      </c>
      <c r="C1527" t="n">
        <v>6</v>
      </c>
      <c r="D1527" s="3" t="inlineStr">
        <is>
          <t>Pseudocode untuk menampilkan semua bilangan prima antara 1 sampai N adalah sebagai berikut:</t>
        </is>
      </c>
      <c r="E1527" t="inlineStr">
        <is>
          <t>TIDAK (tidak didukung)</t>
        </is>
      </c>
    </row>
    <row r="1528">
      <c r="A1528" t="n">
        <v>130</v>
      </c>
      <c r="B1528" t="inlineStr">
        <is>
          <t>A</t>
        </is>
      </c>
      <c r="C1528" t="n">
        <v>1</v>
      </c>
      <c r="D1528" s="3" t="inlineStr">
        <is>
          <t>Dalam CT, dictionary dapat digunakan sebagai struktur data yang efektif untuk menghitung frekuensi setiap element dalam sebuah kumpulan data.</t>
        </is>
      </c>
      <c r="E1528" t="inlineStr">
        <is>
          <t>YA (didukung konteks)</t>
        </is>
      </c>
    </row>
    <row r="1529">
      <c r="A1529" t="n">
        <v>130</v>
      </c>
      <c r="B1529" t="inlineStr">
        <is>
          <t>A</t>
        </is>
      </c>
      <c r="C1529" t="n">
        <v>2</v>
      </c>
      <c r="D1529" s="3" t="inlineStr">
        <is>
          <t>Dengan demikian, pseudocode di atas dapat membantu Anda menyelesaikan soal menghitung frekuensi setiap huruf yang muncul dalam string.</t>
        </is>
      </c>
      <c r="E1529" t="inlineStr">
        <is>
          <t>TIDAK (tidak didukung)</t>
        </is>
      </c>
    </row>
    <row r="1530">
      <c r="A1530" t="n">
        <v>130</v>
      </c>
      <c r="B1530" t="inlineStr">
        <is>
          <t>A</t>
        </is>
      </c>
      <c r="C1530" t="n">
        <v>3</v>
      </c>
      <c r="D1530" s="3" t="inlineStr">
        <is>
          <t>Pertama-tama, kita perlu menggunakan struktur data yang sesuai untuk menghitung frekuensi setiap huruf yang muncul dalam string.</t>
        </is>
      </c>
      <c r="E1530" t="inlineStr">
        <is>
          <t>YA (didukung konteks)</t>
        </is>
      </c>
    </row>
    <row r="1531">
      <c r="A1531" t="n">
        <v>130</v>
      </c>
      <c r="B1531" t="inlineStr">
        <is>
          <t>A</t>
        </is>
      </c>
      <c r="C1531" t="n">
        <v>4</v>
      </c>
      <c r="D1531" s="3" t="inlineStr">
        <is>
          <t>Dalam pseudocode di atas, kita menggunakan loop untuk mengulangi proses menghitung frekuensi setiap huruf dalam string.</t>
        </is>
      </c>
      <c r="E1531" t="inlineStr">
        <is>
          <t>YA (didukung konteks)</t>
        </is>
      </c>
    </row>
    <row r="1532">
      <c r="A1532" t="n">
        <v>130</v>
      </c>
      <c r="B1532" t="inlineStr">
        <is>
          <t>A</t>
        </is>
      </c>
      <c r="C1532" t="n">
        <v>5</v>
      </c>
      <c r="D1532" s="3" t="inlineStr">
        <is>
          <t>Setiap huruf yang ditemukan dalam string akan menjadi key dalam dictionary, dan nilai-nilainya adalah frekuensinya.</t>
        </is>
      </c>
      <c r="E1532" t="inlineStr">
        <is>
          <t>YA (didukung konteks)</t>
        </is>
      </c>
    </row>
    <row r="1533">
      <c r="A1533" t="n">
        <v>130</v>
      </c>
      <c r="B1533" t="inlineStr">
        <is>
          <t>A</t>
        </is>
      </c>
      <c r="C1533" t="n">
        <v>6</v>
      </c>
      <c r="D1533" s="3" t="inlineStr">
        <is>
          <t>Saya senang membantu Anda menyelesaikan soal-soal dan tugas Computational Thinking (CT) di universitas Indonesia.</t>
        </is>
      </c>
      <c r="E1533" t="inlineStr">
        <is>
          <t>YA (didukung konteks)</t>
        </is>
      </c>
    </row>
    <row r="1534">
      <c r="A1534" t="n">
        <v>130</v>
      </c>
      <c r="B1534" t="inlineStr">
        <is>
          <t>B</t>
        </is>
      </c>
      <c r="C1534" t="n">
        <v>1</v>
      </c>
      <c r="D1534" s="3" t="inlineStr">
        <is>
          <t>Proses penghitungan frekuensi dilakukan dengan menggeserkan string dari awal ke akhir, dan jika huruf sudah pernah muncul sebelumnya, maka nilai frekuensinya akan diincrement.</t>
        </is>
      </c>
      <c r="E1534" t="inlineStr">
        <is>
          <t>YA (didukung konteks)</t>
        </is>
      </c>
    </row>
    <row r="1535">
      <c r="A1535" t="n">
        <v>130</v>
      </c>
      <c r="B1535" t="inlineStr">
        <is>
          <t>B</t>
        </is>
      </c>
      <c r="C1535" t="n">
        <v>2</v>
      </c>
      <c r="D1535" s="3" t="inlineStr">
        <is>
          <t>Namun, perlu diingat bahwa pseudocode ini hanya sebagai contoh dan masih membutuhkan perbaikan agar dapat digunakan secara efektif dalam program.</t>
        </is>
      </c>
      <c r="E1535" t="inlineStr">
        <is>
          <t>YA (didukung konteks)</t>
        </is>
      </c>
    </row>
    <row r="1536">
      <c r="A1536" t="n">
        <v>130</v>
      </c>
      <c r="B1536" t="inlineStr">
        <is>
          <t>B</t>
        </is>
      </c>
      <c r="C1536" t="n">
        <v>3</v>
      </c>
      <c r="D1536" s="3" t="inlineStr">
        <is>
          <t>Berikut adalah contoh pseudocode yang membaca string dan menghitung frekuensi setiap huruf yang muncul:</t>
        </is>
      </c>
      <c r="E1536" t="inlineStr">
        <is>
          <t>TIDAK (tidak didukung)</t>
        </is>
      </c>
    </row>
    <row r="1537">
      <c r="A1537" t="n">
        <v>130</v>
      </c>
      <c r="B1537" t="inlineStr">
        <is>
          <t>B</t>
        </is>
      </c>
      <c r="C1537" t="n">
        <v>4</v>
      </c>
      <c r="D1537" s="3" t="inlineStr">
        <is>
          <t>Array `frequency` memiliki ukuran 26 (jumlah huruf alphabet), dan nilai awalnya adalah 0.</t>
        </is>
      </c>
      <c r="E1537" t="inlineStr">
        <is>
          <t>YA (didukung konteks)</t>
        </is>
      </c>
    </row>
    <row r="1538">
      <c r="A1538" t="n">
        <v>130</v>
      </c>
      <c r="B1538" t="inlineStr">
        <is>
          <t>B</t>
        </is>
      </c>
      <c r="C1538" t="n">
        <v>5</v>
      </c>
      <c r="D1538" s="3" t="inlineStr">
        <is>
          <t>VARIABEL frequency[26] = {0, 0, 0, ..., 0} // array untuk menyimpan frekuensi huruf</t>
        </is>
      </c>
      <c r="E1538" t="inlineStr">
        <is>
          <t>YA (didukung konteks)</t>
        </is>
      </c>
    </row>
    <row r="1539">
      <c r="A1539" t="n">
        <v>130</v>
      </c>
      <c r="B1539" t="inlineStr">
        <is>
          <t>B</t>
        </is>
      </c>
      <c r="C1539" t="n">
        <v>6</v>
      </c>
      <c r="D1539" s="3" t="inlineStr">
        <is>
          <t>Tidak perlu khawatir, pseudocode ini dapat dibuat tanpa menggunakan dictionary!</t>
        </is>
      </c>
      <c r="E1539" t="inlineStr">
        <is>
          <t>YA (didukung konteks)</t>
        </is>
      </c>
    </row>
    <row r="1540">
      <c r="A1540" t="n">
        <v>131</v>
      </c>
      <c r="B1540" t="inlineStr">
        <is>
          <t>A</t>
        </is>
      </c>
      <c r="C1540" t="n">
        <v>1</v>
      </c>
      <c r="D1540" s="3" t="inlineStr">
        <is>
          <t>Dalam keseluruhan, Computational Thinking memungkinkan kita untuk menemukan pola dan membangun solusi efisien dengan menggunakan abstraksi terhadap elemen-elemen visual yang relevan, serta mengenali pola transformasi ata</t>
        </is>
      </c>
      <c r="E1540" t="inlineStr">
        <is>
          <t>YA (didukung konteks)</t>
        </is>
      </c>
    </row>
    <row r="1541">
      <c r="A1541" t="n">
        <v>131</v>
      </c>
      <c r="B1541" t="inlineStr">
        <is>
          <t>A</t>
        </is>
      </c>
      <c r="C1541" t="n">
        <v>2</v>
      </c>
      <c r="D1541" s="3" t="inlineStr">
        <is>
          <t>Kamu sebagai tutor Computational Thinking untuk mahasiswa universitas di Indonesia, saya akan menjawab pertanyaan-pertanyaan tersebut dengan menggunakan istilah teknis dan konsep utama yang ada dalam materi referensi.</t>
        </is>
      </c>
      <c r="E1541" t="inlineStr">
        <is>
          <t>YA (didukung konteks)</t>
        </is>
      </c>
    </row>
    <row r="1542">
      <c r="A1542" t="n">
        <v>131</v>
      </c>
      <c r="B1542" t="inlineStr">
        <is>
          <t>A</t>
        </is>
      </c>
      <c r="C1542" t="n">
        <v>3</v>
      </c>
      <c r="D1542" s="3" t="inlineStr">
        <is>
          <t>Dengan demikian, kita dapat mencari n terbesar sehingga n(n+1)/2 ≤ 500 dan menemukan bebek nomor berapa yang pertama tidak mendapat coklat.</t>
        </is>
      </c>
      <c r="E1542" t="inlineStr">
        <is>
          <t>YA (didukung konteks)</t>
        </is>
      </c>
    </row>
    <row r="1543">
      <c r="A1543" t="n">
        <v>131</v>
      </c>
      <c r="B1543" t="inlineStr">
        <is>
          <t>A</t>
        </is>
      </c>
      <c r="C1543" t="n">
        <v>4</v>
      </c>
      <c r="D1543" s="3" t="inlineStr">
        <is>
          <t>Dalam soal ini, kita dituntut untuk menemukan pola dari deret segitiga yang terbentuk oleh jumlah coklat yang diberikan kepada bebek.</t>
        </is>
      </c>
      <c r="E1543" t="inlineStr">
        <is>
          <t>YA (didukung konteks)</t>
        </is>
      </c>
    </row>
    <row r="1544">
      <c r="A1544" t="n">
        <v>131</v>
      </c>
      <c r="B1544" t="inlineStr">
        <is>
          <t>A</t>
        </is>
      </c>
      <c r="C1544" t="n">
        <v>5</v>
      </c>
      <c r="D1544" s="3" t="inlineStr">
        <is>
          <t>Pola yang ditemukan adalah bahwa suku ke-n = a1 + (n-1)d, dengan a1 sebagai suku pertama dan d sebagai beda antar suku.</t>
        </is>
      </c>
      <c r="E1544" t="inlineStr">
        <is>
          <t>YA (didukung konteks)</t>
        </is>
      </c>
    </row>
    <row r="1545">
      <c r="A1545" t="n">
        <v>131</v>
      </c>
      <c r="B1545" t="inlineStr">
        <is>
          <t>A</t>
        </is>
      </c>
      <c r="C1545" t="n">
        <v>6</v>
      </c>
      <c r="D1545" s="3" t="inlineStr">
        <is>
          <t>+ 10, maka kita dapat mencari pasangan bilangan dari ujung kiri dan kanan, seperti 1+10=11, 2+9=11, dan seterusnya.</t>
        </is>
      </c>
      <c r="E1545" t="inlineStr">
        <is>
          <t>YA (didukung konteks)</t>
        </is>
      </c>
    </row>
    <row r="1546">
      <c r="A1546" t="n">
        <v>131</v>
      </c>
      <c r="B1546" t="inlineStr">
        <is>
          <t>B</t>
        </is>
      </c>
      <c r="C1546" t="n">
        <v>1</v>
      </c>
      <c r="D1546" s="3" t="inlineStr">
        <is>
          <t>Right-associative artinya bahwa dalam ekspresi kompleks seperti 2 ** 3 ** 2, Python akan memproses operasi ** dari kiri ke kanan, sehingga menghasilkan hasil yang berbeda jika dibandingkan dengan left-associative (dengan</t>
        </is>
      </c>
      <c r="E1546" t="inlineStr">
        <is>
          <t>YA (didukung konteks)</t>
        </is>
      </c>
    </row>
    <row r="1547">
      <c r="A1547" t="n">
        <v>131</v>
      </c>
      <c r="B1547" t="inlineStr">
        <is>
          <t>B</t>
        </is>
      </c>
      <c r="C1547" t="n">
        <v>2</v>
      </c>
      <c r="D1547" s="3" t="inlineStr">
        <is>
          <t>Teman Anda tidak benar karena mereka menghitung dengan cara yang salah, yaitu dengan menghitung (2**3)**2 = 8**2 = 64, tetapi tidak mempertimbangkan prioritas perpangkatan.</t>
        </is>
      </c>
      <c r="E1547" t="inlineStr">
        <is>
          <t>YA (didukung konteks)</t>
        </is>
      </c>
    </row>
    <row r="1548">
      <c r="A1548" t="n">
        <v>131</v>
      </c>
      <c r="B1548" t="inlineStr">
        <is>
          <t>B</t>
        </is>
      </c>
      <c r="C1548" t="n">
        <v>3</v>
      </c>
      <c r="D1548" s="3" t="inlineStr">
        <is>
          <t>Dalam kasus ini, dosen memiliki argumen yang tepat bahwa perpangkatan dalam bahasa pemrograman Python (dan beberapa bahasa lainnya) bersifat right-associative.</t>
        </is>
      </c>
      <c r="E1548" t="inlineStr">
        <is>
          <t>TIDAK (tidak didukung)</t>
        </is>
      </c>
    </row>
    <row r="1549">
      <c r="A1549" t="n">
        <v>131</v>
      </c>
      <c r="B1549" t="inlineStr">
        <is>
          <t>B</t>
        </is>
      </c>
      <c r="C1549" t="n">
        <v>4</v>
      </c>
      <c r="D1549" s="3" t="inlineStr">
        <is>
          <t>Artinya, ketika kita memiliki ekspresi seperti 2 ** 3 ** 2, Python akan pertama-tama memproses operasi ** dari kiri ke kanan.</t>
        </is>
      </c>
      <c r="E1549" t="inlineStr">
        <is>
          <t>TIDAK (tidak didukung)</t>
        </is>
      </c>
    </row>
    <row r="1550">
      <c r="A1550" t="n">
        <v>131</v>
      </c>
      <c r="B1550" t="inlineStr">
        <is>
          <t>B</t>
        </is>
      </c>
      <c r="C1550" t="n">
        <v>5</v>
      </c>
      <c r="D1550" s="3" t="inlineStr">
        <is>
          <t>Kemudian, kita memiliki ekspresi 8 ** 2, maka hasilnya adalah 64.</t>
        </is>
      </c>
      <c r="E1550" t="inlineStr">
        <is>
          <t>YA (didukung konteks)</t>
        </is>
      </c>
    </row>
    <row r="1551">
      <c r="A1551" t="n">
        <v>131</v>
      </c>
      <c r="B1551" t="inlineStr">
        <is>
          <t>B</t>
        </is>
      </c>
      <c r="C1551" t="n">
        <v>6</v>
      </c>
      <c r="D1551" s="3" t="inlineStr">
        <is>
          <t>Jadi, dalam kasus ini, yang terjadi adalah:</t>
        </is>
      </c>
      <c r="E1551" t="inlineStr">
        <is>
          <t>YA (didukung konteks)</t>
        </is>
      </c>
    </row>
    <row r="1552">
      <c r="A1552" t="n">
        <v>132</v>
      </c>
      <c r="B1552" t="inlineStr">
        <is>
          <t>A</t>
        </is>
      </c>
      <c r="C1552" t="n">
        <v>1</v>
      </c>
      <c r="D1552" s="3" t="inlineStr">
        <is>
          <t>Dalam tabel kebenaran di atas, kita dapat melihat bahwa ekspresi boolean (A AND B) OR (A AND NOT B) menghasilkan nilai boolean True jika A bernilai True dan setidaknya salah satu dari B atau NOT B bernilai True.</t>
        </is>
      </c>
      <c r="E1552" t="inlineStr">
        <is>
          <t>YA (didukung konteks)</t>
        </is>
      </c>
    </row>
    <row r="1553">
      <c r="A1553" t="n">
        <v>132</v>
      </c>
      <c r="B1553" t="inlineStr">
        <is>
          <t>A</t>
        </is>
      </c>
      <c r="C1553" t="n">
        <v>2</v>
      </c>
      <c r="D1553" s="3" t="inlineStr">
        <is>
          <t>Saya akan menjawab pertanyaan Anda dengan menggunakan konsep utama dari materi referensi dan gaya penjelasan yang sesuai dengan tipe kognitif mahasiswa: Level 4 Mahir / Pragmatis / Analitis / Reflektif.</t>
        </is>
      </c>
      <c r="E1553" t="inlineStr">
        <is>
          <t>YA (didukung konteks)</t>
        </is>
      </c>
    </row>
    <row r="1554">
      <c r="A1554" t="n">
        <v>132</v>
      </c>
      <c r="B1554" t="inlineStr">
        <is>
          <t>A</t>
        </is>
      </c>
      <c r="C1554" t="n">
        <v>3</v>
      </c>
      <c r="D1554" s="3" t="inlineStr">
        <is>
          <t>Untuk menyelesaikan ekspresi boolean (A AND B) OR (A AND NOT B), kita perlu memahami konsep logika Boolean.</t>
        </is>
      </c>
      <c r="E1554" t="inlineStr">
        <is>
          <t>YA (didukung konteks)</t>
        </is>
      </c>
    </row>
    <row r="1555">
      <c r="A1555" t="n">
        <v>132</v>
      </c>
      <c r="B1555" t="inlineStr">
        <is>
          <t>A</t>
        </is>
      </c>
      <c r="C1555" t="n">
        <v>4</v>
      </c>
      <c r="D1555" s="3" t="inlineStr">
        <is>
          <t>Ekspresi boolean akan menghasilkan nilai boolean True jika setidaknya satu operand bernilai True.</t>
        </is>
      </c>
      <c r="E1555" t="inlineStr">
        <is>
          <t>YA (didukung konteks)</t>
        </is>
      </c>
    </row>
    <row r="1556">
      <c r="A1556" t="n">
        <v>132</v>
      </c>
      <c r="B1556" t="inlineStr">
        <is>
          <t>A</t>
        </is>
      </c>
      <c r="C1556" t="n">
        <v>5</v>
      </c>
      <c r="D1556" s="3" t="inlineStr">
        <is>
          <t>Untuk memahami konsep tersebut lebih baik, mari kita buat tabel kebenaran sebagai berikut:</t>
        </is>
      </c>
      <c r="E1556" t="inlineStr">
        <is>
          <t>YA (didukung konteks)</t>
        </is>
      </c>
    </row>
    <row r="1557">
      <c r="A1557" t="n">
        <v>132</v>
      </c>
      <c r="B1557" t="inlineStr">
        <is>
          <t>A</t>
        </is>
      </c>
      <c r="C1557" t="n">
        <v>6</v>
      </c>
      <c r="D1557" s="3" t="inlineStr">
        <is>
          <t>Sekarang, mari kita analisis ekspresi boolean yang diberikan: (A AND B) OR (A AND NOT B).</t>
        </is>
      </c>
      <c r="E1557" t="inlineStr">
        <is>
          <t>YA (didukung konteks)</t>
        </is>
      </c>
    </row>
    <row r="1558">
      <c r="A1558" t="n">
        <v>132</v>
      </c>
      <c r="B1558" t="inlineStr">
        <is>
          <t>B</t>
        </is>
      </c>
      <c r="C1558" t="n">
        <v>1</v>
      </c>
      <c r="D1558" s="3" t="inlineStr">
        <is>
          <t>Anda akan melihat bahwa nilai ekspresi boolean (A AND NOT B) sama dengan nilai yang ada di baris ketiga dan kelima tabel kebenaran.</t>
        </is>
      </c>
      <c r="E1558" t="inlineStr">
        <is>
          <t>YA (didukung konteks)</t>
        </is>
      </c>
    </row>
    <row r="1559">
      <c r="A1559" t="n">
        <v>132</v>
      </c>
      <c r="B1559" t="inlineStr">
        <is>
          <t>B</t>
        </is>
      </c>
      <c r="C1559" t="n">
        <v>2</v>
      </c>
      <c r="D1559" s="3" t="inlineStr">
        <is>
          <t>Langkah pertama, Anda perlu membuat sebuah tabel kebenaran (truth table) untuk ekspresi boolean (A AND B) OR (A AND NOT B).</t>
        </is>
      </c>
      <c r="E1559" t="inlineStr">
        <is>
          <t>YA (didukung konteks)</t>
        </is>
      </c>
    </row>
    <row r="1560">
      <c r="A1560" t="n">
        <v>132</v>
      </c>
      <c r="B1560" t="inlineStr">
        <is>
          <t>B</t>
        </is>
      </c>
      <c r="C1560" t="n">
        <v>3</v>
      </c>
      <c r="D1560" s="3" t="inlineStr">
        <is>
          <t>Dengan menggunakan aturan-aturan di atas, Anda dapat mengurai ekspresi boolean menjadi bentuk kurang rumit.</t>
        </is>
      </c>
      <c r="E1560" t="inlineStr">
        <is>
          <t>YA (didukung konteks)</t>
        </is>
      </c>
    </row>
    <row r="1561">
      <c r="A1561" t="n">
        <v>132</v>
      </c>
      <c r="B1561" t="inlineStr">
        <is>
          <t>B</t>
        </is>
      </c>
      <c r="C1561" t="n">
        <v>4</v>
      </c>
      <c r="D1561" s="3" t="inlineStr">
        <is>
          <t>Ekspresi boolean dapat diuraikan menjadi bentuk kurang rumit dengan menggunakan aturan berikut:</t>
        </is>
      </c>
      <c r="E1561" t="inlineStr">
        <is>
          <t>YA (didukung konteks)</t>
        </is>
      </c>
    </row>
    <row r="1562">
      <c r="A1562" t="n">
        <v>132</v>
      </c>
      <c r="B1562" t="inlineStr">
        <is>
          <t>B</t>
        </is>
      </c>
      <c r="C1562" t="n">
        <v>5</v>
      </c>
      <c r="D1562" s="3" t="inlineStr">
        <is>
          <t>Kini, Anda dapat membandingkan hasil tersebut dengan tabel kebenaran yang Anda buat sebelumnya.</t>
        </is>
      </c>
      <c r="E1562" t="inlineStr">
        <is>
          <t>YA (didukung konteks)</t>
        </is>
      </c>
    </row>
    <row r="1563">
      <c r="A1563" t="n">
        <v>132</v>
      </c>
      <c r="B1563" t="inlineStr">
        <is>
          <t>B</t>
        </is>
      </c>
      <c r="C1563" t="n">
        <v>6</v>
      </c>
      <c r="D1563" s="3" t="inlineStr">
        <is>
          <t>Tabel kebenaran ini akan membantu Anda menentukan nilai dari setiap kombinasi nilai A dan B.</t>
        </is>
      </c>
      <c r="E1563" t="inlineStr">
        <is>
          <t>YA (didukung konteks)</t>
        </is>
      </c>
    </row>
    <row r="1564">
      <c r="A1564" t="n">
        <v>133</v>
      </c>
      <c r="B1564" t="inlineStr">
        <is>
          <t>A</t>
        </is>
      </c>
      <c r="C1564" t="n">
        <v>1</v>
      </c>
      <c r="D1564" s="3" t="inlineStr">
        <is>
          <t>As a computational thinking tutor for university students in Indonesia, I'll be happy to help you understand the concept of operators and conditional statements in pseudocode.</t>
        </is>
      </c>
      <c r="E1564" t="inlineStr">
        <is>
          <t>YA (didukung konteks)</t>
        </is>
      </c>
    </row>
    <row r="1565">
      <c r="A1565" t="n">
        <v>133</v>
      </c>
      <c r="B1565" t="inlineStr">
        <is>
          <t>A</t>
        </is>
      </c>
      <c r="C1565" t="n">
        <v>2</v>
      </c>
      <c r="D1565" s="3" t="inlineStr">
        <is>
          <t>However, in pseudocode, the operator perbandingan returns a boolean value that can be used as part of an if-else statement or other control structures.</t>
        </is>
      </c>
      <c r="E1565" t="inlineStr">
        <is>
          <t>YA (didukung konteks)</t>
        </is>
      </c>
    </row>
    <row r="1566">
      <c r="A1566" t="n">
        <v>133</v>
      </c>
      <c r="B1566" t="inlineStr">
        <is>
          <t>A</t>
        </is>
      </c>
      <c r="C1566" t="n">
        <v>3</v>
      </c>
      <c r="D1566" s="3" t="inlineStr">
        <is>
          <t>For example, in the expression above, if `x = 5` is greater than `3`, and `10` is less than `20`, the expression would evaluate to `True`.</t>
        </is>
      </c>
      <c r="E1566" t="inlineStr">
        <is>
          <t>YA (didukung konteks)</t>
        </is>
      </c>
    </row>
    <row r="1567">
      <c r="A1567" t="n">
        <v>133</v>
      </c>
      <c r="B1567" t="inlineStr">
        <is>
          <t>A</t>
        </is>
      </c>
      <c r="C1567" t="n">
        <v>4</v>
      </c>
      <c r="D1567" s="3" t="inlineStr">
        <is>
          <t>In pseudocode, the operator perbandingan returns a boolean value (true or false) indicating whether the condition is true or not.</t>
        </is>
      </c>
      <c r="E1567" t="inlineStr">
        <is>
          <t>YA (didukung konteks)</t>
        </is>
      </c>
    </row>
    <row r="1568">
      <c r="A1568" t="n">
        <v>133</v>
      </c>
      <c r="B1568" t="inlineStr">
        <is>
          <t>A</t>
        </is>
      </c>
      <c r="C1568" t="n">
        <v>5</v>
      </c>
      <c r="D1568" s="3" t="inlineStr">
        <is>
          <t>In this expression, the greater-than symbol (`&gt;`) and less-than symbol (`&lt;`) are used to compare numbers.</t>
        </is>
      </c>
      <c r="E1568" t="inlineStr">
        <is>
          <t>YA (didukung konteks)</t>
        </is>
      </c>
    </row>
    <row r="1569">
      <c r="A1569" t="n">
        <v>133</v>
      </c>
      <c r="B1569" t="inlineStr">
        <is>
          <t>A</t>
        </is>
      </c>
      <c r="C1569" t="n">
        <v>6</v>
      </c>
      <c r="D1569" s="3" t="inlineStr">
        <is>
          <t>In pseudocode, operator perbandingan (comparison operator) is used to compare two values or expressions.</t>
        </is>
      </c>
      <c r="E1569" t="inlineStr">
        <is>
          <t>YA (didukung konteks)</t>
        </is>
      </c>
    </row>
    <row r="1570">
      <c r="A1570" t="n">
        <v>133</v>
      </c>
      <c r="B1570" t="inlineStr">
        <is>
          <t>B</t>
        </is>
      </c>
      <c r="C1570" t="n">
        <v>1</v>
      </c>
      <c r="D1570" s="3" t="inlineStr">
        <is>
          <t>Pada umumnya, operator perbandingan (comparative operators) seperti `&gt;` dan `&lt;` dalam pseudocode CT (Computer Transition) atau bahasa pemrograman lainnya akan menghasilkan nilai boolean (true/false).</t>
        </is>
      </c>
      <c r="E1570" t="inlineStr">
        <is>
          <t>YA (didukung konteks)</t>
        </is>
      </c>
    </row>
    <row r="1571">
      <c r="A1571" t="n">
        <v>133</v>
      </c>
      <c r="B1571" t="inlineStr">
        <is>
          <t>B</t>
        </is>
      </c>
      <c r="C1571" t="n">
        <v>2</v>
      </c>
      <c r="D1571" s="3" t="inlineStr">
        <is>
          <t>Karena keduanya bernilai true, maka operasi logical "AND" akan menghasilkan nilai boolean yang juga true.</t>
        </is>
      </c>
      <c r="E1571" t="inlineStr">
        <is>
          <t>YA (didukung konteks)</t>
        </is>
      </c>
    </row>
    <row r="1572">
      <c r="A1572" t="n">
        <v>133</v>
      </c>
      <c r="B1572" t="inlineStr">
        <is>
          <t>B</t>
        </is>
      </c>
      <c r="C1572" t="n">
        <v>3</v>
      </c>
      <c r="D1572" s="3" t="inlineStr">
        <is>
          <t>Jadi, dalam pseudocode CT, ekspresi tersebut akan dihitung sebagai:</t>
        </is>
      </c>
      <c r="E1572" t="inlineStr">
        <is>
          <t>YA (didukung konteks)</t>
        </is>
      </c>
    </row>
    <row r="1573">
      <c r="A1573" t="n">
        <v>134</v>
      </c>
      <c r="B1573" t="inlineStr">
        <is>
          <t>A</t>
        </is>
      </c>
      <c r="C1573" t="n">
        <v>1</v>
      </c>
      <c r="D1573" s="3" t="inlineStr">
        <is>
          <t>This trace demonstrates how the pseudocode works for a specific input (tahun=1900) and provides an understanding of the conditions that determine whether a year is a leap year or not.</t>
        </is>
      </c>
      <c r="E1573" t="inlineStr">
        <is>
          <t>YA (didukung konteks)</t>
        </is>
      </c>
    </row>
    <row r="1574">
      <c r="A1574" t="n">
        <v>134</v>
      </c>
      <c r="B1574" t="inlineStr">
        <is>
          <t>A</t>
        </is>
      </c>
      <c r="C1574" t="n">
        <v>2</v>
      </c>
      <c r="D1574" s="3" t="inlineStr">
        <is>
          <t>Since `tahun mod 100 != 0` (i.e., `1900 mod 100 = 0`) and `tahun mod 400 == 0`, the condition `tahun mod 4 == 0 AND tahun mod 100 != 0` is true.</t>
        </is>
      </c>
      <c r="E1574" t="inlineStr">
        <is>
          <t>YA (didukung konteks)</t>
        </is>
      </c>
    </row>
    <row r="1575">
      <c r="A1575" t="n">
        <v>134</v>
      </c>
      <c r="B1575" t="inlineStr">
        <is>
          <t>A</t>
        </is>
      </c>
      <c r="C1575" t="n">
        <v>3</v>
      </c>
      <c r="D1575" s="3" t="inlineStr">
        <is>
          <t>According to this pseudocode, the year 1900 is indeed a leap year (kabisat), which is consistent with the result obtained by your friend.</t>
        </is>
      </c>
      <c r="E1575" t="inlineStr">
        <is>
          <t>YA (didukung konteks)</t>
        </is>
      </c>
    </row>
    <row r="1576">
      <c r="A1576" t="n">
        <v>134</v>
      </c>
      <c r="B1576" t="inlineStr">
        <is>
          <t>A</t>
        </is>
      </c>
      <c r="C1576" t="n">
        <v>4</v>
      </c>
      <c r="D1576" s="3" t="inlineStr">
        <is>
          <t>In general, the pseudocode checks if the year is divisible by 4 and not by 100, or if it is divisible by 400.</t>
        </is>
      </c>
      <c r="E1576" t="inlineStr">
        <is>
          <t>YA (didukung konteks)</t>
        </is>
      </c>
    </row>
    <row r="1577">
      <c r="A1577" t="n">
        <v>134</v>
      </c>
      <c r="B1577" t="inlineStr">
        <is>
          <t>A</t>
        </is>
      </c>
      <c r="C1577" t="n">
        <v>5</v>
      </c>
      <c r="D1577" s="3" t="inlineStr">
        <is>
          <t>If either condition is met, the program prints `'kabisat'`; otherwise, it prints `'bukan'`.</t>
        </is>
      </c>
      <c r="E1577" t="inlineStr">
        <is>
          <t>YA (didukung konteks)</t>
        </is>
      </c>
    </row>
    <row r="1578">
      <c r="A1578" t="n">
        <v>134</v>
      </c>
      <c r="B1578" t="inlineStr">
        <is>
          <t>A</t>
        </is>
      </c>
      <c r="C1578" t="n">
        <v>6</v>
      </c>
      <c r="D1578" s="3" t="inlineStr">
        <is>
          <t>Based on the given pseudocode and materials, I will provide a trace for the year 1900.</t>
        </is>
      </c>
      <c r="E1578" t="inlineStr">
        <is>
          <t>YA (didukung konteks)</t>
        </is>
      </c>
    </row>
    <row r="1579">
      <c r="A1579" t="n">
        <v>134</v>
      </c>
      <c r="B1579" t="inlineStr">
        <is>
          <t>B</t>
        </is>
      </c>
      <c r="C1579" t="n">
        <v>1</v>
      </c>
      <c r="D1579" s="3" t="inlineStr">
        <is>
          <t>`tahun mod 100 != 0`: However, since 1900 is not divisible by 100 (1900 % 100 = 0), this part of the condition is FALSE.</t>
        </is>
      </c>
      <c r="E1579" t="inlineStr">
        <is>
          <t>YA (didukung konteks)</t>
        </is>
      </c>
    </row>
    <row r="1580">
      <c r="A1580" t="n">
        <v>134</v>
      </c>
      <c r="B1580" t="inlineStr">
        <is>
          <t>B</t>
        </is>
      </c>
      <c r="C1580" t="n">
        <v>2</v>
      </c>
      <c r="D1580" s="3" t="inlineStr">
        <is>
          <t>OR (`tahun mod 400 == 0`): Since 1900 is divisible by 400 (1900 % 400 = 0), this part of the condition is TRUE.</t>
        </is>
      </c>
      <c r="E1580" t="inlineStr">
        <is>
          <t>YA (didukung konteks)</t>
        </is>
      </c>
    </row>
    <row r="1581">
      <c r="A1581" t="n">
        <v>134</v>
      </c>
      <c r="B1581" t="inlineStr">
        <is>
          <t>B</t>
        </is>
      </c>
      <c r="C1581" t="n">
        <v>3</v>
      </c>
      <c r="D1581" s="3" t="inlineStr">
        <is>
          <t>`tahun mod 4 == 0`: Since 1900 is divisible by 4, this part of the condition is TRUE.</t>
        </is>
      </c>
      <c r="E1581" t="inlineStr">
        <is>
          <t>YA (didukung konteks)</t>
        </is>
      </c>
    </row>
    <row r="1582">
      <c r="A1582" t="n">
        <v>134</v>
      </c>
      <c r="B1582" t="inlineStr">
        <is>
          <t>B</t>
        </is>
      </c>
      <c r="C1582" t="n">
        <v>4</v>
      </c>
      <c r="D1582" s="3" t="inlineStr">
        <is>
          <t>According to the pseudocode, since the condition is TRUE, it should print 'kabisat'.</t>
        </is>
      </c>
      <c r="E1582" t="inlineStr">
        <is>
          <t>YA (didukung konteks)</t>
        </is>
      </c>
    </row>
    <row r="1583">
      <c r="A1583" t="n">
        <v>134</v>
      </c>
      <c r="B1583" t="inlineStr">
        <is>
          <t>B</t>
        </is>
      </c>
      <c r="C1583" t="n">
        <v>5</v>
      </c>
      <c r="D1583" s="3" t="inlineStr">
        <is>
          <t>if (tahun mod 4 == 0 AND tahun mod 100 != 0) OR (tahun mod 400 == 0)</t>
        </is>
      </c>
      <c r="E1583" t="inlineStr">
        <is>
          <t>YA (didukung konteks)</t>
        </is>
      </c>
    </row>
    <row r="1584">
      <c r="A1584" t="n">
        <v>134</v>
      </c>
      <c r="B1584" t="inlineStr">
        <is>
          <t>B</t>
        </is>
      </c>
      <c r="C1584" t="n">
        <v>6</v>
      </c>
      <c r="D1584" s="3" t="inlineStr">
        <is>
          <t>Let's analyze the pseudocode and input together!</t>
        </is>
      </c>
      <c r="E1584" t="inlineStr">
        <is>
          <t>YA (didukung konteks)</t>
        </is>
      </c>
    </row>
    <row r="1585">
      <c r="A1585" t="n">
        <v>135</v>
      </c>
      <c r="B1585" t="inlineStr">
        <is>
          <t>A</t>
        </is>
      </c>
      <c r="C1585" t="n">
        <v>1</v>
      </c>
      <c r="D1585" s="3" t="inlineStr">
        <is>
          <t>A conditional statement, also known as an "if-else" statement, is used to execute different blocks of code based on certain conditions or rules.</t>
        </is>
      </c>
      <c r="E1585" t="inlineStr">
        <is>
          <t>YA (didukung konteks)</t>
        </is>
      </c>
    </row>
    <row r="1586">
      <c r="A1586" t="n">
        <v>135</v>
      </c>
      <c r="B1586" t="inlineStr">
        <is>
          <t>A</t>
        </is>
      </c>
      <c r="C1586" t="n">
        <v>2</v>
      </c>
      <c r="D1586" s="3" t="inlineStr">
        <is>
          <t>This conditional statement helps you handle the special case of division by zero in a way that's both correct and user-friendly.</t>
        </is>
      </c>
      <c r="E1586" t="inlineStr">
        <is>
          <t>YA (didukung konteks)</t>
        </is>
      </c>
    </row>
    <row r="1587">
      <c r="A1587" t="n">
        <v>135</v>
      </c>
      <c r="B1587" t="inlineStr">
        <is>
          <t>A</t>
        </is>
      </c>
      <c r="C1587" t="n">
        <v>3</v>
      </c>
      <c r="D1587" s="3" t="inlineStr">
        <is>
          <t>I understand your concern about writing a pseudocode for a simple calculator that handles division by zero.</t>
        </is>
      </c>
      <c r="E1587" t="inlineStr">
        <is>
          <t>YA (didukung konteks)</t>
        </is>
      </c>
    </row>
    <row r="1588">
      <c r="A1588" t="n">
        <v>135</v>
      </c>
      <c r="B1588" t="inlineStr">
        <is>
          <t>A</t>
        </is>
      </c>
      <c r="C1588" t="n">
        <v>4</v>
      </c>
      <c r="D1588" s="3" t="inlineStr">
        <is>
          <t>In the context of your simple calculator, you might use a conditional statement to handle division by zero.</t>
        </is>
      </c>
      <c r="E1588" t="inlineStr">
        <is>
          <t>YA (didukung konteks)</t>
        </is>
      </c>
    </row>
    <row r="1589">
      <c r="A1589" t="n">
        <v>135</v>
      </c>
      <c r="B1589" t="inlineStr">
        <is>
          <t>A</t>
        </is>
      </c>
      <c r="C1589" t="n">
        <v>5</v>
      </c>
      <c r="D1589" s="3" t="inlineStr">
        <is>
          <t>To address your question, let's first review the concept of conditional statements in programming.</t>
        </is>
      </c>
      <c r="E1589" t="inlineStr">
        <is>
          <t>TIDAK (tidak didukung)</t>
        </is>
      </c>
    </row>
    <row r="1590">
      <c r="A1590" t="n">
        <v>135</v>
      </c>
      <c r="B1590" t="inlineStr">
        <is>
          <t>A</t>
        </is>
      </c>
      <c r="C1590" t="n">
        <v>6</v>
      </c>
      <c r="D1590" s="3" t="inlineStr">
        <is>
          <t>You're right to wonder if you need to add a special conditional statement for this case.</t>
        </is>
      </c>
      <c r="E1590" t="inlineStr">
        <is>
          <t>YA (didukung konteks)</t>
        </is>
      </c>
    </row>
    <row r="1591">
      <c r="A1591" t="n">
        <v>135</v>
      </c>
      <c r="B1591" t="inlineStr">
        <is>
          <t>B</t>
        </is>
      </c>
      <c r="C1591" t="n">
        <v>1</v>
      </c>
      <c r="D1591" s="3" t="inlineStr">
        <is>
          <t>Jika operator adalah '/' dan num2 adalah 0, maka program akan mencetak pesan error "Error: division by zero" dan tidak melakukan operasi pembagian.</t>
        </is>
      </c>
      <c r="E1591" t="inlineStr">
        <is>
          <t>YA (didukung konteks)</t>
        </is>
      </c>
    </row>
    <row r="1592">
      <c r="A1592" t="n">
        <v>135</v>
      </c>
      <c r="B1592" t="inlineStr">
        <is>
          <t>B</t>
        </is>
      </c>
      <c r="C1592" t="n">
        <v>2</v>
      </c>
      <c r="D1592" s="3" t="inlineStr">
        <is>
          <t>Karena, jika operator adalah '/' dan hasilnya menjadi 0 (nol), maka program akan mengalami error division by zero.</t>
        </is>
      </c>
      <c r="E1592" t="inlineStr">
        <is>
          <t>YA (didukung konteks)</t>
        </is>
      </c>
    </row>
    <row r="1593">
      <c r="A1593" t="n">
        <v>135</v>
      </c>
      <c r="B1593" t="inlineStr">
        <is>
          <t>B</t>
        </is>
      </c>
      <c r="C1593" t="n">
        <v>3</v>
      </c>
      <c r="D1593" s="3" t="inlineStr">
        <is>
          <t>Dalam pseudocode di atas, Anda tidak perlu tambahkan percabangan khusus untuk handle pembagian dengan nol.</t>
        </is>
      </c>
      <c r="E1593" t="inlineStr">
        <is>
          <t>YA (didukung konteks)</t>
        </is>
      </c>
    </row>
    <row r="1594">
      <c r="A1594" t="n">
        <v>135</v>
      </c>
      <c r="B1594" t="inlineStr">
        <is>
          <t>B</t>
        </is>
      </c>
      <c r="C1594" t="n">
        <v>4</v>
      </c>
      <c r="D1594" s="3" t="inlineStr">
        <is>
          <t>Handle pembagian dengan nol tidak memerlukan tambahan percabangan khusus.</t>
        </is>
      </c>
      <c r="E1594" t="inlineStr">
        <is>
          <t>YA (didukung konteks)</t>
        </is>
      </c>
    </row>
    <row r="1595">
      <c r="A1595" t="n">
        <v>135</v>
      </c>
      <c r="B1595" t="inlineStr">
        <is>
          <t>B</t>
        </is>
      </c>
      <c r="C1595" t="n">
        <v>5</v>
      </c>
      <c r="D1595" s="3" t="inlineStr">
        <is>
          <t>Dalam pseudocode, Anda dapat menulis seperti berikut:</t>
        </is>
      </c>
      <c r="E1595" t="inlineStr">
        <is>
          <t>YA (didukung konteks)</t>
        </is>
      </c>
    </row>
    <row r="1596">
      <c r="A1596" t="n">
        <v>136</v>
      </c>
      <c r="B1596" t="inlineStr">
        <is>
          <t>A</t>
        </is>
      </c>
      <c r="C1596" t="n">
        <v>1</v>
      </c>
      <c r="D1596" s="3" t="inlineStr">
        <is>
          <t>Kondisi-kondisi tersebut harus dipertimbangkan secara berurutan hingga salah satu kondisi terpenuhi.</t>
        </is>
      </c>
      <c r="E1596" t="inlineStr">
        <is>
          <t>YA (didukung konteks)</t>
        </is>
      </c>
    </row>
    <row r="1597">
      <c r="A1597" t="n">
        <v>136</v>
      </c>
      <c r="B1597" t="inlineStr">
        <is>
          <t>A</t>
        </is>
      </c>
      <c r="C1597" t="n">
        <v>2</v>
      </c>
      <c r="D1597" s="3" t="inlineStr">
        <is>
          <t>Percabangan yang diberikan adalah bentuk 2 — Bersarang Sekuensial (else-if).</t>
        </is>
      </c>
      <c r="E1597" t="inlineStr">
        <is>
          <t>YA (didukung konteks)</t>
        </is>
      </c>
    </row>
    <row r="1598">
      <c r="A1598" t="n">
        <v>136</v>
      </c>
      <c r="B1598" t="inlineStr">
        <is>
          <t>A</t>
        </is>
      </c>
      <c r="C1598" t="n">
        <v>3</v>
      </c>
      <c r="D1598" s="3" t="inlineStr">
        <is>
          <t>Nilai input: b=12, c=9 → True → print(12)</t>
        </is>
      </c>
      <c r="E1598" t="inlineStr">
        <is>
          <t>YA (didukung konteks)</t>
        </is>
      </c>
    </row>
    <row r="1599">
      <c r="A1599" t="n">
        <v>136</v>
      </c>
      <c r="B1599" t="inlineStr">
        <is>
          <t>B</t>
        </is>
      </c>
      <c r="C1599" t="n">
        <v>1</v>
      </c>
      <c r="D1599" s="3" t="inlineStr">
        <is>
          <t>Dalam jalur else-nya, kita lihat lagi konstruksi if-else: `if (b &gt; c) then print(b) else print(c)`.</t>
        </is>
      </c>
      <c r="E1599" t="inlineStr">
        <is>
          <t>YA (didukung konteks)</t>
        </is>
      </c>
    </row>
    <row r="1600">
      <c r="A1600" t="n">
        <v>136</v>
      </c>
      <c r="B1600" t="inlineStr">
        <is>
          <t>B</t>
        </is>
      </c>
      <c r="C1600" t="n">
        <v>2</v>
      </c>
      <c r="D1600" s="3" t="inlineStr">
        <is>
          <t>Pertama-tama, kita lihat statement `read(a, b, c)` yang mengisi nilai a, b, dan c.</t>
        </is>
      </c>
      <c r="E1600" t="inlineStr">
        <is>
          <t>YA (didukung konteks)</t>
        </is>
      </c>
    </row>
    <row r="1601">
      <c r="A1601" t="n">
        <v>136</v>
      </c>
      <c r="B1601" t="inlineStr">
        <is>
          <t>B</t>
        </is>
      </c>
      <c r="C1601" t="n">
        <v>3</v>
      </c>
      <c r="D1601" s="3" t="inlineStr">
        <is>
          <t>Maka, kondisi `(a &gt; b)` bernilai FALSE, karena 7 tidak lebih besar dari 12.</t>
        </is>
      </c>
      <c r="E1601" t="inlineStr">
        <is>
          <t>TIDAK (tidak didukung)</t>
        </is>
      </c>
    </row>
    <row r="1602">
      <c r="A1602" t="n">
        <v>136</v>
      </c>
      <c r="B1602" t="inlineStr">
        <is>
          <t>B</t>
        </is>
      </c>
      <c r="C1602" t="n">
        <v>4</v>
      </c>
      <c r="D1602" s="3" t="inlineStr">
        <is>
          <t>Kondisi `(b &gt; c)` bernilai TRUE, karena 12 lebih besar dari 9.</t>
        </is>
      </c>
      <c r="E1602" t="inlineStr">
        <is>
          <t>TIDAK (tidak didukung)</t>
        </is>
      </c>
    </row>
    <row r="1603">
      <c r="A1603" t="n">
        <v>136</v>
      </c>
      <c r="B1603" t="inlineStr">
        <is>
          <t>B</t>
        </is>
      </c>
      <c r="C1603" t="n">
        <v>5</v>
      </c>
      <c r="D1603" s="3" t="inlineStr">
        <is>
          <t>Kemudian, kita lihat konstruksi kondisional if-else.</t>
        </is>
      </c>
      <c r="E1603" t="inlineStr">
        <is>
          <t>YA (didukung konteks)</t>
        </is>
      </c>
    </row>
    <row r="1604">
      <c r="A1604" t="n">
        <v>136</v>
      </c>
      <c r="B1604" t="inlineStr">
        <is>
          <t>B</t>
        </is>
      </c>
      <c r="C1604" t="n">
        <v>6</v>
      </c>
      <c r="D1604" s="3" t="inlineStr">
        <is>
          <t>Pada saat ini, nilai a = 7, b = 12, dan c = 9.</t>
        </is>
      </c>
      <c r="E1604" t="inlineStr">
        <is>
          <t>YA (didukung konteks)</t>
        </is>
      </c>
    </row>
    <row r="1605">
      <c r="A1605" t="n">
        <v>137</v>
      </c>
      <c r="B1605" t="inlineStr">
        <is>
          <t>A</t>
        </is>
      </c>
      <c r="C1605" t="n">
        <v>1</v>
      </c>
      <c r="D1605" s="3" t="inlineStr">
        <is>
          <t>Dalam materi referensi, dosen menjelaskan bahwa perbedaan antara 'short-circuit evaluation' dalam ekspresi AND dan OR adalah bahwa jika kondisi pertama False dalam ekspresi AND, maka kondisi kedua tidak dievaluasi sama s</t>
        </is>
      </c>
      <c r="E1605" t="inlineStr">
        <is>
          <t>YA (didukung konteks)</t>
        </is>
      </c>
    </row>
    <row r="1606">
      <c r="A1606" t="n">
        <v>137</v>
      </c>
      <c r="B1606" t="inlineStr">
        <is>
          <t>A</t>
        </is>
      </c>
      <c r="C1606" t="n">
        <v>2</v>
      </c>
      <c r="D1606" s="3" t="inlineStr">
        <is>
          <t>Contohnya, dalam soal 1 Maks 2 Bilangan, pseudocode menggunakan if-else statement untuk menentukan bilangan terbesar dari dua bilangan a dan b.</t>
        </is>
      </c>
      <c r="E1606" t="inlineStr">
        <is>
          <t>YA (didukung konteks)</t>
        </is>
      </c>
    </row>
    <row r="1607">
      <c r="A1607" t="n">
        <v>137</v>
      </c>
      <c r="B1607" t="inlineStr">
        <is>
          <t>A</t>
        </is>
      </c>
      <c r="C1607" t="n">
        <v>3</v>
      </c>
      <c r="D1607" s="3" t="inlineStr">
        <is>
          <t>Pseudocode CT menggunakan loop (perulangan) untuk mengulang pelaksanaan instruksi tertentu sampai suatu kondisi yang ditetapkan terpenuhi.</t>
        </is>
      </c>
      <c r="E1607" t="inlineStr">
        <is>
          <t>YA (didukung konteks)</t>
        </is>
      </c>
    </row>
    <row r="1608">
      <c r="A1608" t="n">
        <v>137</v>
      </c>
      <c r="B1608" t="inlineStr">
        <is>
          <t>A</t>
        </is>
      </c>
      <c r="C1608" t="n">
        <v>4</v>
      </c>
      <c r="D1608" s="3" t="inlineStr">
        <is>
          <t>Dalam kasus ini, jika kondisi a &gt; b False, maka kondisi else tidak akan dievaluasi dan instruksi di dalamnya tidak akan dijalankan.</t>
        </is>
      </c>
      <c r="E1608" t="inlineStr">
        <is>
          <t>YA (didukung konteks)</t>
        </is>
      </c>
    </row>
    <row r="1609">
      <c r="A1609" t="n">
        <v>137</v>
      </c>
      <c r="B1609" t="inlineStr">
        <is>
          <t>A</t>
        </is>
      </c>
      <c r="C1609" t="n">
        <v>5</v>
      </c>
      <c r="D1609" s="3" t="inlineStr">
        <is>
          <t>Jadi, dalam pseudocode CT, tidak semua kondisi harus dievaluasi, tetapi hanya jika diperlukan untuk menghasilkan output yang tepat.</t>
        </is>
      </c>
      <c r="E1609" t="inlineStr">
        <is>
          <t>YA (didukung konteks)</t>
        </is>
      </c>
    </row>
    <row r="1610">
      <c r="A1610" t="n">
        <v>137</v>
      </c>
      <c r="B1610" t="inlineStr">
        <is>
          <t>A</t>
        </is>
      </c>
      <c r="C1610" t="n">
        <v>6</v>
      </c>
      <c r="D1610" s="3" t="inlineStr">
        <is>
          <t>Dalam kasus ini, jika kondisi a &gt; b False, maka kondisi else akan dievaluasi dan instruksi di dalamnya akan dijalankan.</t>
        </is>
      </c>
      <c r="E1610" t="inlineStr">
        <is>
          <t>YA (didukung konteks)</t>
        </is>
      </c>
    </row>
    <row r="1611">
      <c r="A1611" t="n">
        <v>137</v>
      </c>
      <c r="B1611" t="inlineStr">
        <is>
          <t>B</t>
        </is>
      </c>
      <c r="C1611" t="n">
        <v>1</v>
      </c>
      <c r="D1611" s="3" t="inlineStr">
        <is>
          <t>Hanya jika menggunakan "short-circuit evaluation" seperti pada ekspresi logika AND dan OR, maka kondisi-kondisi lainnya hanya akan dievaluasi jika kondisi pertama bernilai False (AND) atau True (OR).</t>
        </is>
      </c>
      <c r="E1611" t="inlineStr">
        <is>
          <t>YA (didukung konteks)</t>
        </is>
      </c>
    </row>
    <row r="1612">
      <c r="A1612" t="n">
        <v>137</v>
      </c>
      <c r="B1612" t="inlineStr">
        <is>
          <t>B</t>
        </is>
      </c>
      <c r="C1612" t="n">
        <v>2</v>
      </c>
      <c r="D1612" s="3" t="inlineStr">
        <is>
          <t>Pseudocode ini memungkinkan semua kondisi dievaluasi, sehingga tidak terdapat "short-circuit evaluation" seperti yang kita lihat pada ekspresi logika AND dan OR.</t>
        </is>
      </c>
      <c r="E1612" t="inlineStr">
        <is>
          <t>YA (didukung konteks)</t>
        </is>
      </c>
    </row>
    <row r="1613">
      <c r="A1613" t="n">
        <v>137</v>
      </c>
      <c r="B1613" t="inlineStr">
        <is>
          <t>B</t>
        </is>
      </c>
      <c r="C1613" t="n">
        <v>3</v>
      </c>
      <c r="D1613" s="3" t="inlineStr">
        <is>
          <t>Karena jika kondisi pertama adalah False, maka hasil akhir dari ekspresi AND pasti akan menjadi False, tidak peduli bagaimana kondisi-kondisi lain.</t>
        </is>
      </c>
      <c r="E1613" t="inlineStr">
        <is>
          <t>YA (didukung konteks)</t>
        </is>
      </c>
    </row>
    <row r="1614">
      <c r="A1614" t="n">
        <v>137</v>
      </c>
      <c r="B1614" t="inlineStr">
        <is>
          <t>B</t>
        </is>
      </c>
      <c r="C1614" t="n">
        <v>4</v>
      </c>
      <c r="D1614" s="3" t="inlineStr">
        <is>
          <t>Karena jika kondisi pertama adalah True, maka hasil akhir dari ekspresi OR pasti akan menjadi True, tidak peduli bagaimana kondisi-kondisi lain.</t>
        </is>
      </c>
      <c r="E1614" t="inlineStr">
        <is>
          <t>YA (didukung konteks)</t>
        </is>
      </c>
    </row>
    <row r="1615">
      <c r="A1615" t="n">
        <v>137</v>
      </c>
      <c r="B1615" t="inlineStr">
        <is>
          <t>B</t>
        </is>
      </c>
      <c r="C1615" t="n">
        <v>5</v>
      </c>
      <c r="D1615" s="3" t="inlineStr">
        <is>
          <t>Dosen Anda benar-benar memiliki poin yang penting tentang "short-circuit evaluation" (pengevaluasian singkat) dalam ekspresi logika AND dan OR.</t>
        </is>
      </c>
      <c r="E1615" t="inlineStr">
        <is>
          <t>YA (didukung konteks)</t>
        </is>
      </c>
    </row>
    <row r="1616">
      <c r="A1616" t="n">
        <v>137</v>
      </c>
      <c r="B1616" t="inlineStr">
        <is>
          <t>B</t>
        </is>
      </c>
      <c r="C1616" t="n">
        <v>6</v>
      </c>
      <c r="D1616" s="3" t="inlineStr">
        <is>
          <t>Namun, pada kasus OR, ketika kondisi pertama True, maka kondisi-kondisi lainnya tidak perlu dievaluasi lagi.</t>
        </is>
      </c>
      <c r="E1616" t="inlineStr">
        <is>
          <t>YA (didukung konteks)</t>
        </is>
      </c>
    </row>
    <row r="1617">
      <c r="A1617" t="n">
        <v>138</v>
      </c>
      <c r="B1617" t="inlineStr">
        <is>
          <t>A</t>
        </is>
      </c>
      <c r="C1617" t="n">
        <v>1</v>
      </c>
      <c r="D1617" s="3" t="inlineStr">
        <is>
          <t>Menggunakan while loop memungkinkan kita untuk mengulangi penghitungan faktorial sampai nilai faktorial n tercapai, tanpa harus mengetahui jumlah pengulangan yang diperlukan sebelumnya.</t>
        </is>
      </c>
      <c r="E1617" t="inlineStr">
        <is>
          <t>YA (didukung konteks)</t>
        </is>
      </c>
    </row>
    <row r="1618">
      <c r="A1618" t="n">
        <v>138</v>
      </c>
      <c r="B1618" t="inlineStr">
        <is>
          <t>A</t>
        </is>
      </c>
      <c r="C1618" t="n">
        <v>2</v>
      </c>
      <c r="D1618" s="3" t="inlineStr">
        <is>
          <t>* While loop: digunakan ketika jumlah pengulangan yang diperlukan tidak selalu diketahui sebelumnya, melainkan bergantung pada kondisi yang dievaluasi selama algoritme berjalan.</t>
        </is>
      </c>
      <c r="E1618" t="inlineStr">
        <is>
          <t>YA (didukung konteks)</t>
        </is>
      </c>
    </row>
    <row r="1619">
      <c r="A1619" t="n">
        <v>138</v>
      </c>
      <c r="B1619" t="inlineStr">
        <is>
          <t>A</t>
        </is>
      </c>
      <c r="C1619" t="n">
        <v>3</v>
      </c>
      <c r="D1619" s="3" t="inlineStr">
        <is>
          <t>Dalam kasus ini, kita akan menggunakan while loop karena kita tidak tahu sebelumnya berapa banyak pengulangan diperlukan untuk mencapai nilai faktorial n.</t>
        </is>
      </c>
      <c r="E1619" t="inlineStr">
        <is>
          <t>YA (didukung konteks)</t>
        </is>
      </c>
    </row>
    <row r="1620">
      <c r="A1620" t="n">
        <v>138</v>
      </c>
      <c r="B1620" t="inlineStr">
        <is>
          <t>A</t>
        </is>
      </c>
      <c r="C1620" t="n">
        <v>4</v>
      </c>
      <c r="D1620" s="3" t="inlineStr">
        <is>
          <t>Untuk soal CT, kita akan menulis pseudocode untuk menghitung nilai faktorial n menggunakan while loop (bukan rekursi).</t>
        </is>
      </c>
      <c r="E1620" t="inlineStr">
        <is>
          <t>YA (didukung konteks)</t>
        </is>
      </c>
    </row>
    <row r="1621">
      <c r="A1621" t="n">
        <v>138</v>
      </c>
      <c r="B1621" t="inlineStr">
        <is>
          <t>A</t>
        </is>
      </c>
      <c r="C1621" t="n">
        <v>5</v>
      </c>
      <c r="D1621" s="3" t="inlineStr">
        <is>
          <t>Contoh, kita ingin mengulangi sampai nilai faktorial n tercapai maka kita menggunakan `while ...</t>
        </is>
      </c>
      <c r="E1621" t="inlineStr">
        <is>
          <t>YA (didukung konteks)</t>
        </is>
      </c>
    </row>
    <row r="1622">
      <c r="A1622" t="n">
        <v>138</v>
      </c>
      <c r="B1622" t="inlineStr">
        <is>
          <t>A</t>
        </is>
      </c>
      <c r="C1622" t="n">
        <v>6</v>
      </c>
      <c r="D1622" s="3" t="inlineStr">
        <is>
          <t>* For loop: digunakan ketika jumlah pengulangan yang diperlukan selalu diketahui sebelumnya.</t>
        </is>
      </c>
      <c r="E1622" t="inlineStr">
        <is>
          <t>TIDAK (tidak didukung)</t>
        </is>
      </c>
    </row>
    <row r="1623">
      <c r="A1623" t="n">
        <v>138</v>
      </c>
      <c r="B1623" t="inlineStr">
        <is>
          <t>B</t>
        </is>
      </c>
      <c r="C1623" t="n">
        <v>1</v>
      </c>
      <c r="D1623" s="3" t="inlineStr">
        <is>
          <t>* Dalam for loop, inisialisasi dan increment/decrement dilakukan secara otomatis pada setiap iterasi, sehingga Anda tidak perlu membuat variabel tambahan untuk menginisialisasi atau meningkatkan nilai.</t>
        </is>
      </c>
      <c r="E1623" t="inlineStr">
        <is>
          <t>TIDAK (tidak didukung)</t>
        </is>
      </c>
    </row>
    <row r="1624">
      <c r="A1624" t="n">
        <v>138</v>
      </c>
      <c r="B1624" t="inlineStr">
        <is>
          <t>B</t>
        </is>
      </c>
      <c r="C1624" t="n">
        <v>2</v>
      </c>
      <c r="D1624" s="3" t="inlineStr">
        <is>
          <t>* Dalam while loop, Anda harus membuat variabel tambahan untuk menginisialisasi atau meningkatkan nilai, seperti yang kita lakukan dengan variabel `x` dan `i` dalam pseudocode di atas.</t>
        </is>
      </c>
      <c r="E1624" t="inlineStr">
        <is>
          <t>YA (didukung konteks)</t>
        </is>
      </c>
    </row>
    <row r="1625">
      <c r="A1625" t="n">
        <v>138</v>
      </c>
      <c r="B1625" t="inlineStr">
        <is>
          <t>B</t>
        </is>
      </c>
      <c r="C1625" t="n">
        <v>3</v>
      </c>
      <c r="D1625" s="3" t="inlineStr">
        <is>
          <t>Kedua sintaks dapat digunakan untuk menghitung faktorial n, tetapi while loop memungkinkan Anda untuk lebih memiliki kontrol terhadap proses penghitungan.</t>
        </is>
      </c>
      <c r="E1625" t="inlineStr">
        <is>
          <t>YA (didukung konteks)</t>
        </is>
      </c>
    </row>
    <row r="1626">
      <c r="A1626" t="n">
        <v>138</v>
      </c>
      <c r="B1626" t="inlineStr">
        <is>
          <t>B</t>
        </is>
      </c>
      <c r="C1626" t="n">
        <v>4</v>
      </c>
      <c r="D1626" s="3" t="inlineStr">
        <is>
          <t>* For loop memiliki sintaks `for (inisialisasi; kondisi; increment/decrement)`, sedangkan while loop memiliki sintaks `while (kondisi)`.</t>
        </is>
      </c>
      <c r="E1626" t="inlineStr">
        <is>
          <t>TIDAK (tidak didukung)</t>
        </is>
      </c>
    </row>
    <row r="1627">
      <c r="A1627" t="n">
        <v>138</v>
      </c>
      <c r="B1627" t="inlineStr">
        <is>
          <t>B</t>
        </is>
      </c>
      <c r="C1627" t="n">
        <v>5</v>
      </c>
      <c r="D1627" s="3" t="inlineStr">
        <is>
          <t>Pseudocode untuk menghitung nilai faktorial n menggunakan while loop adalah sebagai berikut:</t>
        </is>
      </c>
      <c r="E1627" t="inlineStr">
        <is>
          <t>YA (didukung konteks)</t>
        </is>
      </c>
    </row>
    <row r="1628">
      <c r="A1628" t="n">
        <v>138</v>
      </c>
      <c r="B1628" t="inlineStr">
        <is>
          <t>B</t>
        </is>
      </c>
      <c r="C1628" t="n">
        <v>6</v>
      </c>
      <c r="D1628" s="3" t="inlineStr">
        <is>
          <t>Namun, pada kasus ini, perbedaan tersebut tidak berpengaruh signifikan pada logika program.</t>
        </is>
      </c>
      <c r="E1628" t="inlineStr">
        <is>
          <t>YA (didukung konteks)</t>
        </is>
      </c>
    </row>
    <row r="1629">
      <c r="A1629" t="n">
        <v>139</v>
      </c>
      <c r="B1629" t="inlineStr">
        <is>
          <t>A</t>
        </is>
      </c>
      <c r="C1629" t="n">
        <v>1</v>
      </c>
      <c r="D1629" s="3" t="inlineStr">
        <is>
          <t>Saya rasa Anda sudah dapat melihat bahwa perulangan ini memanggil bilangan-bilangan pangkat (kuadrat) dan meningkatkan nilai x.</t>
        </is>
      </c>
      <c r="E1629" t="inlineStr">
        <is>
          <t>TIDAK (tidak didukung)</t>
        </is>
      </c>
    </row>
    <row r="1630">
      <c r="A1630" t="n">
        <v>139</v>
      </c>
      <c r="B1630" t="inlineStr">
        <is>
          <t>A</t>
        </is>
      </c>
      <c r="C1630" t="n">
        <v>2</v>
      </c>
      <c r="D1630" s="3" t="inlineStr">
        <is>
          <t>`jumlah = jumlah + x * x`: jumlah digunakan untuk menghitung hasil perkalian x dengan dirinya sendiri.</t>
        </is>
      </c>
      <c r="E1630" t="inlineStr">
        <is>
          <t>TIDAK (tidak didukung)</t>
        </is>
      </c>
    </row>
    <row r="1631">
      <c r="A1631" t="n">
        <v>139</v>
      </c>
      <c r="B1631" t="inlineStr">
        <is>
          <t>A</t>
        </is>
      </c>
      <c r="C1631" t="n">
        <v>3</v>
      </c>
      <c r="D1631" s="3" t="inlineStr">
        <is>
          <t>Kondisi diwhile statement adalah `x &lt;= 5`, sehingga loop akan berhenti ketika x melebihi 5.</t>
        </is>
      </c>
      <c r="E1631" t="inlineStr">
        <is>
          <t>TIDAK (tidak didukung)</t>
        </is>
      </c>
    </row>
    <row r="1632">
      <c r="A1632" t="n">
        <v>139</v>
      </c>
      <c r="B1632" t="inlineStr">
        <is>
          <t>A</t>
        </is>
      </c>
      <c r="C1632" t="n">
        <v>4</v>
      </c>
      <c r="D1632" s="3" t="inlineStr">
        <is>
          <t>Kemudian, mari kita lihat apa yang terjadi dalam setiap iterasi loop:</t>
        </is>
      </c>
      <c r="E1632" t="inlineStr">
        <is>
          <t>YA (didukung konteks)</t>
        </is>
      </c>
    </row>
    <row r="1633">
      <c r="A1633" t="n">
        <v>139</v>
      </c>
      <c r="B1633" t="inlineStr">
        <is>
          <t>A</t>
        </is>
      </c>
      <c r="C1633" t="n">
        <v>5</v>
      </c>
      <c r="D1633" s="3" t="inlineStr">
        <is>
          <t>Dengan demikian, hasil yang benar adalah 151, bukan 55 atau 15!</t>
        </is>
      </c>
      <c r="E1633" t="inlineStr">
        <is>
          <t>YA (didukung konteks)</t>
        </is>
      </c>
    </row>
    <row r="1634">
      <c r="A1634" t="n">
        <v>139</v>
      </c>
      <c r="B1634" t="inlineStr">
        <is>
          <t>A</t>
        </is>
      </c>
      <c r="C1634" t="n">
        <v>6</v>
      </c>
      <c r="D1634" s="3" t="inlineStr">
        <is>
          <t>Pertanyaan mahasiswa: Saya latihan trace while loop:</t>
        </is>
      </c>
      <c r="E1634" t="inlineStr">
        <is>
          <t>YA (didukung konteks)</t>
        </is>
      </c>
    </row>
    <row r="1635">
      <c r="A1635" t="n">
        <v>139</v>
      </c>
      <c r="B1635" t="inlineStr">
        <is>
          <t>B</t>
        </is>
      </c>
      <c r="C1635" t="n">
        <v>1</v>
      </c>
      <c r="D1635" s="3" t="inlineStr">
        <is>
          <t>Dalam while loop, `x` dikali dengan dirinya sendiri (`x * x`) lalu ditambahkan ke `jumlah`.</t>
        </is>
      </c>
      <c r="E1635" t="inlineStr">
        <is>
          <t>TIDAK (tidak didukung)</t>
        </is>
      </c>
    </row>
    <row r="1636">
      <c r="A1636" t="n">
        <v>139</v>
      </c>
      <c r="B1636" t="inlineStr">
        <is>
          <t>B</t>
        </is>
      </c>
      <c r="C1636" t="n">
        <v>2</v>
      </c>
      <c r="D1636" s="3" t="inlineStr">
        <is>
          <t>* Pada iterasi kelima dan terakhir (`x = 5`), `jumlah` menjadi `26 + 5 * 5 = 41`.</t>
        </is>
      </c>
      <c r="E1636" t="inlineStr">
        <is>
          <t>TIDAK (tidak didukung)</t>
        </is>
      </c>
    </row>
    <row r="1637">
      <c r="A1637" t="n">
        <v>139</v>
      </c>
      <c r="B1637" t="inlineStr">
        <is>
          <t>B</t>
        </is>
      </c>
      <c r="C1637" t="n">
        <v>3</v>
      </c>
      <c r="D1637" s="3" t="inlineStr">
        <is>
          <t>Harap berhati-hati dalam menulis program dan memeriksa logika Anda kembali!</t>
        </is>
      </c>
      <c r="E1637" t="inlineStr">
        <is>
          <t>YA (didukung konteks)</t>
        </is>
      </c>
    </row>
    <row r="1638">
      <c r="A1638" t="n">
        <v>139</v>
      </c>
      <c r="B1638" t="inlineStr">
        <is>
          <t>B</t>
        </is>
      </c>
      <c r="C1638" t="n">
        <v>4</v>
      </c>
      <c r="D1638" s="3" t="inlineStr">
        <is>
          <t>* Pada iterasi keempat (`x = 4`), `jumlah` menjadi `14 + 4 * 4 = 26`.</t>
        </is>
      </c>
      <c r="E1638" t="inlineStr">
        <is>
          <t>TIDAK (tidak didukung)</t>
        </is>
      </c>
    </row>
    <row r="1639">
      <c r="A1639" t="n">
        <v>139</v>
      </c>
      <c r="B1639" t="inlineStr">
        <is>
          <t>B</t>
        </is>
      </c>
      <c r="C1639" t="n">
        <v>5</v>
      </c>
      <c r="D1639" s="3" t="inlineStr">
        <is>
          <t>Proses di atas dilakukan selama `x` masih kurang atau sama dengan 5.</t>
        </is>
      </c>
      <c r="E1639" t="inlineStr">
        <is>
          <t>YA (didukung konteks)</t>
        </is>
      </c>
    </row>
    <row r="1640">
      <c r="A1640" t="n">
        <v>139</v>
      </c>
      <c r="B1640" t="inlineStr">
        <is>
          <t>B</t>
        </is>
      </c>
      <c r="C1640" t="n">
        <v>6</v>
      </c>
      <c r="D1640" s="3" t="inlineStr">
        <is>
          <t>* Pada iterasi pertama (`x = 1`), `jumlah` menjadi `0 + 1 * 1 = 1`.</t>
        </is>
      </c>
      <c r="E1640" t="inlineStr">
        <is>
          <t>TIDAK (tidak didukung)</t>
        </is>
      </c>
    </row>
    <row r="1641">
      <c r="A1641" t="n">
        <v>140</v>
      </c>
      <c r="B1641" t="inlineStr">
        <is>
          <t>A</t>
        </is>
      </c>
      <c r="C1641" t="n">
        <v>1</v>
      </c>
      <c r="D1641" s="3" t="inlineStr">
        <is>
          <t>Untuk soal ini, kita perlu membuat pseudocode yang memenuhi syarat: menentukan berapa banyak bilangan antara 1 sampai 1000 yang habis dibagi 3 TAPI tidak habis dibagi 9.</t>
        </is>
      </c>
      <c r="E1641" t="inlineStr">
        <is>
          <t>YA (didukung konteks)</t>
        </is>
      </c>
    </row>
    <row r="1642">
      <c r="A1642" t="n">
        <v>140</v>
      </c>
      <c r="B1642" t="inlineStr">
        <is>
          <t>A</t>
        </is>
      </c>
      <c r="C1642" t="n">
        <v>2</v>
      </c>
      <c r="D1642" s="3" t="inlineStr">
        <is>
          <t>Dengan demikian, pseudocode di atas memenuhi syarat: menentukan berapa banyak bilangan antara 1 sampai 1000 yang habis dibagi 3 TAPI tidak habis dibagi 9.</t>
        </is>
      </c>
      <c r="E1642" t="inlineStr">
        <is>
          <t>YA (didukung konteks)</t>
        </is>
      </c>
    </row>
    <row r="1643">
      <c r="A1643" t="n">
        <v>140</v>
      </c>
      <c r="B1643" t="inlineStr">
        <is>
          <t>A</t>
        </is>
      </c>
      <c r="C1643" t="n">
        <v>3</v>
      </c>
      <c r="D1643" s="3" t="inlineStr">
        <is>
          <t>Dalam setiap iterasi, program mengecek apakah bilangan `i` habis dibagi 3 dan tidak habis dibagi 9.</t>
        </is>
      </c>
      <c r="E1643" t="inlineStr">
        <is>
          <t>YA (didukung konteks)</t>
        </is>
      </c>
    </row>
    <row r="1644">
      <c r="A1644" t="n">
        <v>140</v>
      </c>
      <c r="B1644" t="inlineStr">
        <is>
          <t>A</t>
        </is>
      </c>
      <c r="C1644" t="n">
        <v>4</v>
      </c>
      <c r="D1644" s="3" t="inlineStr">
        <is>
          <t>Sedangkan dalam do-while, body loop dijalankan minimal 1 kali sebelum cek kondisi.</t>
        </is>
      </c>
      <c r="E1644" t="inlineStr">
        <is>
          <t>YA (didukung konteks)</t>
        </is>
      </c>
    </row>
    <row r="1645">
      <c r="A1645" t="n">
        <v>140</v>
      </c>
      <c r="B1645" t="inlineStr">
        <is>
          <t>A</t>
        </is>
      </c>
      <c r="C1645" t="n">
        <v>5</v>
      </c>
      <c r="D1645" s="3" t="inlineStr">
        <is>
          <t>Dalam while, kondisi dijamin cek terlebih dahulu sebelum menjalankan body loop.</t>
        </is>
      </c>
      <c r="E1645" t="inlineStr">
        <is>
          <t>YA (didukung konteks)</t>
        </is>
      </c>
    </row>
    <row r="1646">
      <c r="A1646" t="n">
        <v>140</v>
      </c>
      <c r="B1646" t="inlineStr">
        <is>
          <t>A</t>
        </is>
      </c>
      <c r="C1646" t="n">
        <v>6</v>
      </c>
      <c r="D1646" s="3" t="inlineStr">
        <is>
          <t>Jika kondisi terpenuhi, maka program meningkatkan jumlah bilangan yang sesuai.</t>
        </is>
      </c>
      <c r="E1646" t="inlineStr">
        <is>
          <t>YA (didukung konteks)</t>
        </is>
      </c>
    </row>
    <row r="1647">
      <c r="A1647" t="n">
        <v>140</v>
      </c>
      <c r="B1647" t="inlineStr">
        <is>
          <t>B</t>
        </is>
      </c>
      <c r="C1647" t="n">
        <v>1</v>
      </c>
      <c r="D1647" s="3" t="inlineStr">
        <is>
          <t>Dengan demikian, pada akhir perulangan, nilai `count` akan menunjukkan jumlah bilangan antara 1 sampai 1000 yang habis dibagi 3 TAPI tidak habis dibagi 9.</t>
        </is>
      </c>
      <c r="E1647" t="inlineStr">
        <is>
          <t>YA (didukung konteks)</t>
        </is>
      </c>
    </row>
    <row r="1648">
      <c r="A1648" t="n">
        <v>140</v>
      </c>
      <c r="B1648" t="inlineStr">
        <is>
          <t>B</t>
        </is>
      </c>
      <c r="C1648" t="n">
        <v>2</v>
      </c>
      <c r="D1648" s="3" t="inlineStr">
        <is>
          <t>Pseudocode untuk menemukan jumlah bilangan antara 1 sampai 1000 yang habis dibagi 3 TAPI tidak habis dibagi 9 adalah sebagai berikut:</t>
        </is>
      </c>
      <c r="E1648" t="inlineStr">
        <is>
          <t>YA (didukung konteks)</t>
        </is>
      </c>
    </row>
    <row r="1649">
      <c r="A1649" t="n">
        <v>140</v>
      </c>
      <c r="B1649" t="inlineStr">
        <is>
          <t>B</t>
        </is>
      </c>
      <c r="C1649" t="n">
        <v>3</v>
      </c>
      <c r="D1649" s="3" t="inlineStr">
        <is>
          <t>* `count` adalah variabel penjumlahan yang menampung jumlah bilangan yang memenuhi kondisi.</t>
        </is>
      </c>
      <c r="E1649" t="inlineStr">
        <is>
          <t>YA (didukung konteks)</t>
        </is>
      </c>
    </row>
    <row r="1650">
      <c r="A1650" t="n">
        <v>140</v>
      </c>
      <c r="B1650" t="inlineStr">
        <is>
          <t>B</t>
        </is>
      </c>
      <c r="C1650" t="n">
        <v>4</v>
      </c>
      <c r="D1650" s="3" t="inlineStr">
        <is>
          <t>Jika ya, maka bilangan tersebut memenuhi kondisi dan dihitung kembali.</t>
        </is>
      </c>
      <c r="E1650" t="inlineStr">
        <is>
          <t>YA (didukung konteks)</t>
        </is>
      </c>
    </row>
    <row r="1651">
      <c r="A1651" t="n">
        <v>140</v>
      </c>
      <c r="B1651" t="inlineStr">
        <is>
          <t>B</t>
        </is>
      </c>
      <c r="C1651" t="n">
        <v>5</v>
      </c>
      <c r="D1651" s="3" t="inlineStr">
        <is>
          <t>Saya dapat membantu Anda dengan menjawab pertanyaan tersebut!</t>
        </is>
      </c>
      <c r="E1651" t="inlineStr">
        <is>
          <t>YA (didukung konteks)</t>
        </is>
      </c>
    </row>
    <row r="1652">
      <c r="A1652" t="n">
        <v>140</v>
      </c>
      <c r="B1652" t="inlineStr">
        <is>
          <t>B</t>
        </is>
      </c>
      <c r="C1652" t="n">
        <v>6</v>
      </c>
      <c r="D1652" s="3" t="inlineStr">
        <is>
          <t>Jika ya, maka perulangan berhenti dan tidak dihitung kembali.</t>
        </is>
      </c>
      <c r="E1652" t="inlineStr">
        <is>
          <t>YA (didukung konteks)</t>
        </is>
      </c>
    </row>
    <row r="1653">
      <c r="A1653" t="n">
        <v>141</v>
      </c>
      <c r="B1653" t="inlineStr">
        <is>
          <t>A</t>
        </is>
      </c>
      <c r="C1653" t="n">
        <v>1</v>
      </c>
      <c r="D1653" s="3" t="inlineStr">
        <is>
          <t>Dalam pseudocode di atas, kita memiliki loop luar sebanyak `tinggi` dan loop dalam sebanyak `(2*i - 1)`, yang mengulangi pelaksanaan instruksi untuk mencetak bintang pada setiap baris.</t>
        </is>
      </c>
      <c r="E1653" t="inlineStr">
        <is>
          <t>TIDAK (tidak didukung)</t>
        </is>
      </c>
    </row>
    <row r="1654">
      <c r="A1654" t="n">
        <v>141</v>
      </c>
      <c r="B1654" t="inlineStr">
        <is>
          <t>A</t>
        </is>
      </c>
      <c r="C1654" t="n">
        <v>2</v>
      </c>
      <c r="D1654" s="3" t="inlineStr">
        <is>
          <t>Perulangan bersarang adalah suatu struktur kontrol yang memungkinkan algoritme untuk mengulangi pelaksanaan instruksi tertentu sebanyak mungkin, bergantung pada kondisi tertentu.</t>
        </is>
      </c>
      <c r="E1654" t="inlineStr">
        <is>
          <t>YA (didukung konteks)</t>
        </is>
      </c>
    </row>
    <row r="1655">
      <c r="A1655" t="n">
        <v>141</v>
      </c>
      <c r="B1655" t="inlineStr">
        <is>
          <t>A</t>
        </is>
      </c>
      <c r="C1655" t="n">
        <v>3</v>
      </c>
      <c r="D1655" s="3" t="inlineStr">
        <is>
          <t>Saya harap jawaban saya ini membantu mahasiswa memahami konsep perulangan bersarang dan membuat pseudocode untuk mencapai output berlian!</t>
        </is>
      </c>
      <c r="E1655" t="inlineStr">
        <is>
          <t>YA (didukung konteks)</t>
        </is>
      </c>
    </row>
    <row r="1656">
      <c r="A1656" t="n">
        <v>141</v>
      </c>
      <c r="B1656" t="inlineStr">
        <is>
          <t>A</t>
        </is>
      </c>
      <c r="C1656" t="n">
        <v>4</v>
      </c>
      <c r="D1656" s="3" t="inlineStr">
        <is>
          <t>Kita harus menghitung jumlah bintang yang dibutuhkan pada setiap baris dan mengulangi pelaksanaan instruksi tertentu sebanyak mungkin.</t>
        </is>
      </c>
      <c r="E1656" t="inlineStr">
        <is>
          <t>YA (didukung konteks)</t>
        </is>
      </c>
    </row>
    <row r="1657">
      <c r="A1657" t="n">
        <v>141</v>
      </c>
      <c r="B1657" t="inlineStr">
        <is>
          <t>A</t>
        </is>
      </c>
      <c r="C1657" t="n">
        <v>5</v>
      </c>
      <c r="D1657" s="3" t="inlineStr">
        <is>
          <t>Dalam setiap iterasi loop luar, kita menggunakan loop dalam untuk mencetak bintang sebanyak yang dibutuhkan pada baris tersebut.</t>
        </is>
      </c>
      <c r="E1657" t="inlineStr">
        <is>
          <t>YA (didukung konteks)</t>
        </is>
      </c>
    </row>
    <row r="1658">
      <c r="A1658" t="n">
        <v>141</v>
      </c>
      <c r="B1658" t="inlineStr">
        <is>
          <t>A</t>
        </is>
      </c>
      <c r="C1658" t="n">
        <v>6</v>
      </c>
      <c r="D1658" s="3" t="inlineStr">
        <is>
          <t>Kembali ke soal mahasiswa, mereka ingin membuat pseudocode untuk cetak berlian (diamond) dengan output seperti berikut:</t>
        </is>
      </c>
      <c r="E1658" t="inlineStr">
        <is>
          <t>YA (didukung konteks)</t>
        </is>
      </c>
    </row>
    <row r="1659">
      <c r="A1659" t="n">
        <v>141</v>
      </c>
      <c r="B1659" t="inlineStr">
        <is>
          <t>B</t>
        </is>
      </c>
      <c r="C1659" t="n">
        <v>1</v>
      </c>
      <c r="D1659" s="3" t="inlineStr">
        <is>
          <t>Struktur loop yang dibutuhkan adalah `O(tinggi)`, karena kita perlu melakukan looping untuk setiap baris dalam pola berlian.</t>
        </is>
      </c>
      <c r="E1659" t="inlineStr">
        <is>
          <t>YA (didukung konteks)</t>
        </is>
      </c>
    </row>
    <row r="1660">
      <c r="A1660" t="n">
        <v>141</v>
      </c>
      <c r="B1660" t="inlineStr">
        <is>
          <t>B</t>
        </is>
      </c>
      <c r="C1660" t="n">
        <v>2</v>
      </c>
      <c r="D1660" s="3" t="inlineStr">
        <is>
          <t>Pseudocode untuk membuat pola berlian (diamond) dengan tinggi 4 dapat dibuat sebagai berikut:</t>
        </is>
      </c>
      <c r="E1660" t="inlineStr">
        <is>
          <t>TIDAK (tidak didukung)</t>
        </is>
      </c>
    </row>
    <row r="1661">
      <c r="A1661" t="n">
        <v>141</v>
      </c>
      <c r="B1661" t="inlineStr">
        <is>
          <t>B</t>
        </is>
      </c>
      <c r="C1661" t="n">
        <v>3</v>
      </c>
      <c r="D1661" s="3" t="inlineStr">
        <is>
          <t>Catatan: fungsi `repeat(n, x)` digunakan untuk mengulang karakter `x` sebanyak `n` kali.</t>
        </is>
      </c>
      <c r="E1661" t="inlineStr">
        <is>
          <t>YA (didukung konteks)</t>
        </is>
      </c>
    </row>
    <row r="1662">
      <c r="A1662" t="n">
        <v>141</v>
      </c>
      <c r="B1662" t="inlineStr">
        <is>
          <t>B</t>
        </is>
      </c>
      <c r="C1662" t="n">
        <v>4</v>
      </c>
      <c r="D1662" s="3" t="inlineStr">
        <is>
          <t>// cetak baris tengah, yaitu ** (tidak termasuk baris pertama dan terakhir)</t>
        </is>
      </c>
      <c r="E1662" t="inlineStr">
        <is>
          <t>YA (didukung konteks)</t>
        </is>
      </c>
    </row>
    <row r="1663">
      <c r="A1663" t="n">
        <v>141</v>
      </c>
      <c r="B1663" t="inlineStr">
        <is>
          <t>B</t>
        </is>
      </c>
      <c r="C1663" t="n">
        <v>5</v>
      </c>
      <c r="D1663" s="3" t="inlineStr">
        <is>
          <t>Contohnya, `repeat(3, "*")` akan menghasilkan string `"***"`.</t>
        </is>
      </c>
      <c r="E1663" t="inlineStr">
        <is>
          <t>YA (didukung konteks)</t>
        </is>
      </c>
    </row>
    <row r="1664">
      <c r="A1664" t="n">
        <v>141</v>
      </c>
      <c r="B1664" t="inlineStr">
        <is>
          <t>B</t>
        </is>
      </c>
      <c r="C1664" t="n">
        <v>6</v>
      </c>
      <c r="D1664" s="3" t="inlineStr">
        <is>
          <t>Dalam kasus tinggi 4, total loop yang diperlukan adalah 8.</t>
        </is>
      </c>
      <c r="E1664" t="inlineStr">
        <is>
          <t>YA (didukung konteks)</t>
        </is>
      </c>
    </row>
    <row r="1665">
      <c r="A1665" t="n">
        <v>142</v>
      </c>
      <c r="B1665" t="inlineStr">
        <is>
          <t>A</t>
        </is>
      </c>
      <c r="C1665" t="n">
        <v>1</v>
      </c>
      <c r="D1665" s="3" t="inlineStr">
        <is>
          <t>Banyak iterasi yang dieksekusi dapat dihitung dengan menggunakan rumus O(m × n), di mana m adalah jumlah iterasi luar dan n adalah jumlah iterasi dalam.</t>
        </is>
      </c>
      <c r="E1665" t="inlineStr">
        <is>
          <t>YA (didukung konteks)</t>
        </is>
      </c>
    </row>
    <row r="1666">
      <c r="A1666" t="n">
        <v>142</v>
      </c>
      <c r="B1666" t="inlineStr">
        <is>
          <t>A</t>
        </is>
      </c>
      <c r="C1666" t="n">
        <v>2</v>
      </c>
      <c r="D1666" s="3" t="inlineStr">
        <is>
          <t>Kita juga dapat memahami bahwa perulangan luar berjalan lebih cepat daripada perulangan dalam, sehingga jumlah iterasi totalnya adalah O(m × n).</t>
        </is>
      </c>
      <c r="E1666" t="inlineStr">
        <is>
          <t>YA (didukung konteks)</t>
        </is>
      </c>
    </row>
    <row r="1667">
      <c r="A1667" t="n">
        <v>142</v>
      </c>
      <c r="B1667" t="inlineStr">
        <is>
          <t>A</t>
        </is>
      </c>
      <c r="C1667" t="n">
        <v>3</v>
      </c>
      <c r="D1667" s="3" t="inlineStr">
        <is>
          <t>Dalam kasus ini, m = 4 (karena perulangan luar berjalan dari 1 hingga 4) dan n = 4 (karena perulangan dalam berjalan dari i hingga 4).</t>
        </is>
      </c>
      <c r="E1667" t="inlineStr">
        <is>
          <t>YA (didukung konteks)</t>
        </is>
      </c>
    </row>
    <row r="1668">
      <c r="A1668" t="n">
        <v>142</v>
      </c>
      <c r="B1668" t="inlineStr">
        <is>
          <t>A</t>
        </is>
      </c>
      <c r="C1668" t="n">
        <v>4</v>
      </c>
      <c r="D1668" s="3" t="inlineStr">
        <is>
          <t>Dalam perhitungan ini, saya menggunakan konsep perulangan bersarang dan rumusannya untuk menyelesaikan masalah.</t>
        </is>
      </c>
      <c r="E1668" t="inlineStr">
        <is>
          <t>YA (didukung konteks)</t>
        </is>
      </c>
    </row>
    <row r="1669">
      <c r="A1669" t="n">
        <v>142</v>
      </c>
      <c r="B1669" t="inlineStr">
        <is>
          <t>A</t>
        </is>
      </c>
      <c r="C1669" t="n">
        <v>5</v>
      </c>
      <c r="D1669" s="3" t="inlineStr">
        <is>
          <t>Saya akan menjawab pertanyaan mahasiswa dengan menggunakan istilah teknis yang ada dalam materi referensi.</t>
        </is>
      </c>
      <c r="E1669" t="inlineStr">
        <is>
          <t>YA (didukung konteks)</t>
        </is>
      </c>
    </row>
    <row r="1670">
      <c r="A1670" t="n">
        <v>142</v>
      </c>
      <c r="B1670" t="inlineStr">
        <is>
          <t>A</t>
        </is>
      </c>
      <c r="C1670" t="n">
        <v>6</v>
      </c>
      <c r="D1670" s="3" t="inlineStr">
        <is>
          <t>Dalam pseudocode di atas, terdapat dua perulangan: luar untuk variabel i dan dalam untuk variabel j.</t>
        </is>
      </c>
      <c r="E1670" t="inlineStr">
        <is>
          <t>YA (didukung konteks)</t>
        </is>
      </c>
    </row>
    <row r="1671">
      <c r="A1671" t="n">
        <v>142</v>
      </c>
      <c r="B1671" t="inlineStr">
        <is>
          <t>B</t>
        </is>
      </c>
      <c r="C1671" t="n">
        <v>1</v>
      </c>
      <c r="D1671" s="3" t="inlineStr">
        <is>
          <t>Dalam perulangan luar, terdapat perulangan dalam (for j = i to n) yang dieksekusi sebanyak n - i + 1 kali.</t>
        </is>
      </c>
      <c r="E1671" t="inlineStr">
        <is>
          <t>YA (didukung konteks)</t>
        </is>
      </c>
    </row>
    <row r="1672">
      <c r="A1672" t="n">
        <v>142</v>
      </c>
      <c r="B1672" t="inlineStr">
        <is>
          <t>B</t>
        </is>
      </c>
      <c r="C1672" t="n">
        <v>2</v>
      </c>
      <c r="D1672" s="3" t="inlineStr">
        <is>
          <t>* Perulangan dalam untuk setiap iterasi luar: n - 1, n - 2, ..., 2, 1 (total n)</t>
        </is>
      </c>
      <c r="E1672" t="inlineStr">
        <is>
          <t>YA (didukung konteks)</t>
        </is>
      </c>
    </row>
    <row r="1673">
      <c r="A1673" t="n">
        <v>142</v>
      </c>
      <c r="B1673" t="inlineStr">
        <is>
          <t>B</t>
        </is>
      </c>
      <c r="C1673" t="n">
        <v>3</v>
      </c>
      <c r="D1673" s="3" t="inlineStr">
        <is>
          <t>Perulangan luar (for i = 1 to n) yang dieksekusi sebanyak n kali.</t>
        </is>
      </c>
      <c r="E1673" t="inlineStr">
        <is>
          <t>YA (didukung konteks)</t>
        </is>
      </c>
    </row>
    <row r="1674">
      <c r="A1674" t="n">
        <v>142</v>
      </c>
      <c r="B1674" t="inlineStr">
        <is>
          <t>B</t>
        </is>
      </c>
      <c r="C1674" t="n">
        <v>4</v>
      </c>
      <c r="D1674" s="3" t="inlineStr">
        <is>
          <t>Pseudocode yang diberikan memiliki struktur sebagai berikut:</t>
        </is>
      </c>
      <c r="E1674" t="inlineStr">
        <is>
          <t>YA (didukung konteks)</t>
        </is>
      </c>
    </row>
    <row r="1675">
      <c r="A1675" t="n">
        <v>142</v>
      </c>
      <c r="B1675" t="inlineStr">
        <is>
          <t>B</t>
        </is>
      </c>
      <c r="C1675" t="n">
        <v>5</v>
      </c>
      <c r="D1675" s="3" t="inlineStr">
        <is>
          <t>Karena itu, total iterasi yang akan dihitung adalah:</t>
        </is>
      </c>
      <c r="E1675" t="inlineStr">
        <is>
          <t>YA (didukung konteks)</t>
        </is>
      </c>
    </row>
    <row r="1676">
      <c r="A1676" t="n">
        <v>142</v>
      </c>
      <c r="B1676" t="inlineStr">
        <is>
          <t>B</t>
        </is>
      </c>
      <c r="C1676" t="n">
        <v>6</v>
      </c>
      <c r="D1676" s="3" t="inlineStr">
        <is>
          <t>Saya akan menjawab pertanyaan tersebut dengan baik!</t>
        </is>
      </c>
      <c r="E1676" t="inlineStr">
        <is>
          <t>YA (didukung konteks)</t>
        </is>
      </c>
    </row>
    <row r="1677">
      <c r="A1677" t="n">
        <v>143</v>
      </c>
      <c r="B1677" t="inlineStr">
        <is>
          <t>A</t>
        </is>
      </c>
      <c r="C1677" t="n">
        <v>1</v>
      </c>
      <c r="D1677" s="3" t="inlineStr">
        <is>
          <t>Mahasiswa, sebagai tutor Computational Thinking, saya akan membantu Anda memahami bagaimana cara membuat fungsi pseudocode yang menerima array nilai mahasiswa dan mengembalikan tiga nilai sekaligus: rata-rata, nilai tert</t>
        </is>
      </c>
      <c r="E1677" t="inlineStr">
        <is>
          <t>YA (didukung konteks)</t>
        </is>
      </c>
    </row>
    <row r="1678">
      <c r="A1678" t="n">
        <v>143</v>
      </c>
      <c r="B1678" t="inlineStr">
        <is>
          <t>A</t>
        </is>
      </c>
      <c r="C1678" t="n">
        <v>2</v>
      </c>
      <c r="D1678" s="3" t="inlineStr">
        <is>
          <t>Perlu diingat bahwa fungsi dalam pseudocode hanya dapat mengembalikan satu nilai, maka kita harus menggunakan konsep lain seperti struktur kontrol percabangan dan variabel lokal untuk mencapai tujuan Anda.</t>
        </is>
      </c>
      <c r="E1678" t="inlineStr">
        <is>
          <t>YA (didukung konteks)</t>
        </is>
      </c>
    </row>
    <row r="1679">
      <c r="A1679" t="n">
        <v>143</v>
      </c>
      <c r="B1679" t="inlineStr">
        <is>
          <t>A</t>
        </is>
      </c>
      <c r="C1679" t="n">
        <v>3</v>
      </c>
      <c r="D1679" s="3" t="inlineStr">
        <is>
          <t>Dalam pseudocode di atas, kita menggunakan struktur kontrol percabangan untuk menghitung rata-rata, nilai tertinggi, dan nilai terendah.</t>
        </is>
      </c>
      <c r="E1679" t="inlineStr">
        <is>
          <t>TIDAK (tidak didukung)</t>
        </is>
      </c>
    </row>
    <row r="1680">
      <c r="A1680" t="n">
        <v>143</v>
      </c>
      <c r="B1680" t="inlineStr">
        <is>
          <t>A</t>
        </is>
      </c>
      <c r="C1680" t="n">
        <v>4</v>
      </c>
      <c r="D1680" s="3" t="inlineStr">
        <is>
          <t>Berikut adalah contoh pseudocode yang menerima array nilai mahasiswa dan mengembalikan tiga nilai sekaligus:</t>
        </is>
      </c>
      <c r="E1680" t="inlineStr">
        <is>
          <t>YA (didukung konteks)</t>
        </is>
      </c>
    </row>
    <row r="1681">
      <c r="A1681" t="n">
        <v>143</v>
      </c>
      <c r="B1681" t="inlineStr">
        <is>
          <t>A</t>
        </is>
      </c>
      <c r="C1681" t="n">
        <v>5</v>
      </c>
      <c r="D1681" s="3" t="inlineStr">
        <is>
          <t>Salah satu cara adalah dengan menggunakan struktur kontrol percabangan (conditionals) dan variabel lokal.</t>
        </is>
      </c>
      <c r="E1681" t="inlineStr">
        <is>
          <t>YA (didukung konteks)</t>
        </is>
      </c>
    </row>
    <row r="1682">
      <c r="A1682" t="n">
        <v>143</v>
      </c>
      <c r="B1682" t="inlineStr">
        <is>
          <t>A</t>
        </is>
      </c>
      <c r="C1682" t="n">
        <v>6</v>
      </c>
      <c r="D1682" s="3" t="inlineStr">
        <is>
          <t>Pertama-tama, perlu diingat bahwa fungsi dalam pseudocode hanya dapat mengembalikan satu nilai.</t>
        </is>
      </c>
      <c r="E1682" t="inlineStr">
        <is>
          <t>YA (didukung konteks)</t>
        </is>
      </c>
    </row>
    <row r="1683">
      <c r="A1683" t="n">
        <v>143</v>
      </c>
      <c r="B1683" t="inlineStr">
        <is>
          <t>B</t>
        </is>
      </c>
      <c r="C1683" t="n">
        <v>1</v>
      </c>
      <c r="D1683" s="3" t="inlineStr">
        <is>
          <t>Dalam pseudocode, kita dapat menggunakan struktur data seperti tuple atau struct untuk mengembalikan lebih dari satu nilai dari sebuah fungsi.</t>
        </is>
      </c>
      <c r="E1683" t="inlineStr">
        <is>
          <t>YA (didukung konteks)</t>
        </is>
      </c>
    </row>
    <row r="1684">
      <c r="A1684" t="n">
        <v>143</v>
      </c>
      <c r="B1684" t="inlineStr">
        <is>
          <t>B</t>
        </is>
      </c>
      <c r="C1684" t="n">
        <v>2</v>
      </c>
      <c r="D1684" s="3" t="inlineStr">
        <is>
          <t>Kemudian, kita lakukan looping melalui array nilai mahasiswa dan menghitung rata-rata serta menemukan nilai tertinggi dan terendah.</t>
        </is>
      </c>
      <c r="E1684" t="inlineStr">
        <is>
          <t>YA (didukung konteks)</t>
        </is>
      </c>
    </row>
    <row r="1685">
      <c r="A1685" t="n">
        <v>143</v>
      </c>
      <c r="B1685" t="inlineStr">
        <is>
          <t>B</t>
        </is>
      </c>
      <c r="C1685" t="n">
        <v>3</v>
      </c>
      <c r="D1685" s="3" t="inlineStr">
        <is>
          <t>Dalam pseudocode, kita dapat menggunakan sintaks `return (nilai1, nilai2, ...)` untuk mengembalikan lebih dari satu nilai.</t>
        </is>
      </c>
      <c r="E1685" t="inlineStr">
        <is>
          <t>TIDAK (tidak didukung)</t>
        </is>
      </c>
    </row>
    <row r="1686">
      <c r="A1686" t="n">
        <v>143</v>
      </c>
      <c r="B1686" t="inlineStr">
        <is>
          <t>B</t>
        </is>
      </c>
      <c r="C1686" t="n">
        <v>4</v>
      </c>
      <c r="D1686" s="3" t="inlineStr">
        <is>
          <t>Dalam fungsi `hasil`, kita awalnya menginisialisasi tiga variabel: rata-rata, nilai tertinggi, dan nilai terendah.</t>
        </is>
      </c>
      <c r="E1686" t="inlineStr">
        <is>
          <t>TIDAK (tidak didukung)</t>
        </is>
      </c>
    </row>
    <row r="1687">
      <c r="A1687" t="n">
        <v>143</v>
      </c>
      <c r="B1687" t="inlineStr">
        <is>
          <t>B</t>
        </is>
      </c>
      <c r="C1687" t="n">
        <v>5</v>
      </c>
      <c r="D1687" s="3" t="inlineStr">
        <is>
          <t>Akhirnya, kita return tuple yang berisi tiga nilai tersebut: rata-rata, nilai tertinggi, dan nilai terendah.</t>
        </is>
      </c>
      <c r="E1687" t="inlineStr">
        <is>
          <t>YA (didukung konteks)</t>
        </is>
      </c>
    </row>
    <row r="1688">
      <c r="A1688" t="n">
        <v>143</v>
      </c>
      <c r="B1688" t="inlineStr">
        <is>
          <t>B</t>
        </is>
      </c>
      <c r="C1688" t="n">
        <v>6</v>
      </c>
      <c r="D1688" s="3" t="inlineStr">
        <is>
          <t>rata_rata = (rata_rata * (len(mahasiswa) - 1) + nilai) / len(mahasiswa)</t>
        </is>
      </c>
      <c r="E1688" t="inlineStr">
        <is>
          <t>YA (didukung konteks)</t>
        </is>
      </c>
    </row>
    <row r="1689">
      <c r="A1689" t="n">
        <v>144</v>
      </c>
      <c r="B1689" t="inlineStr">
        <is>
          <t>A</t>
        </is>
      </c>
      <c r="C1689" t="n">
        <v>1</v>
      </c>
      <c r="D1689" s="3" t="inlineStr">
        <is>
          <t>Untuk menjawab pertanyaan Anda, saya akan menjelaskan konsep fungsi rekursif dan cara memanggil satu fungsi dari dalam fungsi lain di pseudocode CT.</t>
        </is>
      </c>
      <c r="E1689" t="inlineStr">
        <is>
          <t>YA (didukung konteks)</t>
        </is>
      </c>
    </row>
    <row r="1690">
      <c r="A1690" t="n">
        <v>144</v>
      </c>
      <c r="B1690" t="inlineStr">
        <is>
          <t>A</t>
        </is>
      </c>
      <c r="C1690" t="n">
        <v>2</v>
      </c>
      <c r="D1690" s="3" t="inlineStr">
        <is>
          <t>Dalam kasus KPK (Kelipatan Persekutuan Terkecil), Anda perlu memiliki fungsi FPB (Faktor Persekutuan Terkecil) sebagai dasar.</t>
        </is>
      </c>
      <c r="E1690" t="inlineStr">
        <is>
          <t>YA (didukung konteks)</t>
        </is>
      </c>
    </row>
    <row r="1691">
      <c r="A1691" t="n">
        <v>144</v>
      </c>
      <c r="B1691" t="inlineStr">
        <is>
          <t>A</t>
        </is>
      </c>
      <c r="C1691" t="n">
        <v>3</v>
      </c>
      <c r="D1691" s="3" t="inlineStr">
        <is>
          <t>Fungsi FPB akan menentukan FPB dari dua bilangan a dan b, lalu Anda dapat menggunakan hasilnya untuk menghitung KPK.</t>
        </is>
      </c>
      <c r="E1691" t="inlineStr">
        <is>
          <t>YA (didukung konteks)</t>
        </is>
      </c>
    </row>
    <row r="1692">
      <c r="A1692" t="n">
        <v>144</v>
      </c>
      <c r="B1692" t="inlineStr">
        <is>
          <t>A</t>
        </is>
      </c>
      <c r="C1692" t="n">
        <v>4</v>
      </c>
      <c r="D1692" s="3" t="inlineStr">
        <is>
          <t>Saya harap penjelasan ini membantu Anda memahami cara memanggil satu fungsi dari dalam fungsi lain di pseudocode CT.</t>
        </is>
      </c>
      <c r="E1692" t="inlineStr">
        <is>
          <t>YA (didukung konteks)</t>
        </is>
      </c>
    </row>
    <row r="1693">
      <c r="A1693" t="n">
        <v>144</v>
      </c>
      <c r="B1693" t="inlineStr">
        <is>
          <t>A</t>
        </is>
      </c>
      <c r="C1693" t="n">
        <v>5</v>
      </c>
      <c r="D1693" s="3" t="inlineStr">
        <is>
          <t>Pseudocode CT menyediakan contoh fungsi FPB pada SOAL 1 — Pseudocode: FPB (Algoritme Euclidean).</t>
        </is>
      </c>
      <c r="E1693" t="inlineStr">
        <is>
          <t>YA (didukung konteks)</t>
        </is>
      </c>
    </row>
    <row r="1694">
      <c r="A1694" t="n">
        <v>144</v>
      </c>
      <c r="B1694" t="inlineStr">
        <is>
          <t>A</t>
        </is>
      </c>
      <c r="C1694" t="n">
        <v>6</v>
      </c>
      <c r="D1694" s="3" t="inlineStr">
        <is>
          <t>Fungsi rekursif adalah suatu fungsi yang memanggil dirinya sendiri untuk mencapai tujuan.</t>
        </is>
      </c>
      <c r="E1694" t="inlineStr">
        <is>
          <t>YA (didukung konteks)</t>
        </is>
      </c>
    </row>
    <row r="1695">
      <c r="A1695" t="n">
        <v>144</v>
      </c>
      <c r="B1695" t="inlineStr">
        <is>
          <t>B</t>
        </is>
      </c>
      <c r="C1695" t="n">
        <v>1</v>
      </c>
      <c r="D1695" s="3" t="inlineStr">
        <is>
          <t>Salah satu cara untuk memanggil sebuah fungsi dari dalam fungsi lain di pseudocode CT adalah dengan menggunakan sintaks berikut:</t>
        </is>
      </c>
      <c r="E1695" t="inlineStr">
        <is>
          <t>YA (didukung konteks)</t>
        </is>
      </c>
    </row>
    <row r="1696">
      <c r="A1696" t="n">
        <v>144</v>
      </c>
      <c r="B1696" t="inlineStr">
        <is>
          <t>B</t>
        </is>
      </c>
      <c r="C1696" t="n">
        <v>2</v>
      </c>
      <c r="D1696" s="3" t="inlineStr">
        <is>
          <t>Fungsi `FPB` memiliki parameter `x` dan `y`, sedangkan fungsi `KPK` memiliki parameter `a` dan `b`.</t>
        </is>
      </c>
      <c r="E1696" t="inlineStr">
        <is>
          <t>YA (didukung konteks)</t>
        </is>
      </c>
    </row>
    <row r="1697">
      <c r="A1697" t="n">
        <v>144</v>
      </c>
      <c r="B1697" t="inlineStr">
        <is>
          <t>B</t>
        </is>
      </c>
      <c r="C1697" t="n">
        <v>3</v>
      </c>
      <c r="D1697" s="3" t="inlineStr">
        <is>
          <t>Dalam contoh di atas, fungsi `FPB` dipanggil dari dalam fungsi `KPK`.</t>
        </is>
      </c>
      <c r="E1697" t="inlineStr">
        <is>
          <t>TIDAK (tidak didukung)</t>
        </is>
      </c>
    </row>
    <row r="1698">
      <c r="A1698" t="n">
        <v>144</v>
      </c>
      <c r="B1698" t="inlineStr">
        <is>
          <t>B</t>
        </is>
      </c>
      <c r="C1698" t="n">
        <v>4</v>
      </c>
      <c r="D1698" s="3" t="inlineStr">
        <is>
          <t>`fungsi_nama(fungsi_lain(input1, input2, ..., inputn))`</t>
        </is>
      </c>
      <c r="E1698" t="inlineStr">
        <is>
          <t>YA (didukung konteks)</t>
        </is>
      </c>
    </row>
    <row r="1699">
      <c r="A1699" t="n">
        <v>145</v>
      </c>
      <c r="B1699" t="inlineStr">
        <is>
          <t>A</t>
        </is>
      </c>
      <c r="C1699" t="n">
        <v>1</v>
      </c>
      <c r="D1699" s="3" t="inlineStr">
        <is>
          <t>Dalam kasus Anda, prosedur 'tukar' tidak memiliki parameter return, sehingga nilai a dan b di program utama tidak berubah.</t>
        </is>
      </c>
      <c r="E1699" t="inlineStr">
        <is>
          <t>TIDAK (tidak didukung)</t>
        </is>
      </c>
    </row>
    <row r="1700">
      <c r="A1700" t="n">
        <v>145</v>
      </c>
      <c r="B1700" t="inlineStr">
        <is>
          <t>A</t>
        </is>
      </c>
      <c r="C1700" t="n">
        <v>2</v>
      </c>
      <c r="D1700" s="3" t="inlineStr">
        <is>
          <t>Untuk soal ini, saya akan menjawab dengan menggunakan istilah teknis dan konsep utama yang ada dalam materi referensi.</t>
        </is>
      </c>
      <c r="E1700" t="inlineStr">
        <is>
          <t>YA (didukung konteks)</t>
        </is>
      </c>
    </row>
    <row r="1701">
      <c r="A1701" t="n">
        <v>145</v>
      </c>
      <c r="B1701" t="inlineStr">
        <is>
          <t>A</t>
        </is>
      </c>
      <c r="C1701" t="n">
        <v>3</v>
      </c>
      <c r="D1701" s="3" t="inlineStr">
        <is>
          <t>Prosedur adalah sebuah blok kode yang tidak mengembalikan nilai, hanya melakukan aksi tertentu.</t>
        </is>
      </c>
      <c r="E1701" t="inlineStr">
        <is>
          <t>YA (didukung konteks)</t>
        </is>
      </c>
    </row>
    <row r="1702">
      <c r="A1702" t="n">
        <v>145</v>
      </c>
      <c r="B1702" t="inlineStr">
        <is>
          <t>A</t>
        </is>
      </c>
      <c r="C1702" t="n">
        <v>4</v>
      </c>
      <c r="D1702" s="3" t="inlineStr">
        <is>
          <t>Jika Anda ingin menukar nilai dua variabel, maka Anda perlu membuat fungsi 'tukar' seperti ini:</t>
        </is>
      </c>
      <c r="E1702" t="inlineStr">
        <is>
          <t>YA (didukung konteks)</t>
        </is>
      </c>
    </row>
    <row r="1703">
      <c r="A1703" t="n">
        <v>145</v>
      </c>
      <c r="B1703" t="inlineStr">
        <is>
          <t>A</t>
        </is>
      </c>
      <c r="C1703" t="n">
        <v>5</v>
      </c>
      <c r="D1703" s="3" t="inlineStr">
        <is>
          <t>Pada dasarnya, Anda perlu menggunakan fungsi sebagai ganti prosedur untuk mengembalikan nilai.</t>
        </is>
      </c>
      <c r="E1703" t="inlineStr">
        <is>
          <t>YA (didukung konteks)</t>
        </is>
      </c>
    </row>
    <row r="1704">
      <c r="A1704" t="n">
        <v>145</v>
      </c>
      <c r="B1704" t="inlineStr">
        <is>
          <t>A</t>
        </is>
      </c>
      <c r="C1704" t="n">
        <v>6</v>
      </c>
      <c r="D1704" s="3" t="inlineStr">
        <is>
          <t>Dengan demikian, nilai a dan b di program utama akan berubah setelah dipanggil fungsi 'tukar'.</t>
        </is>
      </c>
      <c r="E1704" t="inlineStr">
        <is>
          <t>YA (didukung konteks)</t>
        </is>
      </c>
    </row>
    <row r="1705">
      <c r="A1705" t="n">
        <v>145</v>
      </c>
      <c r="B1705" t="inlineStr">
        <is>
          <t>B</t>
        </is>
      </c>
      <c r="C1705" t="n">
        <v>1</v>
      </c>
      <c r="D1705" s="3" t="inlineStr">
        <is>
          <t>Artinya, ketika Anda memanggil prosedur `tukar(a, b)`, nilai `a` dan `b` yang dikirim ke dalam prosedur adalah nilai saat itu, tetapi setelah prosedur selesai, nilai tersebut tidak akan berpengaruh pada variabel-variabel</t>
        </is>
      </c>
      <c r="E1705" t="inlineStr">
        <is>
          <t>TIDAK (tidak didukung)</t>
        </is>
      </c>
    </row>
    <row r="1706">
      <c r="A1706" t="n">
        <v>145</v>
      </c>
      <c r="B1706" t="inlineStr">
        <is>
          <t>B</t>
        </is>
      </c>
      <c r="C1706" t="n">
        <v>2</v>
      </c>
      <c r="D1706" s="3" t="inlineStr">
        <is>
          <t>Salah satu penyebab bahwa prosedur "tukar" Anda tidak bekerja adalah karena parameter `a` dan `b` dalam prosedur tersebut hanya sebagai variabel lokal, bukan sebagai referensi ke variabel-variabel di program utama.</t>
        </is>
      </c>
      <c r="E1706" t="inlineStr">
        <is>
          <t>YA (didukung konteks)</t>
        </is>
      </c>
    </row>
    <row r="1707">
      <c r="A1707" t="n">
        <v>145</v>
      </c>
      <c r="B1707" t="inlineStr">
        <is>
          <t>B</t>
        </is>
      </c>
      <c r="C1707" t="n">
        <v>3</v>
      </c>
      <c r="D1707" s="3" t="inlineStr">
        <is>
          <t>Dalam contoh di atas, kita menggunakan kata kunci `var` untuk menunjukkan bahwa parameter `a` dan `b` adalah sebagai referensi ke variabel-variabel di program utama.</t>
        </is>
      </c>
      <c r="E1707" t="inlineStr">
        <is>
          <t>YA (didukung konteks)</t>
        </is>
      </c>
    </row>
    <row r="1708">
      <c r="A1708" t="n">
        <v>145</v>
      </c>
      <c r="B1708" t="inlineStr">
        <is>
          <t>B</t>
        </is>
      </c>
      <c r="C1708" t="n">
        <v>4</v>
      </c>
      <c r="D1708" s="3" t="inlineStr">
        <is>
          <t>Untuk mengatasi masalah ini, Anda dapat menggunakan pointer atau reference untuk memberikan akses langsung ke variabel-variabel di program utama.</t>
        </is>
      </c>
      <c r="E1708" t="inlineStr">
        <is>
          <t>TIDAK (tidak didukung)</t>
        </is>
      </c>
    </row>
    <row r="1709">
      <c r="A1709" t="n">
        <v>145</v>
      </c>
      <c r="B1709" t="inlineStr">
        <is>
          <t>B</t>
        </is>
      </c>
      <c r="C1709" t="n">
        <v>5</v>
      </c>
      <c r="D1709" s="3" t="inlineStr">
        <is>
          <t>Dengan demikian, ketika prosedur `tukar` selesai, nilai `a` dan `b` akan berpengaruh pada variabel-variabel di program utama.</t>
        </is>
      </c>
      <c r="E1709" t="inlineStr">
        <is>
          <t>TIDAK (tidak didukung)</t>
        </is>
      </c>
    </row>
    <row r="1710">
      <c r="A1710" t="n">
        <v>146</v>
      </c>
      <c r="B1710" t="inlineStr">
        <is>
          <t>A</t>
        </is>
      </c>
      <c r="C1710" t="n">
        <v>1</v>
      </c>
      <c r="D1710" s="3" t="inlineStr">
        <is>
          <t>By understanding the recursive and iterative solutions for calculating the Fibonacci sequence, university students in Indonesia can develop a deeper appreciation for the importance of space complexity in computer science</t>
        </is>
      </c>
      <c r="E1710" t="inlineStr">
        <is>
          <t>TIDAK (tidak didukung)</t>
        </is>
      </c>
    </row>
    <row r="1711">
      <c r="A1711" t="n">
        <v>146</v>
      </c>
      <c r="B1711" t="inlineStr">
        <is>
          <t>A</t>
        </is>
      </c>
      <c r="C1711" t="n">
        <v>2</v>
      </c>
      <c r="D1711" s="3" t="inlineStr">
        <is>
          <t>In conclusion, both recursive and iterative solutions can be used to calculate the Fibonacci sequence, but the iterative solution is more efficient in terms of space complexity.</t>
        </is>
      </c>
      <c r="E1711" t="inlineStr">
        <is>
          <t>TIDAK (tidak didukung)</t>
        </is>
      </c>
    </row>
    <row r="1712">
      <c r="A1712" t="n">
        <v>146</v>
      </c>
      <c r="B1712" t="inlineStr">
        <is>
          <t>A</t>
        </is>
      </c>
      <c r="C1712" t="n">
        <v>3</v>
      </c>
      <c r="D1712" s="3" t="inlineStr">
        <is>
          <t>For Level 3 Menengah/Pragmatis/Analitis students, I recommend using concrete examples to illustrate the concepts of recursion and Big-O notation.</t>
        </is>
      </c>
      <c r="E1712" t="inlineStr">
        <is>
          <t>YA (didukung konteks)</t>
        </is>
      </c>
    </row>
    <row r="1713">
      <c r="A1713" t="n">
        <v>146</v>
      </c>
      <c r="B1713" t="inlineStr">
        <is>
          <t>A</t>
        </is>
      </c>
      <c r="C1713" t="n">
        <v>4</v>
      </c>
      <c r="D1713" s="3" t="inlineStr">
        <is>
          <t>Additionally, students should be encouraged to think critically about the space complexity of different algorithms and how they can be optimized.</t>
        </is>
      </c>
      <c r="E1713" t="inlineStr">
        <is>
          <t>YA (didukung konteks)</t>
        </is>
      </c>
    </row>
    <row r="1714">
      <c r="A1714" t="n">
        <v>146</v>
      </c>
      <c r="B1714" t="inlineStr">
        <is>
          <t>A</t>
        </is>
      </c>
      <c r="C1714" t="n">
        <v>5</v>
      </c>
      <c r="D1714" s="3" t="inlineStr">
        <is>
          <t>For Level 3 Menengah/Pragmatis/Analitis students, it is essential to understand the concept of recursion and how it relates to Big-O notation.</t>
        </is>
      </c>
      <c r="E1714" t="inlineStr">
        <is>
          <t>TIDAK (tidak didukung)</t>
        </is>
      </c>
    </row>
    <row r="1715">
      <c r="A1715" t="n">
        <v>146</v>
      </c>
      <c r="B1715" t="inlineStr">
        <is>
          <t>A</t>
        </is>
      </c>
      <c r="C1715" t="n">
        <v>6</v>
      </c>
      <c r="D1715" s="3" t="inlineStr">
        <is>
          <t>For this problem, I will provide an explanation of the recursive and iterative solutions to calculate the sum of all integers from 1 to n.</t>
        </is>
      </c>
      <c r="E1715" t="inlineStr">
        <is>
          <t>YA (didukung konteks)</t>
        </is>
      </c>
    </row>
    <row r="1716">
      <c r="A1716" t="n">
        <v>146</v>
      </c>
      <c r="B1716" t="inlineStr">
        <is>
          <t>B</t>
        </is>
      </c>
      <c r="C1716" t="n">
        <v>1</v>
      </c>
      <c r="D1716" s="3" t="inlineStr">
        <is>
          <t>Soal ini meminta kita untuk membuat dua versi algoritma: versi rekursif dan versi iteratif, untuk mencari jumlah semua bilangan bulat dari 1 sampai n.</t>
        </is>
      </c>
      <c r="E1716" t="inlineStr">
        <is>
          <t>YA (didukung konteks)</t>
        </is>
      </c>
    </row>
    <row r="1717">
      <c r="A1717" t="n">
        <v>146</v>
      </c>
      <c r="B1717" t="inlineStr">
        <is>
          <t>B</t>
        </is>
      </c>
      <c r="C1717" t="n">
        <v>2</v>
      </c>
      <c r="D1717" s="3" t="inlineStr">
        <is>
          <t>Dalam kasus ini, versi iteratif lebih efisien karena hanya memerlukan 5 panggilan fungsi, sedangkan versi rekursif memerlukan 6 panggilan fungsi.</t>
        </is>
      </c>
      <c r="E1717" t="inlineStr">
        <is>
          <t>YA (didukung konteks)</t>
        </is>
      </c>
    </row>
    <row r="1718">
      <c r="A1718" t="n">
        <v>146</v>
      </c>
      <c r="B1718" t="inlineStr">
        <is>
          <t>B</t>
        </is>
      </c>
      <c r="C1718" t="n">
        <v>3</v>
      </c>
      <c r="D1718" s="3" t="inlineStr">
        <is>
          <t>Namun, perlu diingat bahwa versi rekursif dapat lebih efektif jika kita memiliki masalah yang memerlukan panggilan fungsi yang lebih kompleks.</t>
        </is>
      </c>
      <c r="E1718" t="inlineStr">
        <is>
          <t>YA (didukung konteks)</t>
        </is>
      </c>
    </row>
    <row r="1719">
      <c r="A1719" t="n">
        <v>146</v>
      </c>
      <c r="B1719" t="inlineStr">
        <is>
          <t>B</t>
        </is>
      </c>
      <c r="C1719" t="n">
        <v>4</v>
      </c>
      <c r="D1719" s="3" t="inlineStr">
        <is>
          <t>Fungsi iteratif yang kita buat adalah `sumUpToNIter(n)`, dengan definisi sebagai berikut:</t>
        </is>
      </c>
      <c r="E1719" t="inlineStr">
        <is>
          <t>YA (didukung konteks)</t>
        </is>
      </c>
    </row>
    <row r="1720">
      <c r="A1720" t="n">
        <v>146</v>
      </c>
      <c r="B1720" t="inlineStr">
        <is>
          <t>B</t>
        </is>
      </c>
      <c r="C1720" t="n">
        <v>5</v>
      </c>
      <c r="D1720" s="3" t="inlineStr">
        <is>
          <t>Fungsi rekursif yang kita buat adalah `sumUpToN(n)`, dengan definisi sebagai berikut:</t>
        </is>
      </c>
      <c r="E1720" t="inlineStr">
        <is>
          <t>YA (didukung konteks)</t>
        </is>
      </c>
    </row>
    <row r="1721">
      <c r="A1721" t="n">
        <v>146</v>
      </c>
      <c r="B1721" t="inlineStr">
        <is>
          <t>B</t>
        </is>
      </c>
      <c r="C1721" t="n">
        <v>6</v>
      </c>
      <c r="D1721" s="3" t="inlineStr">
        <is>
          <t>return n + sumUpToN(n-1); // rekursif: jumlahkan n dengan hasil dari sumUpToN(n-1)</t>
        </is>
      </c>
      <c r="E1721" t="inlineStr">
        <is>
          <t>YA (didukung konteks)</t>
        </is>
      </c>
    </row>
    <row r="1722">
      <c r="A1722" t="n">
        <v>147</v>
      </c>
      <c r="B1722" t="inlineStr">
        <is>
          <t>A</t>
        </is>
      </c>
      <c r="C1722" t="n">
        <v>1</v>
      </c>
      <c r="D1722" s="3" t="inlineStr">
        <is>
          <t>In this context, computational thinking is not just about writing code or using specific programming languages; rather, it's about developing a problem-solving mindset that emphasizes pattern recognition, abstraction, an</t>
        </is>
      </c>
      <c r="E1722" t="inlineStr">
        <is>
          <t>YA (didukung konteks)</t>
        </is>
      </c>
    </row>
    <row r="1723">
      <c r="A1723" t="n">
        <v>147</v>
      </c>
      <c r="B1723" t="inlineStr">
        <is>
          <t>A</t>
        </is>
      </c>
      <c r="C1723" t="n">
        <v>2</v>
      </c>
      <c r="D1723" s="3" t="inlineStr">
        <is>
          <t>In mathematics and computer science, we often encounter sequences or series that exhibit specific patterns, which can be used to predict future values or solve equations.</t>
        </is>
      </c>
      <c r="E1723" t="inlineStr">
        <is>
          <t>YA (didukung konteks)</t>
        </is>
      </c>
    </row>
    <row r="1724">
      <c r="A1724" t="n">
        <v>147</v>
      </c>
      <c r="B1724" t="inlineStr">
        <is>
          <t>A</t>
        </is>
      </c>
      <c r="C1724" t="n">
        <v>3</v>
      </c>
      <c r="D1724" s="3" t="inlineStr">
        <is>
          <t>Regarding your question about pattern recognition in computational thinking, I'd like to highlight the importance of recognizing patterns in solving problems.</t>
        </is>
      </c>
      <c r="E1724" t="inlineStr">
        <is>
          <t>YA (didukung konteks)</t>
        </is>
      </c>
    </row>
    <row r="1725">
      <c r="A1725" t="n">
        <v>147</v>
      </c>
      <c r="B1725" t="inlineStr">
        <is>
          <t>A</t>
        </is>
      </c>
      <c r="C1725" t="n">
        <v>4</v>
      </c>
      <c r="D1725" s="3" t="inlineStr">
        <is>
          <t>By applying the recursive formula iteratively, we can recognize the pattern emerging from the sequence and use it to compute the desired value.</t>
        </is>
      </c>
      <c r="E1725" t="inlineStr">
        <is>
          <t>YA (didukung konteks)</t>
        </is>
      </c>
    </row>
    <row r="1726">
      <c r="A1726" t="n">
        <v>147</v>
      </c>
      <c r="B1726" t="inlineStr">
        <is>
          <t>A</t>
        </is>
      </c>
      <c r="C1726" t="n">
        <v>5</v>
      </c>
      <c r="D1726" s="3" t="inlineStr">
        <is>
          <t>Computational thinking involves identifying patterns, recognizing algorithms, and developing solutions that are efficient and scalable.</t>
        </is>
      </c>
      <c r="E1726" t="inlineStr">
        <is>
          <t>YA (didukung konteks)</t>
        </is>
      </c>
    </row>
    <row r="1727">
      <c r="A1727" t="n">
        <v>147</v>
      </c>
      <c r="B1727" t="inlineStr">
        <is>
          <t>A</t>
        </is>
      </c>
      <c r="C1727" t="n">
        <v>6</v>
      </c>
      <c r="D1727" s="3" t="inlineStr">
        <is>
          <t>In the context of the myFunc function, the recursive formula is an example of a pattern recognition problem.</t>
        </is>
      </c>
      <c r="E1727" t="inlineStr">
        <is>
          <t>TIDAK (tidak didukung)</t>
        </is>
      </c>
    </row>
    <row r="1728">
      <c r="A1728" t="n">
        <v>147</v>
      </c>
      <c r="B1728" t="inlineStr">
        <is>
          <t>B</t>
        </is>
      </c>
      <c r="C1728" t="n">
        <v>1</v>
      </c>
      <c r="D1728" s="3" t="inlineStr">
        <is>
          <t>Kita dapat menganggap that myFunc(0) = F(0) dan myFunc(1) = F(1), kemudian mengembangkan fungsi tersebut untuk myFunc(n) sebagai suatu pola.</t>
        </is>
      </c>
      <c r="E1728" t="inlineStr">
        <is>
          <t>YA (didukung konteks)</t>
        </is>
      </c>
    </row>
    <row r="1729">
      <c r="A1729" t="n">
        <v>147</v>
      </c>
      <c r="B1729" t="inlineStr">
        <is>
          <t>B</t>
        </is>
      </c>
      <c r="C1729" t="n">
        <v>2</v>
      </c>
      <c r="D1729" s="3" t="inlineStr">
        <is>
          <t>Meski terlihat agak berbeda dengan Fibonacci, namun kita dapat menggunakan prinsip rekursi Fibonacci untuk menyelesaikan masalah ini.</t>
        </is>
      </c>
      <c r="E1729" t="inlineStr">
        <is>
          <t>YA (didukung konteks)</t>
        </is>
      </c>
    </row>
    <row r="1730">
      <c r="A1730" t="n">
        <v>147</v>
      </c>
      <c r="B1730" t="inlineStr">
        <is>
          <t>B</t>
        </is>
      </c>
      <c r="C1730" t="n">
        <v>3</v>
      </c>
      <c r="D1730" s="3" t="inlineStr">
        <is>
          <t>Pertama-tama, perhatikan bahwa myFunc(n) = myFunc(n-1) + myFunc(n-2) + 1 memiliki struktur yang mirip dengan Fibonacci.</t>
        </is>
      </c>
      <c r="E1730" t="inlineStr">
        <is>
          <t>YA (didukung konteks)</t>
        </is>
      </c>
    </row>
    <row r="1731">
      <c r="A1731" t="n">
        <v>147</v>
      </c>
      <c r="B1731" t="inlineStr">
        <is>
          <t>B</t>
        </is>
      </c>
      <c r="C1731" t="n">
        <v>4</v>
      </c>
      <c r="D1731" s="3" t="inlineStr">
        <is>
          <t>Kita lihat bahwa myFunc(2) = 1 + myFunc(1) + myFunc(0) = 1 + 1 + 0 = 2, yang sama dengan F(3) dalam Fibonacci.</t>
        </is>
      </c>
      <c r="E1731" t="inlineStr">
        <is>
          <t>TIDAK (tidak didukung)</t>
        </is>
      </c>
    </row>
    <row r="1732">
      <c r="A1732" t="n">
        <v>147</v>
      </c>
      <c r="B1732" t="inlineStr">
        <is>
          <t>B</t>
        </is>
      </c>
      <c r="C1732" t="n">
        <v>5</v>
      </c>
      <c r="D1732" s="3" t="inlineStr">
        <is>
          <t>Maka, kita dapat menganggap that myFunc(n) adalah F(n+1), dengan penambahan 1 di setiap langkah.</t>
        </is>
      </c>
      <c r="E1732" t="inlineStr">
        <is>
          <t>YA (didukung konteks)</t>
        </is>
      </c>
    </row>
    <row r="1733">
      <c r="A1733" t="n">
        <v>147</v>
      </c>
      <c r="B1733" t="inlineStr">
        <is>
          <t>B</t>
        </is>
      </c>
      <c r="C1733" t="n">
        <v>6</v>
      </c>
      <c r="D1733" s="3" t="inlineStr">
        <is>
          <t>Dengan demikian, untuk mencari nilai myFunc(5), kita perlu menyelesaikan F(6).</t>
        </is>
      </c>
      <c r="E1733" t="inlineStr">
        <is>
          <t>YA (didukung konteks)</t>
        </is>
      </c>
    </row>
    <row r="1734">
      <c r="A1734" t="n">
        <v>148</v>
      </c>
      <c r="B1734" t="inlineStr">
        <is>
          <t>A</t>
        </is>
      </c>
      <c r="C1734" t="n">
        <v>1</v>
      </c>
      <c r="D1734" s="3" t="inlineStr">
        <is>
          <t>Sementara itu, tail recursion adalah teknik pengulangan algoritme di mana fungsi memanggil dirinya sendiri dan nilai return dari panggilan rekursif digunakan sebagai nilai awal untuk panggilan berikutnya.</t>
        </is>
      </c>
      <c r="E1734" t="inlineStr">
        <is>
          <t>YA (didukung konteks)</t>
        </is>
      </c>
    </row>
    <row r="1735">
      <c r="A1735" t="n">
        <v>148</v>
      </c>
      <c r="B1735" t="inlineStr">
        <is>
          <t>A</t>
        </is>
      </c>
      <c r="C1735" t="n">
        <v>2</v>
      </c>
      <c r="D1735" s="3" t="inlineStr">
        <is>
          <t>Jadi, jawaban saya adalah tidak ada direktif khusus tentang tail recursion dalam pseudocode CT, tetapi kita dapat membahas perbedaan antara rekursi biasa dan tail recursion.</t>
        </is>
      </c>
      <c r="E1735" t="inlineStr">
        <is>
          <t>YA (didukung konteks)</t>
        </is>
      </c>
    </row>
    <row r="1736">
      <c r="A1736" t="n">
        <v>148</v>
      </c>
      <c r="B1736" t="inlineStr">
        <is>
          <t>A</t>
        </is>
      </c>
      <c r="C1736" t="n">
        <v>3</v>
      </c>
      <c r="D1736" s="3" t="inlineStr">
        <is>
          <t>Dalam pseudocode CT, contoh rekursi biasa dapat dilihat pada soal-soal seperti SOAL 3 — Pseudicode: Cek Prima atau SOAL 5 — Pseudocode: Pesan Sandi.</t>
        </is>
      </c>
      <c r="E1736" t="inlineStr">
        <is>
          <t>YA (didukung konteks)</t>
        </is>
      </c>
    </row>
    <row r="1737">
      <c r="A1737" t="n">
        <v>148</v>
      </c>
      <c r="B1737" t="inlineStr">
        <is>
          <t>A</t>
        </is>
      </c>
      <c r="C1737" t="n">
        <v>4</v>
      </c>
      <c r="D1737" s="3" t="inlineStr">
        <is>
          <t>Dengan demikian, nilai return tidak perlu disimpan dalam stack, sehingga dapat menghemat ruang memori dan meningkatkan efisiensi program.</t>
        </is>
      </c>
      <c r="E1737" t="inlineStr">
        <is>
          <t>YA (didukung konteks)</t>
        </is>
      </c>
    </row>
    <row r="1738">
      <c r="A1738" t="n">
        <v>148</v>
      </c>
      <c r="B1738" t="inlineStr">
        <is>
          <t>A</t>
        </is>
      </c>
      <c r="C1738" t="n">
        <v>5</v>
      </c>
      <c r="D1738" s="3" t="inlineStr">
        <is>
          <t>Dalam pseudocode CT, contoh tail recursion belum dilihat, namun kita dapat menggunakan teknik ini untuk membuat algoritme lebih efisien.</t>
        </is>
      </c>
      <c r="E1738" t="inlineStr">
        <is>
          <t>YA (didukung konteks)</t>
        </is>
      </c>
    </row>
    <row r="1739">
      <c r="A1739" t="n">
        <v>148</v>
      </c>
      <c r="B1739" t="inlineStr">
        <is>
          <t>A</t>
        </is>
      </c>
      <c r="C1739" t="n">
        <v>6</v>
      </c>
      <c r="D1739" s="3" t="inlineStr">
        <is>
          <t>Rekursi biasa adalah teknik pengulangan algoritme di mana fungsi memanggil dirinya sendiri hingga kondisi tertentu terpenuhi.</t>
        </is>
      </c>
      <c r="E1739" t="inlineStr">
        <is>
          <t>YA (didukung konteks)</t>
        </is>
      </c>
    </row>
    <row r="1740">
      <c r="A1740" t="n">
        <v>148</v>
      </c>
      <c r="B1740" t="inlineStr">
        <is>
          <t>B</t>
        </is>
      </c>
      <c r="C1740" t="n">
        <v>1</v>
      </c>
      <c r="D1740" s="3" t="inlineStr">
        <is>
          <t>Tail recursion adalah sebuah teknik yang digunakan untuk mengoptimalkan fungsi rekursif agar tidak menumpuk call stack, sehingga membuat program menjadi lebih efisien dan stabil.</t>
        </is>
      </c>
      <c r="E1740" t="inlineStr">
        <is>
          <t>YA (didukung konteks)</t>
        </is>
      </c>
    </row>
    <row r="1741">
      <c r="A1741" t="n">
        <v>148</v>
      </c>
      <c r="B1741" t="inlineStr">
        <is>
          <t>B</t>
        </is>
      </c>
      <c r="C1741" t="n">
        <v>2</v>
      </c>
      <c r="D1741" s="3" t="inlineStr">
        <is>
          <t>Tail recursion: Fungsi recursive akan memanggil dirinya sendiri hanya sekali, dan setelah itu akan melakukan return dengan nilai yang dikirimkan dari fungsi sebelumnya.</t>
        </is>
      </c>
      <c r="E1741" t="inlineStr">
        <is>
          <t>YA (didukung konteks)</t>
        </is>
      </c>
    </row>
    <row r="1742">
      <c r="A1742" t="n">
        <v>148</v>
      </c>
      <c r="B1742" t="inlineStr">
        <is>
          <t>B</t>
        </is>
      </c>
      <c r="C1742" t="n">
        <v>3</v>
      </c>
      <c r="D1742" s="3" t="inlineStr">
        <is>
          <t>Namun, dengan menggunakan tail recursion, fungsi recursive hanya memanggil dirinya sekali dan melakukan return dengan nilai yang dikirimkan dari fungsi sebelumnya.</t>
        </is>
      </c>
      <c r="E1742" t="inlineStr">
        <is>
          <t>YA (didukung konteks)</t>
        </is>
      </c>
    </row>
    <row r="1743">
      <c r="A1743" t="n">
        <v>148</v>
      </c>
      <c r="B1743" t="inlineStr">
        <is>
          <t>B</t>
        </is>
      </c>
      <c r="C1743" t="n">
        <v>4</v>
      </c>
      <c r="D1743" s="3" t="inlineStr">
        <is>
          <t>Dalam sintaks CT, kita dapat mengoptimalkan fungsi rekursif dengan menggunakan keyword `tailrec` untuk menandai bahwa fungsi tersebut menggunakan tail recursion.</t>
        </is>
      </c>
      <c r="E1743" t="inlineStr">
        <is>
          <t>YA (didukung konteks)</t>
        </is>
      </c>
    </row>
    <row r="1744">
      <c r="A1744" t="n">
        <v>148</v>
      </c>
      <c r="B1744" t="inlineStr">
        <is>
          <t>B</t>
        </is>
      </c>
      <c r="C1744" t="n">
        <v>5</v>
      </c>
      <c r="D1744" s="3" t="inlineStr">
        <is>
          <t>Rekursi biasa: Fungsi recursive akan memanggil dirinya sendiri beberapa kali, sehingga menumpuk call stack dan menggunakan lebih banyak memory.</t>
        </is>
      </c>
      <c r="E1744" t="inlineStr">
        <is>
          <t>TIDAK (tidak didukung)</t>
        </is>
      </c>
    </row>
    <row r="1745">
      <c r="A1745" t="n">
        <v>148</v>
      </c>
      <c r="B1745" t="inlineStr">
        <is>
          <t>B</t>
        </is>
      </c>
      <c r="C1745" t="n">
        <v>6</v>
      </c>
      <c r="D1745" s="3" t="inlineStr">
        <is>
          <t>Jika kita tidak menggunakan tail recursion, maka fungsi recursive akan memanggil dirinya sendiri beberapa kali, sehingga menumpuk call stack.</t>
        </is>
      </c>
      <c r="E1745" t="inlineStr">
        <is>
          <t>YA (didukung konteks)</t>
        </is>
      </c>
    </row>
    <row r="1746">
      <c r="A1746" t="n">
        <v>149</v>
      </c>
      <c r="B1746" t="inlineStr">
        <is>
          <t>A</t>
        </is>
      </c>
      <c r="C1746" t="n">
        <v>1</v>
      </c>
      <c r="D1746" s="3" t="inlineStr">
        <is>
          <t>Jika bukan, maka fungsi tersebut akan memanggil dirinya sendiri dengan nilai `n-1`, serta cakram lainnya dan kemudian menambahkan 1 ke hasilnya.</t>
        </is>
      </c>
      <c r="E1746" t="inlineStr">
        <is>
          <t>TIDAK (tidak didukung)</t>
        </is>
      </c>
    </row>
    <row r="1747">
      <c r="A1747" t="n">
        <v>149</v>
      </c>
      <c r="B1747" t="inlineStr">
        <is>
          <t>A</t>
        </is>
      </c>
      <c r="C1747" t="n">
        <v>2</v>
      </c>
      <c r="D1747" s="3" t="inlineStr">
        <is>
          <t>Dengan menggunakan pseudocode rekursif di atas, kita dapat membuktikan rumus minimum perpindahan yang diperlukan untuk menara Hanoi.</t>
        </is>
      </c>
      <c r="E1747" t="inlineStr">
        <is>
          <t>TIDAK (tidak didukung)</t>
        </is>
      </c>
    </row>
    <row r="1748">
      <c r="A1748" t="n">
        <v>149</v>
      </c>
      <c r="B1748" t="inlineStr">
        <is>
          <t>A</t>
        </is>
      </c>
      <c r="C1748" t="n">
        <v>3</v>
      </c>
      <c r="D1748" s="3" t="inlineStr">
        <is>
          <t>Menara Hanoi adalah sebuah masalah rekursi yang terdiri dari 3 cakram dan beberapa disket.</t>
        </is>
      </c>
      <c r="E1748" t="inlineStr">
        <is>
          <t>YA (didukung konteks)</t>
        </is>
      </c>
    </row>
    <row r="1749">
      <c r="A1749" t="n">
        <v>149</v>
      </c>
      <c r="B1749" t="inlineStr">
        <is>
          <t>A</t>
        </is>
      </c>
      <c r="C1749" t="n">
        <v>4</v>
      </c>
      <c r="D1749" s="3" t="inlineStr">
        <is>
          <t>Jika iya, maka fungsi tersebut akan mengembalikan nilai 0 karena tidak perlu perpindahan.</t>
        </is>
      </c>
      <c r="E1749" t="inlineStr">
        <is>
          <t>YA (didukung konteks)</t>
        </is>
      </c>
    </row>
    <row r="1750">
      <c r="A1750" t="n">
        <v>149</v>
      </c>
      <c r="B1750" t="inlineStr">
        <is>
          <t>A</t>
        </is>
      </c>
      <c r="C1750" t="n">
        <v>5</v>
      </c>
      <c r="D1750" s="3" t="inlineStr">
        <is>
          <t>Rumus tersebut adalah 2^n - 1, seperti yang disebutkan dalam materi referensi sebelumnya.</t>
        </is>
      </c>
      <c r="E1750" t="inlineStr">
        <is>
          <t>TIDAK (tidak didukung)</t>
        </is>
      </c>
    </row>
    <row r="1751">
      <c r="A1751" t="n">
        <v>149</v>
      </c>
      <c r="B1751" t="inlineStr">
        <is>
          <t>A</t>
        </is>
      </c>
      <c r="C1751" t="n">
        <v>6</v>
      </c>
      <c r="D1751" s="3" t="inlineStr">
        <is>
          <t>Saya akan menjawab pertanyaan mahasiswa tentang menara Hanoi dengan 3 cakram.</t>
        </is>
      </c>
      <c r="E1751" t="inlineStr">
        <is>
          <t>YA (didukung konteks)</t>
        </is>
      </c>
    </row>
    <row r="1752">
      <c r="A1752" t="n">
        <v>149</v>
      </c>
      <c r="B1752" t="inlineStr">
        <is>
          <t>B</t>
        </is>
      </c>
      <c r="C1752" t="n">
        <v>1</v>
      </c>
      <c r="D1752" s="3" t="inlineStr">
        <is>
          <t>Kita akan menjawab pertanyaan tersebut dengan memberikan pseudocode rekursif untuk Menara Hanoi dan membuktikan rumus minimal perpindahan yang diperlukan.</t>
        </is>
      </c>
      <c r="E1752" t="inlineStr">
        <is>
          <t>YA (didukung konteks)</t>
        </is>
      </c>
    </row>
    <row r="1753">
      <c r="A1753" t="n">
        <v>149</v>
      </c>
      <c r="B1753" t="inlineStr">
        <is>
          <t>B</t>
        </is>
      </c>
      <c r="C1753" t="n">
        <v>2</v>
      </c>
      <c r="D1753" s="3" t="inlineStr">
        <is>
          <t>* `hanoi(2, 1, 3)` = 3 (pindahkan 1 cakram dari 1 ke 2, lalu pindahkan 1 cakram terakhir dari 1 ke 3, dan akhirnya pindahkan 1 cakram dari 2 ke 3)</t>
        </is>
      </c>
      <c r="E1753" t="inlineStr">
        <is>
          <t>TIDAK (tidak didukung)</t>
        </is>
      </c>
    </row>
    <row r="1754">
      <c r="A1754" t="n">
        <v>149</v>
      </c>
      <c r="B1754" t="inlineStr">
        <is>
          <t>B</t>
        </is>
      </c>
      <c r="C1754" t="n">
        <v>3</v>
      </c>
      <c r="D1754" s="3" t="inlineStr">
        <is>
          <t>* `hanoi(3, 1, 3)` = 7 (pindahkan 2 cakram dari 1 ke 2, lalu 1 cakram terakhir dari 1 ke 3, dan akhirnya pindahkan 2 cakram dari 2 ke 3)</t>
        </is>
      </c>
      <c r="E1754" t="inlineStr">
        <is>
          <t>TIDAK (tidak didukung)</t>
        </is>
      </c>
    </row>
    <row r="1755">
      <c r="A1755" t="n">
        <v>149</v>
      </c>
      <c r="B1755" t="inlineStr">
        <is>
          <t>B</t>
        </is>
      </c>
      <c r="C1755" t="n">
        <v>4</v>
      </c>
      <c r="D1755" s="3" t="inlineStr">
        <is>
          <t>Jika kita memiliki menara Hanoi dengan 3 cakram (`n = 3`), maka fungsi `hanoi` akan menghasilkan:</t>
        </is>
      </c>
      <c r="E1755" t="inlineStr">
        <is>
          <t>YA (didukung konteks)</t>
        </is>
      </c>
    </row>
    <row r="1756">
      <c r="A1756" t="n">
        <v>149</v>
      </c>
      <c r="B1756" t="inlineStr">
        <is>
          <t>B</t>
        </is>
      </c>
      <c r="C1756" t="n">
        <v>5</v>
      </c>
      <c r="D1756" s="3" t="inlineStr">
        <is>
          <t>Jumlah perpindahan minimal adalah: `7 + 3 + 1 = 11`, yang tidak sesuai dengan rumus `2^n - 1`.</t>
        </is>
      </c>
      <c r="E1756" t="inlineStr">
        <is>
          <t>TIDAK (tidak didukung)</t>
        </is>
      </c>
    </row>
    <row r="1757">
      <c r="A1757" t="n">
        <v>149</v>
      </c>
      <c r="B1757" t="inlineStr">
        <is>
          <t>B</t>
        </is>
      </c>
      <c r="C1757" t="n">
        <v>6</v>
      </c>
      <c r="D1757" s="3" t="inlineStr">
        <is>
          <t>Karena `n` berkurang secara eksponensial, maka jumlah perpindahan minimal adalah: `2^n - 1`</t>
        </is>
      </c>
      <c r="E1757" t="inlineStr">
        <is>
          <t>TIDAK (tidak didukung)</t>
        </is>
      </c>
    </row>
    <row r="1758">
      <c r="A1758" t="n">
        <v>150</v>
      </c>
      <c r="B1758" t="inlineStr">
        <is>
          <t>A</t>
        </is>
      </c>
      <c r="C1758" t="n">
        <v>1</v>
      </c>
      <c r="D1758" s="3" t="inlineStr">
        <is>
          <t>Dalam list [5, 2, 8, 1, 9, 3], kita diminta melakukan operasi berikut satu per satu: append(7), insert di indeks 2 nilai 4, hapus elemen pertama, lalu tampilkan elemen terakhir.</t>
        </is>
      </c>
      <c r="E1758" t="inlineStr">
        <is>
          <t>YA (didukung konteks)</t>
        </is>
      </c>
    </row>
    <row r="1759">
      <c r="A1759" t="n">
        <v>150</v>
      </c>
      <c r="B1759" t="inlineStr">
        <is>
          <t>A</t>
        </is>
      </c>
      <c r="C1759" t="n">
        <v>2</v>
      </c>
      <c r="D1759" s="3" t="inlineStr">
        <is>
          <t>Dengan menggunakan operator len, kita dapat mengetahui jumlah elemen dalam list dan kemudian mengambil elemen yang paling akhir.</t>
        </is>
      </c>
      <c r="E1759" t="inlineStr">
        <is>
          <t>YA (didukung konteks)</t>
        </is>
      </c>
    </row>
    <row r="1760">
      <c r="A1760" t="n">
        <v>150</v>
      </c>
      <c r="B1760" t="inlineStr">
        <is>
          <t>A</t>
        </is>
      </c>
      <c r="C1760" t="n">
        <v>3</v>
      </c>
      <c r="D1760" s="3" t="inlineStr">
        <is>
          <t>Dengan menggunakan operator list, kita dapat menambahkan nilai 7 ke akhir list seperti berikut: [5, 2, 8, 1, 9, 3, 7].</t>
        </is>
      </c>
      <c r="E1760" t="inlineStr">
        <is>
          <t>YA (didukung konteks)</t>
        </is>
      </c>
    </row>
    <row r="1761">
      <c r="A1761" t="n">
        <v>150</v>
      </c>
      <c r="B1761" t="inlineStr">
        <is>
          <t>A</t>
        </is>
      </c>
      <c r="C1761" t="n">
        <v>4</v>
      </c>
      <c r="D1761" s="3" t="inlineStr">
        <is>
          <t>Kita menggunakan operator list untuk mengganti nilai yang ada di indeks 2 dengan nilai 4.</t>
        </is>
      </c>
      <c r="E1761" t="inlineStr">
        <is>
          <t>YA (didukung konteks)</t>
        </is>
      </c>
    </row>
    <row r="1762">
      <c r="A1762" t="n">
        <v>150</v>
      </c>
      <c r="B1762" t="inlineStr">
        <is>
          <t>A</t>
        </is>
      </c>
      <c r="C1762" t="n">
        <v>5</v>
      </c>
      <c r="D1762" s="3" t="inlineStr">
        <is>
          <t>Dengan menggunakan operator pop, kita dapat menghapus elemen paling awal dari list.</t>
        </is>
      </c>
      <c r="E1762" t="inlineStr">
        <is>
          <t>YA (didukung konteks)</t>
        </is>
      </c>
    </row>
    <row r="1763">
      <c r="A1763" t="n">
        <v>150</v>
      </c>
      <c r="B1763" t="inlineStr">
        <is>
          <t>A</t>
        </is>
      </c>
      <c r="C1763" t="n">
        <v>6</v>
      </c>
      <c r="D1763" s="3" t="inlineStr">
        <is>
          <t>Kemudian, kita akan melakukan operasi insert di indeks 2 dengan nilai 4.</t>
        </is>
      </c>
      <c r="E1763" t="inlineStr">
        <is>
          <t>YA (didukung konteks)</t>
        </is>
      </c>
    </row>
    <row r="1764">
      <c r="A1764" t="n">
        <v>150</v>
      </c>
      <c r="B1764" t="inlineStr">
        <is>
          <t>B</t>
        </is>
      </c>
      <c r="C1764" t="n">
        <v>1</v>
      </c>
      <c r="D1764" s="3" t="inlineStr">
        <is>
          <t>Kita akan memasukkan nilai 4 di indeks ke-2 (indexing dimulai dari 0).</t>
        </is>
      </c>
      <c r="E1764" t="inlineStr">
        <is>
          <t>YA (didukung konteks)</t>
        </is>
      </c>
    </row>
    <row r="1765">
      <c r="A1765" t="n">
        <v>150</v>
      </c>
      <c r="B1765" t="inlineStr">
        <is>
          <t>B</t>
        </is>
      </c>
      <c r="C1765" t="n">
        <v>2</v>
      </c>
      <c r="D1765" s="3" t="inlineStr">
        <is>
          <t>Note: Setelah operasi selesai, list menjadi [2, 4, 8, 1, 9, 3, 7].</t>
        </is>
      </c>
      <c r="E1765" t="inlineStr">
        <is>
          <t>YA (didukung konteks)</t>
        </is>
      </c>
    </row>
    <row r="1766">
      <c r="A1766" t="n">
        <v>150</v>
      </c>
      <c r="B1766" t="inlineStr">
        <is>
          <t>B</t>
        </is>
      </c>
      <c r="C1766" t="n">
        <v>3</v>
      </c>
      <c r="D1766" s="3" t="inlineStr">
        <is>
          <t>Kita akan menghapus elemen pertama, yaitu nilai 5.</t>
        </is>
      </c>
      <c r="E1766" t="inlineStr">
        <is>
          <t>TIDAK (tidak didukung)</t>
        </is>
      </c>
    </row>
    <row r="1767">
      <c r="A1767" t="n">
        <v>150</v>
      </c>
      <c r="B1767" t="inlineStr">
        <is>
          <t>B</t>
        </is>
      </c>
      <c r="C1767" t="n">
        <v>4</v>
      </c>
      <c r="D1767" s="3" t="inlineStr">
        <is>
          <t>Mari kita jalani operasi tersebut satu per satu!</t>
        </is>
      </c>
      <c r="E1767" t="inlineStr">
        <is>
          <t>YA (didukung konteks)</t>
        </is>
      </c>
    </row>
    <row r="1768">
      <c r="A1768" t="n">
        <v>150</v>
      </c>
      <c r="B1768" t="inlineStr">
        <is>
          <t>B</t>
        </is>
      </c>
      <c r="C1768" t="n">
        <v>5</v>
      </c>
      <c r="D1768" s="3" t="inlineStr">
        <is>
          <t>Kita akan tambahkan nilai 7 ke akhir list.</t>
        </is>
      </c>
      <c r="E1768" t="inlineStr">
        <is>
          <t>YA (didukung konteks)</t>
        </is>
      </c>
    </row>
    <row r="1769">
      <c r="A1769" t="n">
        <v>150</v>
      </c>
      <c r="B1769" t="inlineStr">
        <is>
          <t>B</t>
        </is>
      </c>
      <c r="C1769" t="n">
        <v>6</v>
      </c>
      <c r="D1769" s="3" t="inlineStr">
        <is>
          <t>**Operasi 2: insert di indeks 2 nilai 4**</t>
        </is>
      </c>
      <c r="E1769" t="inlineStr">
        <is>
          <t>YA (didukung konteks)</t>
        </is>
      </c>
    </row>
    <row r="1770">
      <c r="A1770" t="n">
        <v>151</v>
      </c>
      <c r="B1770" t="inlineStr">
        <is>
          <t>A</t>
        </is>
      </c>
      <c r="C1770" t="n">
        <v>1</v>
      </c>
      <c r="D1770" s="3" t="inlineStr">
        <is>
          <t>Dalam beberapa kasus, list dapat digunakan sebagai implementasi stack atau queue, tetapi dalam banyak kasus lainnya, menggunakan struktur data khusus seperti stack dan queue sangat membantu dalam menyelesaikan masalah.</t>
        </is>
      </c>
      <c r="E1770" t="inlineStr">
        <is>
          <t>YA (didukung konteks)</t>
        </is>
      </c>
    </row>
    <row r="1771">
      <c r="A1771" t="n">
        <v>151</v>
      </c>
      <c r="B1771" t="inlineStr">
        <is>
          <t>A</t>
        </is>
      </c>
      <c r="C1771" t="n">
        <v>2</v>
      </c>
      <c r="D1771" s="3" t="inlineStr">
        <is>
          <t>Sebagai contoh, fitur "Ctrl+Z" pada aplikasi desain grafis dapat diimplementasikan dengan menggunakan stack, karena setiap operasi undo memerlukan menghapus data terakhir yang diketik.</t>
        </is>
      </c>
      <c r="E1771" t="inlineStr">
        <is>
          <t>YA (didukung konteks)</t>
        </is>
      </c>
    </row>
    <row r="1772">
      <c r="A1772" t="n">
        <v>151</v>
      </c>
      <c r="B1772" t="inlineStr">
        <is>
          <t>A</t>
        </is>
      </c>
      <c r="C1772" t="n">
        <v>3</v>
      </c>
      <c r="D1772" s="3" t="inlineStr">
        <is>
          <t>Mereka memiliki aplikasi yang berbeda dalam berbagai kasus, dan penting untuk memahami konsep dasar mereka serta bagaimana mereka dapat diimplementasikan dengan benar.</t>
        </is>
      </c>
      <c r="E1772" t="inlineStr">
        <is>
          <t>YA (didukung konteks)</t>
        </is>
      </c>
    </row>
    <row r="1773">
      <c r="A1773" t="n">
        <v>151</v>
      </c>
      <c r="B1773" t="inlineStr">
        <is>
          <t>A</t>
        </is>
      </c>
      <c r="C1773" t="n">
        <v>4</v>
      </c>
      <c r="D1773" s="3" t="inlineStr">
        <is>
          <t>Dengan demikian, jawaban saya adalah: Stack dan queue adalah dua struktur data yang berbeda, dengan prinsip LIFO dan FIFO masing-masing.</t>
        </is>
      </c>
      <c r="E1773" t="inlineStr">
        <is>
          <t>YA (didukung konteks)</t>
        </is>
      </c>
    </row>
    <row r="1774">
      <c r="A1774" t="n">
        <v>151</v>
      </c>
      <c r="B1774" t="inlineStr">
        <is>
          <t>A</t>
        </is>
      </c>
      <c r="C1774" t="n">
        <v>5</v>
      </c>
      <c r="D1774" s="3" t="inlineStr">
        <is>
          <t>Oleh karena itu, penting untuk memahami konsep dasar dari stack dan queue, serta bagaimana mereka dapat diimplementasikan dengan benar.</t>
        </is>
      </c>
      <c r="E1774" t="inlineStr">
        <is>
          <t>YA (didukung konteks)</t>
        </is>
      </c>
    </row>
    <row r="1775">
      <c r="A1775" t="n">
        <v>151</v>
      </c>
      <c r="B1775" t="inlineStr">
        <is>
          <t>A</t>
        </is>
      </c>
      <c r="C1775" t="n">
        <v>6</v>
      </c>
      <c r="D1775" s="3" t="inlineStr">
        <is>
          <t>Sementara itu, sistem antrian pelanggan di bank lebih cocok menggunakan queue, karena pelanggan yang datang dulu harus dilayani dulu.</t>
        </is>
      </c>
      <c r="E1775" t="inlineStr">
        <is>
          <t>YA (didukung konteks)</t>
        </is>
      </c>
    </row>
    <row r="1776">
      <c r="A1776" t="n">
        <v>151</v>
      </c>
      <c r="B1776" t="inlineStr">
        <is>
          <t>B</t>
        </is>
      </c>
      <c r="C1776" t="n">
        <v>1</v>
      </c>
      <c r="D1776" s="3" t="inlineStr">
        <is>
          <t xml:space="preserve">Dalam kata lain, meskipun list dapat digunakan sebagai implementasi stack atau queue, mempelajari konsep stack dan queue secara terpisah membantu Anda memahami sifat-sifat dasar dari struktur data ini dan bagaimana cara </t>
        </is>
      </c>
      <c r="E1776" t="inlineStr">
        <is>
          <t>YA (didukung konteks)</t>
        </is>
      </c>
    </row>
    <row r="1777">
      <c r="A1777" t="n">
        <v>151</v>
      </c>
      <c r="B1777" t="inlineStr">
        <is>
          <t>B</t>
        </is>
      </c>
      <c r="C1777" t="n">
        <v>2</v>
      </c>
      <c r="D1777" s="3" t="inlineStr">
        <is>
          <t>Selain itu, mempelajari stack dan queue sebagai konsep terpisah membantu Anda memahami bagaimana cara mengoptimalkan performa aplikasi dengan menggunakan algoritma-algoritma yang sesuai untuk masing-masing struktur data.</t>
        </is>
      </c>
      <c r="E1777" t="inlineStr">
        <is>
          <t>YA (didukung konteks)</t>
        </is>
      </c>
    </row>
    <row r="1778">
      <c r="A1778" t="n">
        <v>151</v>
      </c>
      <c r="B1778" t="inlineStr">
        <is>
          <t>B</t>
        </is>
      </c>
      <c r="C1778" t="n">
        <v>3</v>
      </c>
      <c r="D1778" s="3" t="inlineStr">
        <is>
          <t>Dosen memiliki hak untuk menjelaskan bahwa list di CT dapat digunakan sebagai implementasi stack atau queue, tetapi itu tidak berarti kita tidak perlu mempelajari konsep stack dan queue sebagai konsep terpisah.</t>
        </is>
      </c>
      <c r="E1778" t="inlineStr">
        <is>
          <t>YA (didukung konteks)</t>
        </is>
      </c>
    </row>
    <row r="1779">
      <c r="A1779" t="n">
        <v>151</v>
      </c>
      <c r="B1779" t="inlineStr">
        <is>
          <t>B</t>
        </is>
      </c>
      <c r="C1779" t="n">
        <v>4</v>
      </c>
      <c r="D1779" s="3" t="inlineStr">
        <is>
          <t>Memahami konsep stack dan queue secara terpisah membantu Anda memahami sifat-sifat dasar dari struktur data tersebut, seperti First-In-First-Out (FIFO) untuk queue dan Last-In-First-Out (LIFO) untuk stack.</t>
        </is>
      </c>
      <c r="E1779" t="inlineStr">
        <is>
          <t>YA (didukung konteks)</t>
        </is>
      </c>
    </row>
    <row r="1780">
      <c r="A1780" t="n">
        <v>151</v>
      </c>
      <c r="B1780" t="inlineStr">
        <is>
          <t>B</t>
        </is>
      </c>
      <c r="C1780" t="n">
        <v>5</v>
      </c>
      <c r="D1780" s="3" t="inlineStr">
        <is>
          <t>Misalnya, dalam sistem operasi, stack digunakan untuk menghandle pengiriman paket-paket data, sedangkan queue digunakan untuk mengatur urutan eksekusi tugas-tugas.</t>
        </is>
      </c>
      <c r="E1780" t="inlineStr">
        <is>
          <t>YA (didukung konteks)</t>
        </is>
      </c>
    </row>
    <row r="1781">
      <c r="A1781" t="n">
        <v>151</v>
      </c>
      <c r="B1781" t="inlineStr">
        <is>
          <t>B</t>
        </is>
      </c>
      <c r="C1781" t="n">
        <v>6</v>
      </c>
      <c r="D1781" s="3" t="inlineStr">
        <is>
          <t>List adalah data struktur yang umum digunakan dalam programing, tapi stack dan queue adalah konsep yang lebih spesifik dan memiliki sifat-sifat khusus sendiri.</t>
        </is>
      </c>
      <c r="E1781" t="inlineStr">
        <is>
          <t>YA (didukung konteks)</t>
        </is>
      </c>
    </row>
    <row r="1782">
      <c r="A1782" t="n">
        <v>152</v>
      </c>
      <c r="B1782" t="inlineStr">
        <is>
          <t>A</t>
        </is>
      </c>
      <c r="C1782" t="n">
        <v>1</v>
      </c>
      <c r="D1782" s="3" t="inlineStr">
        <is>
          <t>Dengan demikian, pseudocode di atas dapat digunakan untuk merepresentasikan operasi "rotate" pada list tanpa menggunakan fungsi built-in slice atau rotate.</t>
        </is>
      </c>
      <c r="E1782" t="inlineStr">
        <is>
          <t>TIDAK (tidak didukung)</t>
        </is>
      </c>
    </row>
    <row r="1783">
      <c r="A1783" t="n">
        <v>152</v>
      </c>
      <c r="B1783" t="inlineStr">
        <is>
          <t>A</t>
        </is>
      </c>
      <c r="C1783" t="n">
        <v>2</v>
      </c>
      <c r="D1783" s="3" t="inlineStr">
        <is>
          <t>Pada awalnya, kita membuat copy list yang baru dan kemudian menggeser semua elemen dari posisi k ke kanan menjadi depan.</t>
        </is>
      </c>
      <c r="E1783" t="inlineStr">
        <is>
          <t>YA (didukung konteks)</t>
        </is>
      </c>
    </row>
    <row r="1784">
      <c r="A1784" t="n">
        <v>152</v>
      </c>
      <c r="B1784" t="inlineStr">
        <is>
          <t>A</t>
        </is>
      </c>
      <c r="C1784" t="n">
        <v>3</v>
      </c>
      <c r="D1784" s="3" t="inlineStr">
        <is>
          <t>Pseudocode untuk operasi ini tanpa menggunakan fungsi built-in slice atau rotate dapat didefinisikan sebagai berikut:</t>
        </is>
      </c>
      <c r="E1784" t="inlineStr">
        <is>
          <t>YA (didukung konteks)</t>
        </is>
      </c>
    </row>
    <row r="1785">
      <c r="A1785" t="n">
        <v>152</v>
      </c>
      <c r="B1785" t="inlineStr">
        <is>
          <t>A</t>
        </is>
      </c>
      <c r="C1785" t="n">
        <v>4</v>
      </c>
      <c r="D1785" s="3" t="inlineStr">
        <is>
          <t>Konsep utama pada pseudocode di atas adalah menggunakan perulangan untuk menggeser elemen list ke kiri.</t>
        </is>
      </c>
      <c r="E1785" t="inlineStr">
        <is>
          <t>YA (didukung konteks)</t>
        </is>
      </c>
    </row>
    <row r="1786">
      <c r="A1786" t="n">
        <v>152</v>
      </c>
      <c r="B1786" t="inlineStr">
        <is>
          <t>A</t>
        </is>
      </c>
      <c r="C1786" t="n">
        <v>5</v>
      </c>
      <c r="D1786" s="3" t="inlineStr">
        <is>
          <t>Operasi "rotate" pada list dapat didefinisikan sebagai geser semua elemen k posisi ke kiri.</t>
        </is>
      </c>
      <c r="E1786" t="inlineStr">
        <is>
          <t>YA (didukung konteks)</t>
        </is>
      </c>
    </row>
    <row r="1787">
      <c r="A1787" t="n">
        <v>152</v>
      </c>
      <c r="B1787" t="inlineStr">
        <is>
          <t>A</t>
        </is>
      </c>
      <c r="C1787" t="n">
        <v>6</v>
      </c>
      <c r="D1787" s="3" t="inlineStr">
        <is>
          <t>Kemudian, kita menggeser sisa elemen (dari 0 hingga k-1) menjadi bagian depan list.</t>
        </is>
      </c>
      <c r="E1787" t="inlineStr">
        <is>
          <t>YA (didukung konteks)</t>
        </is>
      </c>
    </row>
    <row r="1788">
      <c r="A1788" t="n">
        <v>152</v>
      </c>
      <c r="B1788" t="inlineStr">
        <is>
          <t>B</t>
        </is>
      </c>
      <c r="C1788" t="n">
        <v>1</v>
      </c>
      <c r="D1788" s="3" t="inlineStr">
        <is>
          <t>Berikut adalah pseudocode untuk operasi "rotate" pada list tanpa menggunakan fungsi built-in slice atau rotate:</t>
        </is>
      </c>
      <c r="E1788" t="inlineStr">
        <is>
          <t>TIDAK (tidak didukung)</t>
        </is>
      </c>
    </row>
    <row r="1789">
      <c r="A1789" t="n">
        <v>152</v>
      </c>
      <c r="B1789" t="inlineStr">
        <is>
          <t>B</t>
        </is>
      </c>
      <c r="C1789" t="n">
        <v>2</v>
      </c>
      <c r="D1789" s="3" t="inlineStr">
        <is>
          <t>Dalam contoh di atas, fungsi `rotate` menggeser semua elemen dalam array `arr` ke kiri sebanyak `k` posisi.</t>
        </is>
      </c>
      <c r="E1789" t="inlineStr">
        <is>
          <t>TIDAK (tidak didukung)</t>
        </is>
      </c>
    </row>
    <row r="1790">
      <c r="A1790" t="n">
        <v>152</v>
      </c>
      <c r="B1790" t="inlineStr">
        <is>
          <t>B</t>
        </is>
      </c>
      <c r="C1790" t="n">
        <v>3</v>
      </c>
      <c r="D1790" s="3" t="inlineStr">
        <is>
          <t>// Jika k lebih besar dari panjang list, maka geser elemen ke kiri sebanyak k mod panjang list</t>
        </is>
      </c>
      <c r="E1790" t="inlineStr">
        <is>
          <t>YA (didukung konteks)</t>
        </is>
      </c>
    </row>
    <row r="1791">
      <c r="A1791" t="n">
        <v>152</v>
      </c>
      <c r="B1791" t="inlineStr">
        <is>
          <t>B</t>
        </is>
      </c>
      <c r="C1791" t="n">
        <v>4</v>
      </c>
      <c r="D1791" s="3" t="inlineStr">
        <is>
          <t>Jika `k` lebih besar dari panjang array, maka hanya geser sebanyak `k mod panjang array`.</t>
        </is>
      </c>
      <c r="E1791" t="inlineStr">
        <is>
          <t>YA (didukung konteks)</t>
        </is>
      </c>
    </row>
    <row r="1792">
      <c r="A1792" t="n">
        <v>152</v>
      </c>
      <c r="B1792" t="inlineStr">
        <is>
          <t>B</t>
        </is>
      </c>
      <c r="C1792" t="n">
        <v>5</v>
      </c>
      <c r="D1792" s="3" t="inlineStr">
        <is>
          <t>Contoh implementasinya dalam Bahasa Indonesia adalah sebagai berikut:</t>
        </is>
      </c>
      <c r="E1792" t="inlineStr">
        <is>
          <t>YA (didukung konteks)</t>
        </is>
      </c>
    </row>
    <row r="1793">
      <c r="A1793" t="n">
        <v>152</v>
      </c>
      <c r="B1793" t="inlineStr">
        <is>
          <t>B</t>
        </is>
      </c>
      <c r="C1793" t="n">
        <v>6</v>
      </c>
      <c r="D1793" s="3" t="inlineStr">
        <is>
          <t>// Tumpukkan elemen terakhir menjadi elemen pertama</t>
        </is>
      </c>
      <c r="E1793" t="inlineStr">
        <is>
          <t>YA (didukung konteks)</t>
        </is>
      </c>
    </row>
    <row r="1794">
      <c r="A1794" t="n">
        <v>153</v>
      </c>
      <c r="B1794" t="inlineStr">
        <is>
          <t>A</t>
        </is>
      </c>
      <c r="C1794" t="n">
        <v>1</v>
      </c>
      <c r="D1794" s="3" t="inlineStr">
        <is>
          <t>Enqueue: ketika Anda ingin menambahkan data baru ke dalam antrian, Anda pertama-tama memasukkan data tersebut ke dalam stack yang menjadi antrian (Stack 1).</t>
        </is>
      </c>
      <c r="E1794" t="inlineStr">
        <is>
          <t>YA (didukung konteks)</t>
        </is>
      </c>
    </row>
    <row r="1795">
      <c r="A1795" t="n">
        <v>153</v>
      </c>
      <c r="B1795" t="inlineStr">
        <is>
          <t>A</t>
        </is>
      </c>
      <c r="C1795" t="n">
        <v>2</v>
      </c>
      <c r="D1795" s="3" t="inlineStr">
        <is>
          <t>Dequeue: ketika Anda ingin mengeluarkan data dari queue, Anda mengambil data terdepan dari Stack 2 dan menempatkannya sebagai output.</t>
        </is>
      </c>
      <c r="E1795" t="inlineStr">
        <is>
          <t>TIDAK (tidak didukung)</t>
        </is>
      </c>
    </row>
    <row r="1796">
      <c r="A1796" t="n">
        <v>153</v>
      </c>
      <c r="B1796" t="inlineStr">
        <is>
          <t>A</t>
        </is>
      </c>
      <c r="C1796" t="n">
        <v>3</v>
      </c>
      <c r="D1796" s="3" t="inlineStr">
        <is>
          <t>Untuk mensimulasikan queue dengan dua stack, kita dapat menggunakan stack sebagai antrian dan lainnya sebagai tumpukan sementara.</t>
        </is>
      </c>
      <c r="E1796" t="inlineStr">
        <is>
          <t>YA (didukung konteks)</t>
        </is>
      </c>
    </row>
    <row r="1797">
      <c r="A1797" t="n">
        <v>153</v>
      </c>
      <c r="B1797" t="inlineStr">
        <is>
          <t>A</t>
        </is>
      </c>
      <c r="C1797" t="n">
        <v>4</v>
      </c>
      <c r="D1797" s="3" t="inlineStr">
        <is>
          <t>Contohnya, jika kita memiliki enqueue(1), enqueue(2), enqueue(3), dequeue, enqueue(4), dequeue, maka prosesnya sebagai berikut:</t>
        </is>
      </c>
      <c r="E1797" t="inlineStr">
        <is>
          <t>YA (didukung konteks)</t>
        </is>
      </c>
    </row>
    <row r="1798">
      <c r="A1798" t="n">
        <v>153</v>
      </c>
      <c r="B1798" t="inlineStr">
        <is>
          <t>A</t>
        </is>
      </c>
      <c r="C1798" t="n">
        <v>5</v>
      </c>
      <c r="D1798" s="3" t="inlineStr">
        <is>
          <t>Queue memiliki prinsip FIFO (First In First Out), yaitu data yang pertama masuk adalah juga data pertama yang dapat diakses.</t>
        </is>
      </c>
      <c r="E1798" t="inlineStr">
        <is>
          <t>YA (didukung konteks)</t>
        </is>
      </c>
    </row>
    <row r="1799">
      <c r="A1799" t="n">
        <v>153</v>
      </c>
      <c r="B1799" t="inlineStr">
        <is>
          <t>A</t>
        </is>
      </c>
      <c r="C1799" t="n">
        <v>6</v>
      </c>
      <c r="D1799" s="3" t="inlineStr">
        <is>
          <t>Dengan demikian, kita dapat menggunakan dua stack untuk mensimulasikan queue dengan prinsip FIFO.</t>
        </is>
      </c>
      <c r="E1799" t="inlineStr">
        <is>
          <t>YA (didukung konteks)</t>
        </is>
      </c>
    </row>
    <row r="1800">
      <c r="A1800" t="n">
        <v>153</v>
      </c>
      <c r="B1800" t="inlineStr">
        <is>
          <t>B</t>
        </is>
      </c>
      <c r="C1800" t="n">
        <v>1</v>
      </c>
      <c r="D1800" s="3" t="inlineStr">
        <is>
          <t>* Setiap kali enqueue dilakukan, elemen tersebut dipindahkan dari S1 ke S2 (dengan kata lain, S2 menjadi "pemanas" atau " warmer" untuk S1).</t>
        </is>
      </c>
      <c r="E1800" t="inlineStr">
        <is>
          <t>YA (didukung konteks)</t>
        </is>
      </c>
    </row>
    <row r="1801">
      <c r="A1801" t="n">
        <v>153</v>
      </c>
      <c r="B1801" t="inlineStr">
        <is>
          <t>B</t>
        </is>
      </c>
      <c r="C1801" t="n">
        <v>2</v>
      </c>
      <c r="D1801" s="3" t="inlineStr">
        <is>
          <t>* Setiap kali dequeue dilakukan, elemen diambil dari S2 dan dipindahkan ke S1 (sehingga S1 menjadi "pemanas" untuk S2).</t>
        </is>
      </c>
      <c r="E1801" t="inlineStr">
        <is>
          <t>YA (didukung konteks)</t>
        </is>
      </c>
    </row>
    <row r="1802">
      <c r="A1802" t="n">
        <v>153</v>
      </c>
      <c r="B1802" t="inlineStr">
        <is>
          <t>B</t>
        </is>
      </c>
      <c r="C1802" t="n">
        <v>3</v>
      </c>
      <c r="D1802" s="3" t="inlineStr">
        <is>
          <t>Stack 1 (S1) digunakan sebagai "input" atau "masuk", sedangkan Stack 2 (S2) digunakan sebagai "output" atau "keluar".</t>
        </is>
      </c>
      <c r="E1802" t="inlineStr">
        <is>
          <t>YA (didukung konteks)</t>
        </is>
      </c>
    </row>
    <row r="1803">
      <c r="A1803" t="n">
        <v>153</v>
      </c>
      <c r="B1803" t="inlineStr">
        <is>
          <t>B</t>
        </is>
      </c>
      <c r="C1803" t="n">
        <v>4</v>
      </c>
      <c r="D1803" s="3" t="inlineStr">
        <is>
          <t>Dengan demikian, S2 menjadi "queue" yang sesungguhnya, sedangkan S1 berfungsi sebagai "input" atau "masuk" untuk S2.</t>
        </is>
      </c>
      <c r="E1803" t="inlineStr">
        <is>
          <t>YA (didukung konteks)</t>
        </is>
      </c>
    </row>
    <row r="1804">
      <c r="A1804" t="n">
        <v>153</v>
      </c>
      <c r="B1804" t="inlineStr">
        <is>
          <t>B</t>
        </is>
      </c>
      <c r="C1804" t="n">
        <v>5</v>
      </c>
      <c r="D1804" s="3" t="inlineStr">
        <is>
          <t>Untuk memastikan bahwa queue berjalan dengan benar, kita perlu melakukan beberapa operasi tambahan:</t>
        </is>
      </c>
      <c r="E1804" t="inlineStr">
        <is>
          <t>YA (didukung konteks)</t>
        </is>
      </c>
    </row>
    <row r="1805">
      <c r="A1805" t="n">
        <v>153</v>
      </c>
      <c r="B1805" t="inlineStr">
        <is>
          <t>B</t>
        </is>
      </c>
      <c r="C1805" t="n">
        <v>6</v>
      </c>
      <c r="D1805" s="3" t="inlineStr">
        <is>
          <t>Untuk memastikan bahwa queue berjalan dengan benar, saya memindahkan elemen dari S1 ke S2.</t>
        </is>
      </c>
      <c r="E1805" t="inlineStr">
        <is>
          <t>YA (didukung konteks)</t>
        </is>
      </c>
    </row>
    <row r="1806">
      <c r="A1806" t="n">
        <v>154</v>
      </c>
      <c r="B1806" t="inlineStr">
        <is>
          <t>A</t>
        </is>
      </c>
      <c r="C1806" t="n">
        <v>1</v>
      </c>
      <c r="D1806" s="3" t="inlineStr">
        <is>
          <t>Operator (*), pop() untuk mendapatkan nilai b=2, lalu pop() lagi untuk mendapatkan nilai a=17, lalu push(a operator b) ke dalam stack, stack=[35]</t>
        </is>
      </c>
      <c r="E1806" t="inlineStr">
        <is>
          <t>YA (didukung konteks)</t>
        </is>
      </c>
    </row>
    <row r="1807">
      <c r="A1807" t="n">
        <v>154</v>
      </c>
      <c r="B1807" t="inlineStr">
        <is>
          <t>A</t>
        </is>
      </c>
      <c r="C1807" t="n">
        <v>2</v>
      </c>
      <c r="D1807" s="3" t="inlineStr">
        <is>
          <t>Operator (-), pop() untuk mendapatkan nilai b=7, lala pop() lagi untuk mendapatkan nilai a=35, lalu push(a operator b) ke dalam stack, stack=[28]</t>
        </is>
      </c>
      <c r="E1807" t="inlineStr">
        <is>
          <t>YA (didukung konteks)</t>
        </is>
      </c>
    </row>
    <row r="1808">
      <c r="A1808" t="n">
        <v>154</v>
      </c>
      <c r="B1808" t="inlineStr">
        <is>
          <t>A</t>
        </is>
      </c>
      <c r="C1808" t="n">
        <v>3</v>
      </c>
      <c r="D1808" s="3" t="inlineStr">
        <is>
          <t>Operator (+), pop() untuk mendapatkan nilai b=4, lalu pop() lagi untuk mendapatkan nilai a=3, lalu push(a operator b) ke dalam stack, stack=[17]</t>
        </is>
      </c>
      <c r="E1808" t="inlineStr">
        <is>
          <t>TIDAK (tidak didukung)</t>
        </is>
      </c>
    </row>
    <row r="1809">
      <c r="A1809" t="n">
        <v>154</v>
      </c>
      <c r="B1809" t="inlineStr">
        <is>
          <t>A</t>
        </is>
      </c>
      <c r="C1809" t="n">
        <v>4</v>
      </c>
      <c r="D1809" s="3" t="inlineStr">
        <is>
          <t>- Jika t adalah operator, pop() untuk mendapatkan nilai b, lalu pop() lagi untuk mendapatkan nilai a, lalu push(a operator b) ke dalam stack.</t>
        </is>
      </c>
      <c r="E1809" t="inlineStr">
        <is>
          <t>YA (didukung konteks)</t>
        </is>
      </c>
    </row>
    <row r="1810">
      <c r="A1810" t="n">
        <v>154</v>
      </c>
      <c r="B1810" t="inlineStr">
        <is>
          <t>A</t>
        </is>
      </c>
      <c r="C1810" t="n">
        <v>5</v>
      </c>
      <c r="D1810" s="3" t="inlineStr">
        <is>
          <t>Postfix, juga dikenal sebagai Reverse Polish Notation (RPN), adalah sebuah notasi penulisan expression dimana operand dulu, lalu operator.</t>
        </is>
      </c>
      <c r="E1810" t="inlineStr">
        <is>
          <t>YA (didukung konteks)</t>
        </is>
      </c>
    </row>
    <row r="1811">
      <c r="A1811" t="n">
        <v>154</v>
      </c>
      <c r="B1811" t="inlineStr">
        <is>
          <t>A</t>
        </is>
      </c>
      <c r="C1811" t="n">
        <v>6</v>
      </c>
      <c r="D1811" s="3" t="inlineStr">
        <is>
          <t>Saya paham bahwa Anda memiliki ekspresi postfix '3 4 + 2 * 7 -' yang harus di-evaluasi menggunakan stack.</t>
        </is>
      </c>
      <c r="E1811" t="inlineStr">
        <is>
          <t>YA (didukung konteks)</t>
        </is>
      </c>
    </row>
    <row r="1812">
      <c r="A1812" t="n">
        <v>154</v>
      </c>
      <c r="B1812" t="inlineStr">
        <is>
          <t>B</t>
        </is>
      </c>
      <c r="C1812" t="n">
        <v>1</v>
      </c>
      <c r="D1812" s="3" t="inlineStr">
        <is>
          <t>You can think of it like a plate stack in a cafeteria: the last plate you put on top will be the first one you take off when you're done eating.</t>
        </is>
      </c>
      <c r="E1812" t="inlineStr">
        <is>
          <t>YA (didukung konteks)</t>
        </is>
      </c>
    </row>
    <row r="1813">
      <c r="A1813" t="n">
        <v>154</v>
      </c>
      <c r="B1813" t="inlineStr">
        <is>
          <t>B</t>
        </is>
      </c>
      <c r="C1813" t="n">
        <v>2</v>
      </c>
      <c r="D1813" s="3" t="inlineStr">
        <is>
          <t>* If it's an operator, pop the required number of operands from the stack, perform the operation, and then push the result back onto the stack.</t>
        </is>
      </c>
      <c r="E1813" t="inlineStr">
        <is>
          <t>YA (didukung konteks)</t>
        </is>
      </c>
    </row>
    <row r="1814">
      <c r="A1814" t="n">
        <v>154</v>
      </c>
      <c r="B1814" t="inlineStr">
        <is>
          <t>B</t>
        </is>
      </c>
      <c r="C1814" t="n">
        <v>3</v>
      </c>
      <c r="D1814" s="3" t="inlineStr">
        <is>
          <t>* '*' (operator): pop two operands from the stack (7 and 2), perform multiplication (14), and push result back onto the stack -&gt; [14]</t>
        </is>
      </c>
      <c r="E1814" t="inlineStr">
        <is>
          <t>YA (didukung konteks)</t>
        </is>
      </c>
    </row>
    <row r="1815">
      <c r="A1815" t="n">
        <v>154</v>
      </c>
      <c r="B1815" t="inlineStr">
        <is>
          <t>B</t>
        </is>
      </c>
      <c r="C1815" t="n">
        <v>4</v>
      </c>
      <c r="D1815" s="3" t="inlineStr">
        <is>
          <t>* '-' (operator): pop two operands from the stack (14 and 7), perform subtraction (-3), and push result back onto the stack -&gt; [-3]</t>
        </is>
      </c>
      <c r="E1815" t="inlineStr">
        <is>
          <t>YA (didukung konteks)</t>
        </is>
      </c>
    </row>
    <row r="1816">
      <c r="A1816" t="n">
        <v>154</v>
      </c>
      <c r="B1816" t="inlineStr">
        <is>
          <t>B</t>
        </is>
      </c>
      <c r="C1816" t="n">
        <v>5</v>
      </c>
      <c r="D1816" s="3" t="inlineStr">
        <is>
          <t>It's a notation system where operators follow their operands, unlike infix notation where operators are in between the operands.</t>
        </is>
      </c>
      <c r="E1816" t="inlineStr">
        <is>
          <t>YA (didukung konteks)</t>
        </is>
      </c>
    </row>
    <row r="1817">
      <c r="A1817" t="n">
        <v>154</v>
      </c>
      <c r="B1817" t="inlineStr">
        <is>
          <t>B</t>
        </is>
      </c>
      <c r="C1817" t="n">
        <v>6</v>
      </c>
      <c r="D1817" s="3" t="inlineStr">
        <is>
          <t>* '+' (operator): pop two operands from the stack (3 and 4), perform addition (7), and push result back onto the stack -&gt; [7]</t>
        </is>
      </c>
      <c r="E1817" t="inlineStr">
        <is>
          <t>YA (didukung konteks)</t>
        </is>
      </c>
    </row>
    <row r="1818">
      <c r="A1818" t="n">
        <v>155</v>
      </c>
      <c r="B1818" t="inlineStr">
        <is>
          <t>A</t>
        </is>
      </c>
      <c r="C1818" t="n">
        <v>1</v>
      </c>
      <c r="D1818" s="3" t="inlineStr">
        <is>
          <t>Konsep utama yang digunakan dalam simulasi ini adalah queue, sebuah struktur data FIFO (First In First Out) yang digunakan untuk menampung objek dan mengelola urutan pemrosesan.</t>
        </is>
      </c>
      <c r="E1818" t="inlineStr">
        <is>
          <t>YA (didukung konteks)</t>
        </is>
      </c>
    </row>
    <row r="1819">
      <c r="A1819" t="n">
        <v>155</v>
      </c>
      <c r="B1819" t="inlineStr">
        <is>
          <t>A</t>
        </is>
      </c>
      <c r="C1819" t="n">
        <v>2</v>
      </c>
      <c r="D1819" s="3" t="inlineStr">
        <is>
          <t>Dalam kasus ini, tidak dibutuhkan struktur data yang lebih kompleks selain queue, karena queue dapat mengelola urutan pemrosesan pelanggan dengan baik.</t>
        </is>
      </c>
      <c r="E1819" t="inlineStr">
        <is>
          <t>YA (didukung konteks)</t>
        </is>
      </c>
    </row>
    <row r="1820">
      <c r="A1820" t="n">
        <v>155</v>
      </c>
      <c r="B1820" t="inlineStr">
        <is>
          <t>A</t>
        </is>
      </c>
      <c r="C1820" t="n">
        <v>3</v>
      </c>
      <c r="D1820" s="3" t="inlineStr">
        <is>
          <t>Contoh konkret dari aplikasi queue dalam simulasi antrian pelanggan bank adalah sebagai berikut: saat pelanggan 1 datang, dia dijawab oleh loket 1.</t>
        </is>
      </c>
      <c r="E1820" t="inlineStr">
        <is>
          <t>YA (didukung konteks)</t>
        </is>
      </c>
    </row>
    <row r="1821">
      <c r="A1821" t="n">
        <v>155</v>
      </c>
      <c r="B1821" t="inlineStr">
        <is>
          <t>A</t>
        </is>
      </c>
      <c r="C1821" t="n">
        <v>4</v>
      </c>
      <c r="D1821" s="3" t="inlineStr">
        <is>
          <t>Dalam simulasi antrian pelanggan bank dengan queue, Anda diminta membuat 3 loket aktif yang dapat melayani satu pelanggan setiap kali.</t>
        </is>
      </c>
      <c r="E1821" t="inlineStr">
        <is>
          <t>YA (didukung konteks)</t>
        </is>
      </c>
    </row>
    <row r="1822">
      <c r="A1822" t="n">
        <v>155</v>
      </c>
      <c r="B1822" t="inlineStr">
        <is>
          <t>A</t>
        </is>
      </c>
      <c r="C1822" t="n">
        <v>5</v>
      </c>
      <c r="D1822" s="3" t="inlineStr">
        <is>
          <t>Dengan menggunakan queue, Anda dapat memastikan bahwa pelanggan dipanggil secara berurutan sesuai dengan urutan kedatangan mereka.</t>
        </is>
      </c>
      <c r="E1822" t="inlineStr">
        <is>
          <t>YA (didukung konteks)</t>
        </is>
      </c>
    </row>
    <row r="1823">
      <c r="A1823" t="n">
        <v>155</v>
      </c>
      <c r="B1823" t="inlineStr">
        <is>
          <t>A</t>
        </is>
      </c>
      <c r="C1823" t="n">
        <v>6</v>
      </c>
      <c r="D1823" s="3" t="inlineStr">
        <is>
          <t>Dengan menggunakan queue, pelanggan akan dipanggil secara berurutan sesuai dengan urutan kedatangan mereka.</t>
        </is>
      </c>
      <c r="E1823" t="inlineStr">
        <is>
          <t>YA (didukung konteks)</t>
        </is>
      </c>
    </row>
    <row r="1824">
      <c r="A1824" t="n">
        <v>155</v>
      </c>
      <c r="B1824" t="inlineStr">
        <is>
          <t>B</t>
        </is>
      </c>
      <c r="C1824" t="n">
        <v>1</v>
      </c>
      <c r="D1824" s="3" t="inlineStr">
        <is>
          <t>Jika loket 1 kosong, maka pelanggan berikutnya dari queue 1 dipanggil, sedangkan jika loket 2 atau 3 masih ada penggunaan, maka pelanggan-pelanggan lain dapat menunggu di queue yang lain.</t>
        </is>
      </c>
      <c r="E1824" t="inlineStr">
        <is>
          <t>YA (didukung konteks)</t>
        </is>
      </c>
    </row>
    <row r="1825">
      <c r="A1825" t="n">
        <v>155</v>
      </c>
      <c r="B1825" t="inlineStr">
        <is>
          <t>B</t>
        </is>
      </c>
      <c r="C1825" t="n">
        <v>2</v>
      </c>
      <c r="D1825" s="3" t="inlineStr">
        <is>
          <t>Jika kita hanya memiliki satu queue, maka pelanggan-pelanggan yang datang akan menunggu di queue tersebut hingga mendapatkan giliran sementara loket lainnya tidak ada penggunaan.</t>
        </is>
      </c>
      <c r="E1825" t="inlineStr">
        <is>
          <t>YA (didukung konteks)</t>
        </is>
      </c>
    </row>
    <row r="1826">
      <c r="A1826" t="n">
        <v>155</v>
      </c>
      <c r="B1826" t="inlineStr">
        <is>
          <t>B</t>
        </is>
      </c>
      <c r="C1826" t="n">
        <v>3</v>
      </c>
      <c r="D1826" s="3" t="inlineStr">
        <is>
          <t>Dalam kasus seperti ini, lebih baik menggunakan struktur queue lebih kompleks, yaitu menggunakan multiple queues, masing-masing untuk setiap loket.</t>
        </is>
      </c>
      <c r="E1826" t="inlineStr">
        <is>
          <t>YA (didukung konteks)</t>
        </is>
      </c>
    </row>
    <row r="1827">
      <c r="A1827" t="n">
        <v>155</v>
      </c>
      <c r="B1827" t="inlineStr">
        <is>
          <t>B</t>
        </is>
      </c>
      <c r="C1827" t="n">
        <v>4</v>
      </c>
      <c r="D1827" s="3" t="inlineStr">
        <is>
          <t>Dalam simulasi antrian pelanggan bank dengan 3 loket aktif, saya rasa bahwa hanya satu queue saja tidak cukup untuk memenuhi kebutuhan tersebut.</t>
        </is>
      </c>
      <c r="E1827" t="inlineStr">
        <is>
          <t>YA (didukung konteks)</t>
        </is>
      </c>
    </row>
    <row r="1828">
      <c r="A1828" t="n">
        <v>155</v>
      </c>
      <c r="B1828" t="inlineStr">
        <is>
          <t>B</t>
        </is>
      </c>
      <c r="C1828" t="n">
        <v>5</v>
      </c>
      <c r="D1828" s="3" t="inlineStr">
        <is>
          <t>Dengan menggunakan struktur queue seperti ini, kita dapat memenuhi kebutuhan simulasi antrian pelanggan bank dengan lebih akurat dan realistis.</t>
        </is>
      </c>
      <c r="E1828" t="inlineStr">
        <is>
          <t>YA (didukung konteks)</t>
        </is>
      </c>
    </row>
    <row r="1829">
      <c r="A1829" t="n">
        <v>155</v>
      </c>
      <c r="B1829" t="inlineStr">
        <is>
          <t>B</t>
        </is>
      </c>
      <c r="C1829" t="n">
        <v>6</v>
      </c>
      <c r="D1829" s="3" t="inlineStr">
        <is>
          <t>Alasan utama adalah karena setiap loket melayani satu pelanggan, maka pelanggan yang masuk akan menunggu giliran loket yang tersedia.</t>
        </is>
      </c>
      <c r="E1829" t="inlineStr">
        <is>
          <t>YA (didukung konteks)</t>
        </is>
      </c>
    </row>
    <row r="1830">
      <c r="A1830" t="n">
        <v>156</v>
      </c>
      <c r="B1830" t="inlineStr">
        <is>
          <t>A</t>
        </is>
      </c>
      <c r="C1830" t="n">
        <v>1</v>
      </c>
      <c r="D1830" s="3" t="inlineStr">
        <is>
          <t>Sedangkan level-order traversal adalah perjalanan melalui node tree secara level-by-level, mulai dari root hingga leaf node.</t>
        </is>
      </c>
      <c r="E1830" t="inlineStr">
        <is>
          <t>YA (didukung konteks)</t>
        </is>
      </c>
    </row>
    <row r="1831">
      <c r="A1831" t="n">
        <v>156</v>
      </c>
      <c r="B1831" t="inlineStr">
        <is>
          <t>A</t>
        </is>
      </c>
      <c r="C1831" t="n">
        <v>2</v>
      </c>
      <c r="D1831" s="3" t="inlineStr">
        <is>
          <t>In-order traversal adalah perjalanan melalui node tree dengan urutan sebagai berikut: left, root, right.</t>
        </is>
      </c>
      <c r="E1831" t="inlineStr">
        <is>
          <t>YA (didukung konteks)</t>
        </is>
      </c>
    </row>
    <row r="1832">
      <c r="A1832" t="n">
        <v>156</v>
      </c>
      <c r="B1832" t="inlineStr">
        <is>
          <t>A</t>
        </is>
      </c>
      <c r="C1832" t="n">
        <v>3</v>
      </c>
      <c r="D1832" s="3" t="inlineStr">
        <is>
          <t>Kita akan menganalisis tree yang diberikan dan melakukan traversal beberapa jenis.</t>
        </is>
      </c>
      <c r="E1832" t="inlineStr">
        <is>
          <t>YA (didukung konteks)</t>
        </is>
      </c>
    </row>
    <row r="1833">
      <c r="A1833" t="n">
        <v>156</v>
      </c>
      <c r="B1833" t="inlineStr">
        <is>
          <t>A</t>
        </is>
      </c>
      <c r="C1833" t="n">
        <v>4</v>
      </c>
      <c r="D1833" s="3" t="inlineStr">
        <is>
          <t>Saya harap pemahaman Anda tentang konsep traversal dalam graph theory.</t>
        </is>
      </c>
      <c r="E1833" t="inlineStr">
        <is>
          <t>YA (didukung konteks)</t>
        </is>
      </c>
    </row>
    <row r="1834">
      <c r="A1834" t="n">
        <v>156</v>
      </c>
      <c r="B1834" t="inlineStr">
        <is>
          <t>A</t>
        </is>
      </c>
      <c r="C1834" t="n">
        <v>5</v>
      </c>
      <c r="D1834" s="3" t="inlineStr">
        <is>
          <t>Jadi, kita memiliki dua jenis traversal: in-order dan level-order.</t>
        </is>
      </c>
      <c r="E1834" t="inlineStr">
        <is>
          <t>YA (didukung konteks)</t>
        </is>
      </c>
    </row>
    <row r="1835">
      <c r="A1835" t="n">
        <v>156</v>
      </c>
      <c r="B1835" t="inlineStr">
        <is>
          <t>A</t>
        </is>
      </c>
      <c r="C1835" t="n">
        <v>6</v>
      </c>
      <c r="D1835" s="3" t="inlineStr">
        <is>
          <t>Pertama-tama, kita harus memahami struktur tree yang diberikan:</t>
        </is>
      </c>
      <c r="E1835" t="inlineStr">
        <is>
          <t>YA (didukung konteks)</t>
        </is>
      </c>
    </row>
    <row r="1836">
      <c r="A1836" t="n">
        <v>156</v>
      </c>
      <c r="B1836" t="inlineStr">
        <is>
          <t>B</t>
        </is>
      </c>
      <c r="C1836" t="n">
        <v>1</v>
      </c>
      <c r="D1836" s="3" t="inlineStr">
        <is>
          <t>**Level-order traversal** (Traversal level-orden): Dalam level-order traversal, kita akan kunjungi node-node tree secara sequential, mulai dari root dan kemudian semua anak-anaknya sebelum melangkah ke level berikutnya.</t>
        </is>
      </c>
      <c r="E1836" t="inlineStr">
        <is>
          <t>YA (didukung konteks)</t>
        </is>
      </c>
    </row>
    <row r="1837">
      <c r="A1837" t="n">
        <v>156</v>
      </c>
      <c r="B1837" t="inlineStr">
        <is>
          <t>B</t>
        </is>
      </c>
      <c r="C1837" t="n">
        <v>2</v>
      </c>
      <c r="D1837" s="3" t="inlineStr">
        <is>
          <t>In-order traversal, level-order traversal, dan post-order traversal adalah tiga jenis traversal yang dapat dilakukan pada suatu tree.</t>
        </is>
      </c>
      <c r="E1837" t="inlineStr">
        <is>
          <t>YA (didukung konteks)</t>
        </is>
      </c>
    </row>
    <row r="1838">
      <c r="A1838" t="n">
        <v>156</v>
      </c>
      <c r="B1838" t="inlineStr">
        <is>
          <t>B</t>
        </is>
      </c>
      <c r="C1838" t="n">
        <v>3</v>
      </c>
      <c r="D1838" s="3" t="inlineStr">
        <is>
          <t>**Post-order traversal** (Traversal post-orden): Dalam post-order traversal, kita akan kunjungi node-node tree dengan urutan berikut:</t>
        </is>
      </c>
      <c r="E1838" t="inlineStr">
        <is>
          <t>YA (didukung konteks)</t>
        </is>
      </c>
    </row>
    <row r="1839">
      <c r="A1839" t="n">
        <v>156</v>
      </c>
      <c r="B1839" t="inlineStr">
        <is>
          <t>B</t>
        </is>
      </c>
      <c r="C1839" t="n">
        <v>4</v>
      </c>
      <c r="D1839" s="3" t="inlineStr">
        <is>
          <t>**In-order traversal** (Traversal in-orden): Dalam in-order traversal, kita akan kunjungi node-node tree dengan urutan berikut:</t>
        </is>
      </c>
      <c r="E1839" t="inlineStr">
        <is>
          <t>YA (didukung konteks)</t>
        </is>
      </c>
    </row>
    <row r="1840">
      <c r="A1840" t="n">
        <v>156</v>
      </c>
      <c r="B1840" t="inlineStr">
        <is>
          <t>B</t>
        </is>
      </c>
      <c r="C1840" t="n">
        <v>5</v>
      </c>
      <c r="D1840" s="3" t="inlineStr">
        <is>
          <t>Saya harap penjelasan di atas dapat membantu Anda memahami perbedaan antara in-order, post-order, dan level-order traversal!</t>
        </is>
      </c>
      <c r="E1840" t="inlineStr">
        <is>
          <t>YA (didukung konteks)</t>
        </is>
      </c>
    </row>
    <row r="1841">
      <c r="A1841" t="n">
        <v>156</v>
      </c>
      <c r="B1841" t="inlineStr">
        <is>
          <t>B</t>
        </is>
      </c>
      <c r="C1841" t="n">
        <v>6</v>
      </c>
      <c r="D1841" s="3" t="inlineStr">
        <is>
          <t>Kebetulan saya juga pernah belajar tentang traversal pada tree!</t>
        </is>
      </c>
      <c r="E1841" t="inlineStr">
        <is>
          <t>YA (didukung konteks)</t>
        </is>
      </c>
    </row>
    <row r="1842">
      <c r="A1842" t="n">
        <v>157</v>
      </c>
      <c r="B1842" t="inlineStr">
        <is>
          <t>A</t>
        </is>
      </c>
      <c r="C1842" t="n">
        <v>1</v>
      </c>
      <c r="D1842" s="3" t="inlineStr">
        <is>
          <t>Mahasiswa, sebagai tutor Computational Thinking, saya akan membantu Anda menyelesaikan soal graph yang diberikan.</t>
        </is>
      </c>
      <c r="E1842" t="inlineStr">
        <is>
          <t>YA (didukung konteks)</t>
        </is>
      </c>
    </row>
    <row r="1843">
      <c r="A1843" t="n">
        <v>157</v>
      </c>
      <c r="B1843" t="inlineStr">
        <is>
          <t>A</t>
        </is>
      </c>
      <c r="C1843" t="n">
        <v>2</v>
      </c>
      <c r="D1843" s="3" t="inlineStr">
        <is>
          <t>Jika tidak ada cycle, maka Anda dapat melanjutkan traversal hingga semua node di graph telah dikunjungi.</t>
        </is>
      </c>
      <c r="E1843" t="inlineStr">
        <is>
          <t>YA (didukung konteks)</t>
        </is>
      </c>
    </row>
    <row r="1844">
      <c r="A1844" t="n">
        <v>157</v>
      </c>
      <c r="B1844" t="inlineStr">
        <is>
          <t>A</t>
        </is>
      </c>
      <c r="C1844" t="n">
        <v>3</v>
      </c>
      <c r="D1844" s="3" t="inlineStr">
        <is>
          <t>Dengan menggunakan algoritme DFS, Anda dapat dengan mudah menyelesaikan soal deteksi cycle pada graph.</t>
        </is>
      </c>
      <c r="E1844" t="inlineStr">
        <is>
          <t>YA (didukung konteks)</t>
        </is>
      </c>
    </row>
    <row r="1845">
      <c r="A1845" t="n">
        <v>157</v>
      </c>
      <c r="B1845" t="inlineStr">
        <is>
          <t>A</t>
        </is>
      </c>
      <c r="C1845" t="n">
        <v>4</v>
      </c>
      <c r="D1845" s="3" t="inlineStr">
        <is>
          <t>Karena kita kembali ke node B yang telah dikunjungi sebelumnya, maka terdeteksi adanya cycle.</t>
        </is>
      </c>
      <c r="E1845" t="inlineStr">
        <is>
          <t>TIDAK (tidak didukung)</t>
        </is>
      </c>
    </row>
    <row r="1846">
      <c r="A1846" t="n">
        <v>157</v>
      </c>
      <c r="B1846" t="inlineStr">
        <is>
          <t>A</t>
        </is>
      </c>
      <c r="C1846" t="n">
        <v>5</v>
      </c>
      <c r="D1846" s="3" t="inlineStr">
        <is>
          <t>Untuk deteksi cycle pada graph, kita dapat menggunakan algoritme Depth-First Search (DFS).</t>
        </is>
      </c>
      <c r="E1846" t="inlineStr">
        <is>
          <t>YA (didukung konteks)</t>
        </is>
      </c>
    </row>
    <row r="1847">
      <c r="A1847" t="n">
        <v>157</v>
      </c>
      <c r="B1847" t="inlineStr">
        <is>
          <t>A</t>
        </is>
      </c>
      <c r="C1847" t="n">
        <v>6</v>
      </c>
      <c r="D1847" s="3" t="inlineStr">
        <is>
          <t>Jika Anda mencapai node yang telah dikunjungi sebelumnya, maka terdeteksi adanya cycle.</t>
        </is>
      </c>
      <c r="E1847" t="inlineStr">
        <is>
          <t>YA (didukung konteks)</t>
        </is>
      </c>
    </row>
    <row r="1848">
      <c r="A1848" t="n">
        <v>157</v>
      </c>
      <c r="B1848" t="inlineStr">
        <is>
          <t>B</t>
        </is>
      </c>
      <c r="C1848" t="n">
        <v>1</v>
      </c>
      <c r="D1848" s="3" t="inlineStr">
        <is>
          <t>Untuk mendeteksi cycle dengan cara sistematis, Anda dapat menggunakan algoritma lain seperti Floyd's Cycle Detection Algorithm atau Tarjan's Strongly Connected Components Algorithm.</t>
        </is>
      </c>
      <c r="E1848" t="inlineStr">
        <is>
          <t>YA (didukung konteks)</t>
        </is>
      </c>
    </row>
    <row r="1849">
      <c r="A1849" t="n">
        <v>157</v>
      </c>
      <c r="B1849" t="inlineStr">
        <is>
          <t>B</t>
        </is>
      </c>
      <c r="C1849" t="n">
        <v>2</v>
      </c>
      <c r="D1849" s="3" t="inlineStr">
        <is>
          <t>Untuk menentukan apakah graph tersebut memiliki cycle atau tidak, Anda dapat menggunakan algoritma Depth-First Search (DFS).</t>
        </is>
      </c>
      <c r="E1849" t="inlineStr">
        <is>
          <t>YA (didukung konteks)</t>
        </is>
      </c>
    </row>
    <row r="1850">
      <c r="A1850" t="n">
        <v>157</v>
      </c>
      <c r="B1850" t="inlineStr">
        <is>
          <t>B</t>
        </is>
      </c>
      <c r="C1850" t="n">
        <v>3</v>
      </c>
      <c r="D1850" s="3" t="inlineStr">
        <is>
          <t>Jika node tersebut belum dikunjungi sebelumnya, maka kunjungi node tersebut dan tambahkan node tersebut ke dalam stack.</t>
        </is>
      </c>
      <c r="E1850" t="inlineStr">
        <is>
          <t>YA (didukung konteks)</t>
        </is>
      </c>
    </row>
    <row r="1851">
      <c r="A1851" t="n">
        <v>157</v>
      </c>
      <c r="B1851" t="inlineStr">
        <is>
          <t>B</t>
        </is>
      </c>
      <c r="C1851" t="n">
        <v>4</v>
      </c>
      <c r="D1851" s="3" t="inlineStr">
        <is>
          <t>Graph yang Anda berikan adalah sebuah graph dengan 4 node (A, B, C, D) dan 4 edge (A→B, B→C, C→D, D→B).</t>
        </is>
      </c>
      <c r="E1851" t="inlineStr">
        <is>
          <t>YA (didukung konteks)</t>
        </is>
      </c>
    </row>
    <row r="1852">
      <c r="A1852" t="n">
        <v>157</v>
      </c>
      <c r="B1852" t="inlineStr">
        <is>
          <t>B</t>
        </is>
      </c>
      <c r="C1852" t="n">
        <v>5</v>
      </c>
      <c r="D1852" s="3" t="inlineStr">
        <is>
          <t>Jika node tersebut sudah dikunjungi sebelumnya, maka cek apakah node tersebut sama dengan node awal.</t>
        </is>
      </c>
      <c r="E1852" t="inlineStr">
        <is>
          <t>YA (didukung konteks)</t>
        </is>
      </c>
    </row>
    <row r="1853">
      <c r="A1853" t="n">
        <v>157</v>
      </c>
      <c r="B1853" t="inlineStr">
        <is>
          <t>B</t>
        </is>
      </c>
      <c r="C1853" t="n">
        <v>6</v>
      </c>
      <c r="D1853" s="3" t="inlineStr">
        <is>
          <t>Namun, perlu diingat bahwa DFS bukanlah algoritma yang secara eksplisit mencari cycle dalam graph.</t>
        </is>
      </c>
      <c r="E1853" t="inlineStr">
        <is>
          <t>YA (didukung konteks)</t>
        </is>
      </c>
    </row>
    <row r="1854">
      <c r="A1854" t="n">
        <v>158</v>
      </c>
      <c r="B1854" t="inlineStr">
        <is>
          <t>A</t>
        </is>
      </c>
      <c r="C1854" t="n">
        <v>1</v>
      </c>
      <c r="D1854" s="3" t="inlineStr">
        <is>
          <t>Kita perlu memeriksa apakah semua node terhubung dengan cara sistematis dan melihat apakah ada edge yang menghubungkan node yang tidak terhubung.</t>
        </is>
      </c>
      <c r="E1854" t="inlineStr">
        <is>
          <t>YA (didukung konteks)</t>
        </is>
      </c>
    </row>
    <row r="1855">
      <c r="A1855" t="n">
        <v>158</v>
      </c>
      <c r="B1855" t="inlineStr">
        <is>
          <t>A</t>
        </is>
      </c>
      <c r="C1855" t="n">
        <v>2</v>
      </c>
      <c r="D1855" s="3" t="inlineStr">
        <is>
          <t>Kembali ke soal, saya akan menjawab pertanyaan tentang apakah dua graph berikut merupakan 'connected graph' (semua node terhubung) atau tidak.</t>
        </is>
      </c>
      <c r="E1855" t="inlineStr">
        <is>
          <t>YA (didukung konteks)</t>
        </is>
      </c>
    </row>
    <row r="1856">
      <c r="A1856" t="n">
        <v>158</v>
      </c>
      <c r="B1856" t="inlineStr">
        <is>
          <t>A</t>
        </is>
      </c>
      <c r="C1856" t="n">
        <v>3</v>
      </c>
      <c r="D1856" s="3" t="inlineStr">
        <is>
          <t>Graph directed digunakan ketika hubungan antar node tidak bersifat simetris, seperti jalur satu arah atau hubungan sebab-akibat.</t>
        </is>
      </c>
      <c r="E1856" t="inlineStr">
        <is>
          <t>YA (didukung konteks)</t>
        </is>
      </c>
    </row>
    <row r="1857">
      <c r="A1857" t="n">
        <v>158</v>
      </c>
      <c r="B1857" t="inlineStr">
        <is>
          <t>A</t>
        </is>
      </c>
      <c r="C1857" t="n">
        <v>4</v>
      </c>
      <c r="D1857" s="3" t="inlineStr">
        <is>
          <t>Pertama-tama, saya perlu menjelaskan bahwa graph adalah struktur data yang terdiri dari node/vertex dan edge/garis penghubung.</t>
        </is>
      </c>
      <c r="E1857" t="inlineStr">
        <is>
          <t>YA (didukung konteks)</t>
        </is>
      </c>
    </row>
    <row r="1858">
      <c r="A1858" t="n">
        <v>158</v>
      </c>
      <c r="B1858" t="inlineStr">
        <is>
          <t>A</t>
        </is>
      </c>
      <c r="C1858" t="n">
        <v>5</v>
      </c>
      <c r="D1858" s="3" t="inlineStr">
        <is>
          <t>Dalam kasus ini, saya dapat melihat bahwa Graph 2 tidak memiliki edge yang menghubungkan node A dan C, serta node B dan E.</t>
        </is>
      </c>
      <c r="E1858" t="inlineStr">
        <is>
          <t>YA (didukung konteks)</t>
        </is>
      </c>
    </row>
    <row r="1859">
      <c r="A1859" t="n">
        <v>158</v>
      </c>
      <c r="B1859" t="inlineStr">
        <is>
          <t>A</t>
        </is>
      </c>
      <c r="C1859" t="n">
        <v>6</v>
      </c>
      <c r="D1859" s="3" t="inlineStr">
        <is>
          <t>Cara termudah adalah dengan menggunakan algoritme DFS (Depth-First Search) atau BFS (Breadth-First Search).</t>
        </is>
      </c>
      <c r="E1859" t="inlineStr">
        <is>
          <t>YA (didukung konteks)</t>
        </is>
      </c>
    </row>
    <row r="1860">
      <c r="A1860" t="n">
        <v>158</v>
      </c>
      <c r="B1860" t="inlineStr">
        <is>
          <t>B</t>
        </is>
      </c>
      <c r="C1860" t="n">
        <v>1</v>
      </c>
      <c r="D1860" s="3" t="inlineStr">
        <is>
          <t>Jika kita jalankan BFS dari salah satu node ke semua node lainnya, dan hasilnya tidak ada node yang tidak terhubung, maka graph tersebut terhubung.</t>
        </is>
      </c>
      <c r="E1860" t="inlineStr">
        <is>
          <t>YA (didukung konteks)</t>
        </is>
      </c>
    </row>
    <row r="1861">
      <c r="A1861" t="n">
        <v>158</v>
      </c>
      <c r="B1861" t="inlineStr">
        <is>
          <t>B</t>
        </is>
      </c>
      <c r="C1861" t="n">
        <v>2</v>
      </c>
      <c r="D1861" s="3" t="inlineStr">
        <is>
          <t>**Cek apakah ada node yang tidak terhubung**: Jika ada node yang tidak terhubung (tidak memiliki neighbor), maka graph tersebut tidak terhubung.</t>
        </is>
      </c>
      <c r="E1861" t="inlineStr">
        <is>
          <t>YA (didukung konteks)</t>
        </is>
      </c>
    </row>
    <row r="1862">
      <c r="A1862" t="n">
        <v>158</v>
      </c>
      <c r="B1862" t="inlineStr">
        <is>
          <t>B</t>
        </is>
      </c>
      <c r="C1862" t="n">
        <v>3</v>
      </c>
      <c r="D1862" s="3" t="inlineStr">
        <is>
          <t>**Jalankan BFS (Breadth-First Search)**: BFS adalah algoritma yang digunakan untuk menemukan path terpendek antara dua node dalam graph.</t>
        </is>
      </c>
      <c r="E1862" t="inlineStr">
        <is>
          <t>YA (didukung konteks)</t>
        </is>
      </c>
    </row>
    <row r="1863">
      <c r="A1863" t="n">
        <v>158</v>
      </c>
      <c r="B1863" t="inlineStr">
        <is>
          <t>B</t>
        </is>
      </c>
      <c r="C1863" t="n">
        <v>4</v>
      </c>
      <c r="D1863" s="3" t="inlineStr">
        <is>
          <t>Untuk menentukan apakah dua graph tersebut terhubung atau tidak, kita dapat menggunakan beberapa strategi berikut:</t>
        </is>
      </c>
      <c r="E1863" t="inlineStr">
        <is>
          <t>YA (didukung konteks)</t>
        </is>
      </c>
    </row>
    <row r="1864">
      <c r="A1864" t="n">
        <v>158</v>
      </c>
      <c r="B1864" t="inlineStr">
        <is>
          <t>B</t>
        </is>
      </c>
      <c r="C1864" t="n">
        <v>5</v>
      </c>
      <c r="D1864" s="3" t="inlineStr">
        <is>
          <t>* Jalankan BFS dari salah satu node (misalnya A): A -&gt; B -&gt; C -&gt; D -&gt; A, tidak ada node yang tidak terhubung.</t>
        </is>
      </c>
      <c r="E1864" t="inlineStr">
        <is>
          <t>YA (didukung konteks)</t>
        </is>
      </c>
    </row>
    <row r="1865">
      <c r="A1865" t="n">
        <v>158</v>
      </c>
      <c r="B1865" t="inlineStr">
        <is>
          <t>B</t>
        </is>
      </c>
      <c r="C1865" t="n">
        <v>6</v>
      </c>
      <c r="D1865" s="3" t="inlineStr">
        <is>
          <t>* Jalankan BFS dari salah satu node (misalnya A): A -&gt; B, tidak ada node lain yang dapat dijangkau.</t>
        </is>
      </c>
      <c r="E1865" t="inlineStr">
        <is>
          <t>YA (didukung konteks)</t>
        </is>
      </c>
    </row>
    <row r="1866">
      <c r="A1866" t="n">
        <v>159</v>
      </c>
      <c r="B1866" t="inlineStr">
        <is>
          <t>A</t>
        </is>
      </c>
      <c r="C1866" t="n">
        <v>1</v>
      </c>
      <c r="D1866" s="3" t="inlineStr">
        <is>
          <t>Namun, jika kita ingin mencari jalur terpendek pada weighted graph, maka kita perlu menggunakan algoritme yang lain, seperti Algoritme Bellman-Ford atau Algoritme A*.</t>
        </is>
      </c>
      <c r="E1866" t="inlineStr">
        <is>
          <t>YA (didukung konteks)</t>
        </is>
      </c>
    </row>
    <row r="1867">
      <c r="A1867" t="n">
        <v>159</v>
      </c>
      <c r="B1867" t="inlineStr">
        <is>
          <t>A</t>
        </is>
      </c>
      <c r="C1867" t="n">
        <v>2</v>
      </c>
      <c r="D1867" s="3" t="inlineStr">
        <is>
          <t>Dalam materi referensi, disebutkan bahwa Algoritme Dijkstra adalah salah satu algoritme yang terkenal untuk menghitung jalur terpendek pada graph berbobot.</t>
        </is>
      </c>
      <c r="E1867" t="inlineStr">
        <is>
          <t>YA (didukung konteks)</t>
        </is>
      </c>
    </row>
    <row r="1868">
      <c r="A1868" t="n">
        <v>159</v>
      </c>
      <c r="B1868" t="inlineStr">
        <is>
          <t>A</t>
        </is>
      </c>
      <c r="C1868" t="n">
        <v>3</v>
      </c>
      <c r="D1868" s="3" t="inlineStr">
        <is>
          <t>Karena dalam weighted graph, setiap edge memiliki bobot yang berbeda, sehingga BFS tidak dapat mengetahui jalur terpendek dengan tepat.</t>
        </is>
      </c>
      <c r="E1868" t="inlineStr">
        <is>
          <t>YA (didukung konteks)</t>
        </is>
      </c>
    </row>
    <row r="1869">
      <c r="A1869" t="n">
        <v>159</v>
      </c>
      <c r="B1869" t="inlineStr">
        <is>
          <t>A</t>
        </is>
      </c>
      <c r="C1869" t="n">
        <v>4</v>
      </c>
      <c r="D1869" s="3" t="inlineStr">
        <is>
          <t>Namun, perlu diingat bahwa BFS (Breadth-First Search) hanya dapat digunakan untuk mencari jalur terpendek pada graph tidak berbobot.</t>
        </is>
      </c>
      <c r="E1869" t="inlineStr">
        <is>
          <t>YA (didukung konteks)</t>
        </is>
      </c>
    </row>
    <row r="1870">
      <c r="A1870" t="n">
        <v>159</v>
      </c>
      <c r="B1870" t="inlineStr">
        <is>
          <t>A</t>
        </is>
      </c>
      <c r="C1870" t="n">
        <v>5</v>
      </c>
      <c r="D1870" s="3" t="inlineStr">
        <is>
          <t>Saya akan menjawab pertanyaan mahasiswa tentang apakah BFS dapat dipakai untuk weighted graph dan mencari jalur terpendek.</t>
        </is>
      </c>
      <c r="E1870" t="inlineStr">
        <is>
          <t>YA (didukung konteks)</t>
        </is>
      </c>
    </row>
    <row r="1871">
      <c r="A1871" t="n">
        <v>159</v>
      </c>
      <c r="B1871" t="inlineStr">
        <is>
          <t>A</t>
        </is>
      </c>
      <c r="C1871" t="n">
        <v>6</v>
      </c>
      <c r="D1871" s="3" t="inlineStr">
        <is>
          <t>Algoritme Dijkstra yang mempertimbangkan bobot edge adalah lebih sesuai untuk mencari jalur terpendek pada graph berbobot.</t>
        </is>
      </c>
      <c r="E1871" t="inlineStr">
        <is>
          <t>YA (didukung konteks)</t>
        </is>
      </c>
    </row>
    <row r="1872">
      <c r="A1872" t="n">
        <v>159</v>
      </c>
      <c r="B1872" t="inlineStr">
        <is>
          <t>B</t>
        </is>
      </c>
      <c r="C1872" t="n">
        <v>1</v>
      </c>
      <c r="D1872" s="3" t="inlineStr">
        <is>
          <t>Misalnya, jika Anda ingin mencari jalur terpendek antara dua node, BFS tidak akan dapat menemukan jalur yang paling tepat karena hanya memperhatikan jumlah langkah dan tidak memperhitungkan nilai berat setiap langkah.</t>
        </is>
      </c>
      <c r="E1872" t="inlineStr">
        <is>
          <t>YA (didukung konteks)</t>
        </is>
      </c>
    </row>
    <row r="1873">
      <c r="A1873" t="n">
        <v>159</v>
      </c>
      <c r="B1873" t="inlineStr">
        <is>
          <t>B</t>
        </is>
      </c>
      <c r="C1873" t="n">
        <v>2</v>
      </c>
      <c r="D1873" s="3" t="inlineStr">
        <is>
          <t>Untuk mencari jalur terpendek pada weighted graph, Anda perlu menggunakan algoritma lain seperti Dijkstra's algorithm atau A* algorithm.</t>
        </is>
      </c>
      <c r="E1873" t="inlineStr">
        <is>
          <t>YA (didukung konteks)</t>
        </is>
      </c>
    </row>
    <row r="1874">
      <c r="A1874" t="n">
        <v>159</v>
      </c>
      <c r="B1874" t="inlineStr">
        <is>
          <t>B</t>
        </is>
      </c>
      <c r="C1874" t="n">
        <v>3</v>
      </c>
      <c r="D1874" s="3" t="inlineStr">
        <is>
          <t>Jawaban yang tepat adalah: BFS tidak dapat digunakan secara langsung untuk mencari jalur terpendek pada graf berat (weighted graph).</t>
        </is>
      </c>
      <c r="E1874" t="inlineStr">
        <is>
          <t>YA (didukung konteks)</t>
        </is>
      </c>
    </row>
    <row r="1875">
      <c r="A1875" t="n">
        <v>159</v>
      </c>
      <c r="B1875" t="inlineStr">
        <is>
          <t>B</t>
        </is>
      </c>
      <c r="C1875" t="n">
        <v>4</v>
      </c>
      <c r="D1875" s="3" t="inlineStr">
        <is>
          <t>Hal ini karena algoritma BFS hanya memperhatikan jumlah langkah yang ditempuh, bukan nilai berat (weight) setiap langkah.</t>
        </is>
      </c>
      <c r="E1875" t="inlineStr">
        <is>
          <t>YA (didukung konteks)</t>
        </is>
      </c>
    </row>
    <row r="1876">
      <c r="A1876" t="n">
        <v>159</v>
      </c>
      <c r="B1876" t="inlineStr">
        <is>
          <t>B</t>
        </is>
      </c>
      <c r="C1876" t="n">
        <v>5</v>
      </c>
      <c r="D1876" s="3" t="inlineStr">
        <is>
          <t>Kedua algoritma ini dapat menemukan jalur terpendek antara dua node dengan memperhatikan nilai berat setiap langkah.</t>
        </is>
      </c>
      <c r="E1876" t="inlineStr">
        <is>
          <t>YA (didukung konteks)</t>
        </is>
      </c>
    </row>
    <row r="1877">
      <c r="A1877" t="n">
        <v>159</v>
      </c>
      <c r="B1877" t="inlineStr">
        <is>
          <t>B</t>
        </is>
      </c>
      <c r="C1877" t="n">
        <v>6</v>
      </c>
      <c r="D1877" s="3" t="inlineStr">
        <is>
          <t>Dalam kasus weighted graph, nilai berat dapat mempengaruhi hasilnya.</t>
        </is>
      </c>
      <c r="E1877" t="inlineStr">
        <is>
          <t>YA (didukung konteks)</t>
        </is>
      </c>
    </row>
    <row r="1878">
      <c r="A1878" t="n">
        <v>160</v>
      </c>
      <c r="B1878" t="inlineStr">
        <is>
          <t>A</t>
        </is>
      </c>
      <c r="C1878" t="n">
        <v>1</v>
      </c>
      <c r="D1878" s="3" t="inlineStr">
        <is>
          <t>For instance, if we want to know the distance between Jakarta and Surabaya, we would look at the cell where the first row (Jakarta) meets the third column (Surabaya).</t>
        </is>
      </c>
      <c r="E1878" t="inlineStr">
        <is>
          <t>TIDAK (tidak didukung)</t>
        </is>
      </c>
    </row>
    <row r="1879">
      <c r="A1879" t="n">
        <v>160</v>
      </c>
      <c r="B1879" t="inlineStr">
        <is>
          <t>A</t>
        </is>
      </c>
      <c r="C1879" t="n">
        <v>2</v>
      </c>
      <c r="D1879" s="3" t="inlineStr">
        <is>
          <t>Then, for each edge (city pair) that has a connection, we assign the distance between those cities in the corresponding matrix cell.</t>
        </is>
      </c>
      <c r="E1879" t="inlineStr">
        <is>
          <t>YA (didukung konteks)</t>
        </is>
      </c>
    </row>
    <row r="1880">
      <c r="A1880" t="n">
        <v>160</v>
      </c>
      <c r="B1880" t="inlineStr">
        <is>
          <t>A</t>
        </is>
      </c>
      <c r="C1880" t="n">
        <v>3</v>
      </c>
      <c r="D1880" s="3" t="inlineStr">
        <is>
          <t>In this example, the distance between Jakarta and Bandung would be represented in the top-left cell (e.g., "200 km").</t>
        </is>
      </c>
      <c r="E1880" t="inlineStr">
        <is>
          <t>TIDAK (tidak didukung)</t>
        </is>
      </c>
    </row>
    <row r="1881">
      <c r="A1881" t="n">
        <v>160</v>
      </c>
      <c r="B1881" t="inlineStr">
        <is>
          <t>A</t>
        </is>
      </c>
      <c r="C1881" t="n">
        <v>4</v>
      </c>
      <c r="D1881" s="3" t="inlineStr">
        <is>
          <t>You want me to represent the graph of Indonesian cities and their distances using an adjacency matrix.</t>
        </is>
      </c>
      <c r="E1881" t="inlineStr">
        <is>
          <t>TIDAK (tidak didukung)</t>
        </is>
      </c>
    </row>
    <row r="1882">
      <c r="A1882" t="n">
        <v>160</v>
      </c>
      <c r="B1882" t="inlineStr">
        <is>
          <t>A</t>
        </is>
      </c>
      <c r="C1882" t="n">
        <v>5</v>
      </c>
      <c r="D1882" s="3" t="inlineStr">
        <is>
          <t>To create the adjacency matrix, we first need to define a 6x6 matrix with zeros as the initial values.</t>
        </is>
      </c>
      <c r="E1882" t="inlineStr">
        <is>
          <t>TIDAK (tidak didukung)</t>
        </is>
      </c>
    </row>
    <row r="1883">
      <c r="A1883" t="n">
        <v>160</v>
      </c>
      <c r="B1883" t="inlineStr">
        <is>
          <t>A</t>
        </is>
      </c>
      <c r="C1883" t="n">
        <v>6</v>
      </c>
      <c r="D1883" s="3" t="inlineStr">
        <is>
          <t>The diagonal cells are all zeros because each city is connected to itself with a distance of zero.</t>
        </is>
      </c>
      <c r="E1883" t="inlineStr">
        <is>
          <t>TIDAK (tidak didukung)</t>
        </is>
      </c>
    </row>
    <row r="1884">
      <c r="A1884" t="n">
        <v>160</v>
      </c>
      <c r="B1884" t="inlineStr">
        <is>
          <t>B</t>
        </is>
      </c>
      <c r="C1884" t="n">
        <v>1</v>
      </c>
      <c r="D1884" s="3" t="inlineStr">
        <is>
          <t>Adjacency matrix adalah sebuah representasi graph yang menggunakan matriks untuk menunjukkan hubungan antara node-node (dalam kasus ini, kota-kota) dan jarak jalannya.</t>
        </is>
      </c>
      <c r="E1884" t="inlineStr">
        <is>
          <t>YA (didukung konteks)</t>
        </is>
      </c>
    </row>
    <row r="1885">
      <c r="A1885" t="n">
        <v>160</v>
      </c>
      <c r="B1885" t="inlineStr">
        <is>
          <t>B</t>
        </is>
      </c>
      <c r="C1885" t="n">
        <v>2</v>
      </c>
      <c r="D1885" s="3" t="inlineStr">
        <is>
          <t>Jika nilai pada sela-sela matriks adalah 0, maka Jakarta tidak terhubung dengan Bandung (jarak jalannya adalah 0).</t>
        </is>
      </c>
      <c r="E1885" t="inlineStr">
        <is>
          <t>TIDAK (tidak didukung)</t>
        </is>
      </c>
    </row>
    <row r="1886">
      <c r="A1886" t="n">
        <v>160</v>
      </c>
      <c r="B1886" t="inlineStr">
        <is>
          <t>B</t>
        </is>
      </c>
      <c r="C1886" t="n">
        <v>3</v>
      </c>
      <c r="D1886" s="3" t="inlineStr">
        <is>
          <t>Nilai 0 pada sela-sela matriks menunjukkan bahwa kota-kota tersebut tidak terhubung (jarak jalannya adalah 0).</t>
        </is>
      </c>
      <c r="E1886" t="inlineStr">
        <is>
          <t>YA (didukung konteks)</t>
        </is>
      </c>
    </row>
    <row r="1887">
      <c r="A1887" t="n">
        <v>160</v>
      </c>
      <c r="B1887" t="inlineStr">
        <is>
          <t>B</t>
        </is>
      </c>
      <c r="C1887" t="n">
        <v>4</v>
      </c>
      <c r="D1887" s="3" t="inlineStr">
        <is>
          <t>Dengan demikian, adjacency matrix ini menunjukkan hubungan antara kota-kota Indonesia dan jarak jalannya.</t>
        </is>
      </c>
      <c r="E1887" t="inlineStr">
        <is>
          <t>TIDAK (tidak didukung)</t>
        </is>
      </c>
    </row>
    <row r="1888">
      <c r="A1888" t="n">
        <v>160</v>
      </c>
      <c r="B1888" t="inlineStr">
        <is>
          <t>B</t>
        </is>
      </c>
      <c r="C1888" t="n">
        <v>5</v>
      </c>
      <c r="D1888" s="3" t="inlineStr">
        <is>
          <t>Untuk membuat graph kota-kota Indonesia dengan adjacency matrix, kita perlu memahami konsep dasarnya.</t>
        </is>
      </c>
      <c r="E1888" t="inlineStr">
        <is>
          <t>YA (didukung konteks)</t>
        </is>
      </c>
    </row>
    <row r="1889">
      <c r="A1889" t="n">
        <v>160</v>
      </c>
      <c r="B1889" t="inlineStr">
        <is>
          <t>B</t>
        </is>
      </c>
      <c r="C1889" t="n">
        <v>6</v>
      </c>
      <c r="D1889" s="3" t="inlineStr">
        <is>
          <t>Jika nilai pada sela-sela matriks bukan 0, maka Jakarta berjarak d1 dengan Bandung.</t>
        </is>
      </c>
      <c r="E1889" t="inlineStr">
        <is>
          <t>YA (didukung konteks)</t>
        </is>
      </c>
    </row>
    <row r="1890">
      <c r="A1890" t="n">
        <v>161</v>
      </c>
      <c r="B1890" t="inlineStr">
        <is>
          <t>A</t>
        </is>
      </c>
      <c r="C1890" t="n">
        <v>1</v>
      </c>
      <c r="D1890" s="3" t="inlineStr">
        <is>
          <t>Dalam kasus Anda, Anda memiliki dua algoritme yang berbeda: Algoritme A dengan O(n log n) time complexity dan O(n) space complexity, serta Algoritme B dengan O(n²) time complexity dan O(1) space complexity.</t>
        </is>
      </c>
      <c r="E1890" t="inlineStr">
        <is>
          <t>TIDAK (tidak didukung)</t>
        </is>
      </c>
    </row>
    <row r="1891">
      <c r="A1891" t="n">
        <v>161</v>
      </c>
      <c r="B1891" t="inlineStr">
        <is>
          <t>A</t>
        </is>
      </c>
      <c r="C1891" t="n">
        <v>2</v>
      </c>
      <c r="D1891" s="3" t="inlineStr">
        <is>
          <t>Berdasarkan materi referensi, kita dapat melihat bahwa Algoritme A memiliki time complexity yang lebih cepat namun memerlukan space complexity yang lebih besar.</t>
        </is>
      </c>
      <c r="E1891" t="inlineStr">
        <is>
          <t>TIDAK (tidak didukung)</t>
        </is>
      </c>
    </row>
    <row r="1892">
      <c r="A1892" t="n">
        <v>161</v>
      </c>
      <c r="B1892" t="inlineStr">
        <is>
          <t>A</t>
        </is>
      </c>
      <c r="C1892" t="n">
        <v>3</v>
      </c>
      <c r="D1892" s="3" t="inlineStr">
        <is>
          <t>Dengan demikian, jawaban saya adalah Algoritme B karena memiliki O(n²) time complexity dan O(1) space complexity yang lebih sesuai dengan kebutuhan sistem Anda.</t>
        </is>
      </c>
      <c r="E1892" t="inlineStr">
        <is>
          <t>TIDAK (tidak didukung)</t>
        </is>
      </c>
    </row>
    <row r="1893">
      <c r="A1893" t="n">
        <v>161</v>
      </c>
      <c r="B1893" t="inlineStr">
        <is>
          <t>A</t>
        </is>
      </c>
      <c r="C1893" t="n">
        <v>4</v>
      </c>
      <c r="D1893" s="3" t="inlineStr">
        <is>
          <t>Dalam konsep lainnya, kita dapat melihat bahwa Algoritme A memiliki time complexity yang lebih cepat namun memerlukan space complexity yang lebih besar.</t>
        </is>
      </c>
      <c r="E1893" t="inlineStr">
        <is>
          <t>TIDAK (tidak didukung)</t>
        </is>
      </c>
    </row>
    <row r="1894">
      <c r="A1894" t="n">
        <v>161</v>
      </c>
      <c r="B1894" t="inlineStr">
        <is>
          <t>A</t>
        </is>
      </c>
      <c r="C1894" t="n">
        <v>5</v>
      </c>
      <c r="D1894" s="3" t="inlineStr">
        <is>
          <t>Namun, kita harus juga mempertimbangkan bahwa Algoritme A memiliki potensi untuk menjadi lebih efisien jika kita memiliki sumber daya yang cukup.</t>
        </is>
      </c>
      <c r="E1894" t="inlineStr">
        <is>
          <t>YA (didukung konteks)</t>
        </is>
      </c>
    </row>
    <row r="1895">
      <c r="A1895" t="n">
        <v>161</v>
      </c>
      <c r="B1895" t="inlineStr">
        <is>
          <t>A</t>
        </is>
      </c>
      <c r="C1895" t="n">
        <v>6</v>
      </c>
      <c r="D1895" s="3" t="inlineStr">
        <is>
          <t>Dalam situasi ini, Algoritme B dengan O(n²) time complexity dan O(1) space complexity mungkin lebih baik karena memori terbatas.</t>
        </is>
      </c>
      <c r="E1895" t="inlineStr">
        <is>
          <t>TIDAK (tidak didukung)</t>
        </is>
      </c>
    </row>
    <row r="1896">
      <c r="A1896" t="n">
        <v>161</v>
      </c>
      <c r="B1896" t="inlineStr">
        <is>
          <t>B</t>
        </is>
      </c>
      <c r="C1896" t="n">
        <v>1</v>
      </c>
      <c r="D1896" s="3" t="inlineStr">
        <is>
          <t>Dalam kasus ini, karena n=100, maka algoritme B dengan kompleksitas waktu O(n²) mungkin menjadi pilihan yang lebih baik daripada algoritme A dengan kompleksitas waktu O(n log n).</t>
        </is>
      </c>
      <c r="E1896" t="inlineStr">
        <is>
          <t>TIDAK (tidak didukung)</t>
        </is>
      </c>
    </row>
    <row r="1897">
      <c r="A1897" t="n">
        <v>161</v>
      </c>
      <c r="B1897" t="inlineStr">
        <is>
          <t>B</t>
        </is>
      </c>
      <c r="C1897" t="n">
        <v>2</v>
      </c>
      <c r="D1897" s="3" t="inlineStr">
        <is>
          <t>Kapasitas memori: Karena Anda memiliki memori terbatas, maka algoritme B yang hanya memerlukan ruang O(1) mungkin lebih cocok daripada algoritme A yang memerlukan ruang O(n).</t>
        </is>
      </c>
      <c r="E1897" t="inlineStr">
        <is>
          <t>TIDAK (tidak didukung)</t>
        </is>
      </c>
    </row>
    <row r="1898">
      <c r="A1898" t="n">
        <v>161</v>
      </c>
      <c r="B1898" t="inlineStr">
        <is>
          <t>B</t>
        </is>
      </c>
      <c r="C1898" t="n">
        <v>3</v>
      </c>
      <c r="D1898" s="3" t="inlineStr">
        <is>
          <t>Ukuran input (n): Jika n kecil, maka algoritme B dengan kompleksitas waktu O(n²) mungkin lebih cepat daripada algoritme A dengan kompleksitas waktu O(n log n).</t>
        </is>
      </c>
      <c r="E1898" t="inlineStr">
        <is>
          <t>TIDAK (tidak didukung)</t>
        </is>
      </c>
    </row>
    <row r="1899">
      <c r="A1899" t="n">
        <v>161</v>
      </c>
      <c r="B1899" t="inlineStr">
        <is>
          <t>B</t>
        </is>
      </c>
      <c r="C1899" t="n">
        <v>4</v>
      </c>
      <c r="D1899" s="3" t="inlineStr">
        <is>
          <t>Namun, jika Anda memiliki memori yang cukup besar untuk menjalankan algoritme A, maka Anda dapat mempertimbangkan pilihan ini.</t>
        </is>
      </c>
      <c r="E1899" t="inlineStr">
        <is>
          <t>TIDAK (tidak didukung)</t>
        </is>
      </c>
    </row>
    <row r="1900">
      <c r="A1900" t="n">
        <v>161</v>
      </c>
      <c r="B1900" t="inlineStr">
        <is>
          <t>B</t>
        </is>
      </c>
      <c r="C1900" t="n">
        <v>5</v>
      </c>
      <c r="D1900" s="3" t="inlineStr">
        <is>
          <t>Namun, jika Anda lebih memprioritaskan ruang dan memiliki batasan memori yang ketat, maka algoritme B mungkin lebih cocok.</t>
        </is>
      </c>
      <c r="E1900" t="inlineStr">
        <is>
          <t>YA (didukung konteks)</t>
        </is>
      </c>
    </row>
    <row r="1901">
      <c r="A1901" t="n">
        <v>161</v>
      </c>
      <c r="B1901" t="inlineStr">
        <is>
          <t>B</t>
        </is>
      </c>
      <c r="C1901" t="n">
        <v>6</v>
      </c>
      <c r="D1901" s="3" t="inlineStr">
        <is>
          <t>Untuk menentukan mana yang lebih baik untuk n=100 dan memori terbatas, kita perlu mempertimbangkan faktor-faktor berikut:</t>
        </is>
      </c>
      <c r="E1901" t="inlineStr">
        <is>
          <t>YA (didukung konteks)</t>
        </is>
      </c>
    </row>
    <row r="1902">
      <c r="A1902" t="n">
        <v>162</v>
      </c>
      <c r="B1902" t="inlineStr">
        <is>
          <t>A</t>
        </is>
      </c>
      <c r="C1902" t="n">
        <v>1</v>
      </c>
      <c r="D1902" s="3" t="inlineStr">
        <is>
          <t>Oleh karena itu, jumlah panggilan fungsi f(n) terhadap dirinya sendiri akan menjadi lebih kecil ketika n semakin besar, sehingga Big-O-nya adalah O(log n).</t>
        </is>
      </c>
      <c r="E1902" t="inlineStr">
        <is>
          <t>YA (didukung konteks)</t>
        </is>
      </c>
    </row>
    <row r="1903">
      <c r="A1903" t="n">
        <v>162</v>
      </c>
      <c r="B1903" t="inlineStr">
        <is>
          <t>A</t>
        </is>
      </c>
      <c r="C1903" t="n">
        <v>2</v>
      </c>
      <c r="D1903" s="3" t="inlineStr">
        <is>
          <t>Menghitung besarnya fungsi di setiap langkah rekursif: dalam kasus ini, fungsi f(n) dipanggil dua kali dengan argument n/2, serta mengakses n sekali.</t>
        </is>
      </c>
      <c r="E1903" t="inlineStr">
        <is>
          <t>YA (didukung konteks)</t>
        </is>
      </c>
    </row>
    <row r="1904">
      <c r="A1904" t="n">
        <v>162</v>
      </c>
      <c r="B1904" t="inlineStr">
        <is>
          <t>A</t>
        </is>
      </c>
      <c r="C1904" t="n">
        <v>3</v>
      </c>
      <c r="D1904" s="3" t="inlineStr">
        <is>
          <t>Hal ini karena fungsi f(n) dipanggil dirinya sendiri untuk argument n/2, yang artinya memiliki tingkat rekursif yang berkurang secara eksponensial.</t>
        </is>
      </c>
      <c r="E1904" t="inlineStr">
        <is>
          <t>YA (didukung konteks)</t>
        </is>
      </c>
    </row>
    <row r="1905">
      <c r="A1905" t="n">
        <v>162</v>
      </c>
      <c r="B1905" t="inlineStr">
        <is>
          <t>A</t>
        </is>
      </c>
      <c r="C1905" t="n">
        <v>4</v>
      </c>
      <c r="D1905" s="3" t="inlineStr">
        <is>
          <t>Dengan menggunakan metode analisis rekursi di atas, kita dapat menentukan bahwa Big-O dari fungsi f(n) adalah O(log n).</t>
        </is>
      </c>
      <c r="E1905" t="inlineStr">
        <is>
          <t>TIDAK (tidak didukung)</t>
        </is>
      </c>
    </row>
    <row r="1906">
      <c r="A1906" t="n">
        <v>162</v>
      </c>
      <c r="B1906" t="inlineStr">
        <is>
          <t>A</t>
        </is>
      </c>
      <c r="C1906" t="n">
        <v>5</v>
      </c>
      <c r="D1906" s="3" t="inlineStr">
        <is>
          <t>Menentukan ekspansi rekursif: dalam kasus ini, fungsi f(n) dipanggil dirinya sendiri untuk dua argumen n/2.</t>
        </is>
      </c>
      <c r="E1906" t="inlineStr">
        <is>
          <t>YA (didukung konteks)</t>
        </is>
      </c>
    </row>
    <row r="1907">
      <c r="A1907" t="n">
        <v>162</v>
      </c>
      <c r="B1907" t="inlineStr">
        <is>
          <t>A</t>
        </is>
      </c>
      <c r="C1907" t="n">
        <v>6</v>
      </c>
      <c r="D1907" s="3" t="inlineStr">
        <is>
          <t>Saya akan menjawab pertanyaan mahasiswa dengan menggunakan istilah teknis yang ada dalam materi referensi.</t>
        </is>
      </c>
      <c r="E1907" t="inlineStr">
        <is>
          <t>YA (didukung konteks)</t>
        </is>
      </c>
    </row>
    <row r="1908">
      <c r="A1908" t="n">
        <v>162</v>
      </c>
      <c r="B1908" t="inlineStr">
        <is>
          <t>B</t>
        </is>
      </c>
      <c r="C1908" t="n">
        <v>1</v>
      </c>
      <c r="D1908" s="3" t="inlineStr">
        <is>
          <t>Gunakan master theorem atau tree recurrence analysis untuk menentukan Big-O: Berdasarkan relasi dan kondisi base case, kita dapat menggunakan master theorem (yang dikembangkan oleh Donald Knuth) untuk menentukan Big-O.</t>
        </is>
      </c>
      <c r="E1908" t="inlineStr">
        <is>
          <t>YA (didukung konteks)</t>
        </is>
      </c>
    </row>
    <row r="1909">
      <c r="A1909" t="n">
        <v>162</v>
      </c>
      <c r="B1909" t="inlineStr">
        <is>
          <t>B</t>
        </is>
      </c>
      <c r="C1909" t="n">
        <v>2</v>
      </c>
      <c r="D1909" s="3" t="inlineStr">
        <is>
          <t>Temukan kondisi base case: Fungsi rekursif memiliki kondisi base case ketika `n` tidak lebih besar dari 1, maka fungsi tersebut mengembalikan nilai 1.</t>
        </is>
      </c>
      <c r="E1909" t="inlineStr">
        <is>
          <t>YA (didukung konteks)</t>
        </is>
      </c>
    </row>
    <row r="1910">
      <c r="A1910" t="n">
        <v>162</v>
      </c>
      <c r="B1910" t="inlineStr">
        <is>
          <t>B</t>
        </is>
      </c>
      <c r="C1910" t="n">
        <v>3</v>
      </c>
      <c r="D1910" s="3" t="inlineStr">
        <is>
          <t>Untuk menentukan Big-O dari fungsi rekursif, kita perlu melakukan analisis sistematis yang disebut "tree recurrence analysis" atau "master theorem".</t>
        </is>
      </c>
      <c r="E1910" t="inlineStr">
        <is>
          <t>YA (didukung konteks)</t>
        </is>
      </c>
    </row>
    <row r="1911">
      <c r="A1911" t="n">
        <v>162</v>
      </c>
      <c r="B1911" t="inlineStr">
        <is>
          <t>B</t>
        </is>
      </c>
      <c r="C1911" t="n">
        <v>4</v>
      </c>
      <c r="D1911" s="3" t="inlineStr">
        <is>
          <t>Tentukan relasi antara input dan output: Dalam kasus ini, fungsi `f(n)` menghitung nilai `f` untuk input `n/2` dua kali, lalu menambahkan nilai `n`.</t>
        </is>
      </c>
      <c r="E1911" t="inlineStr">
        <is>
          <t>YA (didukung konteks)</t>
        </is>
      </c>
    </row>
    <row r="1912">
      <c r="A1912" t="n">
        <v>162</v>
      </c>
      <c r="B1912" t="inlineStr">
        <is>
          <t>B</t>
        </is>
      </c>
      <c r="C1912" t="n">
        <v>5</v>
      </c>
      <c r="D1912" s="3" t="inlineStr">
        <is>
          <t>Tentukan konstanta hidden: Dalam kasus ini, konstanta hidden adalah `O(n)`, karena nilai `n` diperkaya dalam panggilan fungsi rekursif.</t>
        </is>
      </c>
      <c r="E1912" t="inlineStr">
        <is>
          <t>YA (didukung konteks)</t>
        </is>
      </c>
    </row>
    <row r="1913">
      <c r="A1913" t="n">
        <v>162</v>
      </c>
      <c r="B1913" t="inlineStr">
        <is>
          <t>B</t>
        </is>
      </c>
      <c r="C1913" t="n">
        <v>6</v>
      </c>
      <c r="D1913" s="3" t="inlineStr">
        <is>
          <t>Relasinya dapat dituliskan sebagai: `T(n) = 2T(n/2) + O(n)`, di mana `T(n)` adalah waktu eksekusi fungsi `f(n)` untuk input `n`.</t>
        </is>
      </c>
      <c r="E1913" t="inlineStr">
        <is>
          <t>YA (didukung konteks)</t>
        </is>
      </c>
    </row>
    <row r="1914">
      <c r="A1914" t="n">
        <v>163</v>
      </c>
      <c r="B1914" t="inlineStr">
        <is>
          <t>A</t>
        </is>
      </c>
      <c r="C1914" t="n">
        <v>1</v>
      </c>
      <c r="D1914" s="3" t="inlineStr">
        <is>
          <t>Pertama-tama, mari kita lihat contoh algoritme rekursif yang diberikan: faktorial(n) rekursif, fib(n) rekursif naive, dan binarySearch(arr, n) rekursif.</t>
        </is>
      </c>
      <c r="E1914" t="inlineStr">
        <is>
          <t>YA (didukung konteks)</t>
        </is>
      </c>
    </row>
    <row r="1915">
      <c r="A1915" t="n">
        <v>163</v>
      </c>
      <c r="B1915" t="inlineStr">
        <is>
          <t>A</t>
        </is>
      </c>
      <c r="C1915" t="n">
        <v>2</v>
      </c>
      <c r="D1915" s="3" t="inlineStr">
        <is>
          <t>Kita dapat melihat bahwa algoritme binarySearch(arr, n) adalah yang paling efisien, dengan kompleksitas time O(log n) dan kompleksitas space O(1).</t>
        </is>
      </c>
      <c r="E1915" t="inlineStr">
        <is>
          <t>YA (didukung konteks)</t>
        </is>
      </c>
    </row>
    <row r="1916">
      <c r="A1916" t="n">
        <v>163</v>
      </c>
      <c r="B1916" t="inlineStr">
        <is>
          <t>A</t>
        </is>
      </c>
      <c r="C1916" t="n">
        <v>3</v>
      </c>
      <c r="D1916" s="3" t="inlineStr">
        <is>
          <t>Karena algoritme ini terdiri dari iterasi sebanyak log n, maka kompleksitas time menjadi O(log n) dan kompleksitas space menjadi O(1).</t>
        </is>
      </c>
      <c r="E1916" t="inlineStr">
        <is>
          <t>YA (didukung konteks)</t>
        </is>
      </c>
    </row>
    <row r="1917">
      <c r="A1917" t="n">
        <v>163</v>
      </c>
      <c r="B1917" t="inlineStr">
        <is>
          <t>A</t>
        </is>
      </c>
      <c r="C1917" t="n">
        <v>4</v>
      </c>
      <c r="D1917" s="3" t="inlineStr">
        <is>
          <t>Karena algoritme ini terdiri dari iterasi sebanyak 2n, maka kompleksitas time menjadi O(2n) dan kompleksitas space menjadi O(n).</t>
        </is>
      </c>
      <c r="E1917" t="inlineStr">
        <is>
          <t>YA (didukung konteks)</t>
        </is>
      </c>
    </row>
    <row r="1918">
      <c r="A1918" t="n">
        <v>163</v>
      </c>
      <c r="B1918" t="inlineStr">
        <is>
          <t>A</t>
        </is>
      </c>
      <c r="C1918" t="n">
        <v>5</v>
      </c>
      <c r="D1918" s="3" t="inlineStr">
        <is>
          <t>Karena algoritme ini terdiri dari iterasi sebanyak n, maka kompleksitas time menjadi O(n) dan kompleksitas space menjadi O(n).</t>
        </is>
      </c>
      <c r="E1918" t="inlineStr">
        <is>
          <t>YA (didukung konteks)</t>
        </is>
      </c>
    </row>
    <row r="1919">
      <c r="A1919" t="n">
        <v>163</v>
      </c>
      <c r="B1919" t="inlineStr">
        <is>
          <t>A</t>
        </is>
      </c>
      <c r="C1919" t="n">
        <v>6</v>
      </c>
      <c r="D1919" s="3" t="inlineStr">
        <is>
          <t>Sedangkan untuk algoritme fib(n) rekursif naive, kita dapat melihat bahwa tiap iterasi membutuhkan waktu O(1) dan ruang O(1).</t>
        </is>
      </c>
      <c r="E1919" t="inlineStr">
        <is>
          <t>TIDAK (tidak didukung)</t>
        </is>
      </c>
    </row>
    <row r="1920">
      <c r="A1920" t="n">
        <v>163</v>
      </c>
      <c r="B1920" t="inlineStr">
        <is>
          <t>B</t>
        </is>
      </c>
      <c r="C1920" t="n">
        <v>1</v>
      </c>
      <c r="D1920" s="3" t="inlineStr">
        <is>
          <t>Perbedaan antara best case dan worst case complexity dalam bubble sort sangat signifikan, karena best case memberikan kemampuan sorting yang lebih cepat ketika input array sudah berurutan dari awal.</t>
        </is>
      </c>
      <c r="E1920" t="inlineStr">
        <is>
          <t>YA (didukung konteks)</t>
        </is>
      </c>
    </row>
    <row r="1921">
      <c r="A1921" t="n">
        <v>163</v>
      </c>
      <c r="B1921" t="inlineStr">
        <is>
          <t>B</t>
        </is>
      </c>
      <c r="C1921" t="n">
        <v>2</v>
      </c>
      <c r="D1921" s="3" t="inlineStr">
        <is>
          <t>Dalam hal ini, bubble sort hanya perlu melakukan iterasi sebanyak 1 untuk menyelesaikan sorting, karena tidak ada lagi penggantian yang perlu dilakukan.</t>
        </is>
      </c>
      <c r="E1921" t="inlineStr">
        <is>
          <t>YA (didukung konteks)</t>
        </is>
      </c>
    </row>
    <row r="1922">
      <c r="A1922" t="n">
        <v>163</v>
      </c>
      <c r="B1922" t="inlineStr">
        <is>
          <t>B</t>
        </is>
      </c>
      <c r="C1922" t="n">
        <v>3</v>
      </c>
      <c r="D1922" s="3" t="inlineStr">
        <is>
          <t>Hal ini terjadi ketika input array sudah berurutan dari awal, sehingga algoritme hanya perlu melakukan iterasi sekali untuk menyelesaikan sorting.</t>
        </is>
      </c>
      <c r="E1922" t="inlineStr">
        <is>
          <t>YA (didukung konteks)</t>
        </is>
      </c>
    </row>
    <row r="1923">
      <c r="A1923" t="n">
        <v>163</v>
      </c>
      <c r="B1923" t="inlineStr">
        <is>
          <t>B</t>
        </is>
      </c>
      <c r="C1923" t="n">
        <v>4</v>
      </c>
      <c r="D1923" s="3" t="inlineStr">
        <is>
          <t>Namun, worst case memberikan kompleksitas yang lebih tinggi ketika input array terdiri atas elemen yang tidak berurutan.</t>
        </is>
      </c>
      <c r="E1923" t="inlineStr">
        <is>
          <t>YA (didukung konteks)</t>
        </is>
      </c>
    </row>
    <row r="1924">
      <c r="A1924" t="n">
        <v>163</v>
      </c>
      <c r="B1924" t="inlineStr">
        <is>
          <t>B</t>
        </is>
      </c>
      <c r="C1924" t="n">
        <v>5</v>
      </c>
      <c r="D1924" s="3" t="inlineStr">
        <is>
          <t>Dalam bubble sort, best case complexity terjadi ketika semua element di array sudah berurutan dari awal.</t>
        </is>
      </c>
      <c r="E1924" t="inlineStr">
        <is>
          <t>YA (didukung konteks)</t>
        </is>
      </c>
    </row>
    <row r="1925">
      <c r="A1925" t="n">
        <v>163</v>
      </c>
      <c r="B1925" t="inlineStr">
        <is>
          <t>B</t>
        </is>
      </c>
      <c r="C1925" t="n">
        <v>6</v>
      </c>
      <c r="D1925" s="3" t="inlineStr">
        <is>
          <t>Karena itu, best case complexity of bubble sort adalah O(n), bukan O(n²) seperti worst case.</t>
        </is>
      </c>
      <c r="E1925" t="inlineStr">
        <is>
          <t>YA (didukung konteks)</t>
        </is>
      </c>
    </row>
    <row r="1926">
      <c r="A1926" t="n">
        <v>164</v>
      </c>
      <c r="B1926" t="inlineStr">
        <is>
          <t>A</t>
        </is>
      </c>
      <c r="C1926" t="n">
        <v>1</v>
      </c>
      <c r="D1926" s="3" t="inlineStr">
        <is>
          <t>Pada dasarnya, Big-O (O), Big-Omega (Ω), dan Big-Theta (Θ) adalah notasi yang digunakan untuk mengevaluasi kompleksitas waktu algoritme, yaitu bagaimana besar input berpengaruh terhadap waktu eksekusi algoritme.</t>
        </is>
      </c>
      <c r="E1926" t="inlineStr">
        <is>
          <t>YA (didukung konteks)</t>
        </is>
      </c>
    </row>
    <row r="1927">
      <c r="A1927" t="n">
        <v>164</v>
      </c>
      <c r="B1927" t="inlineStr">
        <is>
          <t>A</t>
        </is>
      </c>
      <c r="C1927" t="n">
        <v>2</v>
      </c>
      <c r="D1927" s="3" t="inlineStr">
        <is>
          <t>Dalam beberapa kasus, menggunakan Big-O (O) saja sudah cukup untuk mengevaluasi algoritme, tetapi dalam kasus lainnya, menggunakan Big-Ω dan Big-Θ dapat membantu memahami detail algoritme yang lebih rinci.</t>
        </is>
      </c>
      <c r="E1927" t="inlineStr">
        <is>
          <t>YA (didukung konteks)</t>
        </is>
      </c>
    </row>
    <row r="1928">
      <c r="A1928" t="n">
        <v>164</v>
      </c>
      <c r="B1928" t="inlineStr">
        <is>
          <t>A</t>
        </is>
      </c>
      <c r="C1928" t="n">
        <v>3</v>
      </c>
      <c r="D1928" s="3" t="inlineStr">
        <is>
          <t>Sebagai tutor CT, saya merekomendasikan penggunaan Big-O (O) sebagai dasar, namun juga tidak menutup kemungkinan untuk menggunakan Big-Ω dan Big-Θ dalam analisis algoritme yang lebih lanjut.</t>
        </is>
      </c>
      <c r="E1928" t="inlineStr">
        <is>
          <t>YA (didukung konteks)</t>
        </is>
      </c>
    </row>
    <row r="1929">
      <c r="A1929" t="n">
        <v>164</v>
      </c>
      <c r="B1929" t="inlineStr">
        <is>
          <t>A</t>
        </is>
      </c>
      <c r="C1929" t="n">
        <v>4</v>
      </c>
      <c r="D1929" s="3" t="inlineStr">
        <is>
          <t>Dalam konteks CT, kita menggunakan Big-O (O) untuk mengevaluasi algoritme dan memahami bagaimana input berpengaruh terhadap waktu eksekusi.</t>
        </is>
      </c>
      <c r="E1929" t="inlineStr">
        <is>
          <t>YA (didukung konteks)</t>
        </is>
      </c>
    </row>
    <row r="1930">
      <c r="A1930" t="n">
        <v>164</v>
      </c>
      <c r="B1930" t="inlineStr">
        <is>
          <t>A</t>
        </is>
      </c>
      <c r="C1930" t="n">
        <v>5</v>
      </c>
      <c r="D1930" s="3" t="inlineStr">
        <is>
          <t>Big-Theta (Θ) mengevaluasi kelas Theta yang paling sempurna, yaitu waktu eksekusi yang terjadi pada input tertentu.</t>
        </is>
      </c>
      <c r="E1930" t="inlineStr">
        <is>
          <t>YA (didukung konteks)</t>
        </is>
      </c>
    </row>
    <row r="1931">
      <c r="A1931" t="n">
        <v>164</v>
      </c>
      <c r="B1931" t="inlineStr">
        <is>
          <t>A</t>
        </is>
      </c>
      <c r="C1931" t="n">
        <v>6</v>
      </c>
      <c r="D1931" s="3" t="inlineStr">
        <is>
          <t>Big-Omega (Ω) mengevaluasi kelas Omega yang paling baik, yaitu waktu eksekusi yang terjadi pada input tertentu.</t>
        </is>
      </c>
      <c r="E1931" t="inlineStr">
        <is>
          <t>YA (didukung konteks)</t>
        </is>
      </c>
    </row>
    <row r="1932">
      <c r="A1932" t="n">
        <v>164</v>
      </c>
      <c r="B1932" t="inlineStr">
        <is>
          <t>B</t>
        </is>
      </c>
      <c r="C1932" t="n">
        <v>1</v>
      </c>
      <c r="D1932" s="3" t="inlineStr">
        <is>
          <t>Misalnya, jika kita memiliki algoritma yang memiliki kompleksitas O(n^2), tetapi dalam prakteknya, waktu yang diperlukan oleh algoritma tersebut sebenarnya lebih dekat dengan Ω(n).</t>
        </is>
      </c>
      <c r="E1932" t="inlineStr">
        <is>
          <t>YA (didukung konteks)</t>
        </is>
      </c>
    </row>
    <row r="1933">
      <c r="A1933" t="n">
        <v>164</v>
      </c>
      <c r="B1933" t="inlineStr">
        <is>
          <t>B</t>
        </is>
      </c>
      <c r="C1933" t="n">
        <v>2</v>
      </c>
      <c r="D1933" s="3" t="inlineStr">
        <is>
          <t>Contohnya, jika algoritma memiliki kompleksitas O(n^2), maka artinya waktu yang diperlukan untuk memproses input sebesar n adalah kurang lebih sama dengan kuadrat dari n.</t>
        </is>
      </c>
      <c r="E1933" t="inlineStr">
        <is>
          <t>YA (didukung konteks)</t>
        </is>
      </c>
    </row>
    <row r="1934">
      <c r="A1934" t="n">
        <v>164</v>
      </c>
      <c r="B1934" t="inlineStr">
        <is>
          <t>B</t>
        </is>
      </c>
      <c r="C1934" t="n">
        <v>3</v>
      </c>
      <c r="D1934" s="3" t="inlineStr">
        <is>
          <t>Namun, notasi big-Ω (Ω) dan big-Θ (Θ) juga penting dalam analisis kompleksitas, terutama ketika ingin mengetahui batas bawah atau tepat dari kompleksitas suatu algoritma.</t>
        </is>
      </c>
      <c r="E1934" t="inlineStr">
        <is>
          <t>YA (didukung konteks)</t>
        </is>
      </c>
    </row>
    <row r="1935">
      <c r="A1935" t="n">
        <v>164</v>
      </c>
      <c r="B1935" t="inlineStr">
        <is>
          <t>B</t>
        </is>
      </c>
      <c r="C1935" t="n">
        <v>4</v>
      </c>
      <c r="D1935" s="3" t="inlineStr">
        <is>
          <t>Hal ini karena big-O memberikan upper bound dari kompleksitas algoritma, sehingga dapat membantu dalam menentukan apakah algoritma tersebut efisien atau tidak.</t>
        </is>
      </c>
      <c r="E1935" t="inlineStr">
        <is>
          <t>YA (didukung konteks)</t>
        </is>
      </c>
    </row>
    <row r="1936">
      <c r="A1936" t="n">
        <v>164</v>
      </c>
      <c r="B1936" t="inlineStr">
        <is>
          <t>B</t>
        </is>
      </c>
      <c r="C1936" t="n">
        <v>5</v>
      </c>
      <c r="D1936" s="3" t="inlineStr">
        <is>
          <t>Dalam CT, penting untuk memahami konsep-konsep dasar tentang kompleksitas waktu dan ruang, serta menggunakan notasi-notasi yang tepat untuk evaluasi algoritme.</t>
        </is>
      </c>
      <c r="E1936" t="inlineStr">
        <is>
          <t>YA (didukung konteks)</t>
        </is>
      </c>
    </row>
    <row r="1937">
      <c r="A1937" t="n">
        <v>164</v>
      </c>
      <c r="B1937" t="inlineStr">
        <is>
          <t>B</t>
        </is>
      </c>
      <c r="C1937" t="n">
        <v>6</v>
      </c>
      <c r="D1937" s="3" t="inlineStr">
        <is>
          <t>Contohnya, jika algoritma memiliki kompleksitas Ω(n), maka artinya waktu yang diperlukan untuk memproses input sebesar n adalah kurang lebih sama dengan n.</t>
        </is>
      </c>
      <c r="E1937" t="inlineStr">
        <is>
          <t>YA (didukung konteks)</t>
        </is>
      </c>
    </row>
    <row r="1938">
      <c r="A1938" t="n">
        <v>165</v>
      </c>
      <c r="B1938" t="inlineStr">
        <is>
          <t>A</t>
        </is>
      </c>
      <c r="C1938" t="n">
        <v>1</v>
      </c>
      <c r="D1938" s="3" t="inlineStr">
        <is>
          <t>Saya akan menjawab pertanyaan mahasiswa dengan menggunakan istilah teknis dan contoh konkret untuk memudahkan pemahaman.</t>
        </is>
      </c>
      <c r="E1938" t="inlineStr">
        <is>
          <t>YA (didukung konteks)</t>
        </is>
      </c>
    </row>
    <row r="1939">
      <c r="A1939" t="n">
        <v>165</v>
      </c>
      <c r="B1939" t="inlineStr">
        <is>
          <t>A</t>
        </is>
      </c>
      <c r="C1939" t="n">
        <v>2</v>
      </c>
      <c r="D1939" s="3" t="inlineStr">
        <is>
          <t>Soal: Lakukan binary search pada array [2, 5, 8, 12, 16, 23, 38, 56, 72, 91] untuk mencari nilai 23.</t>
        </is>
      </c>
      <c r="E1939" t="inlineStr">
        <is>
          <t>YA (didukung konteks)</t>
        </is>
      </c>
    </row>
    <row r="1940">
      <c r="A1940" t="n">
        <v>165</v>
      </c>
      <c r="B1940" t="inlineStr">
        <is>
          <t>A</t>
        </is>
      </c>
      <c r="C1940" t="n">
        <v>3</v>
      </c>
      <c r="D1940" s="3" t="inlineStr">
        <is>
          <t>Array [2, 5, 8, 12, 16, 23, 38, 56, 72, 91] tidak terurut, jadi perlu diurutkan terlebih dahulu.</t>
        </is>
      </c>
      <c r="E1940" t="inlineStr">
        <is>
          <t>YA (didukung konteks)</t>
        </is>
      </c>
    </row>
    <row r="1941">
      <c r="A1941" t="n">
        <v>165</v>
      </c>
      <c r="B1941" t="inlineStr">
        <is>
          <t>A</t>
        </is>
      </c>
      <c r="C1941" t="n">
        <v>4</v>
      </c>
      <c r="D1941" s="3" t="inlineStr">
        <is>
          <t>Tunjukkan nilai low, high, dan mid di setiap langkah dan berapa total langkah yang dibutuhkan.</t>
        </is>
      </c>
      <c r="E1941" t="inlineStr">
        <is>
          <t>YA (didukung konteks)</t>
        </is>
      </c>
    </row>
    <row r="1942">
      <c r="A1942" t="n">
        <v>165</v>
      </c>
      <c r="B1942" t="inlineStr">
        <is>
          <t>A</t>
        </is>
      </c>
      <c r="C1942" t="n">
        <v>5</v>
      </c>
      <c r="D1942" s="3" t="inlineStr">
        <is>
          <t>Array [2, 5, 8, 12, 16] tidak ada nilai 23, jadi perlu cari di bagian kanan.</t>
        </is>
      </c>
      <c r="E1942" t="inlineStr">
        <is>
          <t>TIDAK (tidak didukung)</t>
        </is>
      </c>
    </row>
    <row r="1943">
      <c r="A1943" t="n">
        <v>165</v>
      </c>
      <c r="B1943" t="inlineStr">
        <is>
          <t>A</t>
        </is>
      </c>
      <c r="C1943" t="n">
        <v>6</v>
      </c>
      <c r="D1943" s="3" t="inlineStr">
        <is>
          <t>Array [8, 12, 16] tidak ada nilai 23, jadi perlu cari di bagian ini.</t>
        </is>
      </c>
      <c r="E1943" t="inlineStr">
        <is>
          <t>TIDAK (tidak didukung)</t>
        </is>
      </c>
    </row>
    <row r="1944">
      <c r="A1944" t="n">
        <v>165</v>
      </c>
      <c r="B1944" t="inlineStr">
        <is>
          <t>B</t>
        </is>
      </c>
      <c r="C1944" t="n">
        <v>1</v>
      </c>
      <c r="D1944" s="3" t="inlineStr">
        <is>
          <t>Kita akan melakukan binary search pada array [2, 5, 8, 12, 16, 23, 38, 56, 72, 91] untuk mencari nilai 23.</t>
        </is>
      </c>
      <c r="E1944" t="inlineStr">
        <is>
          <t>YA (didukung konteks)</t>
        </is>
      </c>
    </row>
    <row r="1945">
      <c r="A1945" t="n">
        <v>165</v>
      </c>
      <c r="B1945" t="inlineStr">
        <is>
          <t>B</t>
        </is>
      </c>
      <c r="C1945" t="n">
        <v>2</v>
      </c>
      <c r="D1945" s="3" t="inlineStr">
        <is>
          <t>Karena 23 lebih besar dari 12, maka nilai yang kita cari harus ada di bagian kanan array.</t>
        </is>
      </c>
      <c r="E1945" t="inlineStr">
        <is>
          <t>TIDAK (tidak didukung)</t>
        </is>
      </c>
    </row>
    <row r="1946">
      <c r="A1946" t="n">
        <v>165</v>
      </c>
      <c r="B1946" t="inlineStr">
        <is>
          <t>B</t>
        </is>
      </c>
      <c r="C1946" t="n">
        <v>3</v>
      </c>
      <c r="D1946" s="3" t="inlineStr">
        <is>
          <t>Karena 23 lebih besar dari 16, maka nilai yang kita cari harus ada di bagian kanan array.</t>
        </is>
      </c>
      <c r="E1946" t="inlineStr">
        <is>
          <t>TIDAK (tidak didukung)</t>
        </is>
      </c>
    </row>
    <row r="1947">
      <c r="A1947" t="n">
        <v>165</v>
      </c>
      <c r="B1947" t="inlineStr">
        <is>
          <t>B</t>
        </is>
      </c>
      <c r="C1947" t="n">
        <v>4</v>
      </c>
      <c r="D1947" s="3" t="inlineStr">
        <is>
          <t>Karena 23 lebih kecil dari 38, maka nilai yang kita cari harus ada di bagian kiri array.</t>
        </is>
      </c>
      <c r="E1947" t="inlineStr">
        <is>
          <t>TIDAK (tidak didukung)</t>
        </is>
      </c>
    </row>
    <row r="1948">
      <c r="A1948" t="n">
        <v>166</v>
      </c>
      <c r="B1948" t="inlineStr">
        <is>
          <t>A</t>
        </is>
      </c>
      <c r="C1948" t="n">
        <v>1</v>
      </c>
      <c r="D1948" s="3" t="inlineStr">
        <is>
          <t>Insertion sort adalah algoritme sorting yang menggunakan pendekatan "insertion" untuk mengurutkan elemen-elemen dalam array.</t>
        </is>
      </c>
      <c r="E1948" t="inlineStr">
        <is>
          <t>YA (didukung konteks)</t>
        </is>
      </c>
    </row>
    <row r="1949">
      <c r="A1949" t="n">
        <v>166</v>
      </c>
      <c r="B1949" t="inlineStr">
        <is>
          <t>A</t>
        </is>
      </c>
      <c r="C1949" t="n">
        <v>2</v>
      </c>
      <c r="D1949" s="3" t="inlineStr">
        <is>
          <t>Jika elemen tidak kecil, maka cari posisi yang tepat untuk memasukkan elemen tersebut sehingga array tetap terurut.</t>
        </is>
      </c>
      <c r="E1949" t="inlineStr">
        <is>
          <t>YA (didukung konteks)</t>
        </is>
      </c>
    </row>
    <row r="1950">
      <c r="A1950" t="n">
        <v>166</v>
      </c>
      <c r="B1950" t="inlineStr">
        <is>
          <t>A</t>
        </is>
      </c>
      <c r="C1950" t="n">
        <v>3</v>
      </c>
      <c r="D1950" s="3" t="inlineStr">
        <is>
          <t>Kamu meminta bantuan untuk menjelaskan cara kerja insertion sort dan tunjukkan setiap langkahnya.</t>
        </is>
      </c>
      <c r="E1950" t="inlineStr">
        <is>
          <t>YA (didukung konteks)</t>
        </is>
      </c>
    </row>
    <row r="1951">
      <c r="A1951" t="n">
        <v>166</v>
      </c>
      <c r="B1951" t="inlineStr">
        <is>
          <t>A</t>
        </is>
      </c>
      <c r="C1951" t="n">
        <v>4</v>
      </c>
      <c r="D1951" s="3" t="inlineStr">
        <is>
          <t>Setelah menemukan posisi yang tepat, ganti elemen di posisi tersebut dengan elemen saat ini.</t>
        </is>
      </c>
      <c r="E1951" t="inlineStr">
        <is>
          <t>YA (didukung konteks)</t>
        </is>
      </c>
    </row>
    <row r="1952">
      <c r="A1952" t="n">
        <v>166</v>
      </c>
      <c r="B1952" t="inlineStr">
        <is>
          <t>A</t>
        </is>
      </c>
      <c r="C1952" t="n">
        <v>5</v>
      </c>
      <c r="D1952" s="3" t="inlineStr">
        <is>
          <t>Jika elemen lebih kecil, maka jangan lakukan apa-apa dan lanjutkan ke langkah berikutnya.</t>
        </is>
      </c>
      <c r="E1952" t="inlineStr">
        <is>
          <t>YA (didukung konteks)</t>
        </is>
      </c>
    </row>
    <row r="1953">
      <c r="A1953" t="n">
        <v>166</v>
      </c>
      <c r="B1953" t="inlineStr">
        <is>
          <t>A</t>
        </is>
      </c>
      <c r="C1953" t="n">
        <v>6</v>
      </c>
      <c r="D1953" s="3" t="inlineStr">
        <is>
          <t>Akhirnya, array [8, 3, 6, 1, 9, 2] menjadi terurut seperti berikut: [1, 2, 3, 6, 8, 9].</t>
        </is>
      </c>
      <c r="E1953" t="inlineStr">
        <is>
          <t>YA (didukung konteks)</t>
        </is>
      </c>
    </row>
    <row r="1954">
      <c r="A1954" t="n">
        <v>166</v>
      </c>
      <c r="B1954" t="inlineStr">
        <is>
          <t>B</t>
        </is>
      </c>
      <c r="C1954" t="n">
        <v>1</v>
      </c>
      <c r="D1954" s="3" t="inlineStr">
        <is>
          <t>Dalam insertion sort, kita membandingkan setiap elemen dengan elemen lainnya dan menempatkan elemen baru di tempat yang tepat dalam array.</t>
        </is>
      </c>
      <c r="E1954" t="inlineStr">
        <is>
          <t>YA (didukung konteks)</t>
        </is>
      </c>
    </row>
    <row r="1955">
      <c r="A1955" t="n">
        <v>166</v>
      </c>
      <c r="B1955" t="inlineStr">
        <is>
          <t>B</t>
        </is>
      </c>
      <c r="C1955" t="n">
        <v>2</v>
      </c>
      <c r="D1955" s="3" t="inlineStr">
        <is>
          <t>Karena 6 lebih besar dari 3, tapi lebih kecil dari 8, maka kami harus menempatkan 6 di antara 3 dan 8.</t>
        </is>
      </c>
      <c r="E1955" t="inlineStr">
        <is>
          <t>TIDAK (tidak didukung)</t>
        </is>
      </c>
    </row>
    <row r="1956">
      <c r="A1956" t="n">
        <v>166</v>
      </c>
      <c r="B1956" t="inlineStr">
        <is>
          <t>B</t>
        </is>
      </c>
      <c r="C1956" t="n">
        <v>3</v>
      </c>
      <c r="D1956" s="3" t="inlineStr">
        <is>
          <t>Karena 9 lebih besar dari semua elemen lainnya, maka kami harus menempatkan 9 di akhir array.</t>
        </is>
      </c>
      <c r="E1956" t="inlineStr">
        <is>
          <t>YA (didukung konteks)</t>
        </is>
      </c>
    </row>
    <row r="1957">
      <c r="A1957" t="n">
        <v>166</v>
      </c>
      <c r="B1957" t="inlineStr">
        <is>
          <t>B</t>
        </is>
      </c>
      <c r="C1957" t="n">
        <v>4</v>
      </c>
      <c r="D1957" s="3" t="inlineStr">
        <is>
          <t>Karena 1 lebih kecil dari semua elemen lainnya, maka kami harus menempatkan 1 di awal array.</t>
        </is>
      </c>
      <c r="E1957" t="inlineStr">
        <is>
          <t>YA (didukung konteks)</t>
        </is>
      </c>
    </row>
    <row r="1958">
      <c r="A1958" t="n">
        <v>166</v>
      </c>
      <c r="B1958" t="inlineStr">
        <is>
          <t>B</t>
        </is>
      </c>
      <c r="C1958" t="n">
        <v>5</v>
      </c>
      <c r="D1958" s="3" t="inlineStr">
        <is>
          <t>Karena 2 lebih kecil dari semua elemen lainnya, maka kami harus menempatkan 2 di awal array.</t>
        </is>
      </c>
      <c r="E1958" t="inlineStr">
        <is>
          <t>YA (didukung konteks)</t>
        </is>
      </c>
    </row>
    <row r="1959">
      <c r="A1959" t="n">
        <v>166</v>
      </c>
      <c r="B1959" t="inlineStr">
        <is>
          <t>B</t>
        </is>
      </c>
      <c r="C1959" t="n">
        <v>6</v>
      </c>
      <c r="D1959" s="3" t="inlineStr">
        <is>
          <t>Karena 3 lebih kecil dari 8, maka kami harus menempatkan 3 di sebelah kiri 8.</t>
        </is>
      </c>
      <c r="E1959" t="inlineStr">
        <is>
          <t>TIDAK (tidak didukung)</t>
        </is>
      </c>
    </row>
    <row r="1960">
      <c r="A1960" t="n">
        <v>167</v>
      </c>
      <c r="B1960" t="inlineStr">
        <is>
          <t>A</t>
        </is>
      </c>
      <c r="C1960" t="n">
        <v>1</v>
      </c>
      <c r="D1960" s="3" t="inlineStr">
        <is>
          <t>Algoritme ini bekerja dengan cara membagi array menjadi dua bagian yang lebih kecil, lalu masing-masing bagian diurutkan, dan akhirnya menggabungkan kedua bagian tersebut untuk mendapatkan hasil urutan yang benar.</t>
        </is>
      </c>
      <c r="E1960" t="inlineStr">
        <is>
          <t>YA (didukung konteks)</t>
        </is>
      </c>
    </row>
    <row r="1961">
      <c r="A1961" t="n">
        <v>167</v>
      </c>
      <c r="B1961" t="inlineStr">
        <is>
          <t>A</t>
        </is>
      </c>
      <c r="C1961" t="n">
        <v>2</v>
      </c>
      <c r="D1961" s="3" t="inlineStr">
        <is>
          <t>Dengan demikian, merge sort dapat mengurutkan array [6, 3, 8, 2, 9, 1, 5, 4] dengan cara membagi, urutan, dan menggabungkan.</t>
        </is>
      </c>
      <c r="E1961" t="inlineStr">
        <is>
          <t>YA (didukung konteks)</t>
        </is>
      </c>
    </row>
    <row r="1962">
      <c r="A1962" t="n">
        <v>167</v>
      </c>
      <c r="B1962" t="inlineStr">
        <is>
          <t>A</t>
        </is>
      </c>
      <c r="C1962" t="n">
        <v>3</v>
      </c>
      <c r="D1962" s="3" t="inlineStr">
        <is>
          <t>Dalam soal ini, Anda diminta untuk jelaskan cara kerja merge sort dan trace untuk array [6, 3, 8, 2, 9, 1, 5, 4].</t>
        </is>
      </c>
      <c r="E1962" t="inlineStr">
        <is>
          <t>TIDAK (tidak didukung)</t>
        </is>
      </c>
    </row>
    <row r="1963">
      <c r="A1963" t="n">
        <v>167</v>
      </c>
      <c r="B1963" t="inlineStr">
        <is>
          <t>A</t>
        </is>
      </c>
      <c r="C1963" t="n">
        <v>4</v>
      </c>
      <c r="D1963" s="3" t="inlineStr">
        <is>
          <t>Setelah kedua bagian diurutkan, maka kita menggabungkan mereka untuk mendapatkan hasil urutan yang benar.</t>
        </is>
      </c>
      <c r="E1963" t="inlineStr">
        <is>
          <t>YA (didukung konteks)</t>
        </is>
      </c>
    </row>
    <row r="1964">
      <c r="A1964" t="n">
        <v>167</v>
      </c>
      <c r="B1964" t="inlineStr">
        <is>
          <t>A</t>
        </is>
      </c>
      <c r="C1964" t="n">
        <v>5</v>
      </c>
      <c r="D1964" s="3" t="inlineStr">
        <is>
          <t>Langkah pertama adalah membagi array menjadi dua bagian: [6, 3, 8] dan [2, 9, 1, 5, 4].</t>
        </is>
      </c>
      <c r="E1964" t="inlineStr">
        <is>
          <t>YA (didukung konteks)</t>
        </is>
      </c>
    </row>
    <row r="1965">
      <c r="A1965" t="n">
        <v>167</v>
      </c>
      <c r="B1965" t="inlineStr">
        <is>
          <t>A</t>
        </is>
      </c>
      <c r="C1965" t="n">
        <v>6</v>
      </c>
      <c r="D1965" s="3" t="inlineStr">
        <is>
          <t>Lalu, masing-masing bagian diurutkan menggunakan algoritme sorting yang lain.</t>
        </is>
      </c>
      <c r="E1965" t="inlineStr">
        <is>
          <t>YA (didukung konteks)</t>
        </is>
      </c>
    </row>
    <row r="1966">
      <c r="A1966" t="n">
        <v>167</v>
      </c>
      <c r="B1966" t="inlineStr">
        <is>
          <t>B</t>
        </is>
      </c>
      <c r="C1966" t="n">
        <v>1</v>
      </c>
      <c r="D1966" s="3" t="inlineStr">
        <is>
          <t>Algoritma ini bekerja dengan cara membagi array menjadi dua bagian lebih kecil, kemudian masing-masing bagian diurutkan, dan akhirnya menggabungkan dua bagian yang telah diurutkan menjadi satu.</t>
        </is>
      </c>
      <c r="E1966" t="inlineStr">
        <is>
          <t>YA (didukung konteks)</t>
        </is>
      </c>
    </row>
    <row r="1967">
      <c r="A1967" t="n">
        <v>167</v>
      </c>
      <c r="B1967" t="inlineStr">
        <is>
          <t>B</t>
        </is>
      </c>
      <c r="C1967" t="n">
        <v>2</v>
      </c>
      <c r="D1967" s="3" t="inlineStr">
        <is>
          <t>Kemudian, kita ambil elemen berikutnya dari masing-masing bagian (yaitu 6 dan 2), gabungkan mereka menjadi 2, lalu 3.</t>
        </is>
      </c>
      <c r="E1967" t="inlineStr">
        <is>
          <t>YA (didukung konteks)</t>
        </is>
      </c>
    </row>
    <row r="1968">
      <c r="A1968" t="n">
        <v>167</v>
      </c>
      <c r="B1968" t="inlineStr">
        <is>
          <t>B</t>
        </is>
      </c>
      <c r="C1968" t="n">
        <v>3</v>
      </c>
      <c r="D1968" s="3" t="inlineStr">
        <is>
          <t>Array asli telah diurutkan menggunakan algoritma merge sort menjadi `[1, 2, 3, 4, 5, 6, 8, 9]`.</t>
        </is>
      </c>
      <c r="E1968" t="inlineStr">
        <is>
          <t>YA (didukung konteks)</t>
        </is>
      </c>
    </row>
    <row r="1969">
      <c r="A1969" t="n">
        <v>167</v>
      </c>
      <c r="B1969" t="inlineStr">
        <is>
          <t>B</t>
        </is>
      </c>
      <c r="C1969" t="n">
        <v>4</v>
      </c>
      <c r="D1969" s="3" t="inlineStr">
        <is>
          <t>Kita akan memulai dari elemen terkecil di `L` (yaitu 3) dan elemen terkecil di `R` (yaitu 1).</t>
        </is>
      </c>
      <c r="E1969" t="inlineStr">
        <is>
          <t>YA (didukung konteks)</t>
        </is>
      </c>
    </row>
    <row r="1970">
      <c r="A1970" t="n">
        <v>167</v>
      </c>
      <c r="B1970" t="inlineStr">
        <is>
          <t>B</t>
        </is>
      </c>
      <c r="C1970" t="n">
        <v>5</v>
      </c>
      <c r="D1970" s="3" t="inlineStr">
        <is>
          <t>Mari kita jelaskan cara kerja merge sort dan trace untuk array [6, 3, 8, 2, 9, 1, 5, 4].</t>
        </is>
      </c>
      <c r="E1970" t="inlineStr">
        <is>
          <t>YA (didukung konteks)</t>
        </is>
      </c>
    </row>
    <row r="1971">
      <c r="A1971" t="n">
        <v>167</v>
      </c>
      <c r="B1971" t="inlineStr">
        <is>
          <t>B</t>
        </is>
      </c>
      <c r="C1971" t="n">
        <v>6</v>
      </c>
      <c r="D1971" s="3" t="inlineStr">
        <is>
          <t>Buatlah dua bagian yang sama-sama besar yaitu `L = [6, 3, 8]` dan `R = [2, 9, 1, 5, 4]`.</t>
        </is>
      </c>
      <c r="E1971" t="inlineStr">
        <is>
          <t>YA (didukung konteks)</t>
        </is>
      </c>
    </row>
    <row r="1972">
      <c r="A1972" t="n">
        <v>168</v>
      </c>
      <c r="B1972" t="inlineStr">
        <is>
          <t>A</t>
        </is>
      </c>
      <c r="C1972" t="n">
        <v>1</v>
      </c>
      <c r="D1972" s="3" t="inlineStr">
        <is>
          <t>Algoritme ini memiliki kompleksitas waktu yang relatif lebih cepat dan lebih stabil daripada algoritme lainnya, sehingga cocok untuk mengurutkan data 10.000 elemen yang sudah terurut TERBALIK (descending) menjadi ascendi</t>
        </is>
      </c>
      <c r="E1972" t="inlineStr">
        <is>
          <t>YA (didukung konteks)</t>
        </is>
      </c>
    </row>
    <row r="1973">
      <c r="A1973" t="n">
        <v>168</v>
      </c>
      <c r="B1973" t="inlineStr">
        <is>
          <t>A</t>
        </is>
      </c>
      <c r="C1973" t="n">
        <v>2</v>
      </c>
      <c r="D1973" s="3" t="inlineStr">
        <is>
          <t>Berdasarkan tabel Big O, kita dapat melihat bahwa bubble sort dan selection sort memiliki kompleksitas waktu O(n^2), sedangkan insertion sort memiliki kompleksitas waktu O(n^2) dalam kasus terburuk.</t>
        </is>
      </c>
      <c r="E1973" t="inlineStr">
        <is>
          <t>YA (didukung konteks)</t>
        </is>
      </c>
    </row>
    <row r="1974">
      <c r="A1974" t="n">
        <v>168</v>
      </c>
      <c r="B1974" t="inlineStr">
        <is>
          <t>A</t>
        </is>
      </c>
      <c r="C1974" t="n">
        <v>3</v>
      </c>
      <c r="D1974" s="3" t="inlineStr">
        <is>
          <t>Mahasiswa, sebagai seorang tutor Computational Thinking, saya akan membantu Anda memahami konsep-konsep penting dan menganalisis algoritme untuk kasus sorting yang Anda ajukan.</t>
        </is>
      </c>
      <c r="E1974" t="inlineStr">
        <is>
          <t>YA (didukung konteks)</t>
        </is>
      </c>
    </row>
    <row r="1975">
      <c r="A1975" t="n">
        <v>168</v>
      </c>
      <c r="B1975" t="inlineStr">
        <is>
          <t>A</t>
        </is>
      </c>
      <c r="C1975" t="n">
        <v>4</v>
      </c>
      <c r="D1975" s="3" t="inlineStr">
        <is>
          <t>Algoritme merge sort tampaknya paling efisien karena memiliki kompleksitas waktu O(n log n) yang relatif lebih cepat daripada algoritme lainnya.</t>
        </is>
      </c>
      <c r="E1975" t="inlineStr">
        <is>
          <t>YA (didukung konteks)</t>
        </is>
      </c>
    </row>
    <row r="1976">
      <c r="A1976" t="n">
        <v>168</v>
      </c>
      <c r="B1976" t="inlineStr">
        <is>
          <t>A</t>
        </is>
      </c>
      <c r="C1976" t="n">
        <v>5</v>
      </c>
      <c r="D1976" s="3" t="inlineStr">
        <is>
          <t>Berdasarkan materi referensi sebelumnya, kita dapat melihat bahwa algoritme sorting memiliki kompleksitas waktu yang berbeda-beda.</t>
        </is>
      </c>
      <c r="E1976" t="inlineStr">
        <is>
          <t>YA (didukung konteks)</t>
        </is>
      </c>
    </row>
    <row r="1977">
      <c r="A1977" t="n">
        <v>168</v>
      </c>
      <c r="B1977" t="inlineStr">
        <is>
          <t>A</t>
        </is>
      </c>
      <c r="C1977" t="n">
        <v>6</v>
      </c>
      <c r="D1977" s="3" t="inlineStr">
        <is>
          <t>Kita dapat juga melihat bahwa bubble sort memiliki kompleksitas waktu yang lebih buruk daripada selection sort dan insertion sort.</t>
        </is>
      </c>
      <c r="E1977" t="inlineStr">
        <is>
          <t>YA (didukung konteks)</t>
        </is>
      </c>
    </row>
    <row r="1978">
      <c r="A1978" t="n">
        <v>168</v>
      </c>
      <c r="B1978" t="inlineStr">
        <is>
          <t>B</t>
        </is>
      </c>
      <c r="C1978" t="n">
        <v>1</v>
      </c>
      <c r="D1978" s="3" t="inlineStr">
        <is>
          <t>Dalam kesimpulan, saya merekomendasikan menggunakan algoritme sorting merge sort untuk kasus ini karena memiliki kompleksitas yang lebih baik, kecepatan pengoperasian, dan kemampuan sorting data yang tidak terurut.</t>
        </is>
      </c>
      <c r="E1978" t="inlineStr">
        <is>
          <t>YA (didukung konteks)</t>
        </is>
      </c>
    </row>
    <row r="1979">
      <c r="A1979" t="n">
        <v>168</v>
      </c>
      <c r="B1979" t="inlineStr">
        <is>
          <t>B</t>
        </is>
      </c>
      <c r="C1979" t="n">
        <v>2</v>
      </c>
      <c r="D1979" s="3" t="inlineStr">
        <is>
          <t>* Insertion sort memiliki kompleksitas O(n^2) juga, tetapi dalam kasus terurut terbalik, insert sort dapat melakukan pengecekan lebih cepat karena sudah mengetahui bahwa elemen berikutnya lebih kecil.</t>
        </is>
      </c>
      <c r="E1979" t="inlineStr">
        <is>
          <t>YA (didukung konteks)</t>
        </is>
      </c>
    </row>
    <row r="1980">
      <c r="A1980" t="n">
        <v>168</v>
      </c>
      <c r="B1980" t="inlineStr">
        <is>
          <t>B</t>
        </is>
      </c>
      <c r="C1980" t="n">
        <v>3</v>
      </c>
      <c r="D1980" s="3" t="inlineStr">
        <is>
          <t>Alasan utama adalah karena data sudah terurut terbalik (descending), sehingga kita tidak perlu melakukan pengecekan ekstra untuk mengetahui apakah elemen berikutnya lebih besar atau lebih kecil.</t>
        </is>
      </c>
      <c r="E1980" t="inlineStr">
        <is>
          <t>YA (didukung konteks)</t>
        </is>
      </c>
    </row>
    <row r="1981">
      <c r="A1981" t="n">
        <v>168</v>
      </c>
      <c r="B1981" t="inlineStr">
        <is>
          <t>B</t>
        </is>
      </c>
      <c r="C1981" t="n">
        <v>4</v>
      </c>
      <c r="D1981" s="3" t="inlineStr">
        <is>
          <t>Karena itu, merge sort dapat mengambil keuntungan dari struktur data yang sudah terorganisir sedikit, sehingga waktu pengoperasiannya akan lebih cepat.</t>
        </is>
      </c>
      <c r="E1981" t="inlineStr">
        <is>
          <t>YA (didukung konteks)</t>
        </is>
      </c>
    </row>
    <row r="1982">
      <c r="A1982" t="n">
        <v>168</v>
      </c>
      <c r="B1982" t="inlineStr">
        <is>
          <t>B</t>
        </is>
      </c>
      <c r="C1982" t="n">
        <v>5</v>
      </c>
      <c r="D1982" s="3" t="inlineStr">
        <is>
          <t>* Bubble sort dan selection sort memiliki kompleksitas O(n^2), sehingga tidak cocok untuk data yang besar seperti 10.000 elemen.</t>
        </is>
      </c>
      <c r="E1982" t="inlineStr">
        <is>
          <t>YA (didukung konteks)</t>
        </is>
      </c>
    </row>
    <row r="1983">
      <c r="A1983" t="n">
        <v>168</v>
      </c>
      <c r="B1983" t="inlineStr">
        <is>
          <t>B</t>
        </is>
      </c>
      <c r="C1983" t="n">
        <v>6</v>
      </c>
      <c r="D1983" s="3" t="inlineStr">
        <is>
          <t>Dalam kasus ini, saya merekomendasikan menggunakan algoritme sorting merge sort sebagai yang paling efisien.</t>
        </is>
      </c>
      <c r="E1983" t="inlineStr">
        <is>
          <t>YA (didukung konteks)</t>
        </is>
      </c>
    </row>
    <row r="1984">
      <c r="A1984" t="n">
        <v>169</v>
      </c>
      <c r="B1984" t="inlineStr">
        <is>
          <t>A</t>
        </is>
      </c>
      <c r="C1984" t="n">
        <v>1</v>
      </c>
      <c r="D1984" s="3" t="inlineStr">
        <is>
          <t>Dalam soal ini, kita diminta untuk mengetahui langkah binary search untuk mencari elemen di array terurut dengan 10 juta elemen.</t>
        </is>
      </c>
      <c r="E1984" t="inlineStr">
        <is>
          <t>TIDAK (tidak didukung)</t>
        </is>
      </c>
    </row>
    <row r="1985">
      <c r="A1985" t="n">
        <v>169</v>
      </c>
      <c r="B1985" t="inlineStr">
        <is>
          <t>A</t>
        </is>
      </c>
      <c r="C1985" t="n">
        <v>2</v>
      </c>
      <c r="D1985" s="3" t="inlineStr">
        <is>
          <t>Artinya, jika kita memiliki array dengan n elemen, maka binary search akan membutuhkan log2(n) langkah untuk mencari elemen.</t>
        </is>
      </c>
      <c r="E1985" t="inlineStr">
        <is>
          <t>YA (didukung konteks)</t>
        </is>
      </c>
    </row>
    <row r="1986">
      <c r="A1986" t="n">
        <v>169</v>
      </c>
      <c r="B1986" t="inlineStr">
        <is>
          <t>A</t>
        </is>
      </c>
      <c r="C1986" t="n">
        <v>3</v>
      </c>
      <c r="D1986" s="3" t="inlineStr">
        <is>
          <t>Artinya, untuk mencari suatu elemen di array dengan 10 juta elemen, binary search akan membutuhkan sekitar 20 langkah.</t>
        </is>
      </c>
      <c r="E1986" t="inlineStr">
        <is>
          <t>YA (didukung konteks)</t>
        </is>
      </c>
    </row>
    <row r="1987">
      <c r="A1987" t="n">
        <v>169</v>
      </c>
      <c r="B1987" t="inlineStr">
        <is>
          <t>A</t>
        </is>
      </c>
      <c r="C1987" t="n">
        <v>4</v>
      </c>
      <c r="D1987" s="3" t="inlineStr">
        <is>
          <t>Jadi, jawaban saya adalah: untuk 10 juta elemen, binary search membutuhkan sekitar 20 langkah.</t>
        </is>
      </c>
      <c r="E1987" t="inlineStr">
        <is>
          <t>YA (didukung konteks)</t>
        </is>
      </c>
    </row>
    <row r="1988">
      <c r="A1988" t="n">
        <v>169</v>
      </c>
      <c r="B1988" t="inlineStr">
        <is>
          <t>A</t>
        </is>
      </c>
      <c r="C1988" t="n">
        <v>5</v>
      </c>
      <c r="D1988" s="3" t="inlineStr">
        <is>
          <t>Dengan menggunakan eksponensial (base 2), kita dapat menghitung nilai log2(10.000.000).</t>
        </is>
      </c>
      <c r="E1988" t="inlineStr">
        <is>
          <t>YA (didukung konteks)</t>
        </is>
      </c>
    </row>
    <row r="1989">
      <c r="A1989" t="n">
        <v>169</v>
      </c>
      <c r="B1989" t="inlineStr">
        <is>
          <t>A</t>
        </is>
      </c>
      <c r="C1989" t="n">
        <v>6</v>
      </c>
      <c r="D1989" s="3" t="inlineStr">
        <is>
          <t>Dalam materi referensi, kita tahu bahwa binary search memiliki kompleksitas O(log n).</t>
        </is>
      </c>
      <c r="E1989" t="inlineStr">
        <is>
          <t>YA (didukung konteks)</t>
        </is>
      </c>
    </row>
    <row r="1990">
      <c r="A1990" t="n">
        <v>169</v>
      </c>
      <c r="B1990" t="inlineStr">
        <is>
          <t>B</t>
        </is>
      </c>
      <c r="C1990" t="n">
        <v>1</v>
      </c>
      <c r="D1990" s="3" t="inlineStr">
        <is>
          <t>Jadi, untuk mencari suatu elemen dalam array besar sepanjang 10 juta elemen, binary search akan melakukan sekitar 20-30 langkah.</t>
        </is>
      </c>
      <c r="E1990" t="inlineStr">
        <is>
          <t>YA (didukung konteks)</t>
        </is>
      </c>
    </row>
    <row r="1991">
      <c r="A1991" t="n">
        <v>169</v>
      </c>
      <c r="B1991" t="inlineStr">
        <is>
          <t>B</t>
        </is>
      </c>
      <c r="C1991" t="n">
        <v>2</v>
      </c>
      <c r="D1991" s="3" t="inlineStr">
        <is>
          <t>Binary search memang lebih cepat daripada linear search, karena ia menggunakan prinsip mencari data secara hierarkis.</t>
        </is>
      </c>
      <c r="E1991" t="inlineStr">
        <is>
          <t>YA (didukung konteks)</t>
        </is>
      </c>
    </row>
    <row r="1992">
      <c r="A1992" t="n">
        <v>169</v>
      </c>
      <c r="B1992" t="inlineStr">
        <is>
          <t>B</t>
        </is>
      </c>
      <c r="C1992" t="n">
        <v>3</v>
      </c>
      <c r="D1992" s="3" t="inlineStr">
        <is>
          <t>Namun, sebagai acuan umum, kita dapat menggunakan hiperbola untuk mengetahui berapa banyak langkah yang diperlukan.</t>
        </is>
      </c>
      <c r="E1992" t="inlineStr">
        <is>
          <t>TIDAK (tidak didukung)</t>
        </is>
      </c>
    </row>
    <row r="1993">
      <c r="A1993" t="n">
        <v>169</v>
      </c>
      <c r="B1993" t="inlineStr">
        <is>
          <t>B</t>
        </is>
      </c>
      <c r="C1993" t="n">
        <v>4</v>
      </c>
      <c r="D1993" s="3" t="inlineStr">
        <is>
          <t>Jika kita lihat di atas, binary search memerlukan sekitar log2(n) langkah, di mana n adalah ukuran array.</t>
        </is>
      </c>
      <c r="E1993" t="inlineStr">
        <is>
          <t>YA (didukung konteks)</t>
        </is>
      </c>
    </row>
    <row r="1994">
      <c r="A1994" t="n">
        <v>169</v>
      </c>
      <c r="B1994" t="inlineStr">
        <is>
          <t>B</t>
        </is>
      </c>
      <c r="C1994" t="n">
        <v>5</v>
      </c>
      <c r="D1994" s="3" t="inlineStr">
        <is>
          <t>It's much faster than linear search, which would require checking every single element in the array!</t>
        </is>
      </c>
      <c r="E1994" t="inlineStr">
        <is>
          <t>YA (didukung konteks)</t>
        </is>
      </c>
    </row>
    <row r="1995">
      <c r="A1995" t="n">
        <v>169</v>
      </c>
      <c r="B1995" t="inlineStr">
        <is>
          <t>B</t>
        </is>
      </c>
      <c r="C1995" t="n">
        <v>6</v>
      </c>
      <c r="D1995" s="3" t="inlineStr">
        <is>
          <t>Dalam kasus 10 juta elemen (n = 10,000,000), kita dapat menggunakan rumus log2(10000000) ≈ 20.</t>
        </is>
      </c>
      <c r="E1995" t="inlineStr">
        <is>
          <t>YA (didukung konteks)</t>
        </is>
      </c>
    </row>
    <row r="1996">
      <c r="A1996" t="n">
        <v>170</v>
      </c>
      <c r="B1996" t="inlineStr">
        <is>
          <t>A</t>
        </is>
      </c>
      <c r="C1996" t="n">
        <v>1</v>
      </c>
      <c r="D1996" s="3" t="inlineStr">
        <is>
          <t>Dalam soal ini, Anda diminta untuk membuat pseudocode untuk mengecek apakah sebuah angka adalah 'bilangan Armstrong' (jumlah pangkat digit = angkanya sendiri).</t>
        </is>
      </c>
      <c r="E1996" t="inlineStr">
        <is>
          <t>YA (didukung konteks)</t>
        </is>
      </c>
    </row>
    <row r="1997">
      <c r="A1997" t="n">
        <v>170</v>
      </c>
      <c r="B1997" t="inlineStr">
        <is>
          <t>A</t>
        </is>
      </c>
      <c r="C1997" t="n">
        <v>2</v>
      </c>
      <c r="D1997" s="3" t="inlineStr">
        <is>
          <t>Dalam pseudocode di atas, kita menggunakan loop for each digit of the number, lalu untuk setiap digit, kita hitung pangkatnya dan tambahkan ke total.</t>
        </is>
      </c>
      <c r="E1997" t="inlineStr">
        <is>
          <t>TIDAK (tidak didukung)</t>
        </is>
      </c>
    </row>
    <row r="1998">
      <c r="A1998" t="n">
        <v>170</v>
      </c>
      <c r="B1998" t="inlineStr">
        <is>
          <t>A</t>
        </is>
      </c>
      <c r="C1998" t="n">
        <v>3</v>
      </c>
      <c r="D1998" s="3" t="inlineStr">
        <is>
          <t>Struktur yang dibutuhkan adalah looping through each digit of the number, serta operasi matematika untuk menghitung pangkat dan menambahkan ke total.</t>
        </is>
      </c>
      <c r="E1998" t="inlineStr">
        <is>
          <t>YA (didukung konteks)</t>
        </is>
      </c>
    </row>
    <row r="1999">
      <c r="A1999" t="n">
        <v>170</v>
      </c>
      <c r="B1999" t="inlineStr">
        <is>
          <t>A</t>
        </is>
      </c>
      <c r="C1999" t="n">
        <v>4</v>
      </c>
      <c r="D1999" s="3" t="inlineStr">
        <is>
          <t>Pseudocode yang benar dan struktur yang dibutuhkan dapat dilihat sebagai berikut:</t>
        </is>
      </c>
      <c r="E1999" t="inlineStr">
        <is>
          <t>YA (didukung konteks)</t>
        </is>
      </c>
    </row>
    <row r="2000">
      <c r="A2000" t="n">
        <v>170</v>
      </c>
      <c r="B2000" t="inlineStr">
        <is>
          <t>A</t>
        </is>
      </c>
      <c r="C2000" t="n">
        <v>5</v>
      </c>
      <c r="D2000" s="3" t="inlineStr">
        <is>
          <t>angka = angka / 10            // buang digit terakhir (integer div)</t>
        </is>
      </c>
      <c r="E2000" t="inlineStr">
        <is>
          <t>YA (didukung konteks)</t>
        </is>
      </c>
    </row>
    <row r="2001">
      <c r="A2001" t="n">
        <v>170</v>
      </c>
      <c r="B2001" t="inlineStr">
        <is>
          <t>A</t>
        </is>
      </c>
      <c r="C2001" t="n">
        <v>6</v>
      </c>
      <c r="D2001" s="3" t="inlineStr">
        <is>
          <t>* For each digit, calculate its cube and add it to a running total</t>
        </is>
      </c>
      <c r="E2001" t="inlineStr">
        <is>
          <t>TIDAK (tidak didukung)</t>
        </is>
      </c>
    </row>
    <row r="2002">
      <c r="A2002" t="n">
        <v>170</v>
      </c>
      <c r="B2002" t="inlineStr">
        <is>
          <t>B</t>
        </is>
      </c>
      <c r="C2002" t="n">
        <v>1</v>
      </c>
      <c r="D2002" s="3" t="inlineStr">
        <is>
          <t>* Variable: `inputNumber` (angka yang akan diperiksa), `total` (nilai total pangkat digit), `digitCount` (jumlah digit dalam angka)</t>
        </is>
      </c>
      <c r="E2002" t="inlineStr">
        <is>
          <t>YA (didukung konteks)</t>
        </is>
      </c>
    </row>
    <row r="2003">
      <c r="A2003" t="n">
        <v>170</v>
      </c>
      <c r="B2003" t="inlineStr">
        <is>
          <t>B</t>
        </is>
      </c>
      <c r="C2003" t="n">
        <v>2</v>
      </c>
      <c r="D2003" s="3" t="inlineStr">
        <is>
          <t>Untuk membuat program cek apakah sebuah angka adalah 'bilangan Armstrong', kita dapat menggunakan pseudocode sebagai berikut:</t>
        </is>
      </c>
      <c r="E2003" t="inlineStr">
        <is>
          <t>YA (didukung konteks)</t>
        </is>
      </c>
    </row>
    <row r="2004">
      <c r="A2004" t="n">
        <v>170</v>
      </c>
      <c r="B2004" t="inlineStr">
        <is>
          <t>B</t>
        </is>
      </c>
      <c r="C2004" t="n">
        <v>3</v>
      </c>
      <c r="D2004" s="3" t="inlineStr">
        <is>
          <t>Dengan menggunakan pseudocode ini, kita dapat membuat program cek apakah sebuah angka adalah bilangan Armstrong.</t>
        </is>
      </c>
      <c r="E2004" t="inlineStr">
        <is>
          <t>TIDAK (tidak didukung)</t>
        </is>
      </c>
    </row>
    <row r="2005">
      <c r="A2005" t="n">
        <v>170</v>
      </c>
      <c r="B2005" t="inlineStr">
        <is>
          <t>B</t>
        </is>
      </c>
      <c r="C2005" t="n">
        <v>4</v>
      </c>
      <c r="D2005" s="3" t="inlineStr">
        <is>
          <t>Konversi angka tersebut menjadi string untuk memudahkan penghitungan pangkat digit.</t>
        </is>
      </c>
      <c r="E2005" t="inlineStr">
        <is>
          <t>YA (didukung konteks)</t>
        </is>
      </c>
    </row>
    <row r="2006">
      <c r="A2006" t="n">
        <v>170</v>
      </c>
      <c r="B2006" t="inlineStr">
        <is>
          <t>B</t>
        </is>
      </c>
      <c r="C2006" t="n">
        <v>5</v>
      </c>
      <c r="D2006" s="3" t="inlineStr">
        <is>
          <t>Jika total sama dengan angka asli, maka angka tersebut adalah bilangan Armstrong.</t>
        </is>
      </c>
      <c r="E2006" t="inlineStr">
        <is>
          <t>TIDAK (tidak didukung)</t>
        </is>
      </c>
    </row>
    <row r="2007">
      <c r="A2007" t="n">
        <v>170</v>
      </c>
      <c r="B2007" t="inlineStr">
        <is>
          <t>B</t>
        </is>
      </c>
      <c r="C2007" t="n">
        <v>6</v>
      </c>
      <c r="D2007" s="3" t="inlineStr">
        <is>
          <t>Hitung nilai pangkat digit dengan cara mengkuadratkan nilai digit itu sendiri.</t>
        </is>
      </c>
      <c r="E2007" t="inlineStr">
        <is>
          <t>YA (didukung konteks)</t>
        </is>
      </c>
    </row>
    <row r="2008">
      <c r="A2008" t="n">
        <v>171</v>
      </c>
      <c r="B2008" t="inlineStr">
        <is>
          <t>A</t>
        </is>
      </c>
      <c r="C2008" t="n">
        <v>1</v>
      </c>
      <c r="D2008" s="3" t="inlineStr">
        <is>
          <t>Namun, jika Anda diminta untuk langsung merge dua array terurut tanpa menggunakan sorting, maka pseudocode untuk merge dua sorted array adalah sebagai berikut:</t>
        </is>
      </c>
      <c r="E2008" t="inlineStr">
        <is>
          <t>TIDAK (tidak didukung)</t>
        </is>
      </c>
    </row>
    <row r="2009">
      <c r="A2009" t="n">
        <v>171</v>
      </c>
      <c r="B2009" t="inlineStr">
        <is>
          <t>A</t>
        </is>
      </c>
      <c r="C2009" t="n">
        <v>2</v>
      </c>
      <c r="D2009" s="3" t="inlineStr">
        <is>
          <t>Kita dapat menggunakan Algoritme A untuk mencari nilai maksimum dan kemudian membandingkan dengan nilai sebelumnya untuk mengupdate nilai maksimum.</t>
        </is>
      </c>
      <c r="E2009" t="inlineStr">
        <is>
          <t>YA (didukung konteks)</t>
        </is>
      </c>
    </row>
    <row r="2010">
      <c r="A2010" t="n">
        <v>171</v>
      </c>
      <c r="B2010" t="inlineStr">
        <is>
          <t>A</t>
        </is>
      </c>
      <c r="C2010" t="n">
        <v>3</v>
      </c>
      <c r="D2010" s="3" t="inlineStr">
        <is>
          <t>Algoritme B memiliki kompleksitas O(n^2) karena menggunakan bubble sort penuh sebelum mencari nilai maksimum, yang berlebihan dan tidak efektif.</t>
        </is>
      </c>
      <c r="E2010" t="inlineStr">
        <is>
          <t>YA (didukung konteks)</t>
        </is>
      </c>
    </row>
    <row r="2011">
      <c r="A2011" t="n">
        <v>171</v>
      </c>
      <c r="B2011" t="inlineStr">
        <is>
          <t>A</t>
        </is>
      </c>
      <c r="C2011" t="n">
        <v>4</v>
      </c>
      <c r="D2011" s="3" t="inlineStr">
        <is>
          <t>Kita membandingkan elemen pertama dari kedua array dan menambahkannya ke array hasil jika elemen A lebih kecil atau sama dengan elemen B.</t>
        </is>
      </c>
      <c r="E2011" t="inlineStr">
        <is>
          <t>TIDAK (tidak didukung)</t>
        </is>
      </c>
    </row>
    <row r="2012">
      <c r="A2012" t="n">
        <v>171</v>
      </c>
      <c r="B2012" t="inlineStr">
        <is>
          <t>A</t>
        </is>
      </c>
      <c r="C2012" t="n">
        <v>5</v>
      </c>
      <c r="D2012" s="3" t="inlineStr">
        <is>
          <t>Algoritme A memiliki kompleksitas O(n), yaitu satu pass dengan n-1 perbandingan, sehingga efisien untuk mencari maksimum.</t>
        </is>
      </c>
      <c r="E2012" t="inlineStr">
        <is>
          <t>YA (didukung konteks)</t>
        </is>
      </c>
    </row>
    <row r="2013">
      <c r="A2013" t="n">
        <v>171</v>
      </c>
      <c r="B2013" t="inlineStr">
        <is>
          <t>A</t>
        </is>
      </c>
      <c r="C2013" t="n">
        <v>6</v>
      </c>
      <c r="D2013" s="3" t="inlineStr">
        <is>
          <t>Dalam pseudocode di atas, kita menggunakan while loop untuk mengulangi proses merge hingga salah satu array habis.</t>
        </is>
      </c>
      <c r="E2013" t="inlineStr">
        <is>
          <t>TIDAK (tidak didukung)</t>
        </is>
      </c>
    </row>
    <row r="2014">
      <c r="A2014" t="n">
        <v>171</v>
      </c>
      <c r="B2014" t="inlineStr">
        <is>
          <t>B</t>
        </is>
      </c>
      <c r="C2014" t="n">
        <v>1</v>
      </c>
      <c r="D2014" s="3" t="inlineStr">
        <is>
          <t>Pseudocode ini bekerja dengan cara membandingkan elemen terkecil dari kedua array dan menambahkannya ke array hasil.</t>
        </is>
      </c>
      <c r="E2014" t="inlineStr">
        <is>
          <t>TIDAK (tidak didukung)</t>
        </is>
      </c>
    </row>
    <row r="2015">
      <c r="A2015" t="n">
        <v>171</v>
      </c>
      <c r="B2015" t="inlineStr">
        <is>
          <t>B</t>
        </is>
      </c>
      <c r="C2015" t="n">
        <v>2</v>
      </c>
      <c r="D2015" s="3" t="inlineStr">
        <is>
          <t>Contoh: Jika A = [1, 3, 5] dan B = [2, 4, 6], prosedur Merging(A, B) akan menghasilkan [1, 2, 3, 4, 5, 6].</t>
        </is>
      </c>
      <c r="E2015" t="inlineStr">
        <is>
          <t>TIDAK (tidak didukung)</t>
        </is>
      </c>
    </row>
    <row r="2016">
      <c r="A2016" t="n">
        <v>171</v>
      </c>
      <c r="B2016" t="inlineStr">
        <is>
          <t>B</t>
        </is>
      </c>
      <c r="C2016" t="n">
        <v>3</v>
      </c>
      <c r="D2016" s="3" t="inlineStr">
        <is>
          <t>Ketika salah satu array habis, maka sisanya dari array lainnya ditambahkan ke array hasil.</t>
        </is>
      </c>
      <c r="E2016" t="inlineStr">
        <is>
          <t>TIDAK (tidak didukung)</t>
        </is>
      </c>
    </row>
    <row r="2017">
      <c r="A2017" t="n">
        <v>171</v>
      </c>
      <c r="B2017" t="inlineStr">
        <is>
          <t>B</t>
        </is>
      </c>
      <c r="C2017" t="n">
        <v>4</v>
      </c>
      <c r="D2017" s="3" t="inlineStr">
        <is>
          <t>Pseudocode untuk merger dua array terurut tanpa sorting adalah sebagai berikut:</t>
        </is>
      </c>
      <c r="E2017" t="inlineStr">
        <is>
          <t>YA (didukung konteks)</t>
        </is>
      </c>
    </row>
    <row r="2018">
      <c r="A2018" t="n">
        <v>171</v>
      </c>
      <c r="B2018" t="inlineStr">
        <is>
          <t>B</t>
        </is>
      </c>
      <c r="C2018" t="n">
        <v>5</v>
      </c>
      <c r="D2018" s="3" t="inlineStr">
        <is>
          <t>KEMBALI, jika masih ada elemen yang tersisa di salah satu array:</t>
        </is>
      </c>
      <c r="E2018" t="inlineStr">
        <is>
          <t>TIDAK (tidak didukung)</t>
        </is>
      </c>
    </row>
    <row r="2019">
      <c r="A2019" t="n">
        <v>171</v>
      </c>
      <c r="B2019" t="inlineStr">
        <is>
          <t>B</t>
        </is>
      </c>
      <c r="C2019" t="n">
        <v>6</v>
      </c>
      <c r="D2019" s="3" t="inlineStr">
        <is>
          <t>INDEKS i = 0, j = 0 (indeks awal untuk A dan B)</t>
        </is>
      </c>
      <c r="E2019" t="inlineStr">
        <is>
          <t>TIDAK (tidak didukung)</t>
        </is>
      </c>
    </row>
    <row r="2020">
      <c r="A2020" t="n">
        <v>172</v>
      </c>
      <c r="B2020" t="inlineStr">
        <is>
          <t>A</t>
        </is>
      </c>
      <c r="C2020" t="n">
        <v>1</v>
      </c>
      <c r="D2020" s="3" t="inlineStr">
        <is>
          <t>Namun, untuk memberikan Anda gambaran umum tentang proses CT yang digunakan dalam soal ini, saya dapat mengatakan bahwa dosen telah menggunakan dekomposisi untuk memecah algoritme besar menjadi fungsi-fungsi kecil yang t</t>
        </is>
      </c>
      <c r="E2020" t="inlineStr">
        <is>
          <t>YA (didukung konteks)</t>
        </is>
      </c>
    </row>
    <row r="2021">
      <c r="A2021" t="n">
        <v>172</v>
      </c>
      <c r="B2021" t="inlineStr">
        <is>
          <t>A</t>
        </is>
      </c>
      <c r="C2021" t="n">
        <v>2</v>
      </c>
      <c r="D2021" s="3" t="inlineStr">
        <is>
          <t>Saya juga percaya bahwa Anda dapat menggunakan konsep dekomposisi dan abstraksi yang telah dipelajari dalam materi referensi untuk memecahkan masalah tersebut.</t>
        </is>
      </c>
      <c r="E2021" t="inlineStr">
        <is>
          <t>YA (didukung konteks)</t>
        </is>
      </c>
    </row>
    <row r="2022">
      <c r="A2022" t="n">
        <v>172</v>
      </c>
      <c r="B2022" t="inlineStr">
        <is>
          <t>A</t>
        </is>
      </c>
      <c r="C2022" t="n">
        <v>3</v>
      </c>
      <c r="D2022" s="3" t="inlineStr">
        <is>
          <t>Pertama-tama, saya ingin menjelaskan bahwa Computational Thinking (CT) adalah proses berpikir yang mencakup dekomposisi, abstraksi, dan pengenalan pola.</t>
        </is>
      </c>
      <c r="E2022" t="inlineStr">
        <is>
          <t>YA (didukung konteks)</t>
        </is>
      </c>
    </row>
    <row r="2023">
      <c r="A2023" t="n">
        <v>172</v>
      </c>
      <c r="B2023" t="inlineStr">
        <is>
          <t>A</t>
        </is>
      </c>
      <c r="C2023" t="n">
        <v>4</v>
      </c>
      <c r="D2023" s="3" t="inlineStr">
        <is>
          <t>Saya tidak akan menjelaskan rincian bagaimana robot Candy mencapai angka tersebut, karena saya ingin Anda berpikir dan menganalisis sendiri.</t>
        </is>
      </c>
      <c r="E2023" t="inlineStr">
        <is>
          <t>YA (didukung konteks)</t>
        </is>
      </c>
    </row>
    <row r="2024">
      <c r="A2024" t="n">
        <v>172</v>
      </c>
      <c r="B2024" t="inlineStr">
        <is>
          <t>A</t>
        </is>
      </c>
      <c r="C2024" t="n">
        <v>5</v>
      </c>
      <c r="D2024" s="3" t="inlineStr">
        <is>
          <t>Saya harap Anda dapat menggunakan konsep-konsep CT yang telah dipelajari dalam materi referensi untuk memecahkan masalah-masalah lainnya.</t>
        </is>
      </c>
      <c r="E2024" t="inlineStr">
        <is>
          <t>YA (didukung konteks)</t>
        </is>
      </c>
    </row>
    <row r="2025">
      <c r="A2025" t="n">
        <v>172</v>
      </c>
      <c r="B2025" t="inlineStr">
        <is>
          <t>A</t>
        </is>
      </c>
      <c r="C2025" t="n">
        <v>6</v>
      </c>
      <c r="D2025" s="3" t="inlineStr">
        <is>
          <t>Saya percaya bahwa Anda sudah cukup siap untuk berpikir dan menganalisis sendiri soal CT lainnya, seperti Soal 7 — Jarak Angka.</t>
        </is>
      </c>
      <c r="E2025" t="inlineStr">
        <is>
          <t>YA (didukung konteks)</t>
        </is>
      </c>
    </row>
    <row r="2026">
      <c r="A2026" t="n">
        <v>172</v>
      </c>
      <c r="B2026" t="inlineStr">
        <is>
          <t>B</t>
        </is>
      </c>
      <c r="C2026" t="n">
        <v>1</v>
      </c>
      <c r="D2026" s="3" t="inlineStr">
        <is>
          <t>Dengan menggunakan dekomposisi menjadi sub-fungsi, kita dapat memecahkan masalah tersebut menjadi beberapa bagian yang lebih kecil dan lebih mudah dipahami.</t>
        </is>
      </c>
      <c r="E2026" t="inlineStr">
        <is>
          <t>YA (didukung konteks)</t>
        </is>
      </c>
    </row>
    <row r="2027">
      <c r="A2027" t="n">
        <v>172</v>
      </c>
      <c r="B2027" t="inlineStr">
        <is>
          <t>B</t>
        </is>
      </c>
      <c r="C2027" t="n">
        <v>2</v>
      </c>
      <c r="D2027" s="3" t="inlineStr">
        <is>
          <t>Untuk menjawab pertanyaan tersebut, kita perlu membagi tugas menjadi beberapa sub-fungsi yang dapat diurutkan dan dieksekusi secara efisien.</t>
        </is>
      </c>
      <c r="E2027" t="inlineStr">
        <is>
          <t>YA (didukung konteks)</t>
        </is>
      </c>
    </row>
    <row r="2028">
      <c r="A2028" t="n">
        <v>172</v>
      </c>
      <c r="B2028" t="inlineStr">
        <is>
          <t>B</t>
        </is>
      </c>
      <c r="C2028" t="n">
        <v>3</v>
      </c>
      <c r="D2028" s="3" t="inlineStr">
        <is>
          <t>Sub-fungsi `sortDescending` untuk mengurutkan nilai 100 mahasiswa dalam urutan descending (terbesar ke terkecil):</t>
        </is>
      </c>
      <c r="E2028" t="inlineStr">
        <is>
          <t>YA (didukung konteks)</t>
        </is>
      </c>
    </row>
    <row r="2029">
      <c r="A2029" t="n">
        <v>172</v>
      </c>
      <c r="B2029" t="inlineStr">
        <is>
          <t>B</t>
        </is>
      </c>
      <c r="C2029" t="n">
        <v>4</v>
      </c>
      <c r="D2029" s="3" t="inlineStr">
        <is>
          <t>Sub-fungsi `calculatePercentAboveAverage` untuk menghitung persen nilai yang di atas rata-rata:</t>
        </is>
      </c>
      <c r="E2029" t="inlineStr">
        <is>
          <t>YA (didukung konteks)</t>
        </is>
      </c>
    </row>
    <row r="2030">
      <c r="A2030" t="n">
        <v>172</v>
      </c>
      <c r="B2030" t="inlineStr">
        <is>
          <t>B</t>
        </is>
      </c>
      <c r="C2030" t="n">
        <v>5</v>
      </c>
      <c r="D2030" s="3" t="inlineStr">
        <is>
          <t>Sub-fungsi `calculateMedian` untuk menemukan median dari nilai 100 mahasiswa:</t>
        </is>
      </c>
      <c r="E2030" t="inlineStr">
        <is>
          <t>YA (didukung konteks)</t>
        </is>
      </c>
    </row>
    <row r="2031">
      <c r="A2031" t="n">
        <v>172</v>
      </c>
      <c r="B2031" t="inlineStr">
        <is>
          <t>B</t>
        </is>
      </c>
      <c r="C2031" t="n">
        <v>6</v>
      </c>
      <c r="D2031" s="3" t="inlineStr">
        <is>
          <t>numbers = [nilai mahasiswa 1, nilai mahasiswa 2, ..., nilai mahasiswa 100]</t>
        </is>
      </c>
      <c r="E2031" t="inlineStr">
        <is>
          <t>YA (didukung konteks)</t>
        </is>
      </c>
    </row>
    <row r="2032">
      <c r="A2032" t="n">
        <v>173</v>
      </c>
      <c r="B2032" t="inlineStr">
        <is>
          <t>A</t>
        </is>
      </c>
      <c r="C2032" t="n">
        <v>1</v>
      </c>
      <c r="D2032" s="3" t="inlineStr">
        <is>
          <t>In summary, using one stack is an appropriate choice for this task, as it enables you to efficiently manage the browser's navigation history and perform operations like going back and moving forward.</t>
        </is>
      </c>
      <c r="E2032" t="inlineStr">
        <is>
          <t>TIDAK (tidak didukung)</t>
        </is>
      </c>
    </row>
    <row r="2033">
      <c r="A2033" t="n">
        <v>173</v>
      </c>
      <c r="B2033" t="inlineStr">
        <is>
          <t>A</t>
        </is>
      </c>
      <c r="C2033" t="n">
        <v>2</v>
      </c>
      <c r="D2033" s="3" t="inlineStr">
        <is>
          <t>**Forward** (maju): Similarly, when you move forward, you need to access the next URL in the browser history, which is equivalent to pushing a new element onto the stack.</t>
        </is>
      </c>
      <c r="E2033" t="inlineStr">
        <is>
          <t>YA (didukung konteks)</t>
        </is>
      </c>
    </row>
    <row r="2034">
      <c r="A2034" t="n">
        <v>173</v>
      </c>
      <c r="B2034" t="inlineStr">
        <is>
          <t>A</t>
        </is>
      </c>
      <c r="C2034" t="n">
        <v>3</v>
      </c>
      <c r="D2034" s="3" t="inlineStr">
        <is>
          <t>You can use a stack because it follows the Last In, First Out (LIFO) principle, which suits the browser's behavior when navigating through URLs.</t>
        </is>
      </c>
      <c r="E2034" t="inlineStr">
        <is>
          <t>TIDAK (tidak didukung)</t>
        </is>
      </c>
    </row>
    <row r="2035">
      <c r="A2035" t="n">
        <v>173</v>
      </c>
      <c r="B2035" t="inlineStr">
        <is>
          <t>A</t>
        </is>
      </c>
      <c r="C2035" t="n">
        <v>4</v>
      </c>
      <c r="D2035" s="3" t="inlineStr">
        <is>
          <t>Using a single stack allows you to efficiently manage the browser's navigation history while keeping track of the current URL.</t>
        </is>
      </c>
      <c r="E2035" t="inlineStr">
        <is>
          <t>TIDAK (tidak didukung)</t>
        </is>
      </c>
    </row>
    <row r="2036">
      <c r="A2036" t="n">
        <v>173</v>
      </c>
      <c r="B2036" t="inlineStr">
        <is>
          <t>A</t>
        </is>
      </c>
      <c r="C2036" t="n">
        <v>5</v>
      </c>
      <c r="D2036" s="3" t="inlineStr">
        <is>
          <t>Your task is to create a simple system for browser history: you can push new URLs, go back, and move forward.</t>
        </is>
      </c>
      <c r="E2036" t="inlineStr">
        <is>
          <t>YA (didukung konteks)</t>
        </is>
      </c>
    </row>
    <row r="2037">
      <c r="A2037" t="n">
        <v>173</v>
      </c>
      <c r="B2037" t="inlineStr">
        <is>
          <t>A</t>
        </is>
      </c>
      <c r="C2037" t="n">
        <v>6</v>
      </c>
      <c r="D2037" s="3" t="inlineStr">
        <is>
          <t>After analyzing the problem, I believe that a stack is the most suitable data structure for this task.</t>
        </is>
      </c>
      <c r="E2037" t="inlineStr">
        <is>
          <t>TIDAK (tidak didukung)</t>
        </is>
      </c>
    </row>
    <row r="2038">
      <c r="A2038" t="n">
        <v>173</v>
      </c>
      <c r="B2038" t="inlineStr">
        <is>
          <t>B</t>
        </is>
      </c>
      <c r="C2038" t="n">
        <v>1</v>
      </c>
      <c r="D2038" s="3" t="inlineStr">
        <is>
          <t>Ketika pengguna ingin kembali ke halaman sebelumnya, Anda hanya perlu mengambil URL terakhir dari stack "Back", dan ketika pengguna ingin melanjutkan ke halaman selanjutnya, Anda hanya perlu mengambil URL terakhir dari s</t>
        </is>
      </c>
      <c r="E2038" t="inlineStr">
        <is>
          <t>YA (didukung konteks)</t>
        </is>
      </c>
    </row>
    <row r="2039">
      <c r="A2039" t="n">
        <v>173</v>
      </c>
      <c r="B2039" t="inlineStr">
        <is>
          <t>B</t>
        </is>
      </c>
      <c r="C2039" t="n">
        <v>2</v>
      </c>
      <c r="D2039" s="3" t="inlineStr">
        <is>
          <t>Stack "Forward" digunakan untuk merekam jalur navigasi browser saat ini dan masa depan, sehingga ketika pengguna ingin melanjutkan ke halaman selanjutnya, Anda dapat mengambil URL terakhir dari stack ini.</t>
        </is>
      </c>
      <c r="E2039" t="inlineStr">
        <is>
          <t>TIDAK (tidak didukung)</t>
        </is>
      </c>
    </row>
    <row r="2040">
      <c r="A2040" t="n">
        <v>173</v>
      </c>
      <c r="B2040" t="inlineStr">
        <is>
          <t>B</t>
        </is>
      </c>
      <c r="C2040" t="n">
        <v>3</v>
      </c>
      <c r="D2040" s="3" t="inlineStr">
        <is>
          <t>Stack "Back" digunakan untuk merekam jalur navigasi browser sebelumnya, sehingga ketika pengguna ingin kembali ke halaman sebelumnya, Anda dapat mengambil URL terakhir dari stack ini.</t>
        </is>
      </c>
      <c r="E2040" t="inlineStr">
        <is>
          <t>YA (didukung konteks)</t>
        </is>
      </c>
    </row>
    <row r="2041">
      <c r="A2041" t="n">
        <v>173</v>
      </c>
      <c r="B2041" t="inlineStr">
        <is>
          <t>B</t>
        </is>
      </c>
      <c r="C2041" t="n">
        <v>4</v>
      </c>
      <c r="D2041" s="3" t="inlineStr">
        <is>
          <t>Untuk membuat sistem riwayat browser sederhana, saya sarankan menggunakan dua stack: "Back" stack dan "Forward" stack.</t>
        </is>
      </c>
      <c r="E2041" t="inlineStr">
        <is>
          <t>YA (didukung konteks)</t>
        </is>
      </c>
    </row>
    <row r="2042">
      <c r="A2042" t="n">
        <v>173</v>
      </c>
      <c r="B2042" t="inlineStr">
        <is>
          <t>B</t>
        </is>
      </c>
      <c r="C2042" t="n">
        <v>5</v>
      </c>
      <c r="D2042" s="3" t="inlineStr">
        <is>
          <t>Stack "Forward" juga akan memiliki elemen-elemen yang berisi URL-URL yang telah diunjungi oleh pengguna.</t>
        </is>
      </c>
      <c r="E2042" t="inlineStr">
        <is>
          <t>YA (didukung konteks)</t>
        </is>
      </c>
    </row>
    <row r="2043">
      <c r="A2043" t="n">
        <v>173</v>
      </c>
      <c r="B2043" t="inlineStr">
        <is>
          <t>B</t>
        </is>
      </c>
      <c r="C2043" t="n">
        <v>6</v>
      </c>
      <c r="D2043" s="3" t="inlineStr">
        <is>
          <t>Stack "Back" akan memiliki elemen-elemen yang berisi URL-URL yang telah diunjungi oleh pengguna.</t>
        </is>
      </c>
      <c r="E2043" t="inlineStr">
        <is>
          <t>YA (didukung konteks)</t>
        </is>
      </c>
    </row>
    <row r="2044">
      <c r="A2044" t="n">
        <v>174</v>
      </c>
      <c r="B2044" t="inlineStr">
        <is>
          <t>A</t>
        </is>
      </c>
      <c r="C2044" t="n">
        <v>1</v>
      </c>
      <c r="D2044" s="3" t="inlineStr">
        <is>
          <t>Tolong jawab soal ini dengan menggunakan istilah teknis dan konsep utama secara langsung dan akurat, serta sesuai dengan tipe kognitif Level 4 Mahir / Pragmatis / Global / Intuitif.</t>
        </is>
      </c>
      <c r="E2044" t="inlineStr">
        <is>
          <t>YA (didukung konteks)</t>
        </is>
      </c>
    </row>
    <row r="2045">
      <c r="A2045" t="n">
        <v>174</v>
      </c>
      <c r="B2045" t="inlineStr">
        <is>
          <t>A</t>
        </is>
      </c>
      <c r="C2045" t="n">
        <v>2</v>
      </c>
      <c r="D2045" s="3" t="inlineStr">
        <is>
          <t>Untuk mengetahui apakah setiap kota bisa dicapai dari kota A, kita perlu menggunakan algoritme DFS (Depth-First Search) yang sesuai untuk graph berarah.</t>
        </is>
      </c>
      <c r="E2045" t="inlineStr">
        <is>
          <t>YA (didukung konteks)</t>
        </is>
      </c>
    </row>
    <row r="2046">
      <c r="A2046" t="n">
        <v>174</v>
      </c>
      <c r="B2046" t="inlineStr">
        <is>
          <t>A</t>
        </is>
      </c>
      <c r="C2046" t="n">
        <v>3</v>
      </c>
      <c r="D2046" s="3" t="inlineStr">
        <is>
          <t>Dalam konsep ini, kita menggunakan istilah teknis seperti "Directed Graph", "Depth-First Search", dan "node" untuk menjelaskan proses penyelesaian soal.</t>
        </is>
      </c>
      <c r="E2046" t="inlineStr">
        <is>
          <t>YA (didukung konteks)</t>
        </is>
      </c>
    </row>
    <row r="2047">
      <c r="A2047" t="n">
        <v>174</v>
      </c>
      <c r="B2047" t="inlineStr">
        <is>
          <t>A</t>
        </is>
      </c>
      <c r="C2047" t="n">
        <v>4</v>
      </c>
      <c r="D2047" s="3" t="inlineStr">
        <is>
          <t>Algoritme DFS bekerja dengan cara memeriksa setiap node dan kemudian mengunjungi semua childnya sebelum kembali ke node induk.</t>
        </is>
      </c>
      <c r="E2047" t="inlineStr">
        <is>
          <t>YA (didukung konteks)</t>
        </is>
      </c>
    </row>
    <row r="2048">
      <c r="A2048" t="n">
        <v>174</v>
      </c>
      <c r="B2048" t="inlineStr">
        <is>
          <t>A</t>
        </is>
      </c>
      <c r="C2048" t="n">
        <v>5</v>
      </c>
      <c r="D2048" s="3" t="inlineStr">
        <is>
          <t>Dalam kasus ini, kita dapat mulai dari kota A dan kemudian mengunjungi semua childnya yang tersedia melalui jalan searah.</t>
        </is>
      </c>
      <c r="E2048" t="inlineStr">
        <is>
          <t>YA (didukung konteks)</t>
        </is>
      </c>
    </row>
    <row r="2049">
      <c r="A2049" t="n">
        <v>174</v>
      </c>
      <c r="B2049" t="inlineStr">
        <is>
          <t>A</t>
        </is>
      </c>
      <c r="C2049" t="n">
        <v>6</v>
      </c>
      <c r="D2049" s="3" t="inlineStr">
        <is>
          <t>Jika semua child sudah dikunjungi, maka kita dapat mengetahui apakah setiap kota lainnya juga bisa dicapai dari kota A.</t>
        </is>
      </c>
      <c r="E2049" t="inlineStr">
        <is>
          <t>YA (didukung konteks)</t>
        </is>
      </c>
    </row>
    <row r="2050">
      <c r="A2050" t="n">
        <v>174</v>
      </c>
      <c r="B2050" t="inlineStr">
        <is>
          <t>B</t>
        </is>
      </c>
      <c r="C2050" t="n">
        <v>1</v>
      </c>
      <c r="D2050" s="3" t="inlineStr">
        <is>
          <t>Namun, perlu diingat bahwa BFS bukanlah algoritma yang paling efisien untuk masalah keterjangkauan, karena memerlukan waktu O(V+E) dan menggunakan ruang O(V), di mana V adalah jumlah kota dan E adalah jumlah jalan.</t>
        </is>
      </c>
      <c r="E2050" t="inlineStr">
        <is>
          <t>YA (didukung konteks)</t>
        </is>
      </c>
    </row>
    <row r="2051">
      <c r="A2051" t="n">
        <v>174</v>
      </c>
      <c r="B2051" t="inlineStr">
        <is>
          <t>B</t>
        </is>
      </c>
      <c r="C2051" t="n">
        <v>2</v>
      </c>
      <c r="D2051" s="3" t="inlineStr">
        <is>
          <t>Masalah Anda terkait dengan Graph Theory, yaitu menentukan apakah setiap kota dapat dicapai dari kota A (ditujukkan sebagai "Connectivity" atau "Keterjangkauan").</t>
        </is>
      </c>
      <c r="E2051" t="inlineStr">
        <is>
          <t>YA (didukung konteks)</t>
        </is>
      </c>
    </row>
    <row r="2052">
      <c r="A2052" t="n">
        <v>174</v>
      </c>
      <c r="B2052" t="inlineStr">
        <is>
          <t>B</t>
        </is>
      </c>
      <c r="C2052" t="n">
        <v>3</v>
      </c>
      <c r="D2052" s="3" t="inlineStr">
        <is>
          <t>* Jika kota tersebut belum pernah diuji sebelumnya (bukan dalam queue), maka setiap kota yang dapat dicapai dari kota tersebut juga dapat dicapain dari kota A.</t>
        </is>
      </c>
      <c r="E2052" t="inlineStr">
        <is>
          <t>YA (didukung konteks)</t>
        </is>
      </c>
    </row>
    <row r="2053">
      <c r="A2053" t="n">
        <v>174</v>
      </c>
      <c r="B2053" t="inlineStr">
        <is>
          <t>B</t>
        </is>
      </c>
      <c r="C2053" t="n">
        <v>4</v>
      </c>
      <c r="D2053" s="3" t="inlineStr">
        <is>
          <t>Buatlah sebuah adjacency list atau matrix dari graph kota, di mana each entry mewakili jalan searah antara dua kota.</t>
        </is>
      </c>
      <c r="E2053" t="inlineStr">
        <is>
          <t>YA (didukung konteks)</t>
        </is>
      </c>
    </row>
    <row r="2054">
      <c r="A2054" t="n">
        <v>174</v>
      </c>
      <c r="B2054" t="inlineStr">
        <is>
          <t>B</t>
        </is>
      </c>
      <c r="C2054" t="n">
        <v>5</v>
      </c>
      <c r="D2054" s="3" t="inlineStr">
        <is>
          <t>Algoritma yang lebih efisien adalah DFS (Depth-First Search), tetapi BFS lebih mudah dipahami dan digunakan.</t>
        </is>
      </c>
      <c r="E2054" t="inlineStr">
        <is>
          <t>YA (didukung konteks)</t>
        </is>
      </c>
    </row>
    <row r="2055">
      <c r="A2055" t="n">
        <v>174</v>
      </c>
      <c r="B2055" t="inlineStr">
        <is>
          <t>B</t>
        </is>
      </c>
      <c r="C2055" t="n">
        <v>6</v>
      </c>
      <c r="D2055" s="3" t="inlineStr">
        <is>
          <t>Berikut langkah-langkah implementasi BFS untuk menentukan keterjangkauan setiap kota dari kota A:</t>
        </is>
      </c>
      <c r="E2055" t="inlineStr">
        <is>
          <t>YA (didukung konteks)</t>
        </is>
      </c>
    </row>
    <row r="2056">
      <c r="A2056" t="n">
        <v>175</v>
      </c>
      <c r="B2056" t="inlineStr">
        <is>
          <t>A</t>
        </is>
      </c>
      <c r="C2056" t="n">
        <v>1</v>
      </c>
      <c r="D2056" s="3" t="inlineStr">
        <is>
          <t>Based on the reference material and the type of cognitive learning (Level 5 Lanjut / Teoritis / Global / Intuitif), I will design a solution that utilizes decomposition, separate functions, and efficiency.</t>
        </is>
      </c>
      <c r="E2056" t="inlineStr">
        <is>
          <t>YA (didukung konteks)</t>
        </is>
      </c>
    </row>
    <row r="2057">
      <c r="A2057" t="n">
        <v>175</v>
      </c>
      <c r="B2057" t="inlineStr">
        <is>
          <t>A</t>
        </is>
      </c>
      <c r="C2057" t="n">
        <v>2</v>
      </c>
      <c r="D2057" s="3" t="inlineStr">
        <is>
          <t>Call the `find_longest_palindrome` function with the given list of words and check if the returned value is indeed a palindrome by comparing it with its reverse.</t>
        </is>
      </c>
      <c r="E2057" t="inlineStr">
        <is>
          <t>TIDAK (tidak didukung)</t>
        </is>
      </c>
    </row>
    <row r="2058">
      <c r="A2058" t="n">
        <v>175</v>
      </c>
      <c r="B2058" t="inlineStr">
        <is>
          <t>A</t>
        </is>
      </c>
      <c r="C2058" t="n">
        <v>3</v>
      </c>
      <c r="D2058" s="3" t="inlineStr">
        <is>
          <t>This approach will allow us to break down the problem into smaller, more manageable sub-problems, which can be solved efficiently using separate functions.</t>
        </is>
      </c>
      <c r="E2058" t="inlineStr">
        <is>
          <t>YA (didukung konteks)</t>
        </is>
      </c>
    </row>
    <row r="2059">
      <c r="A2059" t="n">
        <v>175</v>
      </c>
      <c r="B2059" t="inlineStr">
        <is>
          <t>A</t>
        </is>
      </c>
      <c r="C2059" t="n">
        <v>4</v>
      </c>
      <c r="D2059" s="3" t="inlineStr">
        <is>
          <t>The solution will also be concise and easy to understand, making it suitable for a cognitive learning style that emphasizes theory and abstract thinking.</t>
        </is>
      </c>
      <c r="E2059" t="inlineStr">
        <is>
          <t>YA (didukung konteks)</t>
        </is>
      </c>
    </row>
    <row r="2060">
      <c r="A2060" t="n">
        <v>175</v>
      </c>
      <c r="B2060" t="inlineStr">
        <is>
          <t>A</t>
        </is>
      </c>
      <c r="C2060" t="n">
        <v>5</v>
      </c>
      <c r="D2060" s="3" t="inlineStr">
        <is>
          <t>Define a function `is_palindrome` that takes a string as input and returns `True` if the string is a palindrome, and `False` otherwise.</t>
        </is>
      </c>
      <c r="E2060" t="inlineStr">
        <is>
          <t>YA (didukung konteks)</t>
        </is>
      </c>
    </row>
    <row r="2061">
      <c r="A2061" t="n">
        <v>175</v>
      </c>
      <c r="B2061" t="inlineStr">
        <is>
          <t>A</t>
        </is>
      </c>
      <c r="C2061" t="n">
        <v>6</v>
      </c>
      <c r="D2061" s="3" t="inlineStr">
        <is>
          <t>Define another function `find_longest_palindrome` that takes the list of words as input and returns the longest palindrome found.</t>
        </is>
      </c>
      <c r="E2061" t="inlineStr">
        <is>
          <t>TIDAK (tidak didukung)</t>
        </is>
      </c>
    </row>
    <row r="2062">
      <c r="A2062" t="n">
        <v>175</v>
      </c>
      <c r="B2062" t="inlineStr">
        <is>
          <t>B</t>
        </is>
      </c>
      <c r="C2062" t="n">
        <v>1</v>
      </c>
      <c r="D2062" s="3" t="inlineStr">
        <is>
          <t>* Menggunakan fungsi terpisah untuk mengecek apakah sebuah kata adalah palindrom atau tidak, dan kemudian membandingkan panjang kata tersebut dengan panjang reversed kata.</t>
        </is>
      </c>
      <c r="E2062" t="inlineStr">
        <is>
          <t>YA (didukung konteks)</t>
        </is>
      </c>
    </row>
    <row r="2063">
      <c r="A2063" t="n">
        <v>175</v>
      </c>
      <c r="B2063" t="inlineStr">
        <is>
          <t>B</t>
        </is>
      </c>
      <c r="C2063" t="n">
        <v>2</v>
      </c>
      <c r="D2063" s="3" t="inlineStr">
        <is>
          <t>Soal ini meminta kita untuk mencari kata terpanjang yang merupakan palindrom dan menggunakan pendekatan Computational Thinking (CT) dalam proses penyelesaian masalah.</t>
        </is>
      </c>
      <c r="E2063" t="inlineStr">
        <is>
          <t>YA (didukung konteks)</t>
        </is>
      </c>
    </row>
    <row r="2064">
      <c r="A2064" t="n">
        <v>175</v>
      </c>
      <c r="B2064" t="inlineStr">
        <is>
          <t>B</t>
        </is>
      </c>
      <c r="C2064" t="n">
        <v>3</v>
      </c>
      <c r="D2064" s="3" t="inlineStr">
        <is>
          <t>Dengan menggunakan pendekatan CT dan teknik dekomposisi, fungsi terpisah, dan efisiensi, kita dapat menyelesaikan soal ini dengan cara yang efektif dan efisien.</t>
        </is>
      </c>
      <c r="E2064" t="inlineStr">
        <is>
          <t>YA (didukung konteks)</t>
        </is>
      </c>
    </row>
    <row r="2065">
      <c r="A2065" t="n">
        <v>175</v>
      </c>
      <c r="B2065" t="inlineStr">
        <is>
          <t>B</t>
        </is>
      </c>
      <c r="C2065" t="n">
        <v>4</v>
      </c>
      <c r="D2065" s="3" t="inlineStr">
        <is>
          <t>Kita dapat melakukan hal ini dengan cara membuat suatu struktur data, seperti array atau linked list, untuk menyimpan setiap kata dalam list.</t>
        </is>
      </c>
      <c r="E2065" t="inlineStr">
        <is>
          <t>YA (didukung konteks)</t>
        </is>
      </c>
    </row>
    <row r="2066">
      <c r="A2066" t="n">
        <v>175</v>
      </c>
      <c r="B2066" t="inlineStr">
        <is>
          <t>B</t>
        </is>
      </c>
      <c r="C2066" t="n">
        <v>5</v>
      </c>
      <c r="D2066" s="3" t="inlineStr">
        <is>
          <t>Dalam tahap akhir, kita dapat menggunakan fungsi terpisah untuk mengecek apakah setiap kata dalam list adalah palindrom atau tidak.</t>
        </is>
      </c>
      <c r="E2066" t="inlineStr">
        <is>
          <t>YA (didukung konteks)</t>
        </is>
      </c>
    </row>
    <row r="2067">
      <c r="A2067" t="n">
        <v>175</v>
      </c>
      <c r="B2067" t="inlineStr">
        <is>
          <t>B</t>
        </is>
      </c>
      <c r="C2067" t="n">
        <v>6</v>
      </c>
      <c r="D2067" s="3" t="inlineStr">
        <is>
          <t>* Mengecek apakah panjang kata tersebut sama dengan panjang reversed kata (jika demikian, maka kata tersebut adalah palindrom).</t>
        </is>
      </c>
      <c r="E2067" t="inlineStr">
        <is>
          <t>TIDAK (tidak didukung)</t>
        </is>
      </c>
    </row>
    <row r="2068">
      <c r="A2068" t="n">
        <v>176</v>
      </c>
      <c r="B2068" t="inlineStr">
        <is>
          <t>A</t>
        </is>
      </c>
      <c r="C2068" t="n">
        <v>1</v>
      </c>
      <c r="D2068" s="3" t="inlineStr">
        <is>
          <t>Increment counter adalah untuk menghitung jumlah kali perulangan dilakukan, sementara accumulate sum adalah untuk mengumpulkan nilai-nilai yang diinputkan.</t>
        </is>
      </c>
      <c r="E2068" t="inlineStr">
        <is>
          <t>YA (didukung konteks)</t>
        </is>
      </c>
    </row>
    <row r="2069">
      <c r="A2069" t="n">
        <v>176</v>
      </c>
      <c r="B2069" t="inlineStr">
        <is>
          <t>A</t>
        </is>
      </c>
      <c r="C2069" t="n">
        <v>2</v>
      </c>
      <c r="D2069" s="3" t="inlineStr">
        <is>
          <t>Dalam kode Anda, `total = total + 1` adalah contoh increment counter, sedangkan `total = total + nilai` adalah contoh accumulate sum.</t>
        </is>
      </c>
      <c r="E2069" t="inlineStr">
        <is>
          <t>YA (didukung konteks)</t>
        </is>
      </c>
    </row>
    <row r="2070">
      <c r="A2070" t="n">
        <v>176</v>
      </c>
      <c r="B2070" t="inlineStr">
        <is>
          <t>A</t>
        </is>
      </c>
      <c r="C2070" t="n">
        <v>3</v>
      </c>
      <c r="D2070" s="3" t="inlineStr">
        <is>
          <t>Sebaliknya, jika Anda ingin mengumpulkan nilai-nilai yang diinputkan, maka Anda menggunakan accumulator.</t>
        </is>
      </c>
      <c r="E2070" t="inlineStr">
        <is>
          <t>YA (didukung konteks)</t>
        </is>
      </c>
    </row>
    <row r="2071">
      <c r="A2071" t="n">
        <v>176</v>
      </c>
      <c r="B2071" t="inlineStr">
        <is>
          <t>A</t>
        </is>
      </c>
      <c r="C2071" t="n">
        <v>4</v>
      </c>
      <c r="D2071" s="3" t="inlineStr">
        <is>
          <t>Saya harap jawaban ini membantu Anda memahami konsep utama dalam loop dan mengatasi kebingungan Anda.</t>
        </is>
      </c>
      <c r="E2071" t="inlineStr">
        <is>
          <t>YA (didukung konteks)</t>
        </is>
      </c>
    </row>
    <row r="2072">
      <c r="A2072" t="n">
        <v>176</v>
      </c>
      <c r="B2072" t="inlineStr">
        <is>
          <t>A</t>
        </is>
      </c>
      <c r="C2072" t="n">
        <v>5</v>
      </c>
      <c r="D2072" s="3" t="inlineStr">
        <is>
          <t>Dalam loop, kita memiliki dua tujuan utama: increment (menghitung) dan accumulate (mengumpulkan).</t>
        </is>
      </c>
      <c r="E2072" t="inlineStr">
        <is>
          <t>YA (didukung konteks)</t>
        </is>
      </c>
    </row>
    <row r="2073">
      <c r="A2073" t="n">
        <v>176</v>
      </c>
      <c r="B2073" t="inlineStr">
        <is>
          <t>A</t>
        </is>
      </c>
      <c r="C2073" t="n">
        <v>6</v>
      </c>
      <c r="D2073" s="3" t="inlineStr">
        <is>
          <t>Jika Anda ingin mengetahui berapa banyak kali loop dilakukan, maka Anda menggunakan counter.</t>
        </is>
      </c>
      <c r="E2073" t="inlineStr">
        <is>
          <t>YA (didukung konteks)</t>
        </is>
      </c>
    </row>
    <row r="2074">
      <c r="A2074" t="n">
        <v>176</v>
      </c>
      <c r="B2074" t="inlineStr">
        <is>
          <t>B</t>
        </is>
      </c>
      <c r="C2074" t="n">
        <v>1</v>
      </c>
      <c r="D2074" s="3" t="inlineStr">
        <is>
          <t>**Increment (Peningkatan)**: Digunakan untuk meningkatkan nilai sebuah counter atau variabel, biasanya digunakan sebagai penanda dalam loop.</t>
        </is>
      </c>
      <c r="E2074" t="inlineStr">
        <is>
          <t>YA (didukung konteks)</t>
        </is>
      </c>
    </row>
    <row r="2075">
      <c r="A2075" t="n">
        <v>176</v>
      </c>
      <c r="B2075" t="inlineStr">
        <is>
          <t>B</t>
        </is>
      </c>
      <c r="C2075" t="n">
        <v>2</v>
      </c>
      <c r="D2075" s="3" t="inlineStr">
        <is>
          <t>**Accumulate (Pengumpulan)**: Digunakan untuk mengumpulkan nilai-nili dari suatu operasi, biasanya digunakan untuk mencapai hasil akhir.</t>
        </is>
      </c>
      <c r="E2075" t="inlineStr">
        <is>
          <t>YA (didukung konteks)</t>
        </is>
      </c>
    </row>
    <row r="2076">
      <c r="A2076" t="n">
        <v>176</v>
      </c>
      <c r="B2076" t="inlineStr">
        <is>
          <t>B</t>
        </is>
      </c>
      <c r="C2076" t="n">
        <v>3</v>
      </c>
      <c r="D2076" s="3" t="inlineStr">
        <is>
          <t>Dalam kode Anda, `total = total + 1` adalah contoh increment counter, sedangkan `total = total + nilai` adalah contoh accumulate sum.</t>
        </is>
      </c>
      <c r="E2076" t="inlineStr">
        <is>
          <t>YA (didukung konteks)</t>
        </is>
      </c>
    </row>
    <row r="2077">
      <c r="A2077" t="n">
        <v>176</v>
      </c>
      <c r="B2077" t="inlineStr">
        <is>
          <t>B</t>
        </is>
      </c>
      <c r="C2077" t="n">
        <v>4</v>
      </c>
      <c r="D2077" s="3" t="inlineStr">
        <is>
          <t>Dalam loop, 'increment' dan 'accumulate' adalah dua konsep yang berbeda, walaupun keduanya digunakan untuk mengubah nilai variabel.</t>
        </is>
      </c>
      <c r="E2077" t="inlineStr">
        <is>
          <t>YA (didukung konteks)</t>
        </is>
      </c>
    </row>
    <row r="2078">
      <c r="A2078" t="n">
        <v>176</v>
      </c>
      <c r="B2078" t="inlineStr">
        <is>
          <t>B</t>
        </is>
      </c>
      <c r="C2078" t="n">
        <v>5</v>
      </c>
      <c r="D2078" s="3" t="inlineStr">
        <is>
          <t>Dalam contoh di atas, `total` digunakan sebagai accumulator yang mengumpulkan nilai-nili dari operasi penjumlahan.</t>
        </is>
      </c>
      <c r="E2078" t="inlineStr">
        <is>
          <t>TIDAK (tidak didukung)</t>
        </is>
      </c>
    </row>
    <row r="2079">
      <c r="A2079" t="n">
        <v>176</v>
      </c>
      <c r="B2079" t="inlineStr">
        <is>
          <t>B</t>
        </is>
      </c>
      <c r="C2079" t="n">
        <v>6</v>
      </c>
      <c r="D2079" s="3" t="inlineStr">
        <is>
          <t>* Gunakan **accumulator** ketika Anda ingin mengumpulkan nilai-nili dari suatu operasi untuk mencapai hasil akhir.</t>
        </is>
      </c>
      <c r="E2079" t="inlineStr">
        <is>
          <t>YA (didukung konteks)</t>
        </is>
      </c>
    </row>
    <row r="2080">
      <c r="A2080" t="n">
        <v>177</v>
      </c>
      <c r="B2080" t="inlineStr">
        <is>
          <t>A</t>
        </is>
      </c>
      <c r="C2080" t="n">
        <v>1</v>
      </c>
      <c r="D2080" s="3" t="inlineStr">
        <is>
          <t>Oleh karena itu, ketika kita melakukan assignment, kita harus memahami bahwa variabel tersebut sebenarnya memiliki referensi ke nilai yang diberikan.</t>
        </is>
      </c>
      <c r="E2080" t="inlineStr">
        <is>
          <t>YA (didukung konteks)</t>
        </is>
      </c>
    </row>
    <row r="2081">
      <c r="A2081" t="n">
        <v>177</v>
      </c>
      <c r="B2081" t="inlineStr">
        <is>
          <t>A</t>
        </is>
      </c>
      <c r="C2081" t="n">
        <v>2</v>
      </c>
      <c r="D2081" s="3" t="inlineStr">
        <is>
          <t>Dalam bahasa pemrograman, assignment operator (=) tidak hanya menggantikan nilai, tapi juga mengikat variabel dengan nilai yang baru.</t>
        </is>
      </c>
      <c r="E2081" t="inlineStr">
        <is>
          <t>YA (didukung konteks)</t>
        </is>
      </c>
    </row>
    <row r="2082">
      <c r="A2082" t="n">
        <v>177</v>
      </c>
      <c r="B2082" t="inlineStr">
        <is>
          <t>A</t>
        </is>
      </c>
      <c r="C2082" t="n">
        <v>3</v>
      </c>
      <c r="D2082" s="3" t="inlineStr">
        <is>
          <t>Jawaban: Assignment operator (=) dalam Bahasa Pemrograman tidak hanya menyalin nilai, tapi juga menyalin referensi.</t>
        </is>
      </c>
      <c r="E2082" t="inlineStr">
        <is>
          <t>YA (didukung konteks)</t>
        </is>
      </c>
    </row>
    <row r="2083">
      <c r="A2083" t="n">
        <v>177</v>
      </c>
      <c r="B2083" t="inlineStr">
        <is>
          <t>A</t>
        </is>
      </c>
      <c r="C2083" t="n">
        <v>4</v>
      </c>
      <c r="D2083" s="3" t="inlineStr">
        <is>
          <t>Saya akan menjawab pertanyaan mahasiswa dengan menggunakan istilah teknis dan konsep utama dari materi referensi.</t>
        </is>
      </c>
      <c r="E2083" t="inlineStr">
        <is>
          <t>YA (didukung konteks)</t>
        </is>
      </c>
    </row>
    <row r="2084">
      <c r="A2084" t="n">
        <v>177</v>
      </c>
      <c r="B2084" t="inlineStr">
        <is>
          <t>A</t>
        </is>
      </c>
      <c r="C2084" t="n">
        <v>5</v>
      </c>
      <c r="D2084" s="3" t="inlineStr">
        <is>
          <t>Lalu, ketika a = a + 1 (a menjadi 4), maka b tetap memiliki nilai 3 karena hanya menyalin referensi, bukan nilai.</t>
        </is>
      </c>
      <c r="E2084" t="inlineStr">
        <is>
          <t>TIDAK (tidak didukung)</t>
        </is>
      </c>
    </row>
    <row r="2085">
      <c r="A2085" t="n">
        <v>177</v>
      </c>
      <c r="B2085" t="inlineStr">
        <is>
          <t>A</t>
        </is>
      </c>
      <c r="C2085" t="n">
        <v>6</v>
      </c>
      <c r="D2085" s="3" t="inlineStr">
        <is>
          <t>Dalam contoh soal, ketika a = 3 dan b = a, maka b juga mendapatkan nilai 3.</t>
        </is>
      </c>
      <c r="E2085" t="inlineStr">
        <is>
          <t>TIDAK (tidak didukung)</t>
        </is>
      </c>
    </row>
    <row r="2086">
      <c r="A2086" t="n">
        <v>177</v>
      </c>
      <c r="B2086" t="inlineStr">
        <is>
          <t>B</t>
        </is>
      </c>
      <c r="C2086" t="n">
        <v>1</v>
      </c>
      <c r="D2086" s="3" t="inlineStr">
        <is>
          <t>Artinya, ketika kita tulis `a = a + 1`, maka `a` sendiri tidak berubah, tapi nilai yang dikembalikan oleh ekspresi `a + 1` akan disimpan di lokasi memori yang sama seperti `a`.</t>
        </is>
      </c>
      <c r="E2086" t="inlineStr">
        <is>
          <t>TIDAK (tidak didukung)</t>
        </is>
      </c>
    </row>
    <row r="2087">
      <c r="A2087" t="n">
        <v>177</v>
      </c>
      <c r="B2087" t="inlineStr">
        <is>
          <t>B</t>
        </is>
      </c>
      <c r="C2087" t="n">
        <v>2</v>
      </c>
      <c r="D2087" s="3" t="inlineStr">
        <is>
          <t>Namun, perlu diingat bahwa assignment operator (`=`) tidak membagikan referensi, melainkan meng-overwrite nilai yang terkait dengan variabel.</t>
        </is>
      </c>
      <c r="E2087" t="inlineStr">
        <is>
          <t>YA (didukung konteks)</t>
        </is>
      </c>
    </row>
    <row r="2088">
      <c r="A2088" t="n">
        <v>177</v>
      </c>
      <c r="B2088" t="inlineStr">
        <is>
          <t>B</t>
        </is>
      </c>
      <c r="C2088" t="n">
        <v>3</v>
      </c>
      <c r="D2088" s="3" t="inlineStr">
        <is>
          <t>Dalam kasus ini, karena `b` mengacu pada nilai awal `a`, maka `b` tetap memiliki nilai 3, tidak berubah meskipun `a` sendiri telah berubah.</t>
        </is>
      </c>
      <c r="E2088" t="inlineStr">
        <is>
          <t>TIDAK (tidak didukung)</t>
        </is>
      </c>
    </row>
    <row r="2089">
      <c r="A2089" t="n">
        <v>177</v>
      </c>
      <c r="B2089" t="inlineStr">
        <is>
          <t>B</t>
        </is>
      </c>
      <c r="C2089" t="n">
        <v>4</v>
      </c>
      <c r="D2089" s="3" t="inlineStr">
        <is>
          <t>Kemudian, ketika kita tulis `a = a + 1`, maka `a` sekarang memiliki nilai 4 (karena kita menambahkan 1 ke nilai awalnya).</t>
        </is>
      </c>
      <c r="E2089" t="inlineStr">
        <is>
          <t>YA (didukung konteks)</t>
        </is>
      </c>
    </row>
    <row r="2090">
      <c r="A2090" t="n">
        <v>177</v>
      </c>
      <c r="B2090" t="inlineStr">
        <is>
          <t>B</t>
        </is>
      </c>
      <c r="C2090" t="n">
        <v>5</v>
      </c>
      <c r="D2090" s="3" t="inlineStr">
        <is>
          <t>Pertama-tama, ketika kita tulis `b = a`, maka `b` sebenarnya mengacu pada nilai yang dikembalikan oleh `a`.</t>
        </is>
      </c>
      <c r="E2090" t="inlineStr">
        <is>
          <t>YA (didukung konteks)</t>
        </is>
      </c>
    </row>
    <row r="2091">
      <c r="A2091" t="n">
        <v>177</v>
      </c>
      <c r="B2091" t="inlineStr">
        <is>
          <t>B</t>
        </is>
      </c>
      <c r="C2091" t="n">
        <v>6</v>
      </c>
      <c r="D2091" s="3" t="inlineStr">
        <is>
          <t>Masalah ini terlihat complex, tapi kita akan coba menjelaskan dengan baik.</t>
        </is>
      </c>
      <c r="E2091" t="inlineStr">
        <is>
          <t>YA (didukung konteks)</t>
        </is>
      </c>
    </row>
    <row r="2092">
      <c r="A2092" t="n">
        <v>178</v>
      </c>
      <c r="B2092" t="inlineStr">
        <is>
          <t>A</t>
        </is>
      </c>
      <c r="C2092" t="n">
        <v>1</v>
      </c>
      <c r="D2092" s="3" t="inlineStr">
        <is>
          <t>Determine the division of labor: decide which loop will control the outer boundary (e.g., the rows) and which will control the inner boundary (e.g., the columns).</t>
        </is>
      </c>
      <c r="E2092" t="inlineStr">
        <is>
          <t>YA (didukung konteks)</t>
        </is>
      </c>
    </row>
    <row r="2093">
      <c r="A2093" t="n">
        <v>178</v>
      </c>
      <c r="B2093" t="inlineStr">
        <is>
          <t>A</t>
        </is>
      </c>
      <c r="C2093" t="n">
        <v>2</v>
      </c>
      <c r="D2093" s="3" t="inlineStr">
        <is>
          <t>This code will iterate over each row (controlled by the outer loop) and then iterate over each column (controlled by the inner loop) to print the desired output.</t>
        </is>
      </c>
      <c r="E2093" t="inlineStr">
        <is>
          <t>YA (didukung konteks)</t>
        </is>
      </c>
    </row>
    <row r="2094">
      <c r="A2094" t="n">
        <v>178</v>
      </c>
      <c r="B2094" t="inlineStr">
        <is>
          <t>A</t>
        </is>
      </c>
      <c r="C2094" t="n">
        <v>3</v>
      </c>
      <c r="D2094" s="3" t="inlineStr">
        <is>
          <t>The importance of nested loops lies in their ability to efficiently process data structures with complex relationships between elements.</t>
        </is>
      </c>
      <c r="E2094" t="inlineStr">
        <is>
          <t>YA (didukung konteks)</t>
        </is>
      </c>
    </row>
    <row r="2095">
      <c r="A2095" t="n">
        <v>178</v>
      </c>
      <c r="B2095" t="inlineStr">
        <is>
          <t>A</t>
        </is>
      </c>
      <c r="C2095" t="n">
        <v>4</v>
      </c>
      <c r="D2095" s="3" t="inlineStr">
        <is>
          <t>A single outer loop can be used to control the rows, while an inner loop is used to print the individual characters within each row.</t>
        </is>
      </c>
      <c r="E2095" t="inlineStr">
        <is>
          <t>YA (didukung konteks)</t>
        </is>
      </c>
    </row>
    <row r="2096">
      <c r="A2096" t="n">
        <v>178</v>
      </c>
      <c r="B2096" t="inlineStr">
        <is>
          <t>A</t>
        </is>
      </c>
      <c r="C2096" t="n">
        <v>5</v>
      </c>
      <c r="D2096" s="3" t="inlineStr">
        <is>
          <t>In this case, the complexity of the nested loops is O(m × n), where m is the number of rows and n is the number of columns.</t>
        </is>
      </c>
      <c r="E2096" t="inlineStr">
        <is>
          <t>YA (didukung konteks)</t>
        </is>
      </c>
    </row>
    <row r="2097">
      <c r="A2097" t="n">
        <v>178</v>
      </c>
      <c r="B2097" t="inlineStr">
        <is>
          <t>A</t>
        </is>
      </c>
      <c r="C2097" t="n">
        <v>6</v>
      </c>
      <c r="D2097" s="3" t="inlineStr">
        <is>
          <t>In other words, the inner loop will complete all its iterations before moving on to the next iteration of the outer loop.</t>
        </is>
      </c>
      <c r="E2097" t="inlineStr">
        <is>
          <t>YA (didukung konteks)</t>
        </is>
      </c>
    </row>
    <row r="2098">
      <c r="A2098" t="n">
        <v>178</v>
      </c>
      <c r="B2098" t="inlineStr">
        <is>
          <t>B</t>
        </is>
      </c>
      <c r="C2098" t="n">
        <v>1</v>
      </c>
      <c r="D2098" s="3" t="inlineStr">
        <is>
          <t>**Setelah loop**: Ketika operasi assignment x = x + 1 ditulis setelah loop, maka nilai variabel x tetap menjadi hasil dari penambahan 1 pada nilai terakhir loop.</t>
        </is>
      </c>
      <c r="E2098" t="inlineStr">
        <is>
          <t>YA (didukung konteks)</t>
        </is>
      </c>
    </row>
    <row r="2099">
      <c r="A2099" t="n">
        <v>178</v>
      </c>
      <c r="B2099" t="inlineStr">
        <is>
          <t>B</t>
        </is>
      </c>
      <c r="C2099" t="n">
        <v>2</v>
      </c>
      <c r="D2099" s="3" t="inlineStr">
        <is>
          <t>**Sebelum loop**: Ketika operasi assignment x = x + 1 ditulis sebelum loop, maka nilai variabel x tidak berubah karena loop belum dilakukan.</t>
        </is>
      </c>
      <c r="E2099" t="inlineStr">
        <is>
          <t>YA (didukung konteks)</t>
        </is>
      </c>
    </row>
    <row r="2100">
      <c r="A2100" t="n">
        <v>178</v>
      </c>
      <c r="B2100" t="inlineStr">
        <is>
          <t>B</t>
        </is>
      </c>
      <c r="C2100" t="n">
        <v>3</v>
      </c>
      <c r="D2100" s="3" t="inlineStr">
        <is>
          <t>Dosen Anda bilang bahwa posisinya sangat penting, dan Anda ingin tahu kenapa posisi assignment tersebut menghasilkan hasil yang berbeda.</t>
        </is>
      </c>
      <c r="E2100" t="inlineStr">
        <is>
          <t>YA (didukung konteks)</t>
        </is>
      </c>
    </row>
    <row r="2101">
      <c r="A2101" t="n">
        <v>178</v>
      </c>
      <c r="B2101" t="inlineStr">
        <is>
          <t>B</t>
        </is>
      </c>
      <c r="C2101" t="n">
        <v>4</v>
      </c>
      <c r="D2101" s="3" t="inlineStr">
        <is>
          <t>**Di dalam loop**: Ketika operasi assignment x = x + 1 ditulis di dalam loop, maka nilai variabel x berubah setiap kali loop dilakukan.</t>
        </is>
      </c>
      <c r="E2101" t="inlineStr">
        <is>
          <t>YA (didukung konteks)</t>
        </is>
      </c>
    </row>
    <row r="2102">
      <c r="A2102" t="n">
        <v>178</v>
      </c>
      <c r="B2102" t="inlineStr">
        <is>
          <t>B</t>
        </is>
      </c>
      <c r="C2102" t="n">
        <v>5</v>
      </c>
      <c r="D2102" s="3" t="inlineStr">
        <is>
          <t>Jika Anda ingin nilai variabel x berubah setiap kali loop dilakukan, maka harus menulis operasi assignment di dalam loop.</t>
        </is>
      </c>
      <c r="E2102" t="inlineStr">
        <is>
          <t>YA (didukung konteks)</t>
        </is>
      </c>
    </row>
    <row r="2103">
      <c r="A2103" t="n">
        <v>178</v>
      </c>
      <c r="B2103" t="inlineStr">
        <is>
          <t>B</t>
        </is>
      </c>
      <c r="C2103" t="n">
        <v>6</v>
      </c>
      <c r="D2103" s="3" t="inlineStr">
        <is>
          <t>Jika loop dilakukan 3 kali, maka nilai x akan menjadi 4 (asalnya 1), dan kemudian di tambahi 1 lagi sehingga menjadi 5.</t>
        </is>
      </c>
      <c r="E2103" t="inlineStr">
        <is>
          <t>YA (didukung konteks)</t>
        </is>
      </c>
    </row>
    <row r="2104">
      <c r="A2104" t="n">
        <v>179</v>
      </c>
      <c r="B2104" t="inlineStr">
        <is>
          <t>A</t>
        </is>
      </c>
      <c r="C2104" t="n">
        <v>1</v>
      </c>
      <c r="D2104" s="3" t="inlineStr">
        <is>
          <t>Untuk memahami kode ini, kita harus memahami bahwa perulangan "while" berfungsi sebagai berikut: kondisi dievaluasi sebelum body dijalankan.</t>
        </is>
      </c>
      <c r="E2104" t="inlineStr">
        <is>
          <t>YA (didukung konteks)</t>
        </is>
      </c>
    </row>
    <row r="2105">
      <c r="A2105" t="n">
        <v>179</v>
      </c>
      <c r="B2105" t="inlineStr">
        <is>
          <t>A</t>
        </is>
      </c>
      <c r="C2105" t="n">
        <v>2</v>
      </c>
      <c r="D2105" s="3" t="inlineStr">
        <is>
          <t>Kemudian, nilai `i` menjadi `1 - 3 = -2`, tetapi karena kondisi `i &gt; 0` tidak memenuhi syarat, maka loop berhenti.</t>
        </is>
      </c>
      <c r="E2105" t="inlineStr">
        <is>
          <t>TIDAK (tidak didukung)</t>
        </is>
      </c>
    </row>
    <row r="2106">
      <c r="A2106" t="n">
        <v>179</v>
      </c>
      <c r="B2106" t="inlineStr">
        <is>
          <t>A</t>
        </is>
      </c>
      <c r="C2106" t="n">
        <v>3</v>
      </c>
      <c r="D2106" s="3" t="inlineStr">
        <is>
          <t>Saya senang dapat membantu Anda memahami konsep perulangan "while" dalam Computational Thinking.</t>
        </is>
      </c>
      <c r="E2106" t="inlineStr">
        <is>
          <t>YA (didukung konteks)</t>
        </is>
      </c>
    </row>
    <row r="2107">
      <c r="A2107" t="n">
        <v>179</v>
      </c>
      <c r="B2107" t="inlineStr">
        <is>
          <t>A</t>
        </is>
      </c>
      <c r="C2107" t="n">
        <v>4</v>
      </c>
      <c r="D2107" s="3" t="inlineStr">
        <is>
          <t>Kondisi `i &gt; 0` masih True, sehingga body lagi dijalankan dan output lainnya adalah:</t>
        </is>
      </c>
      <c r="E2107" t="inlineStr">
        <is>
          <t>YA (didukung konteks)</t>
        </is>
      </c>
    </row>
    <row r="2108">
      <c r="A2108" t="n">
        <v>179</v>
      </c>
      <c r="B2108" t="inlineStr">
        <is>
          <t>A</t>
        </is>
      </c>
      <c r="C2108" t="n">
        <v>5</v>
      </c>
      <c r="D2108" s="3" t="inlineStr">
        <is>
          <t>Jadi, jumlah baris yang tercetak adalah 3, dan nilai-nilainya adalah 7, 4, dan 1.</t>
        </is>
      </c>
      <c r="E2108" t="inlineStr">
        <is>
          <t>TIDAK (tidak didukung)</t>
        </is>
      </c>
    </row>
    <row r="2109">
      <c r="A2109" t="n">
        <v>179</v>
      </c>
      <c r="B2109" t="inlineStr">
        <is>
          <t>A</t>
        </is>
      </c>
      <c r="C2109" t="n">
        <v>6</v>
      </c>
      <c r="D2109" s="3" t="inlineStr">
        <is>
          <t>Dalam kode Anda, kondisi `i &gt; 0` dievaluasi sebelum body dijalankan.</t>
        </is>
      </c>
      <c r="E2109" t="inlineStr">
        <is>
          <t>YA (didukung konteks)</t>
        </is>
      </c>
    </row>
    <row r="2110">
      <c r="A2110" t="n">
        <v>179</v>
      </c>
      <c r="B2110" t="inlineStr">
        <is>
          <t>B</t>
        </is>
      </c>
      <c r="C2110" t="n">
        <v>1</v>
      </c>
      <c r="D2110" s="3" t="inlineStr">
        <is>
          <t>* Pada iterasi kelima, `i` dikurangi 3 lagi menjadi -2, sehingga kondisi `i &gt; 0` tidak terpenuhi dan loop berhenti.</t>
        </is>
      </c>
      <c r="E2110" t="inlineStr">
        <is>
          <t>TIDAK (tidak didukung)</t>
        </is>
      </c>
    </row>
    <row r="2111">
      <c r="A2111" t="n">
        <v>179</v>
      </c>
      <c r="B2111" t="inlineStr">
        <is>
          <t>B</t>
        </is>
      </c>
      <c r="C2111" t="n">
        <v>2</v>
      </c>
      <c r="D2111" s="3" t="inlineStr">
        <is>
          <t>Loop while akan berhenti ketika kondisi `i &gt; 0` tidak terpenuhi, yaitu ketika `i` menjadi 0.</t>
        </is>
      </c>
      <c r="E2111" t="inlineStr">
        <is>
          <t>YA (didukung konteks)</t>
        </is>
      </c>
    </row>
    <row r="2112">
      <c r="A2112" t="n">
        <v>179</v>
      </c>
      <c r="B2112" t="inlineStr">
        <is>
          <t>B</t>
        </is>
      </c>
      <c r="C2112" t="n">
        <v>3</v>
      </c>
      <c r="D2112" s="3" t="inlineStr">
        <is>
          <t>Kode tersebut menggunakan bahasa pemrograman Python, tidak Java atau JavaScript.</t>
        </is>
      </c>
      <c r="E2112" t="inlineStr">
        <is>
          <t>YA (didukung konteks)</t>
        </is>
      </c>
    </row>
    <row r="2113">
      <c r="A2113" t="n">
        <v>179</v>
      </c>
      <c r="B2113" t="inlineStr">
        <is>
          <t>B</t>
        </is>
      </c>
      <c r="C2113" t="n">
        <v>4</v>
      </c>
      <c r="D2113" s="3" t="inlineStr">
        <is>
          <t>Dalam kode ini, `i` dikurangi 3 dalam setiap iterasi, sehingga:</t>
        </is>
      </c>
      <c r="E2113" t="inlineStr">
        <is>
          <t>TIDAK (tidak didukung)</t>
        </is>
      </c>
    </row>
    <row r="2114">
      <c r="A2114" t="n">
        <v>179</v>
      </c>
      <c r="B2114" t="inlineStr">
        <is>
          <t>B</t>
        </is>
      </c>
      <c r="C2114" t="n">
        <v>5</v>
      </c>
      <c r="D2114" s="3" t="inlineStr">
        <is>
          <t>Kodemu akan mencetak 4 baris dengan nilai sebagai berikut:</t>
        </is>
      </c>
      <c r="E2114" t="inlineStr">
        <is>
          <t>YA (didukung konteks)</t>
        </is>
      </c>
    </row>
    <row r="2115">
      <c r="A2115" t="n">
        <v>179</v>
      </c>
      <c r="B2115" t="inlineStr">
        <is>
          <t>B</t>
        </is>
      </c>
      <c r="C2115" t="n">
        <v>6</v>
      </c>
      <c r="D2115" s="3" t="inlineStr">
        <is>
          <t>* Pada iterasi keempat, `i` dikurangi 3 lagi menjadi 1.</t>
        </is>
      </c>
      <c r="E2115" t="inlineStr">
        <is>
          <t>TIDAK (tidak didukung)</t>
        </is>
      </c>
    </row>
    <row r="2116">
      <c r="A2116" t="n">
        <v>180</v>
      </c>
      <c r="B2116" t="inlineStr">
        <is>
          <t>A</t>
        </is>
      </c>
      <c r="C2116" t="n">
        <v>1</v>
      </c>
      <c r="D2116" s="3" t="inlineStr">
        <is>
          <t>Kedua sintaks memiliki 10 iterasi, tetapi jika Anda ingin mengakses elemen array di dalam loop, sintaks pertama lebih aman karena indeksnya dimulai dari 1.</t>
        </is>
      </c>
      <c r="E2116" t="inlineStr">
        <is>
          <t>YA (didukung konteks)</t>
        </is>
      </c>
    </row>
    <row r="2117">
      <c r="A2117" t="n">
        <v>180</v>
      </c>
      <c r="B2117" t="inlineStr">
        <is>
          <t>A</t>
        </is>
      </c>
      <c r="C2117" t="n">
        <v>2</v>
      </c>
      <c r="D2117" s="3" t="inlineStr">
        <is>
          <t>Pertanyaan mahasiswa berbicara tentang dua cara tulis pengulangan di pseudocode CT, yaitu `for i = 1 to 10 do ...` dan `for i = 0 to 9 do ...`.</t>
        </is>
      </c>
      <c r="E2117" t="inlineStr">
        <is>
          <t>YA (didukung konteks)</t>
        </is>
      </c>
    </row>
    <row r="2118">
      <c r="A2118" t="n">
        <v>180</v>
      </c>
      <c r="B2118" t="inlineStr">
        <is>
          <t>A</t>
        </is>
      </c>
      <c r="C2118" t="n">
        <v>3</v>
      </c>
      <c r="D2118" s="3" t="inlineStr">
        <is>
          <t>Dalam sintaks `for i = 1 to 10 do ...`, titik awal iterasi adalah 1, dan dalam sintaks `for i = 0 to 9 do ...`, titik awal iterasi adalah 0.</t>
        </is>
      </c>
      <c r="E2118" t="inlineStr">
        <is>
          <t>YA (didukung konteks)</t>
        </is>
      </c>
    </row>
    <row r="2119">
      <c r="A2119" t="n">
        <v>180</v>
      </c>
      <c r="B2119" t="inlineStr">
        <is>
          <t>A</t>
        </is>
      </c>
      <c r="C2119" t="n">
        <v>4</v>
      </c>
      <c r="D2119" s="3" t="inlineStr">
        <is>
          <t>Dalam kasus pengulangan, kita harus memperhatikan titik awal iterasi dan jumlah iterasi untuk mendapatkan hasil yang diinginkan.</t>
        </is>
      </c>
      <c r="E2119" t="inlineStr">
        <is>
          <t>YA (didukung konteks)</t>
        </is>
      </c>
    </row>
    <row r="2120">
      <c r="A2120" t="n">
        <v>180</v>
      </c>
      <c r="B2120" t="inlineStr">
        <is>
          <t>A</t>
        </is>
      </c>
      <c r="C2120" t="n">
        <v>5</v>
      </c>
      <c r="D2120" s="3" t="inlineStr">
        <is>
          <t>Dengan kata lain, sintaks pertama memulai dari bilangan positif (1), sedangkan sintaks kedua memulai dari bilangan nol (0).</t>
        </is>
      </c>
      <c r="E2120" t="inlineStr">
        <is>
          <t>YA (didukung konteks)</t>
        </is>
      </c>
    </row>
    <row r="2121">
      <c r="A2121" t="n">
        <v>180</v>
      </c>
      <c r="B2121" t="inlineStr">
        <is>
          <t>A</t>
        </is>
      </c>
      <c r="C2121" t="n">
        <v>6</v>
      </c>
      <c r="D2121" s="3" t="inlineStr">
        <is>
          <t>Saya akan menjawab pertanyaan mahasiswa dengan menggunakan istilah teknis yang ada dalam materi referensi di atas.</t>
        </is>
      </c>
      <c r="E2121" t="inlineStr">
        <is>
          <t>YA (didukung konteks)</t>
        </is>
      </c>
    </row>
    <row r="2122">
      <c r="A2122" t="n">
        <v>180</v>
      </c>
      <c r="B2122" t="inlineStr">
        <is>
          <t>B</t>
        </is>
      </c>
      <c r="C2122" t="n">
        <v>1</v>
      </c>
      <c r="D2122" s="3" t="inlineStr">
        <is>
          <t>* `for i = 1 to 10 do ...` lebih "benar" karena dalam programming, indeks array biasanya dimulai dari 0, sehingga menggunakan indeks 1 sebagai batas awal pengulangan dapat mengarahkan pada error jika kita ingin akses ele</t>
        </is>
      </c>
      <c r="E2122" t="inlineStr">
        <is>
          <t>YA (didukung konteks)</t>
        </is>
      </c>
    </row>
    <row r="2123">
      <c r="A2123" t="n">
        <v>180</v>
      </c>
      <c r="B2123" t="inlineStr">
        <is>
          <t>B</t>
        </is>
      </c>
      <c r="C2123" t="n">
        <v>2</v>
      </c>
      <c r="D2123" s="3" t="inlineStr">
        <is>
          <t>* `for i = 0 to 9 do ...` lebih "benar" karena memang mencermati bahwa array memiliki ukuran 10, maka indeks 0-9 adalah batas yang tepat.</t>
        </is>
      </c>
      <c r="E2123" t="inlineStr">
        <is>
          <t>YA (didukung konteks)</t>
        </is>
      </c>
    </row>
    <row r="2124">
      <c r="A2124" t="n">
        <v>180</v>
      </c>
      <c r="B2124" t="inlineStr">
        <is>
          <t>B</t>
        </is>
      </c>
      <c r="C2124" t="n">
        <v>3</v>
      </c>
      <c r="D2124" s="3" t="inlineStr">
        <is>
          <t>Oleh karena itu, saya menyarankan menggunakan `for i = 0 to 9 do ...` sebagai pengulangan yang lebih "benar" di CT.</t>
        </is>
      </c>
      <c r="E2124" t="inlineStr">
        <is>
          <t>TIDAK (tidak didukung)</t>
        </is>
      </c>
    </row>
    <row r="2125">
      <c r="A2125" t="n">
        <v>180</v>
      </c>
      <c r="B2125" t="inlineStr">
        <is>
          <t>B</t>
        </is>
      </c>
      <c r="C2125" t="n">
        <v>4</v>
      </c>
      <c r="D2125" s="3" t="inlineStr">
        <is>
          <t>* Jika Anda ingin akses elemen terakhir (index 9) dari array, maka Anda harus memakai indeks 9-1 = 8, bukan 10.</t>
        </is>
      </c>
      <c r="E2125" t="inlineStr">
        <is>
          <t>YA (didukung konteks)</t>
        </is>
      </c>
    </row>
    <row r="2126">
      <c r="A2126" t="n">
        <v>180</v>
      </c>
      <c r="B2126" t="inlineStr">
        <is>
          <t>B</t>
        </is>
      </c>
      <c r="C2126" t="n">
        <v>5</v>
      </c>
      <c r="D2126" s="3" t="inlineStr">
        <is>
          <t>Jika Anda akses elemen array di dalam loop, saya sarankan menggunakan indeks 0 sebagai batas awal pengulangan.</t>
        </is>
      </c>
      <c r="E2126" t="inlineStr">
        <is>
          <t>YA (didukung konteks)</t>
        </is>
      </c>
    </row>
    <row r="2127">
      <c r="A2127" t="n">
        <v>180</v>
      </c>
      <c r="B2127" t="inlineStr">
        <is>
          <t>B</t>
        </is>
      </c>
      <c r="C2127" t="n">
        <v>6</v>
      </c>
      <c r="D2127" s="3" t="inlineStr">
        <is>
          <t>Di pseudocode CT (C-like pseudocode), kedua cara pengulangan tersebut memang memiliki 10 iterasi.</t>
        </is>
      </c>
      <c r="E2127" t="inlineStr">
        <is>
          <t>YA (didukung konteks)</t>
        </is>
      </c>
    </row>
    <row r="2128">
      <c r="A2128" t="n">
        <v>181</v>
      </c>
      <c r="B2128" t="inlineStr">
        <is>
          <t>A</t>
        </is>
      </c>
      <c r="C2128" t="n">
        <v>1</v>
      </c>
      <c r="D2128" s="3" t="inlineStr">
        <is>
          <t>The key takeaway from the given materials is that Computational Thinking (CT) involves identifying patterns and relationships between data, rather than just performing calculations step-by-step like Mathematical Thinking</t>
        </is>
      </c>
      <c r="E2128" t="inlineStr">
        <is>
          <t>YA (didukung konteks)</t>
        </is>
      </c>
    </row>
    <row r="2129">
      <c r="A2129" t="n">
        <v>181</v>
      </c>
      <c r="B2129" t="inlineStr">
        <is>
          <t>A</t>
        </is>
      </c>
      <c r="C2129" t="n">
        <v>2</v>
      </c>
      <c r="D2129" s="3" t="inlineStr">
        <is>
          <t>Mathematical Thinking involves calculating step-by-step to arrive at an answer, whereas Computational Thinking involves recognizing patterns and relationships to create efficient solutions.</t>
        </is>
      </c>
      <c r="E2129" t="inlineStr">
        <is>
          <t>YA (didukung konteks)</t>
        </is>
      </c>
    </row>
    <row r="2130">
      <c r="A2130" t="n">
        <v>181</v>
      </c>
      <c r="B2130" t="inlineStr">
        <is>
          <t>A</t>
        </is>
      </c>
      <c r="C2130" t="n">
        <v>3</v>
      </c>
      <c r="D2130" s="3" t="inlineStr">
        <is>
          <t>To find the first bebek that does not receive any chocolate, we need to identify the pattern and use it to calculate when the total number of chocolates exceeds 500.</t>
        </is>
      </c>
      <c r="E2130" t="inlineStr">
        <is>
          <t>TIDAK (tidak didukung)</t>
        </is>
      </c>
    </row>
    <row r="2131">
      <c r="A2131" t="n">
        <v>181</v>
      </c>
      <c r="B2131" t="inlineStr">
        <is>
          <t>A</t>
        </is>
      </c>
      <c r="C2131" t="n">
        <v>4</v>
      </c>
      <c r="D2131" s="3" t="inlineStr">
        <is>
          <t>As a Computational Thinking tutor for university students in Indonesia, I'm excited to help you understand the concepts and patterns related to pattern recognition.</t>
        </is>
      </c>
      <c r="E2131" t="inlineStr">
        <is>
          <t>YA (didukung konteks)</t>
        </is>
      </c>
    </row>
    <row r="2132">
      <c r="A2132" t="n">
        <v>181</v>
      </c>
      <c r="B2132" t="inlineStr">
        <is>
          <t>A</t>
        </is>
      </c>
      <c r="C2132" t="n">
        <v>5</v>
      </c>
      <c r="D2132" s="3" t="inlineStr">
        <is>
          <t>To find the formula for the nth term, we can use the formula: tn = t1 + (n-1)d, where t1 is the first term, n is the term number, and d is the common difference.</t>
        </is>
      </c>
      <c r="E2132" t="inlineStr">
        <is>
          <t>YA (didukung konteks)</t>
        </is>
      </c>
    </row>
    <row r="2133">
      <c r="A2133" t="n">
        <v>181</v>
      </c>
      <c r="B2133" t="inlineStr">
        <is>
          <t>A</t>
        </is>
      </c>
      <c r="C2133" t="n">
        <v>6</v>
      </c>
      <c r="D2133" s="3" t="inlineStr">
        <is>
          <t>In this case, CT allows us to identify the pattern of consecutive sums (1+10=11, 2+9=11, etc.) and use it to find the total sum in a more efficient way.</t>
        </is>
      </c>
      <c r="E2133" t="inlineStr">
        <is>
          <t>YA (didukung konteks)</t>
        </is>
      </c>
    </row>
    <row r="2134">
      <c r="A2134" t="n">
        <v>181</v>
      </c>
      <c r="B2134" t="inlineStr">
        <is>
          <t>B</t>
        </is>
      </c>
      <c r="C2134" t="n">
        <v>1</v>
      </c>
      <c r="D2134" s="3" t="inlineStr">
        <is>
          <t>Kita dapat menemukan rumus eksplisit dari pola ini dengan memperhatikan bahwa suku ke-n adalah hasil penjumlahan suku ke-(n-1) dengan 4 + 2(n-1), karena selisih antara suku ke-n dan suku sebelumnya bertambah 2 setiap kal</t>
        </is>
      </c>
      <c r="E2134" t="inlineStr">
        <is>
          <t>YA (didukung konteks)</t>
        </is>
      </c>
    </row>
    <row r="2135">
      <c r="A2135" t="n">
        <v>181</v>
      </c>
      <c r="B2135" t="inlineStr">
        <is>
          <t>B</t>
        </is>
      </c>
      <c r="C2135" t="n">
        <v>2</v>
      </c>
      <c r="D2135" s="3" t="inlineStr">
        <is>
          <t>Selanjutnya, kita perhatikan bahwa selisih antara suku ke-n dengan suku sebelumnya berubah secara linier, yaitu bertambah 2 setiap kali.</t>
        </is>
      </c>
      <c r="E2135" t="inlineStr">
        <is>
          <t>YA (didukung konteks)</t>
        </is>
      </c>
    </row>
    <row r="2136">
      <c r="A2136" t="n">
        <v>181</v>
      </c>
      <c r="B2136" t="inlineStr">
        <is>
          <t>B</t>
        </is>
      </c>
      <c r="C2136" t="n">
        <v>3</v>
      </c>
      <c r="D2136" s="3" t="inlineStr">
        <is>
          <t>Pertama-tama, kita lihat bahwa deret tersebut adalah deret yang terdiri atas bilangan-bilangan bulat.</t>
        </is>
      </c>
      <c r="E2136" t="inlineStr">
        <is>
          <t>YA (didukung konteks)</t>
        </is>
      </c>
    </row>
    <row r="2137">
      <c r="A2137" t="n">
        <v>181</v>
      </c>
      <c r="B2137" t="inlineStr">
        <is>
          <t>B</t>
        </is>
      </c>
      <c r="C2137" t="n">
        <v>4</v>
      </c>
      <c r="D2137" s="3" t="inlineStr">
        <is>
          <t>Untuk menemukan suku ke-15, kita dapat menggantikan nilai n dengan 15 dan menghitung hasilnya.</t>
        </is>
      </c>
      <c r="E2137" t="inlineStr">
        <is>
          <t>YA (didukung konteks)</t>
        </is>
      </c>
    </row>
    <row r="2138">
      <c r="A2138" t="n">
        <v>181</v>
      </c>
      <c r="B2138" t="inlineStr">
        <is>
          <t>B</t>
        </is>
      </c>
      <c r="C2138" t="n">
        <v>5</v>
      </c>
      <c r="D2138" s="3" t="inlineStr">
        <is>
          <t>Jadi, rumus eksplisit suku ke-n dapat dituliskan sebagai:</t>
        </is>
      </c>
      <c r="E2138" t="inlineStr">
        <is>
          <t>YA (didukung konteks)</t>
        </is>
      </c>
    </row>
    <row r="2139">
      <c r="A2139" t="n">
        <v>181</v>
      </c>
      <c r="B2139" t="inlineStr">
        <is>
          <t>B</t>
        </is>
      </c>
      <c r="C2139" t="n">
        <v>6</v>
      </c>
      <c r="D2139" s="3" t="inlineStr">
        <is>
          <t>Jadi, suku ke-15 dari deret tersebut adalah 200.</t>
        </is>
      </c>
      <c r="E2139" t="inlineStr">
        <is>
          <t>TIDAK (tidak didukung)</t>
        </is>
      </c>
    </row>
    <row r="2140">
      <c r="A2140" t="n">
        <v>182</v>
      </c>
      <c r="B2140" t="inlineStr">
        <is>
          <t>A</t>
        </is>
      </c>
      <c r="C2140" t="n">
        <v>1</v>
      </c>
      <c r="D2140" s="3" t="inlineStr">
        <is>
          <t>Dengan demikian, kita perlu menggunakan istilah teknis yang ada dalam materi referensi untuk menghitung jabat tangan yang terjadi jika ada 20 orang di sebuah ruangan dan setiap orang berjabat tangan dengan semua orang la</t>
        </is>
      </c>
      <c r="E2140" t="inlineStr">
        <is>
          <t>YA (didukung konteks)</t>
        </is>
      </c>
    </row>
    <row r="2141">
      <c r="A2141" t="n">
        <v>182</v>
      </c>
      <c r="B2141" t="inlineStr">
        <is>
          <t>A</t>
        </is>
      </c>
      <c r="C2141" t="n">
        <v>2</v>
      </c>
      <c r="D2141" s="3" t="inlineStr">
        <is>
          <t>Dalam latihan ini, saya akan membantu mahasiswa memahami beberapa konsep dasar Computational Thinking (CT) yang relevan dengan tipe kognitif Level 3 Menengah / Pragmatis / Analitis / Reflektif.</t>
        </is>
      </c>
      <c r="E2141" t="inlineStr">
        <is>
          <t>YA (didukung konteks)</t>
        </is>
      </c>
    </row>
    <row r="2142">
      <c r="A2142" t="n">
        <v>182</v>
      </c>
      <c r="B2142" t="inlineStr">
        <is>
          <t>A</t>
        </is>
      </c>
      <c r="C2142" t="n">
        <v>3</v>
      </c>
      <c r="D2142" s="3" t="inlineStr">
        <is>
          <t>Dengan demikian, kita dapat menggunakan konsep CT yang relevan dengan tipe kognitif Level 3 Menengah / Pragmatis / Analitis / Reflektif untuk memecahkan masalah-masalah yang diberikan.</t>
        </is>
      </c>
      <c r="E2142" t="inlineStr">
        <is>
          <t>YA (didukung konteks)</t>
        </is>
      </c>
    </row>
    <row r="2143">
      <c r="A2143" t="n">
        <v>182</v>
      </c>
      <c r="B2143" t="inlineStr">
        <is>
          <t>A</t>
        </is>
      </c>
      <c r="C2143" t="n">
        <v>4</v>
      </c>
      <c r="D2143" s="3" t="inlineStr">
        <is>
          <t>Dengan demikian, kita perlu menemukan pola transformasi atau urutan yang terjadi antar gambar untuk menentukan jawaban yang tepat.</t>
        </is>
      </c>
      <c r="E2143" t="inlineStr">
        <is>
          <t>YA (didukung konteks)</t>
        </is>
      </c>
    </row>
    <row r="2144">
      <c r="A2144" t="n">
        <v>182</v>
      </c>
      <c r="B2144" t="inlineStr">
        <is>
          <t>A</t>
        </is>
      </c>
      <c r="C2144" t="n">
        <v>5</v>
      </c>
      <c r="D2144" s="3" t="inlineStr">
        <is>
          <t>Dalam kasus ini, Putri mengirimkan pesan dalam bentuk sandi kepada suaminya menggunakan tiga langkah enkripsi secara berurutan.</t>
        </is>
      </c>
      <c r="E2144" t="inlineStr">
        <is>
          <t>YA (didukung konteks)</t>
        </is>
      </c>
    </row>
    <row r="2145">
      <c r="A2145" t="n">
        <v>182</v>
      </c>
      <c r="B2145" t="inlineStr">
        <is>
          <t>A</t>
        </is>
      </c>
      <c r="C2145" t="n">
        <v>6</v>
      </c>
      <c r="D2145" s="3" t="inlineStr">
        <is>
          <t>Operator logika digunakan untuk menggabungkan dua atau lebih ekspresi boolean dan menghasilkan nilai boolean.</t>
        </is>
      </c>
      <c r="E2145" t="inlineStr">
        <is>
          <t>YA (didukung konteks)</t>
        </is>
      </c>
    </row>
    <row r="2146">
      <c r="A2146" t="n">
        <v>182</v>
      </c>
      <c r="B2146" t="inlineStr">
        <is>
          <t>B</t>
        </is>
      </c>
      <c r="C2146" t="n">
        <v>1</v>
      </c>
      <c r="D2146" s="3" t="inlineStr">
        <is>
          <t>Jumlah jabat tangan yang terjadi jika ada 20 orang di sebuah ruangan dan setiap orang berjabat tangan dengan semua orang lain dapat dhitung menggunakan pola deret segitiga.</t>
        </is>
      </c>
      <c r="E2146" t="inlineStr">
        <is>
          <t>TIDAK (tidak didukung)</t>
        </is>
      </c>
    </row>
    <row r="2147">
      <c r="A2147" t="n">
        <v>182</v>
      </c>
      <c r="B2147" t="inlineStr">
        <is>
          <t>B</t>
        </is>
      </c>
      <c r="C2147" t="n">
        <v>2</v>
      </c>
      <c r="D2147" s="3" t="inlineStr">
        <is>
          <t>Berikutnya, ketika ada empat orang, jumlah jabat tangan yang terjadi adalah 3 x 3 = 9 (karena setiap orang berjabat tangan dengan tiga orang lain).</t>
        </is>
      </c>
      <c r="E2147" t="inlineStr">
        <is>
          <t>TIDAK (tidak didukung)</t>
        </is>
      </c>
    </row>
    <row r="2148">
      <c r="A2148" t="n">
        <v>182</v>
      </c>
      <c r="B2148" t="inlineStr">
        <is>
          <t>B</t>
        </is>
      </c>
      <c r="C2148" t="n">
        <v>3</v>
      </c>
      <c r="D2148" s="3" t="inlineStr">
        <is>
          <t>Ketika ada tiga orang, maka jumlah jabat tangan yang terjadi adalah 2 x 2 = 4 (karena setiap orang berjabat tangan dengan dua orang lain).</t>
        </is>
      </c>
      <c r="E2148" t="inlineStr">
        <is>
          <t>TIDAK (tidak didukung)</t>
        </is>
      </c>
    </row>
    <row r="2149">
      <c r="A2149" t="n">
        <v>182</v>
      </c>
      <c r="B2149" t="inlineStr">
        <is>
          <t>B</t>
        </is>
      </c>
      <c r="C2149" t="n">
        <v>4</v>
      </c>
      <c r="D2149" s="3" t="inlineStr">
        <is>
          <t>Pertama, kita lihat bahwa setiap orang akan berjabat tangan dengan 19 orang lain (karena total 20 orang minus dirinya sendiri).</t>
        </is>
      </c>
      <c r="E2149" t="inlineStr">
        <is>
          <t>TIDAK (tidak didukung)</t>
        </is>
      </c>
    </row>
    <row r="2150">
      <c r="A2150" t="n">
        <v>182</v>
      </c>
      <c r="B2150" t="inlineStr">
        <is>
          <t>B</t>
        </is>
      </c>
      <c r="C2150" t="n">
        <v>5</v>
      </c>
      <c r="D2150" s="3" t="inlineStr">
        <is>
          <t>Seterusnya, kita akan lihat bahwa jumlah jabat tangan yang terjadi adalah pola deret segitiga, yaitu 1 + 4 + 9 + ...</t>
        </is>
      </c>
      <c r="E2150" t="inlineStr">
        <is>
          <t>TIDAK (tidak didukung)</t>
        </is>
      </c>
    </row>
    <row r="2151">
      <c r="A2151" t="n">
        <v>182</v>
      </c>
      <c r="B2151" t="inlineStr">
        <is>
          <t>B</t>
        </is>
      </c>
      <c r="C2151" t="n">
        <v>6</v>
      </c>
      <c r="D2151" s="3" t="inlineStr">
        <is>
          <t>Kita lihat bahwa jumlah jabat tangan yang terjadi ketika pertama-tama ada dua orang yang berjabat tangan adalah 1.</t>
        </is>
      </c>
      <c r="E2151" t="inlineStr">
        <is>
          <t>TIDAK (tidak didukung)</t>
        </is>
      </c>
    </row>
    <row r="2152">
      <c r="A2152" t="n">
        <v>183</v>
      </c>
      <c r="B2152" t="inlineStr">
        <is>
          <t>A</t>
        </is>
      </c>
      <c r="C2152" t="n">
        <v>1</v>
      </c>
      <c r="D2152" s="3" t="inlineStr">
        <is>
          <t>Dalam soal pattern recognition, Anda diminta mencari rumus untuk pola kotak-kotak dalam grid: baris pertama 1 kotak, baris kedua 3 kotak, baris ketiga 6 kotak, dan seterusnya.</t>
        </is>
      </c>
      <c r="E2152" t="inlineStr">
        <is>
          <t>YA (didukung konteks)</t>
        </is>
      </c>
    </row>
    <row r="2153">
      <c r="A2153" t="n">
        <v>183</v>
      </c>
      <c r="B2153" t="inlineStr">
        <is>
          <t>A</t>
        </is>
      </c>
      <c r="C2153" t="n">
        <v>2</v>
      </c>
      <c r="D2153" s="3" t="inlineStr">
        <is>
          <t>Jadi, jika baris pertama memiliki 1 kotak, maka baris kedua akan memiliki 3 kotak (1 + 2), baris ketiga akan memiliki 6 kotak (3 + 3), dan seterusnya.</t>
        </is>
      </c>
      <c r="E2153" t="inlineStr">
        <is>
          <t>TIDAK (tidak didukung)</t>
        </is>
      </c>
    </row>
    <row r="2154">
      <c r="A2154" t="n">
        <v>183</v>
      </c>
      <c r="B2154" t="inlineStr">
        <is>
          <t>A</t>
        </is>
      </c>
      <c r="C2154" t="n">
        <v>3</v>
      </c>
      <c r="D2154" s="3" t="inlineStr">
        <is>
          <t>Dalam proses dekomposisi, Anda harus membagi masalah menjadi bagian-bagian yang lebih kecil dan mencari pola dalam setiap bagian.</t>
        </is>
      </c>
      <c r="E2154" t="inlineStr">
        <is>
          <t>YA (didukung konteks)</t>
        </is>
      </c>
    </row>
    <row r="2155">
      <c r="A2155" t="n">
        <v>183</v>
      </c>
      <c r="B2155" t="inlineStr">
        <is>
          <t>A</t>
        </is>
      </c>
      <c r="C2155" t="n">
        <v>4</v>
      </c>
      <c r="D2155" s="3" t="inlineStr">
        <is>
          <t>Dengan demikian, Anda dapat menerapkan konsep pattern recognition dengan menggunakan dekomposisi untuk menemukan suku ke-n-ya.</t>
        </is>
      </c>
      <c r="E2155" t="inlineStr">
        <is>
          <t>YA (didukung konteks)</t>
        </is>
      </c>
    </row>
    <row r="2156">
      <c r="A2156" t="n">
        <v>183</v>
      </c>
      <c r="B2156" t="inlineStr">
        <is>
          <t>A</t>
        </is>
      </c>
      <c r="C2156" t="n">
        <v>5</v>
      </c>
      <c r="D2156" s="3" t="inlineStr">
        <is>
          <t>Pola ini dapat diidentifikasi sebagai pola eksponensial, karena perbedaan antara dua baris sebelumnya adalah tambahan 2.</t>
        </is>
      </c>
      <c r="E2156" t="inlineStr">
        <is>
          <t>TIDAK (tidak didukung)</t>
        </is>
      </c>
    </row>
    <row r="2157">
      <c r="A2157" t="n">
        <v>183</v>
      </c>
      <c r="B2157" t="inlineStr">
        <is>
          <t>A</t>
        </is>
      </c>
      <c r="C2157" t="n">
        <v>6</v>
      </c>
      <c r="D2157" s="3" t="inlineStr">
        <is>
          <t>Kemudian, Anda dapat menggunakan rumus yang ditemukan untuk menyelesaikan masalah secara lebih efektif.</t>
        </is>
      </c>
      <c r="E2157" t="inlineStr">
        <is>
          <t>YA (didukung konteks)</t>
        </is>
      </c>
    </row>
    <row r="2158">
      <c r="A2158" t="n">
        <v>183</v>
      </c>
      <c r="B2158" t="inlineStr">
        <is>
          <t>B</t>
        </is>
      </c>
      <c r="C2158" t="n">
        <v>1</v>
      </c>
      <c r="D2158" s="3" t="inlineStr">
        <is>
          <t>Rumus pola kotak-kotak yang Anda lihat memang terlihat seperti deret segitiga, dan Anda dapat menggunakan prinsip-prinsip matematika untuk menemukan rumus ke-n-nya.</t>
        </is>
      </c>
      <c r="E2158" t="inlineStr">
        <is>
          <t>YA (didukung konteks)</t>
        </is>
      </c>
    </row>
    <row r="2159">
      <c r="A2159" t="n">
        <v>183</v>
      </c>
      <c r="B2159" t="inlineStr">
        <is>
          <t>B</t>
        </is>
      </c>
      <c r="C2159" t="n">
        <v>2</v>
      </c>
      <c r="D2159" s="3" t="inlineStr">
        <is>
          <t>Rumus pola ini adalah suatu contoh dari pola aritmetik, yaitu pola yang memiliki perbedaan antara dua bilangan berikutnya yang sama.</t>
        </is>
      </c>
      <c r="E2159" t="inlineStr">
        <is>
          <t>YA (didukung konteks)</t>
        </is>
      </c>
    </row>
    <row r="2160">
      <c r="A2160" t="n">
        <v>183</v>
      </c>
      <c r="B2160" t="inlineStr">
        <is>
          <t>B</t>
        </is>
      </c>
      <c r="C2160" t="n">
        <v>3</v>
      </c>
      <c r="D2160" s="3" t="inlineStr">
        <is>
          <t>Untuk menemukan rumus ke-n-nya, Anda dapat menggunakan prinsip pengurangan yang berikut:</t>
        </is>
      </c>
      <c r="E2160" t="inlineStr">
        <is>
          <t>YA (didukung konteks)</t>
        </is>
      </c>
    </row>
    <row r="2161">
      <c r="A2161" t="n">
        <v>183</v>
      </c>
      <c r="B2161" t="inlineStr">
        <is>
          <t>B</t>
        </is>
      </c>
      <c r="C2161" t="n">
        <v>4</v>
      </c>
      <c r="D2161" s="3" t="inlineStr">
        <is>
          <t>Saya harap jawaban ini membantu Anda menemukan rumus pola kotak-kotak yang Anda cari!</t>
        </is>
      </c>
      <c r="E2161" t="inlineStr">
        <is>
          <t>YA (didukung konteks)</t>
        </is>
      </c>
    </row>
    <row r="2162">
      <c r="A2162" t="n">
        <v>183</v>
      </c>
      <c r="B2162" t="inlineStr">
        <is>
          <t>B</t>
        </is>
      </c>
      <c r="C2162" t="n">
        <v>5</v>
      </c>
      <c r="D2162" s="3" t="inlineStr">
        <is>
          <t>Pada kasus Anda, perbedaan tersebut adalah 2 (1 + 3 = 4, 4 + 2 = 6, 6 + 4 = 10).</t>
        </is>
      </c>
      <c r="E2162" t="inlineStr">
        <is>
          <t>TIDAK (tidak didukung)</t>
        </is>
      </c>
    </row>
    <row r="2163">
      <c r="A2163" t="n">
        <v>183</v>
      </c>
      <c r="B2163" t="inlineStr">
        <is>
          <t>B</t>
        </is>
      </c>
      <c r="C2163" t="n">
        <v>6</v>
      </c>
      <c r="D2163" s="3" t="inlineStr">
        <is>
          <t>Dengan demikian, Anda dapat menemukan rumus ke-n-nya adalah sebagai berikut:</t>
        </is>
      </c>
      <c r="E2163" t="inlineStr">
        <is>
          <t>YA (didukung konteks)</t>
        </is>
      </c>
    </row>
    <row r="2164">
      <c r="A2164" t="n">
        <v>184</v>
      </c>
      <c r="B2164" t="inlineStr">
        <is>
          <t>A</t>
        </is>
      </c>
      <c r="C2164" t="n">
        <v>1</v>
      </c>
      <c r="D2164" s="3" t="inlineStr">
        <is>
          <t>Alasan Counting Sort dan Radix Sort lebih cepat dari O(n log n) karena mereka tidak perlu melakukan penggantian yang berkelanjutan seperti algoritme comparison-based sorting.</t>
        </is>
      </c>
      <c r="E2164" t="inlineStr">
        <is>
          <t>YA (didukung konteks)</t>
        </is>
      </c>
    </row>
    <row r="2165">
      <c r="A2165" t="n">
        <v>184</v>
      </c>
      <c r="B2165" t="inlineStr">
        <is>
          <t>A</t>
        </is>
      </c>
      <c r="C2165" t="n">
        <v>2</v>
      </c>
      <c r="D2165" s="3" t="inlineStr">
        <is>
          <t>Selain itu, Counting Sort hanya dapat digunakan untuk input yang memiliki range nilai yang terbatas, sedangkan Radix Sort dapat digunakan untuk input apapun.</t>
        </is>
      </c>
      <c r="E2165" t="inlineStr">
        <is>
          <t>YA (didukung konteks)</t>
        </is>
      </c>
    </row>
    <row r="2166">
      <c r="A2166" t="n">
        <v>184</v>
      </c>
      <c r="B2166" t="inlineStr">
        <is>
          <t>A</t>
        </is>
      </c>
      <c r="C2166" t="n">
        <v>3</v>
      </c>
      <c r="D2166" s="3" t="inlineStr">
        <is>
          <t>Counting Sort adalah algoritme sorting yang menggunakan array sebagai container untuk setiap nilai dalam input dan menghitung jumlah setiap nilai.</t>
        </is>
      </c>
      <c r="E2166" t="inlineStr">
        <is>
          <t>YA (didukung konteks)</t>
        </is>
      </c>
    </row>
    <row r="2167">
      <c r="A2167" t="n">
        <v>184</v>
      </c>
      <c r="B2167" t="inlineStr">
        <is>
          <t>A</t>
        </is>
      </c>
      <c r="C2167" t="n">
        <v>4</v>
      </c>
      <c r="D2167" s="3" t="inlineStr">
        <is>
          <t>Kamu bertanya tentang algoritme sorting yang lebih cepat dari O(n log n) untuk kasus tertentu, seperti Counting Sort atau Radix Sort.</t>
        </is>
      </c>
      <c r="E2167" t="inlineStr">
        <is>
          <t>YA (didukung konteks)</t>
        </is>
      </c>
    </row>
    <row r="2168">
      <c r="A2168" t="n">
        <v>184</v>
      </c>
      <c r="B2168" t="inlineStr">
        <is>
          <t>A</t>
        </is>
      </c>
      <c r="C2168" t="n">
        <v>5</v>
      </c>
      <c r="D2168" s="3" t="inlineStr">
        <is>
          <t>Dengan demikian, waktu kompleksitasnya menjadi O(n + k), di mana n adalah ukuran input dan k adalah jumlah nilai unik.</t>
        </is>
      </c>
      <c r="E2168" t="inlineStr">
        <is>
          <t>YA (didukung konteks)</t>
        </is>
      </c>
    </row>
    <row r="2169">
      <c r="A2169" t="n">
        <v>184</v>
      </c>
      <c r="B2169" t="inlineStr">
        <is>
          <t>A</t>
        </is>
      </c>
      <c r="C2169" t="n">
        <v>6</v>
      </c>
      <c r="D2169" s="3" t="inlineStr">
        <is>
          <t>Radix Sort, sebaliknya, menggunakan digit-by-digit sorting dengan basis yang berbeda-beda untuk setiap bit integer.</t>
        </is>
      </c>
      <c r="E2169" t="inlineStr">
        <is>
          <t>YA (didukung konteks)</t>
        </is>
      </c>
    </row>
    <row r="2170">
      <c r="A2170" t="n">
        <v>184</v>
      </c>
      <c r="B2170" t="inlineStr">
        <is>
          <t>B</t>
        </is>
      </c>
      <c r="C2170" t="n">
        <v>1</v>
      </c>
      <c r="D2170" s="3" t="inlineStr">
        <is>
          <t>Alasan mengapa Counting Sort dan Radix Sort dapat lebih cepat dari batas teoritis O(n log n) untuk comparison-based sorting adalah karena mereka tidak menggunakan cara pengurutan berbasis perbandingan, melainkan mengguna</t>
        </is>
      </c>
      <c r="E2170" t="inlineStr">
        <is>
          <t>YA (didukung konteks)</t>
        </is>
      </c>
    </row>
    <row r="2171">
      <c r="A2171" t="n">
        <v>184</v>
      </c>
      <c r="B2171" t="inlineStr">
        <is>
          <t>B</t>
        </is>
      </c>
      <c r="C2171" t="n">
        <v>2</v>
      </c>
      <c r="D2171" s="3" t="inlineStr">
        <is>
          <t>Radix Sort adalah algoritme sorting yang menggunakan prinsip pengurutan berdasarkan digit tertentu (misalnya, bit) dari elemen data, sehingga dapat berjalan lebih cepat jika input data memiliki properti tertentu (misalny</t>
        </is>
      </c>
      <c r="E2171" t="inlineStr">
        <is>
          <t>YA (didukung konteks)</t>
        </is>
      </c>
    </row>
    <row r="2172">
      <c r="A2172" t="n">
        <v>184</v>
      </c>
      <c r="B2172" t="inlineStr">
        <is>
          <t>B</t>
        </is>
      </c>
      <c r="C2172" t="n">
        <v>3</v>
      </c>
      <c r="D2172" s="3" t="inlineStr">
        <is>
          <t>Counting Sort adalah algoritme sorting yang menggunakan prinsip penghitungan frekuensi elemen untuk mengurutkan data, sehingga dapat berjalan lebih cepat jika input data memiliki properti tertentu (misalnya, data terbata</t>
        </is>
      </c>
      <c r="E2172" t="inlineStr">
        <is>
          <t>YA (didukung konteks)</t>
        </is>
      </c>
    </row>
    <row r="2173">
      <c r="A2173" t="n">
        <v>184</v>
      </c>
      <c r="B2173" t="inlineStr">
        <is>
          <t>B</t>
        </is>
      </c>
      <c r="C2173" t="n">
        <v>4</v>
      </c>
      <c r="D2173" s="3" t="inlineStr">
        <is>
          <t>Dalam sintesis, Counting Sort dan Radix Sort adalah algoritme sorting yang lebih cepat daripada comparison-based sorting, namun mereka hanya sesuai untuk kasus-kasus tertentu dengan input data memiliki properti tertentu.</t>
        </is>
      </c>
      <c r="E2173" t="inlineStr">
        <is>
          <t>YA (didukung konteks)</t>
        </is>
      </c>
    </row>
    <row r="2174">
      <c r="A2174" t="n">
        <v>184</v>
      </c>
      <c r="B2174" t="inlineStr">
        <is>
          <t>B</t>
        </is>
      </c>
      <c r="C2174" t="n">
        <v>5</v>
      </c>
      <c r="D2174" s="3" t="inlineStr">
        <is>
          <t>Sementara itu, Radix Sort menggunakan prinsip pengurutan berbasis digit yang memungkinkan algoritme tersebut berjalan lebih cepat jika input data memiliki properti tertentu.</t>
        </is>
      </c>
      <c r="E2174" t="inlineStr">
        <is>
          <t>YA (didukung konteks)</t>
        </is>
      </c>
    </row>
    <row r="2175">
      <c r="A2175" t="n">
        <v>184</v>
      </c>
      <c r="B2175" t="inlineStr">
        <is>
          <t>B</t>
        </is>
      </c>
      <c r="C2175" t="n">
        <v>6</v>
      </c>
      <c r="D2175" s="3" t="inlineStr">
        <is>
          <t>Counting Sort tidak diajarkan secara eksplisit di Komputasi Teoretik (CT), namun konsep dasarnya sebenarnya telah dipelajari sebelumnya di modul Data Structures.</t>
        </is>
      </c>
      <c r="E2175" t="inlineStr">
        <is>
          <t>YA (didukung konteks)</t>
        </is>
      </c>
    </row>
    <row r="2176">
      <c r="A2176" t="n">
        <v>185</v>
      </c>
      <c r="B2176" t="inlineStr">
        <is>
          <t>A</t>
        </is>
      </c>
      <c r="C2176" t="n">
        <v>1</v>
      </c>
      <c r="D2176" s="3" t="inlineStr">
        <is>
          <t>Dalam jawaban Anda, saya harap Anda dapat memahami bahwa kedua teknik algoritme tersebut tidak hanya berhubungan dengan pemrograman komputer, tetapi juga memiliki keterkaitan dengan CT yang telah kita pelajari.</t>
        </is>
      </c>
      <c r="E2176" t="inlineStr">
        <is>
          <t>YA (didukung konteks)</t>
        </is>
      </c>
    </row>
    <row r="2177">
      <c r="A2177" t="n">
        <v>185</v>
      </c>
      <c r="B2177" t="inlineStr">
        <is>
          <t>A</t>
        </is>
      </c>
      <c r="C2177" t="n">
        <v>2</v>
      </c>
      <c r="D2177" s="3" t="inlineStr">
        <is>
          <t>Dalam kaitannya dengan algoritme greedy dan dynamic programming, saya harus mengatakan bahwa kedua teknik tersebut memang tidak secara langsung diajarkan dalam mata kuliah Computational Thinking (CT) IPB.</t>
        </is>
      </c>
      <c r="E2177" t="inlineStr">
        <is>
          <t>YA (didukung konteks)</t>
        </is>
      </c>
    </row>
    <row r="2178">
      <c r="A2178" t="n">
        <v>185</v>
      </c>
      <c r="B2178" t="inlineStr">
        <is>
          <t>A</t>
        </is>
      </c>
      <c r="C2178" t="n">
        <v>3</v>
      </c>
      <c r="D2178" s="3" t="inlineStr">
        <is>
          <t>Selain itu, dynamic programming juga dapat digunakan dalam block programming untuk menyelesaikan masalah yang terkait dengan state machine dan membuat program lebih optimal.</t>
        </is>
      </c>
      <c r="E2178" t="inlineStr">
        <is>
          <t>YA (didukung konteks)</t>
        </is>
      </c>
    </row>
    <row r="2179">
      <c r="A2179" t="n">
        <v>185</v>
      </c>
      <c r="B2179" t="inlineStr">
        <is>
          <t>A</t>
        </is>
      </c>
      <c r="C2179" t="n">
        <v>4</v>
      </c>
      <c r="D2179" s="3" t="inlineStr">
        <is>
          <t>Dalam block programming, Anda dapat menggunakan algoritme greedy untuk membuat keputusan berdasarkan informasi yang tersedia dan membuat program lebih efisien.</t>
        </is>
      </c>
      <c r="E2179" t="inlineStr">
        <is>
          <t>YA (didukung konteks)</t>
        </is>
      </c>
    </row>
    <row r="2180">
      <c r="A2180" t="n">
        <v>185</v>
      </c>
      <c r="B2180" t="inlineStr">
        <is>
          <t>A</t>
        </is>
      </c>
      <c r="C2180" t="n">
        <v>5</v>
      </c>
      <c r="D2180" s="3" t="inlineStr">
        <is>
          <t>Teknik algoritme greedy dan dynamic programming juga dapat diterapkan dalam konteks ini untuk menyelesaikan masalah yang terkait dengan pemrograman komputer.</t>
        </is>
      </c>
      <c r="E2180" t="inlineStr">
        <is>
          <t>YA (didukung konteks)</t>
        </is>
      </c>
    </row>
    <row r="2181">
      <c r="A2181" t="n">
        <v>185</v>
      </c>
      <c r="B2181" t="inlineStr">
        <is>
          <t>A</t>
        </is>
      </c>
      <c r="C2181" t="n">
        <v>6</v>
      </c>
      <c r="D2181" s="3" t="inlineStr">
        <is>
          <t>Misalnya, Anda dapat menggunakan algoritme greedy untuk memilih blok instruksi terbaik yang akan membantu mencapai tujuan tertentu dalam block programming.</t>
        </is>
      </c>
      <c r="E2181" t="inlineStr">
        <is>
          <t>YA (didukung konteks)</t>
        </is>
      </c>
    </row>
    <row r="2182">
      <c r="A2182" t="n">
        <v>185</v>
      </c>
      <c r="B2182" t="inlineStr">
        <is>
          <t>B</t>
        </is>
      </c>
      <c r="C2182" t="n">
        <v>1</v>
      </c>
      <c r="D2182" s="3" t="inlineStr">
        <is>
          <t>Dalam konteks lomba programming, kedua teknik tersebut sering diuji sebagai bagian dari problem statement, dimana peserta harus menggunakan algoritme greedy atau dynamic programming untuk menyelesaikan masalah yang diber</t>
        </is>
      </c>
      <c r="E2182" t="inlineStr">
        <is>
          <t>YA (didukung konteks)</t>
        </is>
      </c>
    </row>
    <row r="2183">
      <c r="A2183" t="n">
        <v>185</v>
      </c>
      <c r="B2183" t="inlineStr">
        <is>
          <t>B</t>
        </is>
      </c>
      <c r="C2183" t="n">
        <v>2</v>
      </c>
      <c r="D2183" s="3" t="inlineStr">
        <is>
          <t>Sementara itu, dynamic programming digunakan untuk menyelesaikan masalah yang memiliki struktur sub-problem yang sama, dimana solusi ditemukan dengan menghitung dan memakai hasil dari sub-problem yang lebih kecil.</t>
        </is>
      </c>
      <c r="E2183" t="inlineStr">
        <is>
          <t>TIDAK (tidak didukung)</t>
        </is>
      </c>
    </row>
    <row r="2184">
      <c r="A2184" t="n">
        <v>185</v>
      </c>
      <c r="B2184" t="inlineStr">
        <is>
          <t>B</t>
        </is>
      </c>
      <c r="C2184" t="n">
        <v>3</v>
      </c>
      <c r="D2184" s="3" t="inlineStr">
        <is>
          <t>Algoritme greedy dan dynamic programming seringkali memiliki waktu eksploarisasi yang lebih baik daripada algoritme lainnya, sehingga mereka sangat penting dalam mengatasi masalah kompleksitas.</t>
        </is>
      </c>
      <c r="E2184" t="inlineStr">
        <is>
          <t>TIDAK (tidak didukung)</t>
        </is>
      </c>
    </row>
    <row r="2185">
      <c r="A2185" t="n">
        <v>185</v>
      </c>
      <c r="B2185" t="inlineStr">
        <is>
          <t>B</t>
        </is>
      </c>
      <c r="C2185" t="n">
        <v>4</v>
      </c>
      <c r="D2185" s="3" t="inlineStr">
        <is>
          <t>Algoritme greedy digunakan untuk menyelesaikan masalah optimisasi yang dapat dipecah menjadi beberapa sub-problem, dimana solusi terbaik ditemukan dengan memilih opsi terbaik di setiap tahap.</t>
        </is>
      </c>
      <c r="E2185" t="inlineStr">
        <is>
          <t>TIDAK (tidak didukung)</t>
        </is>
      </c>
    </row>
    <row r="2186">
      <c r="A2186" t="n">
        <v>185</v>
      </c>
      <c r="B2186" t="inlineStr">
        <is>
          <t>B</t>
        </is>
      </c>
      <c r="C2186" t="n">
        <v>5</v>
      </c>
      <c r="D2186" s="3" t="inlineStr">
        <is>
          <t>Kedua teknik tersebut memiliki hubungan dengan konsep CT (Complexity Theory) yang telah kita pelajari, yaitu tentang analisis waktu dan ruang yang digunakan oleh suatu algoritme.</t>
        </is>
      </c>
      <c r="E2186" t="inlineStr">
        <is>
          <t>YA (didukung konteks)</t>
        </is>
      </c>
    </row>
    <row r="2187">
      <c r="A2187" t="n">
        <v>185</v>
      </c>
      <c r="B2187" t="inlineStr">
        <is>
          <t>B</t>
        </is>
      </c>
      <c r="C2187" t="n">
        <v>6</v>
      </c>
      <c r="D2187" s="3" t="inlineStr">
        <is>
          <t>Dalam program Studi Teknologi Informasi, Universitas IPB, mata kuliah yang terkait dengan algoritme greedy dan dynamic programming adalah matematika komputasi.</t>
        </is>
      </c>
      <c r="E2187" t="inlineStr">
        <is>
          <t>YA (didukung konteks)</t>
        </is>
      </c>
    </row>
    <row r="2188">
      <c r="A2188" t="n">
        <v>186</v>
      </c>
      <c r="B2188" t="inlineStr">
        <is>
          <t>A</t>
        </is>
      </c>
      <c r="C2188" t="n">
        <v>1</v>
      </c>
      <c r="D2188" s="3" t="inlineStr">
        <is>
          <t>From a Learning with ICT (LwICT) perspective, the student failed to demonstrate responsible and ethical use of technology, as they concealed AI's role in their work.</t>
        </is>
      </c>
      <c r="E2188" t="inlineStr">
        <is>
          <t>YA (didukung konteks)</t>
        </is>
      </c>
    </row>
    <row r="2189">
      <c r="A2189" t="n">
        <v>186</v>
      </c>
      <c r="B2189" t="inlineStr">
        <is>
          <t>A</t>
        </is>
      </c>
      <c r="C2189" t="n">
        <v>2</v>
      </c>
      <c r="D2189" s="3" t="inlineStr">
        <is>
          <t>Abstraction is a crucial concept in computational thinking, as it allows us to focus on essential features while ignoring irrelevant details.</t>
        </is>
      </c>
      <c r="E2189" t="inlineStr">
        <is>
          <t>YA (didukung konteks)</t>
        </is>
      </c>
    </row>
    <row r="2190">
      <c r="A2190" t="n">
        <v>186</v>
      </c>
      <c r="B2190" t="inlineStr">
        <is>
          <t>A</t>
        </is>
      </c>
      <c r="C2190" t="n">
        <v>3</v>
      </c>
      <c r="D2190" s="3" t="inlineStr">
        <is>
          <t>To identify the root cause of a problem, we need to ask ourselves "What went wrong with what?" and explore the possible underlying causes.</t>
        </is>
      </c>
      <c r="E2190" t="inlineStr">
        <is>
          <t>YA (didukung konteks)</t>
        </is>
      </c>
    </row>
    <row r="2191">
      <c r="A2191" t="n">
        <v>186</v>
      </c>
      <c r="B2191" t="inlineStr">
        <is>
          <t>A</t>
        </is>
      </c>
      <c r="C2191" t="n">
        <v>4</v>
      </c>
      <c r="D2191" s="3" t="inlineStr">
        <is>
          <t>Regarding your SOAL 4 question, I'd be happy to help you explain the concept of P vs NP problem and its connection to Big-O complexity.</t>
        </is>
      </c>
      <c r="E2191" t="inlineStr">
        <is>
          <t>YA (didukung konteks)</t>
        </is>
      </c>
    </row>
    <row r="2192">
      <c r="A2192" t="n">
        <v>186</v>
      </c>
      <c r="B2192" t="inlineStr">
        <is>
          <t>A</t>
        </is>
      </c>
      <c r="C2192" t="n">
        <v>5</v>
      </c>
      <c r="D2192" s="3" t="inlineStr">
        <is>
          <t>In this context, Symptom refers to the observable or perceived issue, while Problem is the underlying cause that leads to the Symptom.</t>
        </is>
      </c>
      <c r="E2192" t="inlineStr">
        <is>
          <t>YA (didukung konteks)</t>
        </is>
      </c>
    </row>
    <row r="2193">
      <c r="A2193" t="n">
        <v>186</v>
      </c>
      <c r="B2193" t="inlineStr">
        <is>
          <t>A</t>
        </is>
      </c>
      <c r="C2193" t="n">
        <v>6</v>
      </c>
      <c r="D2193" s="3" t="inlineStr">
        <is>
          <t>To address this issue, we need to emphasize the importance of transparency and accountability in using technology for learning.</t>
        </is>
      </c>
      <c r="E2193" t="inlineStr">
        <is>
          <t>YA (didukung konteks)</t>
        </is>
      </c>
    </row>
    <row r="2194">
      <c r="A2194" t="n">
        <v>186</v>
      </c>
      <c r="B2194" t="inlineStr">
        <is>
          <t>B</t>
        </is>
      </c>
      <c r="C2194" t="n">
        <v>1</v>
      </c>
      <c r="D2194" s="3" t="inlineStr">
        <is>
          <t xml:space="preserve">Masalah "P vs NP problem" ini penting karena jika kita dapat menyelesaikan masalah ini dengan membuktikan bahwa P=NP (yakni semua masalah NP dapat dipecahkan dalam waktu polynomial), maka akan ada konsekuensi signifikan </t>
        </is>
      </c>
      <c r="E2194" t="inlineStr">
        <is>
          <t>YA (didukung konteks)</t>
        </is>
      </c>
    </row>
    <row r="2195">
      <c r="A2195" t="n">
        <v>186</v>
      </c>
      <c r="B2195" t="inlineStr">
        <is>
          <t>B</t>
        </is>
      </c>
      <c r="C2195" t="n">
        <v>2</v>
      </c>
      <c r="D2195" s="3" t="inlineStr">
        <is>
          <t>Pada dasarnya, "P vs NP problem" bertanya apakah setiap masalah yang dapat dipecahkan secara cepat oleh mesin (yakni dalam waktu polynomial) juga dapat dipecahkan secara cepat oleh manusia (yakni dalam waktu polynomial).</t>
        </is>
      </c>
      <c r="E2195" t="inlineStr">
        <is>
          <t>TIDAK (tidak didukung)</t>
        </is>
      </c>
    </row>
    <row r="2196">
      <c r="A2196" t="n">
        <v>186</v>
      </c>
      <c r="B2196" t="inlineStr">
        <is>
          <t>B</t>
        </is>
      </c>
      <c r="C2196" t="n">
        <v>3</v>
      </c>
      <c r="D2196" s="3" t="inlineStr">
        <is>
          <t>Kompleksitas Big-O sebenarnya adalah suatu konsep untuk mengukur skalabilitas algoritma dalam hal waktu dan ruang, sedangkan "P vs NP problem" terkait dengan sifat keputusan dari masalah matematika.</t>
        </is>
      </c>
      <c r="E2196" t="inlineStr">
        <is>
          <t>YA (didukung konteks)</t>
        </is>
      </c>
    </row>
    <row r="2197">
      <c r="A2197" t="n">
        <v>186</v>
      </c>
      <c r="B2197" t="inlineStr">
        <is>
          <t>B</t>
        </is>
      </c>
      <c r="C2197" t="n">
        <v>4</v>
      </c>
      <c r="D2197" s="3" t="inlineStr">
        <is>
          <t>* P (Polynomial Time) adalah kelas masalah yang dapat dipecahkan dalam waktu polynomial, yakni dengan menggunakan algoritma yang memerlukan waktu yang linear atau kuadratik terhadap ukuran input.</t>
        </is>
      </c>
      <c r="E2197" t="inlineStr">
        <is>
          <t>YA (didukung konteks)</t>
        </is>
      </c>
    </row>
    <row r="2198">
      <c r="A2198" t="n">
        <v>186</v>
      </c>
      <c r="B2198" t="inlineStr">
        <is>
          <t>B</t>
        </is>
      </c>
      <c r="C2198" t="n">
        <v>5</v>
      </c>
      <c r="D2198" s="3" t="inlineStr">
        <is>
          <t>Dalam teorinya, mesin dapat memecahkan masalah NP dalam waktu polynomial, tetapi untuk mengetahui apakah jawaban yang diperoleh adalah benar, dibutuhkan waktu yang sangat besar.</t>
        </is>
      </c>
      <c r="E2198" t="inlineStr">
        <is>
          <t>YA (didukung konteks)</t>
        </is>
      </c>
    </row>
    <row r="2199">
      <c r="A2199" t="n">
        <v>186</v>
      </c>
      <c r="B2199" t="inlineStr">
        <is>
          <t>B</t>
        </is>
      </c>
      <c r="C2199" t="n">
        <v>6</v>
      </c>
      <c r="D2199" s="3" t="inlineStr">
        <is>
          <t>Masalah ini masih terbuka hingga saat ini, dan pembuktian bahwa P≠NP (yakni NP-hard problem tidak dapat dipecahkan dalam waktu polynomial) juga belum berhasil dilakukan.</t>
        </is>
      </c>
      <c r="E2199" t="inlineStr">
        <is>
          <t>YA (didukung konteks)</t>
        </is>
      </c>
    </row>
    <row r="2200">
      <c r="A2200" t="n">
        <v>187</v>
      </c>
      <c r="B2200" t="inlineStr">
        <is>
          <t>A</t>
        </is>
      </c>
      <c r="C2200" t="n">
        <v>1</v>
      </c>
      <c r="D2200" s="3" t="inlineStr">
        <is>
          <t>Saya akan menjawab pertanyaan dosen dengan cara yang sesuai dengan tipe kognitif mahasiswa, yaitu Level 5 Lanjut / Teoritis / Analitis / Reflektif.</t>
        </is>
      </c>
      <c r="E2200" t="inlineStr">
        <is>
          <t>YA (didukung konteks)</t>
        </is>
      </c>
    </row>
    <row r="2201">
      <c r="A2201" t="n">
        <v>187</v>
      </c>
      <c r="B2201" t="inlineStr">
        <is>
          <t>A</t>
        </is>
      </c>
      <c r="C2201" t="n">
        <v>2</v>
      </c>
      <c r="D2201" s="3" t="inlineStr">
        <is>
          <t>Saya berharap jawaban ini dapat memenuhi persyaratan dan memberikan gambaran yang jelas dan akurat tentang tiga cara menghitung faktorial.</t>
        </is>
      </c>
      <c r="E2201" t="inlineStr">
        <is>
          <t>YA (didukung konteks)</t>
        </is>
      </c>
    </row>
    <row r="2202">
      <c r="A2202" t="n">
        <v>187</v>
      </c>
      <c r="B2202" t="inlineStr">
        <is>
          <t>A</t>
        </is>
      </c>
      <c r="C2202" t="n">
        <v>3</v>
      </c>
      <c r="D2202" s="3" t="inlineStr">
        <is>
          <t>Faktorial adalah operasi matematika yang menghasilkan produk dari semua bilangan bulat positif sampai dengan suatu nilai tertentu.</t>
        </is>
      </c>
      <c r="E2202" t="inlineStr">
        <is>
          <t>YA (didukung konteks)</t>
        </is>
      </c>
    </row>
    <row r="2203">
      <c r="A2203" t="n">
        <v>187</v>
      </c>
      <c r="B2203" t="inlineStr">
        <is>
          <t>A</t>
        </is>
      </c>
      <c r="C2203" t="n">
        <v>4</v>
      </c>
      <c r="D2203" s="3" t="inlineStr">
        <is>
          <t>Namun, dalam beberapa kasus, cara rekursi biasa atau iterasi for loop mungkin lebih cocok bergantung pada kebutuhan aplikasinya.</t>
        </is>
      </c>
      <c r="E2203" t="inlineStr">
        <is>
          <t>YA (didukung konteks)</t>
        </is>
      </c>
    </row>
    <row r="2204">
      <c r="A2204" t="n">
        <v>187</v>
      </c>
      <c r="B2204" t="inlineStr">
        <is>
          <t>A</t>
        </is>
      </c>
      <c r="C2204" t="n">
        <v>5</v>
      </c>
      <c r="D2204" s="3" t="inlineStr">
        <is>
          <t>Ada tiga cara untuk menghitung faktorial: rekursi biasa, iterasi for loop, dan dengan rumus langsung (Stirling approximation).</t>
        </is>
      </c>
      <c r="E2204" t="inlineStr">
        <is>
          <t>YA (didukung konteks)</t>
        </is>
      </c>
    </row>
    <row r="2205">
      <c r="A2205" t="n">
        <v>187</v>
      </c>
      <c r="B2205" t="inlineStr">
        <is>
          <t>A</t>
        </is>
      </c>
      <c r="C2205" t="n">
        <v>6</v>
      </c>
      <c r="D2205" s="3" t="inlineStr">
        <is>
          <t>Namun, dari sisi Big-O, cara ini memiliki kompleksitas O(n), yang berarti waktu eksekusi meningkat linearly dengan nilai n.</t>
        </is>
      </c>
      <c r="E2205" t="inlineStr">
        <is>
          <t>YA (didukung konteks)</t>
        </is>
      </c>
    </row>
    <row r="2206">
      <c r="A2206" t="n">
        <v>187</v>
      </c>
      <c r="B2206" t="inlineStr">
        <is>
          <t>B</t>
        </is>
      </c>
      <c r="C2206" t="n">
        <v>1</v>
      </c>
      <c r="D2206" s="3" t="inlineStr">
        <is>
          <t>Dalam penghitungan faktorial, cara yang terbaik adalah menggunakan Stirling approximation (Rumus Langsung) karena memiliki waktu complexity O(1), akurasi yang tinggi, dan mudah digunakan dengan pengetahuan matematika yan</t>
        </is>
      </c>
      <c r="E2206" t="inlineStr">
        <is>
          <t>TIDAK (tidak didukung)</t>
        </is>
      </c>
    </row>
    <row r="2207">
      <c r="A2207" t="n">
        <v>187</v>
      </c>
      <c r="B2207" t="inlineStr">
        <is>
          <t>B</t>
        </is>
      </c>
      <c r="C2207" t="n">
        <v>2</v>
      </c>
      <c r="D2207" s="3" t="inlineStr">
        <is>
          <t>Dari sisi Big-O, iterasi for loop dan rekursi biasa memiliki waktu complexity O(n), sedangkan Stirling approximation memiliki waktu complexity O(1) karena tidak butuh melakukan iterasi atau rekursi.</t>
        </is>
      </c>
      <c r="E2207" t="inlineStr">
        <is>
          <t>YA (didukung konteks)</t>
        </is>
      </c>
    </row>
    <row r="2208">
      <c r="A2208" t="n">
        <v>187</v>
      </c>
      <c r="B2208" t="inlineStr">
        <is>
          <t>B</t>
        </is>
      </c>
      <c r="C2208" t="n">
        <v>3</v>
      </c>
      <c r="D2208" s="3" t="inlineStr">
        <is>
          <t>Dari sisi kemudahan implementasi, iterasi for loop dan rekursi biasa lebih mudah dipahami dan digunakan, namun Stirling approximation memerlukan pengetahuan matematika yang lebih dalam.</t>
        </is>
      </c>
      <c r="E2208" t="inlineStr">
        <is>
          <t>YA (didukung konteks)</t>
        </is>
      </c>
    </row>
    <row r="2209">
      <c r="A2209" t="n">
        <v>187</v>
      </c>
      <c r="B2209" t="inlineStr">
        <is>
          <t>B</t>
        </is>
      </c>
      <c r="C2209" t="n">
        <v>4</v>
      </c>
      <c r="D2209" s="3" t="inlineStr">
        <is>
          <t>Kelebihan cara ini adalah sangat cepat dan efisien karena tidak butuh melakukan iterasi atau rekursi, serta dapat menyelesaikan masalah untuk nilai n besar dengan akurasi yang tinggi.</t>
        </is>
      </c>
      <c r="E2209" t="inlineStr">
        <is>
          <t>YA (didukung konteks)</t>
        </is>
      </c>
    </row>
    <row r="2210">
      <c r="A2210" t="n">
        <v>187</v>
      </c>
      <c r="B2210" t="inlineStr">
        <is>
          <t>B</t>
        </is>
      </c>
      <c r="C2210" t="n">
        <v>5</v>
      </c>
      <c r="D2210" s="3" t="inlineStr">
        <is>
          <t>Cara ini menghitung faktorial dengan menggunakan definisi matematika bahwa faktorial dari sebuah bilangan n adalah produk semua bilangan natural yang lebih kecil atau sama dengan n.</t>
        </is>
      </c>
      <c r="E2210" t="inlineStr">
        <is>
          <t>YA (didukung konteks)</t>
        </is>
      </c>
    </row>
    <row r="2211">
      <c r="A2211" t="n">
        <v>187</v>
      </c>
      <c r="B2211" t="inlineStr">
        <is>
          <t>B</t>
        </is>
      </c>
      <c r="C2211" t="n">
        <v>6</v>
      </c>
      <c r="D2211" s="3" t="inlineStr">
        <is>
          <t>Cara ini menghitung faktorial dengan menggunakan for loop untuk melakukan iterasi dari 1 hingga n, lalu melakukan perkalian setiap nilai dalam range tersebut.</t>
        </is>
      </c>
      <c r="E2211" t="inlineStr">
        <is>
          <t>YA (didukung konteks)</t>
        </is>
      </c>
    </row>
    <row r="2212">
      <c r="A2212" t="n">
        <v>188</v>
      </c>
      <c r="B2212" t="inlineStr">
        <is>
          <t>A</t>
        </is>
      </c>
      <c r="C2212" t="n">
        <v>1</v>
      </c>
      <c r="D2212" s="3" t="inlineStr">
        <is>
          <t>Sebagai akhir, saya menyarankan Anda menggunakan nested if yang lebih jelas dan mudah dipahami daripada switch/case, sejak pseudocode CT kita hanya belajar mengenai if.</t>
        </is>
      </c>
      <c r="E2212" t="inlineStr">
        <is>
          <t>YA (didukung konteks)</t>
        </is>
      </c>
    </row>
    <row r="2213">
      <c r="A2213" t="n">
        <v>188</v>
      </c>
      <c r="B2213" t="inlineStr">
        <is>
          <t>A</t>
        </is>
      </c>
      <c r="C2213" t="n">
        <v>2</v>
      </c>
      <c r="D2213" s="3" t="inlineStr">
        <is>
          <t>Mahasiswa, saya paham bahwa Anda sedikit bingung memilih antara nested if dan switch/case untuk menentukan hari kerja berdasarkan angka 1-7.</t>
        </is>
      </c>
      <c r="E2213" t="inlineStr">
        <is>
          <t>YA (didukung konteks)</t>
        </is>
      </c>
    </row>
    <row r="2214">
      <c r="A2214" t="n">
        <v>188</v>
      </c>
      <c r="B2214" t="inlineStr">
        <is>
          <t>A</t>
        </is>
      </c>
      <c r="C2214" t="n">
        <v>3</v>
      </c>
      <c r="D2214" s="3" t="inlineStr">
        <is>
          <t>Namun, perlu diingat bahwa pseudocode CT kita hanya belajar mengenai if, sehingga tidak ada konstruk seperti switch/case secara langsung.</t>
        </is>
      </c>
      <c r="E2214" t="inlineStr">
        <is>
          <t>YA (didukung konteks)</t>
        </is>
      </c>
    </row>
    <row r="2215">
      <c r="A2215" t="n">
        <v>188</v>
      </c>
      <c r="B2215" t="inlineStr">
        <is>
          <t>A</t>
        </is>
      </c>
      <c r="C2215" t="n">
        <v>4</v>
      </c>
      <c r="D2215" s="3" t="inlineStr">
        <is>
          <t>Dalam contoh di atas, Anda dapat menggunakan operasi bitwise (AND, OR, NOT) untuk menggabungkan kondisi-kondisi tertentu.</t>
        </is>
      </c>
      <c r="E2215" t="inlineStr">
        <is>
          <t>YA (didukung konteks)</t>
        </is>
      </c>
    </row>
    <row r="2216">
      <c r="A2216" t="n">
        <v>188</v>
      </c>
      <c r="B2216" t="inlineStr">
        <is>
          <t>A</t>
        </is>
      </c>
      <c r="C2216" t="n">
        <v>5</v>
      </c>
      <c r="D2216" s="3" t="inlineStr">
        <is>
          <t>Namun, perlu diingat bahwa cara ini kurang elegan dan sulit dipahami jika tidak digunakan dengan benar.</t>
        </is>
      </c>
      <c r="E2216" t="inlineStr">
        <is>
          <t>YA (didukung konteks)</t>
        </is>
      </c>
    </row>
    <row r="2217">
      <c r="A2217" t="n">
        <v>188</v>
      </c>
      <c r="B2217" t="inlineStr">
        <is>
          <t>A</t>
        </is>
      </c>
      <c r="C2217" t="n">
        <v>6</v>
      </c>
      <c r="D2217" s="3" t="inlineStr">
        <is>
          <t>Namun, perlu diingat bahwa cara ini kurang efektif jika kondisi-kondisi tertentu banyak dan kompleks.</t>
        </is>
      </c>
      <c r="E2217" t="inlineStr">
        <is>
          <t>YA (didukung konteks)</t>
        </is>
      </c>
    </row>
    <row r="2218">
      <c r="A2218" t="n">
        <v>188</v>
      </c>
      <c r="B2218" t="inlineStr">
        <is>
          <t>B</t>
        </is>
      </c>
      <c r="C2218" t="n">
        <v>1</v>
      </c>
      <c r="D2218" s="3" t="inlineStr">
        <is>
          <t>Pertama-tama, perlu diingat bahwa pseudocode CT (Conditional Test) hanya menggunakan konstruk `if` untuk membuat keputusan, sehingga tidak ada konstruk seperti `switch/case`.</t>
        </is>
      </c>
      <c r="E2218" t="inlineStr">
        <is>
          <t>YA (didukung konteks)</t>
        </is>
      </c>
    </row>
    <row r="2219">
      <c r="A2219" t="n">
        <v>188</v>
      </c>
      <c r="B2219" t="inlineStr">
        <is>
          <t>B</t>
        </is>
      </c>
      <c r="C2219" t="n">
        <v>2</v>
      </c>
      <c r="D2219" s="3" t="inlineStr">
        <is>
          <t>Jika Anda memilih untuk menggunakan sintaks `if`, maka pastikan Anda mengorganisir kode dengan baik dan menggunakan komentar yang jelas agar kode menjadi lebih mudah dibaca.</t>
        </is>
      </c>
      <c r="E2219" t="inlineStr">
        <is>
          <t>YA (didukung konteks)</t>
        </is>
      </c>
    </row>
    <row r="2220">
      <c r="A2220" t="n">
        <v>188</v>
      </c>
      <c r="B2220" t="inlineStr">
        <is>
          <t>B</t>
        </is>
      </c>
      <c r="C2220" t="n">
        <v>3</v>
      </c>
      <c r="D2220" s="3" t="inlineStr">
        <is>
          <t>Namun, perlu diingat bahwa menggunakan sintaks `if` untuk membuat keputusan seperti di atas dapat membuat kode menjadi lebih kompleks dan sulit dibaca.</t>
        </is>
      </c>
      <c r="E2220" t="inlineStr">
        <is>
          <t>YA (didukung konteks)</t>
        </is>
      </c>
    </row>
    <row r="2221">
      <c r="A2221" t="n">
        <v>188</v>
      </c>
      <c r="B2221" t="inlineStr">
        <is>
          <t>B</t>
        </is>
      </c>
      <c r="C2221" t="n">
        <v>4</v>
      </c>
      <c r="D2221" s="3" t="inlineStr">
        <is>
          <t>Oleh karena itu, jika Anda memiliki banyak kondisi yang harus diperiksa, maka penggunaan `switch/case` mungkin akan lebih efektif dan mudah dipahami.</t>
        </is>
      </c>
      <c r="E2221" t="inlineStr">
        <is>
          <t>YA (didukung konteks)</t>
        </is>
      </c>
    </row>
    <row r="2222">
      <c r="A2222" t="n">
        <v>188</v>
      </c>
      <c r="B2222" t="inlineStr">
        <is>
          <t>B</t>
        </is>
      </c>
      <c r="C2222" t="n">
        <v>5</v>
      </c>
      <c r="D2222" s="3" t="inlineStr">
        <is>
          <t>Dalam contoh di atas, kita menggunakan beberapa sintaks `if` untuk membuat keputusan berdasarkan nilai `day`.</t>
        </is>
      </c>
      <c r="E2222" t="inlineStr">
        <is>
          <t>YA (didukung konteks)</t>
        </is>
      </c>
    </row>
    <row r="2223">
      <c r="A2223" t="n">
        <v>188</v>
      </c>
      <c r="B2223" t="inlineStr">
        <is>
          <t>B</t>
        </is>
      </c>
      <c r="C2223" t="n">
        <v>6</v>
      </c>
      <c r="D2223" s="3" t="inlineStr">
        <is>
          <t>Berikut adalah contoh pseudocode yang mirip dengan `switch/case` menggunakan sintaks `if`:</t>
        </is>
      </c>
      <c r="E2223" t="inlineStr">
        <is>
          <t>YA (didukung konteks)</t>
        </is>
      </c>
    </row>
    <row r="2224">
      <c r="A2224" t="n">
        <v>189</v>
      </c>
      <c r="B2224" t="inlineStr">
        <is>
          <t>A</t>
        </is>
      </c>
      <c r="C2224" t="n">
        <v>1</v>
      </c>
      <c r="D2224" s="3" t="inlineStr">
        <is>
          <t>Namun, dalam kasus-kasus lainnya, sorting dulu lalu ambil elemen terakhir mungkin lebih efektif, terutama jika ukuran input besar dan algoritme sorting yang digunakan memiliki kompleksitas waktu yang lebih baik.</t>
        </is>
      </c>
      <c r="E2224" t="inlineStr">
        <is>
          <t>YA (didukung konteks)</t>
        </is>
      </c>
    </row>
    <row r="2225">
      <c r="A2225" t="n">
        <v>189</v>
      </c>
      <c r="B2225" t="inlineStr">
        <is>
          <t>A</t>
        </is>
      </c>
      <c r="C2225" t="n">
        <v>2</v>
      </c>
      <c r="D2225" s="3" t="inlineStr">
        <is>
          <t>Sementara itu, sorting dulu lalu ambil elemen terakhir memiliki kompleksitas O(n log n) atau O(n^2), dependen pada algoritme sorting yang digunakan.</t>
        </is>
      </c>
      <c r="E2225" t="inlineStr">
        <is>
          <t>YA (didukung konteks)</t>
        </is>
      </c>
    </row>
    <row r="2226">
      <c r="A2226" t="n">
        <v>189</v>
      </c>
      <c r="B2226" t="inlineStr">
        <is>
          <t>A</t>
        </is>
      </c>
      <c r="C2226" t="n">
        <v>3</v>
      </c>
      <c r="D2226" s="3" t="inlineStr">
        <is>
          <t>Kita harus mempertimbangkan kompleksitas waktu dan ruang, serta keterbatasan input, sebelum memutuskan mana yang akan digunakan.</t>
        </is>
      </c>
      <c r="E2226" t="inlineStr">
        <is>
          <t>YA (didukung konteks)</t>
        </is>
      </c>
    </row>
    <row r="2227">
      <c r="A2227" t="n">
        <v>189</v>
      </c>
      <c r="B2227" t="inlineStr">
        <is>
          <t>A</t>
        </is>
      </c>
      <c r="C2227" t="n">
        <v>4</v>
      </c>
      <c r="D2227" s="3" t="inlineStr">
        <is>
          <t>Dalam beberapa kasus, linear scan satu pass dapat menjadi pilihan yang lebih efisien, terutama jika ukuran input relatif kecil.</t>
        </is>
      </c>
      <c r="E2227" t="inlineStr">
        <is>
          <t>YA (didukung konteks)</t>
        </is>
      </c>
    </row>
    <row r="2228">
      <c r="A2228" t="n">
        <v>189</v>
      </c>
      <c r="B2228" t="inlineStr">
        <is>
          <t>A</t>
        </is>
      </c>
      <c r="C2228" t="n">
        <v>5</v>
      </c>
      <c r="D2228" s="3" t="inlineStr">
        <is>
          <t>Linear scan satu pass memiliki kompleksitas O(n), yang berarti bahwa waktu eksekusi akan meningkat linier dengan ukuran input.</t>
        </is>
      </c>
      <c r="E2228" t="inlineStr">
        <is>
          <t>YA (didukung konteks)</t>
        </is>
      </c>
    </row>
    <row r="2229">
      <c r="A2229" t="n">
        <v>189</v>
      </c>
      <c r="B2229" t="inlineStr">
        <is>
          <t>A</t>
        </is>
      </c>
      <c r="C2229" t="n">
        <v>6</v>
      </c>
      <c r="D2229" s="3" t="inlineStr">
        <is>
          <t>Namun, jika kita menggunakan algoritme sorting seperti quicksort atau mergesort, kompleksitas waktu akan lebih baik.</t>
        </is>
      </c>
      <c r="E2229" t="inlineStr">
        <is>
          <t>YA (didukung konteks)</t>
        </is>
      </c>
    </row>
    <row r="2230">
      <c r="A2230" t="n">
        <v>189</v>
      </c>
      <c r="B2230" t="inlineStr">
        <is>
          <t>B</t>
        </is>
      </c>
      <c r="C2230" t="n">
        <v>1</v>
      </c>
      <c r="D2230" s="3" t="inlineStr">
        <is>
          <t>Pendekatan pertama, linear scan satu pass, memiliki kompleksitas O(n), karena kita hanya perlu melakukan iterasi sekali melalui array untuk menemukan nilai terbesar.</t>
        </is>
      </c>
      <c r="E2230" t="inlineStr">
        <is>
          <t>YA (didukung konteks)</t>
        </is>
      </c>
    </row>
    <row r="2231">
      <c r="A2231" t="n">
        <v>189</v>
      </c>
      <c r="B2231" t="inlineStr">
        <is>
          <t>B</t>
        </is>
      </c>
      <c r="C2231" t="n">
        <v>2</v>
      </c>
      <c r="D2231" s="3" t="inlineStr">
        <is>
          <t>Pendekatan kedua, sorting dulu lalu ambil elemen terakhir, juga memiliki kompleksitas O(n log n) jika menggunakan algoritma sorting seperti quicksort atau mergesort.</t>
        </is>
      </c>
      <c r="E2231" t="inlineStr">
        <is>
          <t>YA (didukung konteks)</t>
        </is>
      </c>
    </row>
    <row r="2232">
      <c r="A2232" t="n">
        <v>189</v>
      </c>
      <c r="B2232" t="inlineStr">
        <is>
          <t>B</t>
        </is>
      </c>
      <c r="C2232" t="n">
        <v>3</v>
      </c>
      <c r="D2232" s="3" t="inlineStr">
        <is>
          <t>Jika implementasi sorting dulu lalu ambil elemen terakhir dilakukan dengan baik, maka dapat jauh lebih cepat daripada linear scan satu pass jika array sangat besar.</t>
        </is>
      </c>
      <c r="E2232" t="inlineStr">
        <is>
          <t>YA (didukung konteks)</t>
        </is>
      </c>
    </row>
    <row r="2233">
      <c r="A2233" t="n">
        <v>189</v>
      </c>
      <c r="B2233" t="inlineStr">
        <is>
          <t>B</t>
        </is>
      </c>
      <c r="C2233" t="n">
        <v>4</v>
      </c>
      <c r="D2233" s="3" t="inlineStr">
        <is>
          <t>Dalam konklusi, jika tujuan adalah mencari nilai terbesar dalam array n elemen dan kompleksitas bukan masalah, maka pendekatan linear scan satu pass lebih efisien.</t>
        </is>
      </c>
      <c r="E2233" t="inlineStr">
        <is>
          <t>YA (didukung konteks)</t>
        </is>
      </c>
    </row>
    <row r="2234">
      <c r="A2234" t="n">
        <v>189</v>
      </c>
      <c r="B2234" t="inlineStr">
        <is>
          <t>B</t>
        </is>
      </c>
      <c r="C2234" t="n">
        <v>5</v>
      </c>
      <c r="D2234" s="3" t="inlineStr">
        <is>
          <t>Untuk mencari nilai terbesar dalam array n elemen, dua pendekatan yang dapat dilakukan adalah linear scan satu pass dan sorting dulu lalu ambil elemen terakhir.</t>
        </is>
      </c>
      <c r="E2234" t="inlineStr">
        <is>
          <t>YA (didukung konteks)</t>
        </is>
      </c>
    </row>
    <row r="2235">
      <c r="A2235" t="n">
        <v>189</v>
      </c>
      <c r="B2235" t="inlineStr">
        <is>
          <t>B</t>
        </is>
      </c>
      <c r="C2235" t="n">
        <v>6</v>
      </c>
      <c r="D2235" s="3" t="inlineStr">
        <is>
          <t>Namun, jika memungkinkan dan implementasinya dapat dilakukan dengan baik, maka sorting dulu lalu ambil elemen terakhir juga dapat menjadi pilihan yang baik.</t>
        </is>
      </c>
      <c r="E2235" t="inlineStr">
        <is>
          <t>YA (didukung konteks)</t>
        </is>
      </c>
    </row>
    <row r="2236">
      <c r="A2236" t="n">
        <v>190</v>
      </c>
      <c r="B2236" t="inlineStr">
        <is>
          <t>A</t>
        </is>
      </c>
      <c r="C2236" t="n">
        <v>1</v>
      </c>
      <c r="D2236" s="3" t="inlineStr">
        <is>
          <t>Based on the given materials and the level of cognitive function of the students (Level 5 Lanjut / Pragmatis / Analitis / Reflektif), I will provide a solution to the problem.</t>
        </is>
      </c>
      <c r="E2236" t="inlineStr">
        <is>
          <t>YA (didukung konteks)</t>
        </is>
      </c>
    </row>
    <row r="2237">
      <c r="A2237" t="n">
        <v>190</v>
      </c>
      <c r="B2237" t="inlineStr">
        <is>
          <t>A</t>
        </is>
      </c>
      <c r="C2237" t="n">
        <v>2</v>
      </c>
      <c r="D2237" s="3" t="inlineStr">
        <is>
          <t>This algorithm breaks down the complex task into smaller, more manageable parts, and uses concepts such as averaging, filtering, and ranking to solve it.</t>
        </is>
      </c>
      <c r="E2237" t="inlineStr">
        <is>
          <t>YA (didukung konteks)</t>
        </is>
      </c>
    </row>
    <row r="2238">
      <c r="A2238" t="n">
        <v>190</v>
      </c>
      <c r="B2238" t="inlineStr">
        <is>
          <t>A</t>
        </is>
      </c>
      <c r="C2238" t="n">
        <v>3</v>
      </c>
      <c r="D2238" s="3" t="inlineStr">
        <is>
          <t>The output of this algorithm is a list of recommended movies that have not been watched by users with the highest average rating.</t>
        </is>
      </c>
      <c r="E2238" t="inlineStr">
        <is>
          <t>TIDAK (tidak didukung)</t>
        </is>
      </c>
    </row>
    <row r="2239">
      <c r="A2239" t="n">
        <v>190</v>
      </c>
      <c r="B2239" t="inlineStr">
        <is>
          <t>A</t>
        </is>
      </c>
      <c r="C2239" t="n">
        <v>4</v>
      </c>
      <c r="D2239" s="3" t="inlineStr">
        <is>
          <t>Note: This solution is based on the given materials and assumes that the user ratings are available for each movie.</t>
        </is>
      </c>
      <c r="E2239" t="inlineStr">
        <is>
          <t>TIDAK (tidak didukung)</t>
        </is>
      </c>
    </row>
    <row r="2240">
      <c r="A2240" t="n">
        <v>190</v>
      </c>
      <c r="B2240" t="inlineStr">
        <is>
          <t>A</t>
        </is>
      </c>
      <c r="C2240" t="n">
        <v>5</v>
      </c>
      <c r="D2240" s="3" t="inlineStr">
        <is>
          <t>To break down this complex task into smaller, more manageable parts (dekomposisi), we can follow these steps:</t>
        </is>
      </c>
      <c r="E2240" t="inlineStr">
        <is>
          <t>YA (didukung konteks)</t>
        </is>
      </c>
    </row>
    <row r="2241">
      <c r="A2241" t="n">
        <v>190</v>
      </c>
      <c r="B2241" t="inlineStr">
        <is>
          <t>A</t>
        </is>
      </c>
      <c r="C2241" t="n">
        <v>6</v>
      </c>
      <c r="D2241" s="3" t="inlineStr">
        <is>
          <t>* Output: a list of recommended movies that have not been watched by users with the highest average rating</t>
        </is>
      </c>
      <c r="E2241" t="inlineStr">
        <is>
          <t>TIDAK (tidak didukung)</t>
        </is>
      </c>
    </row>
    <row r="2242">
      <c r="A2242" t="n">
        <v>190</v>
      </c>
      <c r="B2242" t="inlineStr">
        <is>
          <t>B</t>
        </is>
      </c>
      <c r="C2242" t="n">
        <v>1</v>
      </c>
      <c r="D2242" s="3" t="inlineStr">
        <is>
          <t>**Menghitung Rating Rata-Rata**: Hitung rating rata-rata untuk setiap film yang belum ditonton oleh user menggunakan perkalian dot product antara baris film dan kolom user.</t>
        </is>
      </c>
      <c r="E2242" t="inlineStr">
        <is>
          <t>YA (didukung konteks)</t>
        </is>
      </c>
    </row>
    <row r="2243">
      <c r="A2243" t="n">
        <v>190</v>
      </c>
      <c r="B2243" t="inlineStr">
        <is>
          <t>B</t>
        </is>
      </c>
      <c r="C2243" t="n">
        <v>2</v>
      </c>
      <c r="D2243" s="3" t="inlineStr">
        <is>
          <t>Lalu, kita menghitung rating rata-rata untuk setiap film yang belum ditonton oleh user menggunakan perkalian dot product antara baris film dan kolom user.</t>
        </is>
      </c>
      <c r="E2243" t="inlineStr">
        <is>
          <t>TIDAK (tidak didukung)</t>
        </is>
      </c>
    </row>
    <row r="2244">
      <c r="A2244" t="n">
        <v>190</v>
      </c>
      <c r="B2244" t="inlineStr">
        <is>
          <t>B</t>
        </is>
      </c>
      <c r="C2244" t="n">
        <v>3</v>
      </c>
      <c r="D2244" s="3" t="inlineStr">
        <is>
          <t>Algoritme tersebut terdiri dari penghitungan rating rata-rata dan pemilihan film dengan rating rata-rata tertinggi sebagai rekomendasi.</t>
        </is>
      </c>
      <c r="E2244" t="inlineStr">
        <is>
          <t>YA (didukung konteks)</t>
        </is>
      </c>
    </row>
    <row r="2245">
      <c r="A2245" t="n">
        <v>190</v>
      </c>
      <c r="B2245" t="inlineStr">
        <is>
          <t>B</t>
        </is>
      </c>
      <c r="C2245" t="n">
        <v>4</v>
      </c>
      <c r="D2245" s="3" t="inlineStr">
        <is>
          <t>Sebagai perancang sistem rekomendasi, saya akan menjelaskan langkah-langkah untuk membuat algoritme yang sesuai dengan kebutuhan Anda.</t>
        </is>
      </c>
      <c r="E2245" t="inlineStr">
        <is>
          <t>YA (didukung konteks)</t>
        </is>
      </c>
    </row>
    <row r="2246">
      <c r="A2246" t="n">
        <v>190</v>
      </c>
      <c r="B2246" t="inlineStr">
        <is>
          <t>B</t>
        </is>
      </c>
      <c r="C2246" t="n">
        <v>5</v>
      </c>
      <c r="D2246" s="3" t="inlineStr">
        <is>
          <t>Dengan demikian, Anda dapat membuat sistem rekomendasi yang efektif untuk menawarkan film-film yang belum ditonton oleh user.</t>
        </is>
      </c>
      <c r="E2246" t="inlineStr">
        <is>
          <t>YA (didukung konteks)</t>
        </is>
      </c>
    </row>
    <row r="2247">
      <c r="A2247" t="n">
        <v>190</v>
      </c>
      <c r="B2247" t="inlineStr">
        <is>
          <t>B</t>
        </is>
      </c>
      <c r="C2247" t="n">
        <v>6</v>
      </c>
      <c r="D2247" s="3" t="inlineStr">
        <is>
          <t>Dalam kesimpulannya, algoritme dasar untuk sistem rekomendasi film sederhana menggunakan Collaborative Filtering (CF).</t>
        </is>
      </c>
      <c r="E2247" t="inlineStr">
        <is>
          <t>TIDAK (tidak didukung)</t>
        </is>
      </c>
    </row>
    <row r="2248">
      <c r="A2248" t="n">
        <v>191</v>
      </c>
      <c r="B2248" t="inlineStr">
        <is>
          <t>A</t>
        </is>
      </c>
      <c r="C2248" t="n">
        <v>1</v>
      </c>
      <c r="D2248" s="3" t="inlineStr">
        <is>
          <t>Dalam aplikasi to-do list yang Anda buat, struktur data yang paling cocok adalah menggunakan linked list atau array dengan field "priority" untuk menampilkan tugas berdasarkan prioritas.</t>
        </is>
      </c>
      <c r="E2248" t="inlineStr">
        <is>
          <t>YA (didukung konteks)</t>
        </is>
      </c>
    </row>
    <row r="2249">
      <c r="A2249" t="n">
        <v>191</v>
      </c>
      <c r="B2249" t="inlineStr">
        <is>
          <t>A</t>
        </is>
      </c>
      <c r="C2249" t="n">
        <v>2</v>
      </c>
      <c r="D2249" s="3" t="inlineStr">
        <is>
          <t>* Tampilkan tugas berdasarkan prioritas: Iterasi linked list atau array untuk menampilkan tugas yang memiliki prioritas tertinggi terlebih dahulu.</t>
        </is>
      </c>
      <c r="E2249" t="inlineStr">
        <is>
          <t>YA (didukung konteks)</t>
        </is>
      </c>
    </row>
    <row r="2250">
      <c r="A2250" t="n">
        <v>191</v>
      </c>
      <c r="B2250" t="inlineStr">
        <is>
          <t>A</t>
        </is>
      </c>
      <c r="C2250" t="n">
        <v>3</v>
      </c>
      <c r="D2250" s="3" t="inlineStr">
        <is>
          <t>Dalam contoh di atas, saya menggunakan istilah teknis seperti "linked list", "array", dan "prioritas" yang sesuai dengan materi referensi.</t>
        </is>
      </c>
      <c r="E2250" t="inlineStr">
        <is>
          <t>YA (didukung konteks)</t>
        </is>
      </c>
    </row>
    <row r="2251">
      <c r="A2251" t="n">
        <v>191</v>
      </c>
      <c r="B2251" t="inlineStr">
        <is>
          <t>A</t>
        </is>
      </c>
      <c r="C2251" t="n">
        <v>4</v>
      </c>
      <c r="D2251" s="3" t="inlineStr">
        <is>
          <t>* Hapus tugas selesai: Iterasi linked list atau array untuk mencari node yang memiliki status "selesai", lalu hapus node tersebut.</t>
        </is>
      </c>
      <c r="E2251" t="inlineStr">
        <is>
          <t>YA (didukung konteks)</t>
        </is>
      </c>
    </row>
    <row r="2252">
      <c r="A2252" t="n">
        <v>191</v>
      </c>
      <c r="B2252" t="inlineStr">
        <is>
          <t>A</t>
        </is>
      </c>
      <c r="C2252" t="n">
        <v>5</v>
      </c>
      <c r="D2252" s="3" t="inlineStr">
        <is>
          <t>Linked list memungkinkan Anda untuk menghapus tugas selesai dengan mudah karena Anda hanya perlu menghilangkan node yang sesuai.</t>
        </is>
      </c>
      <c r="E2252" t="inlineStr">
        <is>
          <t>YA (didukung konteks)</t>
        </is>
      </c>
    </row>
    <row r="2253">
      <c r="A2253" t="n">
        <v>191</v>
      </c>
      <c r="B2253" t="inlineStr">
        <is>
          <t>A</t>
        </is>
      </c>
      <c r="C2253" t="n">
        <v>6</v>
      </c>
      <c r="D2253" s="3" t="inlineStr">
        <is>
          <t>Saya juga menjelaskan konsep utama secara langsung dan akurat, serta menggunakan contoh konkret untuk memudahkan pemahaman.</t>
        </is>
      </c>
      <c r="E2253" t="inlineStr">
        <is>
          <t>YA (didukung konteks)</t>
        </is>
      </c>
    </row>
    <row r="2254">
      <c r="A2254" t="n">
        <v>191</v>
      </c>
      <c r="B2254" t="inlineStr">
        <is>
          <t>B</t>
        </is>
      </c>
      <c r="C2254" t="n">
        <v>1</v>
      </c>
      <c r="D2254" s="3" t="inlineStr">
        <is>
          <t>Anda dapat menggunakan struktur data berbasis array atau linked list dengan node-node yang berisi informasi tentang tugas, seperti judul, deskripsi, prioritas, dan status (belum selesai atau selesai).</t>
        </is>
      </c>
      <c r="E2254" t="inlineStr">
        <is>
          <t>YA (didukung konteks)</t>
        </is>
      </c>
    </row>
    <row r="2255">
      <c r="A2255" t="n">
        <v>191</v>
      </c>
      <c r="B2255" t="inlineStr">
        <is>
          <t>B</t>
        </is>
      </c>
      <c r="C2255" t="n">
        <v>2</v>
      </c>
      <c r="D2255" s="3" t="inlineStr">
        <is>
          <t>Anda perlu menyesuaikan dengan kebutuhan aplikasi Anda dan memastikan bahwa pseudocode tersebut sesuai dengan struktur data yang digunakan.</t>
        </is>
      </c>
      <c r="E2255" t="inlineStr">
        <is>
          <t>YA (didukung konteks)</t>
        </is>
      </c>
    </row>
    <row r="2256">
      <c r="A2256" t="n">
        <v>191</v>
      </c>
      <c r="B2256" t="inlineStr">
        <is>
          <t>B</t>
        </is>
      </c>
      <c r="C2256" t="n">
        <v>3</v>
      </c>
      <c r="D2256" s="3" t="inlineStr">
        <is>
          <t>Dalam pengembangan aplikasi to-do list, Anda perlu menggunakan struktur data yang sesuai dengan kebutuhan fitur-fiturnya.</t>
        </is>
      </c>
      <c r="E2256" t="inlineStr">
        <is>
          <t>YA (didukung konteks)</t>
        </is>
      </c>
    </row>
    <row r="2257">
      <c r="A2257" t="n">
        <v>191</v>
      </c>
      <c r="B2257" t="inlineStr">
        <is>
          <t>B</t>
        </is>
      </c>
      <c r="C2257" t="n">
        <v>4</v>
      </c>
      <c r="D2257" s="3" t="inlineStr">
        <is>
          <t>Berikut adalah rekomendasi struktur data dan pseudocode untuk masing-masing operasi:</t>
        </is>
      </c>
      <c r="E2257" t="inlineStr">
        <is>
          <t>YA (didukung konteks)</t>
        </is>
      </c>
    </row>
    <row r="2258">
      <c r="A2258" t="n">
        <v>191</v>
      </c>
      <c r="B2258" t="inlineStr">
        <is>
          <t>B</t>
        </is>
      </c>
      <c r="C2258" t="n">
        <v>5</v>
      </c>
      <c r="D2258" s="3" t="inlineStr">
        <is>
          <t>// Cari posisi yang paling sesuai untuk menambahkan tugas baru berdasarkan prioritas</t>
        </is>
      </c>
      <c r="E2258" t="inlineStr">
        <is>
          <t>YA (didukung konteks)</t>
        </is>
      </c>
    </row>
    <row r="2259">
      <c r="A2259" t="n">
        <v>191</v>
      </c>
      <c r="B2259" t="inlineStr">
        <is>
          <t>B</t>
        </is>
      </c>
      <c r="C2259" t="n">
        <v>6</v>
      </c>
      <c r="D2259" s="3" t="inlineStr">
        <is>
          <t>while (i &lt; taskList.length &amp;&amp; taskList[i].priority &gt;= newTask.priority) {</t>
        </is>
      </c>
      <c r="E2259" t="inlineStr">
        <is>
          <t>YA (didukung konteks)</t>
        </is>
      </c>
    </row>
    <row r="2260">
      <c r="A2260" t="n">
        <v>192</v>
      </c>
      <c r="B2260" t="inlineStr">
        <is>
          <t>A</t>
        </is>
      </c>
      <c r="C2260" t="n">
        <v>1</v>
      </c>
      <c r="D2260" s="3" t="inlineStr">
        <is>
          <t>For part (a), the gejala is "Website saya lambat setiap hari Senin pagi." The root cause is likely due to scheduled job/batch process running every Monday morning, consuming many resources and causing the website to be s</t>
        </is>
      </c>
      <c r="E2260" t="inlineStr">
        <is>
          <t>TIDAK (tidak didukung)</t>
        </is>
      </c>
    </row>
    <row r="2261">
      <c r="A2261" t="n">
        <v>192</v>
      </c>
      <c r="B2261" t="inlineStr">
        <is>
          <t>A</t>
        </is>
      </c>
      <c r="C2261" t="n">
        <v>2</v>
      </c>
      <c r="D2261" s="3" t="inlineStr">
        <is>
          <t>Regarding part (b), the gejala is "Nilai ujian mahasiswa turun 20% dibanding semester lalu." The root cause could be attributed to changes in teaching methods or curriculum, leading to a decrease in student performance.</t>
        </is>
      </c>
      <c r="E2261" t="inlineStr">
        <is>
          <t>YA (didukung konteks)</t>
        </is>
      </c>
    </row>
    <row r="2262">
      <c r="A2262" t="n">
        <v>192</v>
      </c>
      <c r="B2262" t="inlineStr">
        <is>
          <t>A</t>
        </is>
      </c>
      <c r="C2262" t="n">
        <v>3</v>
      </c>
      <c r="D2262" s="3" t="inlineStr">
        <is>
          <t>As an example, when solving the problem of finding pairs of integers with a given difference (d), we would start by identifying the goal (finding the number of pairs) and then decompose the process into smaller steps:</t>
        </is>
      </c>
      <c r="E2262" t="inlineStr">
        <is>
          <t>YA (didukung konteks)</t>
        </is>
      </c>
    </row>
    <row r="2263">
      <c r="A2263" t="n">
        <v>192</v>
      </c>
      <c r="B2263" t="inlineStr">
        <is>
          <t>A</t>
        </is>
      </c>
      <c r="C2263" t="n">
        <v>4</v>
      </c>
      <c r="D2263" s="3" t="inlineStr">
        <is>
          <t>Moving on to decomposition in programming, it is essential to identify the goal or main objective of a problem and then break it down into smaller sub-problems that can be solved individually.</t>
        </is>
      </c>
      <c r="E2263" t="inlineStr">
        <is>
          <t>YA (didukung konteks)</t>
        </is>
      </c>
    </row>
    <row r="2264">
      <c r="A2264" t="n">
        <v>192</v>
      </c>
      <c r="B2264" t="inlineStr">
        <is>
          <t>A</t>
        </is>
      </c>
      <c r="C2264" t="n">
        <v>5</v>
      </c>
      <c r="D2264" s="3" t="inlineStr">
        <is>
          <t>As a tutor for computational thinking, I understand that the task is to identify the root cause of each symptom and explain the concept of decomposition in programming.</t>
        </is>
      </c>
      <c r="E2264" t="inlineStr">
        <is>
          <t>YA (didukung konteks)</t>
        </is>
      </c>
    </row>
    <row r="2265">
      <c r="A2265" t="n">
        <v>192</v>
      </c>
      <c r="B2265" t="inlineStr">
        <is>
          <t>A</t>
        </is>
      </c>
      <c r="C2265" t="n">
        <v>6</v>
      </c>
      <c r="D2265" s="3" t="inlineStr">
        <is>
          <t>For part (c), the gejala is "Printer kantor sering macet." The root cause could be attributed to hardware issues, software bugs, or poor maintenance of the printer.</t>
        </is>
      </c>
      <c r="E2265" t="inlineStr">
        <is>
          <t>YA (didukung konteks)</t>
        </is>
      </c>
    </row>
    <row r="2266">
      <c r="A2266" t="n">
        <v>192</v>
      </c>
      <c r="B2266" t="inlineStr">
        <is>
          <t>B</t>
        </is>
      </c>
      <c r="C2266" t="n">
        <v>1</v>
      </c>
      <c r="D2266" s="3" t="inlineStr">
        <is>
          <t>Menggunakan Hashing: Kita dapat menggunakan hashing untuk mengidentifikasi elemen yang unik dan kemudian mencari apakah elemen tersebut muncul lebih dari sekali dalam array.</t>
        </is>
      </c>
      <c r="E2266" t="inlineStr">
        <is>
          <t>YA (didukung konteks)</t>
        </is>
      </c>
    </row>
    <row r="2267">
      <c r="A2267" t="n">
        <v>192</v>
      </c>
      <c r="B2267" t="inlineStr">
        <is>
          <t>B</t>
        </is>
      </c>
      <c r="C2267" t="n">
        <v>2</v>
      </c>
      <c r="D2267" s="3" t="inlineStr">
        <is>
          <t>Menggunakan Set: Kita dapat menggunakan set untuk mengidentifikasi elemen yang unik dan kemudian mencari apakah elemen tersebut muncul lebih dari sekali dalam array.</t>
        </is>
      </c>
      <c r="E2267" t="inlineStr">
        <is>
          <t>YA (didukung konteks)</t>
        </is>
      </c>
    </row>
    <row r="2268">
      <c r="A2268" t="n">
        <v>192</v>
      </c>
      <c r="B2268" t="inlineStr">
        <is>
          <t>B</t>
        </is>
      </c>
      <c r="C2268" t="n">
        <v>3</v>
      </c>
      <c r="D2268" s="3" t="inlineStr">
        <is>
          <t>Pertanyaan tersebut menuntut analisis kompleksitas program cek duplikat dalam array, yaitu mencari apakah ada elemen yang muncul lebih dari sekali.</t>
        </is>
      </c>
      <c r="E2268" t="inlineStr">
        <is>
          <t>YA (didukung konteks)</t>
        </is>
      </c>
    </row>
    <row r="2269">
      <c r="A2269" t="n">
        <v>192</v>
      </c>
      <c r="B2269" t="inlineStr">
        <is>
          <t>B</t>
        </is>
      </c>
      <c r="C2269" t="n">
        <v>4</v>
      </c>
      <c r="D2269" s="3" t="inlineStr">
        <is>
          <t>Dalam kesimpulan, pendekatan naif memiliki kompleksitas O(n^2), sedangkan pendekatan menggunakan set atau hashing memiliki kompleksitas O(n).</t>
        </is>
      </c>
      <c r="E2269" t="inlineStr">
        <is>
          <t>YA (didukung konteks)</t>
        </is>
      </c>
    </row>
    <row r="2270">
      <c r="A2270" t="n">
        <v>192</v>
      </c>
      <c r="B2270" t="inlineStr">
        <is>
          <t>B</t>
        </is>
      </c>
      <c r="C2270" t="n">
        <v>5</v>
      </c>
      <c r="D2270" s="3" t="inlineStr">
        <is>
          <t>Menggunakan Sorting: Kita dapat mengurutkan array terlebih dahulu dan kemudian mencari apakah elemen yang sama muncul lebih dari sekali.</t>
        </is>
      </c>
      <c r="E2270" t="inlineStr">
        <is>
          <t>YA (didukung konteks)</t>
        </is>
      </c>
    </row>
    <row r="2271">
      <c r="A2271" t="n">
        <v>192</v>
      </c>
      <c r="B2271" t="inlineStr">
        <is>
          <t>B</t>
        </is>
      </c>
      <c r="C2271" t="n">
        <v>6</v>
      </c>
      <c r="D2271" s="3" t="inlineStr">
        <is>
          <t>Dalam pendekatan ini, kita perlu melakukan looping untuk setiap pair of elements dan memeriksa apakah mereka sama atau tidak.</t>
        </is>
      </c>
      <c r="E2271" t="inlineStr">
        <is>
          <t>YA (didukung konteks)</t>
        </is>
      </c>
    </row>
    <row r="2272">
      <c r="A2272" t="n">
        <v>193</v>
      </c>
      <c r="B2272" t="inlineStr">
        <is>
          <t>A</t>
        </is>
      </c>
      <c r="C2272" t="n">
        <v>1</v>
      </c>
      <c r="D2272" s="3" t="inlineStr">
        <is>
          <t>Fungsi ini menggunakan dua kondisi: jika n == 0, maka fungsi akan return 0; jika n mod 2 == 0, maka fungsi akan panggil dirinya sendiri dengan argument n/2, sehingga fungsi akan mencari FPB dari bilangan n.</t>
        </is>
      </c>
      <c r="E2272" t="inlineStr">
        <is>
          <t>YA (didukung konteks)</t>
        </is>
      </c>
    </row>
    <row r="2273">
      <c r="A2273" t="n">
        <v>193</v>
      </c>
      <c r="B2273" t="inlineStr">
        <is>
          <t>A</t>
        </is>
      </c>
      <c r="C2273" t="n">
        <v>2</v>
      </c>
      <c r="D2273" s="3" t="inlineStr">
        <is>
          <t>Dalam sintesis, fungsi "mystery(n)" memeriksa apakah bilangan n adalah genap atau ganjil, dan menghitung jumlah bilangan ganjil yang terdapat dalam bilangan n.</t>
        </is>
      </c>
      <c r="E2273" t="inlineStr">
        <is>
          <t>YA (didukung konteks)</t>
        </is>
      </c>
    </row>
    <row r="2274">
      <c r="A2274" t="n">
        <v>193</v>
      </c>
      <c r="B2274" t="inlineStr">
        <is>
          <t>A</t>
        </is>
      </c>
      <c r="C2274" t="n">
        <v>3</v>
      </c>
      <c r="D2274" s="3" t="inlineStr">
        <is>
          <t>Fungsi "mystery(n)" adalah fungsi rekursif yang memeriksa apakah bilangan n adalah bilangan ganjil atau genap, dan menghitung hasilnya.</t>
        </is>
      </c>
      <c r="E2274" t="inlineStr">
        <is>
          <t>YA (didukung konteks)</t>
        </is>
      </c>
    </row>
    <row r="2275">
      <c r="A2275" t="n">
        <v>193</v>
      </c>
      <c r="B2275" t="inlineStr">
        <is>
          <t>A</t>
        </is>
      </c>
      <c r="C2275" t="n">
        <v>4</v>
      </c>
      <c r="D2275" s="3" t="inlineStr">
        <is>
          <t>Dalam kasus ini, fungsi akan menghitung jumlah bilangan ganjil yang terdapat dalam bilangan n.</t>
        </is>
      </c>
      <c r="E2275" t="inlineStr">
        <is>
          <t>YA (didukung konteks)</t>
        </is>
      </c>
    </row>
    <row r="2276">
      <c r="A2276" t="n">
        <v>193</v>
      </c>
      <c r="B2276" t="inlineStr">
        <is>
          <t>A</t>
        </is>
      </c>
      <c r="C2276" t="n">
        <v>5</v>
      </c>
      <c r="D2276" s="3" t="inlineStr">
        <is>
          <t>Contoh: jika input n = 4, maka fungsi "mystery(4)" akan menjalankan sebagai berikut:</t>
        </is>
      </c>
      <c r="E2276" t="inlineStr">
        <is>
          <t>YA (didukung konteks)</t>
        </is>
      </c>
    </row>
    <row r="2277">
      <c r="A2277" t="n">
        <v>193</v>
      </c>
      <c r="B2277" t="inlineStr">
        <is>
          <t>A</t>
        </is>
      </c>
      <c r="C2277" t="n">
        <v>6</v>
      </c>
      <c r="D2277" s="3" t="inlineStr">
        <is>
          <t>Saya akan menjawab pertanyaan mahasiswa tentang fungsi rekursif "mystery(n)".</t>
        </is>
      </c>
      <c r="E2277" t="inlineStr">
        <is>
          <t>YA (didukung konteks)</t>
        </is>
      </c>
    </row>
    <row r="2278">
      <c r="A2278" t="n">
        <v>193</v>
      </c>
      <c r="B2278" t="inlineStr">
        <is>
          <t>B</t>
        </is>
      </c>
      <c r="C2278" t="n">
        <v>1</v>
      </c>
      <c r="D2278" s="3" t="inlineStr">
        <is>
          <t>Dalam kasus fungsi mystery(n), nilai 1 mewakili anggota awal (F(0) = F(1) = 1), sedangkan nilai yang dihitung dalam proses rekursif mewakili anggota-anggota selanjutnya dalam deret Fibonacci.</t>
        </is>
      </c>
      <c r="E2278" t="inlineStr">
        <is>
          <t>YA (didukung konteks)</t>
        </is>
      </c>
    </row>
    <row r="2279">
      <c r="A2279" t="n">
        <v>193</v>
      </c>
      <c r="B2279" t="inlineStr">
        <is>
          <t>B</t>
        </is>
      </c>
      <c r="C2279" t="n">
        <v>2</v>
      </c>
      <c r="D2279" s="3" t="inlineStr">
        <is>
          <t>Deret Fibonacci adalah suatu deret bilangan yang dimulai dengan 0 dan 1, serta setiap anggota berikutnya adalah hasil penjumlahan dua anggota sebelumnya.</t>
        </is>
      </c>
      <c r="E2279" t="inlineStr">
        <is>
          <t>YA (didukung konteks)</t>
        </is>
      </c>
    </row>
    <row r="2280">
      <c r="A2280" t="n">
        <v>193</v>
      </c>
      <c r="B2280" t="inlineStr">
        <is>
          <t>B</t>
        </is>
      </c>
      <c r="C2280" t="n">
        <v>3</v>
      </c>
      <c r="D2280" s="3" t="inlineStr">
        <is>
          <t>* Karena n mod 2 != 0, maka algoritme tidak memilih jalur pertama (n == 0), dan alih-alih memanggil fungsi recursive untuk n/2.</t>
        </is>
      </c>
      <c r="E2280" t="inlineStr">
        <is>
          <t>YA (didukung konteks)</t>
        </is>
      </c>
    </row>
    <row r="2281">
      <c r="A2281" t="n">
        <v>193</v>
      </c>
      <c r="B2281" t="inlineStr">
        <is>
          <t>B</t>
        </is>
      </c>
      <c r="C2281" t="n">
        <v>4</v>
      </c>
      <c r="D2281" s="3" t="inlineStr">
        <is>
          <t>* Kembali, karena n mod 2 != 0, maka algoritme tidak memilih jalur pertama (n == 0), dan memanggil fungsi recursive untuk n-1.</t>
        </is>
      </c>
      <c r="E2281" t="inlineStr">
        <is>
          <t>YA (didukung konteks)</t>
        </is>
      </c>
    </row>
    <row r="2282">
      <c r="A2282" t="n">
        <v>193</v>
      </c>
      <c r="B2282" t="inlineStr">
        <is>
          <t>B</t>
        </is>
      </c>
      <c r="C2282" t="n">
        <v>5</v>
      </c>
      <c r="D2282" s="3" t="inlineStr">
        <is>
          <t>* Kembali, karena n mod 2 == 0, maka algoritme memilih jalur pertama (n/2), dan memanggil fungsi recursive untuk n/2.</t>
        </is>
      </c>
      <c r="E2282" t="inlineStr">
        <is>
          <t>YA (didukung konteks)</t>
        </is>
      </c>
    </row>
    <row r="2283">
      <c r="A2283" t="n">
        <v>193</v>
      </c>
      <c r="B2283" t="inlineStr">
        <is>
          <t>B</t>
        </is>
      </c>
      <c r="C2283" t="n">
        <v>6</v>
      </c>
      <c r="D2283" s="3" t="inlineStr">
        <is>
          <t>* Karena n != 0, maka algoritme tidak memilih jalur pertama (n == 0), dan mengembalikan nilai 1.</t>
        </is>
      </c>
      <c r="E2283" t="inlineStr">
        <is>
          <t>YA (didukung konteks)</t>
        </is>
      </c>
    </row>
    <row r="2284">
      <c r="A2284" t="n">
        <v>194</v>
      </c>
      <c r="B2284" t="inlineStr">
        <is>
          <t>A</t>
        </is>
      </c>
      <c r="C2284" t="n">
        <v>1</v>
      </c>
      <c r="D2284" s="3" t="inlineStr">
        <is>
          <t>Kondisi pengulangan while menggunakan operasi logical AND NOT untuk memastikan bahwa program hanya berhenti jika ditemukan elemen yang lebih besar dan tidak mencari lagi.</t>
        </is>
      </c>
      <c r="E2284" t="inlineStr">
        <is>
          <t>YA (didukung konteks)</t>
        </is>
      </c>
    </row>
    <row r="2285">
      <c r="A2285" t="n">
        <v>194</v>
      </c>
      <c r="B2285" t="inlineStr">
        <is>
          <t>A</t>
        </is>
      </c>
      <c r="C2285" t="n">
        <v>2</v>
      </c>
      <c r="D2285" s="3" t="inlineStr">
        <is>
          <t>Kondisi pengulangan memeriksa elemen di array mulai dari indeks 0 hingga panjang(array) dan berhenti jika ditemukan elemen yang lebih besar daripada elemen sebelumnya.</t>
        </is>
      </c>
      <c r="E2285" t="inlineStr">
        <is>
          <t>YA (didukung konteks)</t>
        </is>
      </c>
    </row>
    <row r="2286">
      <c r="A2286" t="n">
        <v>194</v>
      </c>
      <c r="B2286" t="inlineStr">
        <is>
          <t>A</t>
        </is>
      </c>
      <c r="C2286" t="n">
        <v>3</v>
      </c>
      <c r="D2286" s="3" t="inlineStr">
        <is>
          <t>Saya akan menjawab pertanyaan mahasiswa dengan menggunakan istilah teknis yang ada dalam materi referensi.</t>
        </is>
      </c>
      <c r="E2286" t="inlineStr">
        <is>
          <t>YA (didukung konteks)</t>
        </is>
      </c>
    </row>
    <row r="2287">
      <c r="A2287" t="n">
        <v>194</v>
      </c>
      <c r="B2287" t="inlineStr">
        <is>
          <t>A</t>
        </is>
      </c>
      <c r="C2287" t="n">
        <v>4</v>
      </c>
      <c r="D2287" s="3" t="inlineStr">
        <is>
          <t>Program ini mencari apakah terdapat sebuah elemen di array yang lebih besar daripada elemen sebelumnya.</t>
        </is>
      </c>
      <c r="E2287" t="inlineStr">
        <is>
          <t>YA (didukung konteks)</t>
        </is>
      </c>
    </row>
    <row r="2288">
      <c r="A2288" t="n">
        <v>194</v>
      </c>
      <c r="B2288" t="inlineStr">
        <is>
          <t>A</t>
        </is>
      </c>
      <c r="C2288" t="n">
        <v>5</v>
      </c>
      <c r="D2288" s="3" t="inlineStr">
        <is>
          <t>Dalam program ini, variabel "found" digunakan untuk menandai apakah ditemukan elemen yang lebih besar.</t>
        </is>
      </c>
      <c r="E2288" t="inlineStr">
        <is>
          <t>TIDAK (tidak didukung)</t>
        </is>
      </c>
    </row>
    <row r="2289">
      <c r="A2289" t="n">
        <v>194</v>
      </c>
      <c r="B2289" t="inlineStr">
        <is>
          <t>A</t>
        </is>
      </c>
      <c r="C2289" t="n">
        <v>6</v>
      </c>
      <c r="D2289" s="3" t="inlineStr">
        <is>
          <t>Pertanyaan: Trace program berikut untuk input array [3,1,4,1,5,9,2,6]:</t>
        </is>
      </c>
      <c r="E2289" t="inlineStr">
        <is>
          <t>YA (didukung konteks)</t>
        </is>
      </c>
    </row>
    <row r="2290">
      <c r="A2290" t="n">
        <v>194</v>
      </c>
      <c r="B2290" t="inlineStr">
        <is>
          <t>B</t>
        </is>
      </c>
      <c r="C2290" t="n">
        <v>1</v>
      </c>
      <c r="D2290" s="3" t="inlineStr">
        <is>
          <t>Mountain sequence adalah urutan elemen yang mempunyai bentuk seperti "gunung", yaitu jika suatu elemen lebih besar dari elemen sebelumnya, tetapi lebih kecil daripada elemen setelahnya.</t>
        </is>
      </c>
      <c r="E2290" t="inlineStr">
        <is>
          <t>YA (didukung konteks)</t>
        </is>
      </c>
    </row>
    <row r="2291">
      <c r="A2291" t="n">
        <v>194</v>
      </c>
      <c r="B2291" t="inlineStr">
        <is>
          <t>B</t>
        </is>
      </c>
      <c r="C2291" t="n">
        <v>2</v>
      </c>
      <c r="D2291" s="3" t="inlineStr">
        <is>
          <t>Setelah dijalankan, output dari program ini adalah "true", karena array tersebut memiliki urutan gunung, yaitu [3,1,4] dan [5,9].</t>
        </is>
      </c>
      <c r="E2291" t="inlineStr">
        <is>
          <t>TIDAK (tidak didukung)</t>
        </is>
      </c>
    </row>
    <row r="2292">
      <c r="A2292" t="n">
        <v>194</v>
      </c>
      <c r="B2292" t="inlineStr">
        <is>
          <t>B</t>
        </is>
      </c>
      <c r="C2292" t="n">
        <v>3</v>
      </c>
      <c r="D2292" s="3" t="inlineStr">
        <is>
          <t>Program di atas adalah program sederhana untuk menemukan apakah sebuah array memiliki "mountain sequence" (urutan gunung).</t>
        </is>
      </c>
      <c r="E2292" t="inlineStr">
        <is>
          <t>TIDAK (tidak didukung)</t>
        </is>
      </c>
    </row>
    <row r="2293">
      <c r="A2293" t="n">
        <v>194</v>
      </c>
      <c r="B2293" t="inlineStr">
        <is>
          <t>B</t>
        </is>
      </c>
      <c r="C2293" t="n">
        <v>4</v>
      </c>
      <c r="D2293" s="3" t="inlineStr">
        <is>
          <t>Dalam kasus input array [3,1,4,1,5,9,2,6], program ini akan menemukan apakah terdapat urutan gunung dalam array tersebut.</t>
        </is>
      </c>
      <c r="E2293" t="inlineStr">
        <is>
          <t>YA (didukung konteks)</t>
        </is>
      </c>
    </row>
    <row r="2294">
      <c r="A2294" t="n">
        <v>194</v>
      </c>
      <c r="B2294" t="inlineStr">
        <is>
          <t>B</t>
        </is>
      </c>
      <c r="C2294" t="n">
        <v>5</v>
      </c>
      <c r="D2294" s="3" t="inlineStr">
        <is>
          <t>Proses di atas dilakukan sampai akhir array atau hingga urutan gunung ditemukan.</t>
        </is>
      </c>
      <c r="E2294" t="inlineStr">
        <is>
          <t>YA (didukung konteks)</t>
        </is>
      </c>
    </row>
    <row r="2295">
      <c r="A2295" t="n">
        <v>194</v>
      </c>
      <c r="B2295" t="inlineStr">
        <is>
          <t>B</t>
        </is>
      </c>
      <c r="C2295" t="n">
        <v>6</v>
      </c>
      <c r="D2295" s="3" t="inlineStr">
        <is>
          <t>Program ini mencari mountain sequence dengan cara mengulangi proses berikut:</t>
        </is>
      </c>
      <c r="E2295" t="inlineStr">
        <is>
          <t>YA (didukung konteks)</t>
        </is>
      </c>
    </row>
    <row r="2296">
      <c r="A2296" t="n">
        <v>195</v>
      </c>
      <c r="B2296" t="inlineStr">
        <is>
          <t>A</t>
        </is>
      </c>
      <c r="C2296" t="n">
        <v>1</v>
      </c>
      <c r="D2296" s="3" t="inlineStr">
        <is>
          <t>Kode ini memangkan nilai x dan y dengan cara tersebut, sehingga hasil yang diperoleh oleh mahasiswa Anda (x=3, y=5) adalah benar.</t>
        </is>
      </c>
      <c r="E2296" t="inlineStr">
        <is>
          <t>YA (didukung konteks)</t>
        </is>
      </c>
    </row>
    <row r="2297">
      <c r="A2297" t="n">
        <v>195</v>
      </c>
      <c r="B2297" t="inlineStr">
        <is>
          <t>A</t>
        </is>
      </c>
      <c r="C2297" t="n">
        <v>2</v>
      </c>
      <c r="D2297" s="3" t="inlineStr">
        <is>
          <t>Kode ini memangkan nilai x dan y dengan cara tersebut, sehingga hasil yang diperoleh oleh mahasiswa Anda (x=3, y=5) adalah benar.</t>
        </is>
      </c>
      <c r="E2297" t="inlineStr">
        <is>
          <t>YA (didukung konteks)</t>
        </is>
      </c>
    </row>
    <row r="2298">
      <c r="A2298" t="n">
        <v>195</v>
      </c>
      <c r="B2298" t="inlineStr">
        <is>
          <t>A</t>
        </is>
      </c>
      <c r="C2298" t="n">
        <v>3</v>
      </c>
      <c r="D2298" s="3" t="inlineStr">
        <is>
          <t>Dalam sintaks algoritme, perulangan dapat diimplementasikan dengan menggunakan kata kunci `while` atau `do while`.</t>
        </is>
      </c>
      <c r="E2298" t="inlineStr">
        <is>
          <t>YA (didukung konteks)</t>
        </is>
      </c>
    </row>
    <row r="2299">
      <c r="A2299" t="n">
        <v>195</v>
      </c>
      <c r="B2299" t="inlineStr">
        <is>
          <t>A</t>
        </is>
      </c>
      <c r="C2299" t="n">
        <v>4</v>
      </c>
      <c r="D2299" s="3" t="inlineStr">
        <is>
          <t>Algoritme ini menggunakan perulangan dengan variable x dan y, serta menggunakan operator aritmatika (+, -, =).</t>
        </is>
      </c>
      <c r="E2299" t="inlineStr">
        <is>
          <t>YA (didukung konteks)</t>
        </is>
      </c>
    </row>
    <row r="2300">
      <c r="A2300" t="n">
        <v>195</v>
      </c>
      <c r="B2300" t="inlineStr">
        <is>
          <t>A</t>
        </is>
      </c>
      <c r="C2300" t="n">
        <v>5</v>
      </c>
      <c r="D2300" s="3" t="inlineStr">
        <is>
          <t>Namun, teman Anda yang mendapatkan hasil x=5, y=3 mungkin tidak paham bagaimana kode tersebut bekerja.</t>
        </is>
      </c>
      <c r="E2300" t="inlineStr">
        <is>
          <t>YA (didukung konteks)</t>
        </is>
      </c>
    </row>
    <row r="2301">
      <c r="A2301" t="n">
        <v>195</v>
      </c>
      <c r="B2301" t="inlineStr">
        <is>
          <t>A</t>
        </is>
      </c>
      <c r="C2301" t="n">
        <v>6</v>
      </c>
      <c r="D2301" s="3" t="inlineStr">
        <is>
          <t>Dalam contoh ini, kita menggunakan perulangan dengan menggunakan `while` untuk mencari nilai x dan y.</t>
        </is>
      </c>
      <c r="E2301" t="inlineStr">
        <is>
          <t>YA (didukung konteks)</t>
        </is>
      </c>
    </row>
    <row r="2302">
      <c r="A2302" t="n">
        <v>195</v>
      </c>
      <c r="B2302" t="inlineStr">
        <is>
          <t>B</t>
        </is>
      </c>
      <c r="C2302" t="n">
        <v>1</v>
      </c>
      <c r="D2302" s="3" t="inlineStr">
        <is>
          <t>Tidak ada salahnya, karena variable x dan y hanya berisi nilai baru setelah perintah-perintah tersebut dijalankan.</t>
        </is>
      </c>
      <c r="E2302" t="inlineStr">
        <is>
          <t>YA (didukung konteks)</t>
        </is>
      </c>
    </row>
    <row r="2303">
      <c r="A2303" t="n">
        <v>195</v>
      </c>
      <c r="B2303" t="inlineStr">
        <is>
          <t>B</t>
        </is>
      </c>
      <c r="C2303" t="n">
        <v>2</v>
      </c>
      <c r="D2303" s="3" t="inlineStr">
        <is>
          <t>Kesimpulan, kode ini tidak salah, tetapi temanmu memahami cara kerja variable x dan y secara salah.</t>
        </is>
      </c>
      <c r="E2303" t="inlineStr">
        <is>
          <t>YA (didukung konteks)</t>
        </is>
      </c>
    </row>
    <row r="2304">
      <c r="A2304" t="n">
        <v>195</v>
      </c>
      <c r="B2304" t="inlineStr">
        <is>
          <t>B</t>
        </is>
      </c>
      <c r="C2304" t="n">
        <v>3</v>
      </c>
      <c r="D2304" s="3" t="inlineStr">
        <is>
          <t>Jadi, nilai yang sesungguhnya adalah x = 3 dan y = 5, seperti apa yang Anda dapatkan.</t>
        </is>
      </c>
      <c r="E2304" t="inlineStr">
        <is>
          <t>YA (didukung konteks)</t>
        </is>
      </c>
    </row>
    <row r="2305">
      <c r="A2305" t="n">
        <v>195</v>
      </c>
      <c r="B2305" t="inlineStr">
        <is>
          <t>B</t>
        </is>
      </c>
      <c r="C2305" t="n">
        <v>4</v>
      </c>
      <c r="D2305" s="3" t="inlineStr">
        <is>
          <t>Temanmu memiliki kesalahan dalam memahami cara kerja variable x dan y.</t>
        </is>
      </c>
      <c r="E2305" t="inlineStr">
        <is>
          <t>YA (didukung konteks)</t>
        </is>
      </c>
    </row>
    <row r="2306">
      <c r="A2306" t="n">
        <v>195</v>
      </c>
      <c r="B2306" t="inlineStr">
        <is>
          <t>B</t>
        </is>
      </c>
      <c r="C2306" t="n">
        <v>5</v>
      </c>
      <c r="D2306" s="3" t="inlineStr">
        <is>
          <t>Kemudian, baris ke-3 membuat x menjadi x + y, sehingga x = 5 + 3 = 8.</t>
        </is>
      </c>
      <c r="E2306" t="inlineStr">
        <is>
          <t>TIDAK (tidak didukung)</t>
        </is>
      </c>
    </row>
    <row r="2307">
      <c r="A2307" t="n">
        <v>195</v>
      </c>
      <c r="B2307" t="inlineStr">
        <is>
          <t>B</t>
        </is>
      </c>
      <c r="C2307" t="n">
        <v>6</v>
      </c>
      <c r="D2307" s="3" t="inlineStr">
        <is>
          <t>Dan baris ke-5 membuat x menjadi x - y, sehingga x = 8 - 5 = 3.</t>
        </is>
      </c>
      <c r="E2307" t="inlineStr">
        <is>
          <t>TIDAK (tidak didukung)</t>
        </is>
      </c>
    </row>
    <row r="2308">
      <c r="A2308" t="n">
        <v>196</v>
      </c>
      <c r="B2308" t="inlineStr">
        <is>
          <t>A</t>
        </is>
      </c>
      <c r="C2308" t="n">
        <v>1</v>
      </c>
      <c r="D2308" s="3" t="inlineStr">
        <is>
          <t>Dalam sintesis, identifikasi pola terlebih dahulu dilakukan untuk mengenali pola-pola yang tersembunyi di dalam data atau kode, kemudian abstraksi dilakukan untuk menemukan konsep utama dari pola tersebut dan membuat kes</t>
        </is>
      </c>
      <c r="E2308" t="inlineStr">
        <is>
          <t>YA (didukung konteks)</t>
        </is>
      </c>
    </row>
    <row r="2309">
      <c r="A2309" t="n">
        <v>196</v>
      </c>
      <c r="B2309" t="inlineStr">
        <is>
          <t>A</t>
        </is>
      </c>
      <c r="C2309" t="n">
        <v>2</v>
      </c>
      <c r="D2309" s="3" t="inlineStr">
        <is>
          <t>Dalam level 4 Mahir/Teoritis/Global/Intuitif, kita dapat berpikir bahwa identifikasi pola adalah proses awal yang memungkinkan kita untuk mengenal pola-pola yang tersembunyi di dalam data atau kode.</t>
        </is>
      </c>
      <c r="E2309" t="inlineStr">
        <is>
          <t>YA (didukung konteks)</t>
        </is>
      </c>
    </row>
    <row r="2310">
      <c r="A2310" t="n">
        <v>196</v>
      </c>
      <c r="B2310" t="inlineStr">
        <is>
          <t>A</t>
        </is>
      </c>
      <c r="C2310" t="n">
        <v>3</v>
      </c>
      <c r="D2310" s="3" t="inlineStr">
        <is>
          <t>Identifikasi pola melibatkan pengenalan pola yang tersembunyi di dalam data atau kode, sedangkan abstraksi melibatkan proses menghilangkan detail untuk menemukan konsep utama.</t>
        </is>
      </c>
      <c r="E2310" t="inlineStr">
        <is>
          <t>YA (didukung konteks)</t>
        </is>
      </c>
    </row>
    <row r="2311">
      <c r="A2311" t="n">
        <v>196</v>
      </c>
      <c r="B2311" t="inlineStr">
        <is>
          <t>A</t>
        </is>
      </c>
      <c r="C2311" t="n">
        <v>4</v>
      </c>
      <c r="D2311" s="3" t="inlineStr">
        <is>
          <t>Contoh lain adalah penggunaan algoritma untuk mengidentifikasi pola penyebaran wabah penyakit, kemudian menggunakan informasi itu untuk membuat prediksi dan rekomendasi.</t>
        </is>
      </c>
      <c r="E2311" t="inlineStr">
        <is>
          <t>YA (didukung konteks)</t>
        </is>
      </c>
    </row>
    <row r="2312">
      <c r="A2312" t="n">
        <v>196</v>
      </c>
      <c r="B2312" t="inlineStr">
        <is>
          <t>A</t>
        </is>
      </c>
      <c r="C2312" t="n">
        <v>5</v>
      </c>
      <c r="D2312" s="3" t="inlineStr">
        <is>
          <t>Dalam contoh "mengidentifikasi pola desain dalam kode yang berulang", identifikasi pola terlebih dahulu dilakukan untuk mengenali pola yang tersembunyi di dalam kode.</t>
        </is>
      </c>
      <c r="E2312" t="inlineStr">
        <is>
          <t>YA (didukung konteks)</t>
        </is>
      </c>
    </row>
    <row r="2313">
      <c r="A2313" t="n">
        <v>196</v>
      </c>
      <c r="B2313" t="inlineStr">
        <is>
          <t>A</t>
        </is>
      </c>
      <c r="C2313" t="n">
        <v>6</v>
      </c>
      <c r="D2313" s="3" t="inlineStr">
        <is>
          <t>Dalam contoh lain, seperti analisis data cuaca, identifikasi pola dilakukan terlebih dahulu untuk mengenal pola historis suhu, kelembapan, dan tekanan udara.</t>
        </is>
      </c>
      <c r="E2313" t="inlineStr">
        <is>
          <t>YA (didukung konteks)</t>
        </is>
      </c>
    </row>
    <row r="2314">
      <c r="A2314" t="n">
        <v>196</v>
      </c>
      <c r="B2314" t="inlineStr">
        <is>
          <t>B</t>
        </is>
      </c>
      <c r="C2314" t="n">
        <v>1</v>
      </c>
      <c r="D2314" s="3" t="inlineStr">
        <is>
          <t>Misalnya, dalam contoh "mengidentifikasi pola desain dalam kode yang berulang", Anda pertama-tama harus menemukan pola desain yang terjadi dalam kode tersebut, seperti huruf yang sama sekali, simbol-simbol tertentu, atau</t>
        </is>
      </c>
      <c r="E2314" t="inlineStr">
        <is>
          <t>YA (didukung konteks)</t>
        </is>
      </c>
    </row>
    <row r="2315">
      <c r="A2315" t="n">
        <v>196</v>
      </c>
      <c r="B2315" t="inlineStr">
        <is>
          <t>B</t>
        </is>
      </c>
      <c r="C2315" t="n">
        <v>2</v>
      </c>
      <c r="D2315" s="3" t="inlineStr">
        <is>
          <t>Dengan kata lain, identifikasi pola adalah proses awal untuk memahami data atau informasi, sementara abstraksi adalah langkah berikutnya untuk mengumpulkan informasi dan menarik kesimpulan.</t>
        </is>
      </c>
      <c r="E2315" t="inlineStr">
        <is>
          <t>YA (didukung konteks)</t>
        </is>
      </c>
    </row>
    <row r="2316">
      <c r="A2316" t="n">
        <v>196</v>
      </c>
      <c r="B2316" t="inlineStr">
        <is>
          <t>B</t>
        </is>
      </c>
      <c r="C2316" t="n">
        <v>3</v>
      </c>
      <c r="D2316" s="3" t="inlineStr">
        <is>
          <t>Dalam contoh sebelumnya, setelah Anda telah mengidentifikasi pola desain dalam kode, Anda dapat membuat abstraksi tentang struktur atau prinsip-prinsip desain yang digunakan.</t>
        </is>
      </c>
      <c r="E2316" t="inlineStr">
        <is>
          <t>YA (didukung konteks)</t>
        </is>
      </c>
    </row>
    <row r="2317">
      <c r="A2317" t="n">
        <v>196</v>
      </c>
      <c r="B2317" t="inlineStr">
        <is>
          <t>B</t>
        </is>
      </c>
      <c r="C2317" t="n">
        <v>4</v>
      </c>
      <c r="D2317" s="3" t="inlineStr">
        <is>
          <t>Artinya, Anda harus terlebih dahulu mengidentifikasi pola yang terjadi dalam data atau informasi yang Anda analisis.</t>
        </is>
      </c>
      <c r="E2317" t="inlineStr">
        <is>
          <t>YA (didukung konteks)</t>
        </is>
      </c>
    </row>
    <row r="2318">
      <c r="A2318" t="n">
        <v>196</v>
      </c>
      <c r="B2318" t="inlineStr">
        <is>
          <t>B</t>
        </is>
      </c>
      <c r="C2318" t="n">
        <v>5</v>
      </c>
      <c r="D2318" s="3" t="inlineStr">
        <is>
          <t>Kedua konsep tersebut, pattern recognition dan abstraksi, memang terkait erat dan sering digunakan bersama-sama.</t>
        </is>
      </c>
      <c r="E2318" t="inlineStr">
        <is>
          <t>YA (didukung konteks)</t>
        </is>
      </c>
    </row>
    <row r="2319">
      <c r="A2319" t="n">
        <v>196</v>
      </c>
      <c r="B2319" t="inlineStr">
        <is>
          <t>B</t>
        </is>
      </c>
      <c r="C2319" t="n">
        <v>6</v>
      </c>
      <c r="D2319" s="3" t="inlineStr">
        <is>
          <t>Kedua konsep tersebut saling terkait erat dan harus digunakan bersama-sama dalam analisis data atau informasi.</t>
        </is>
      </c>
      <c r="E2319" t="inlineStr">
        <is>
          <t>YA (didukung konteks)</t>
        </is>
      </c>
    </row>
    <row r="2320">
      <c r="A2320" t="n">
        <v>197</v>
      </c>
      <c r="B2320" t="inlineStr">
        <is>
          <t>A</t>
        </is>
      </c>
      <c r="C2320" t="n">
        <v>1</v>
      </c>
      <c r="D2320" s="3" t="inlineStr">
        <is>
          <t>Dengan menggunakan strategi divide and conquer ini, kompleksitas algoritme binary search menjadi O(log n) karena ukuran input berkurang dengan cepat dan jumlah operasi yang dibutuhkan juga berkurang.</t>
        </is>
      </c>
      <c r="E2320" t="inlineStr">
        <is>
          <t>YA (didukung konteks)</t>
        </is>
      </c>
    </row>
    <row r="2321">
      <c r="A2321" t="n">
        <v>197</v>
      </c>
      <c r="B2321" t="inlineStr">
        <is>
          <t>A</t>
        </is>
      </c>
      <c r="C2321" t="n">
        <v>2</v>
      </c>
      <c r="D2321" s="3" t="inlineStr">
        <is>
          <t>Dalam kesimpulan, dekomposisi CT digunakan dalam algoritme binary search untuk membagi array menjadi dua bagian secara rekursif dan mendapatkan ukuran input yang berkurang dengan cepat.</t>
        </is>
      </c>
      <c r="E2321" t="inlineStr">
        <is>
          <t>YA (didukung konteks)</t>
        </is>
      </c>
    </row>
    <row r="2322">
      <c r="A2322" t="n">
        <v>197</v>
      </c>
      <c r="B2322" t="inlineStr">
        <is>
          <t>A</t>
        </is>
      </c>
      <c r="C2322" t="n">
        <v>3</v>
      </c>
      <c r="D2322" s="3" t="inlineStr">
        <is>
          <t>Dekomposisi CT adalah konsep bahwa suatu masalah dapat dipecah menjadi beberapa sub-masalah yang lebih kecil dan kemudian diperbaiki untuk mendapatkan solusi.</t>
        </is>
      </c>
      <c r="E2322" t="inlineStr">
        <is>
          <t>YA (didukung konteks)</t>
        </is>
      </c>
    </row>
    <row r="2323">
      <c r="A2323" t="n">
        <v>197</v>
      </c>
      <c r="B2323" t="inlineStr">
        <is>
          <t>A</t>
        </is>
      </c>
      <c r="C2323" t="n">
        <v>4</v>
      </c>
      <c r="D2323" s="3" t="inlineStr">
        <is>
          <t>Dalam kasus binary search, dekomposisi CT digunakan untuk membagi array menjadi dua bagian secara rekursif, sehingga ukuran input (n) berkurang dengan cepat.</t>
        </is>
      </c>
      <c r="E2323" t="inlineStr">
        <is>
          <t>YA (didukung konteks)</t>
        </is>
      </c>
    </row>
    <row r="2324">
      <c r="A2324" t="n">
        <v>197</v>
      </c>
      <c r="B2324" t="inlineStr">
        <is>
          <t>A</t>
        </is>
      </c>
      <c r="C2324" t="n">
        <v>5</v>
      </c>
      <c r="D2324" s="3" t="inlineStr">
        <is>
          <t>Strategi ini membuat binary search memiliki kompleksitas O(log n) dan membantu menjelaskan mengapa algoritme ini dapat berjalan dengan cepat dan efisien.</t>
        </is>
      </c>
      <c r="E2324" t="inlineStr">
        <is>
          <t>YA (didukung konteks)</t>
        </is>
      </c>
    </row>
    <row r="2325">
      <c r="A2325" t="n">
        <v>197</v>
      </c>
      <c r="B2325" t="inlineStr">
        <is>
          <t>A</t>
        </is>
      </c>
      <c r="C2325" t="n">
        <v>6</v>
      </c>
      <c r="D2325" s="3" t="inlineStr">
        <is>
          <t>Pertama, saya akan menjelaskan bahwa binary search adalah algoritme yang digunakan untuk mencari elemen dalam sebuah array yang terurut.</t>
        </is>
      </c>
      <c r="E2325" t="inlineStr">
        <is>
          <t>YA (didukung konteks)</t>
        </is>
      </c>
    </row>
    <row r="2326">
      <c r="A2326" t="n">
        <v>197</v>
      </c>
      <c r="B2326" t="inlineStr">
        <is>
          <t>B</t>
        </is>
      </c>
      <c r="C2326" t="n">
        <v>1</v>
      </c>
      <c r="D2326" s="3" t="inlineStr">
        <is>
          <t>Jadi, walaupun dekomposisi CT tidak terlihat secara langsung dalam binary search, konsep divide and conquer yang digunakan dalam binary search memungkinkan kita untuk menjelaskan mengapa binary search memiliki kompleksit</t>
        </is>
      </c>
      <c r="E2326" t="inlineStr">
        <is>
          <t>YA (didukung konteks)</t>
        </is>
      </c>
    </row>
    <row r="2327">
      <c r="A2327" t="n">
        <v>197</v>
      </c>
      <c r="B2327" t="inlineStr">
        <is>
          <t>B</t>
        </is>
      </c>
      <c r="C2327" t="n">
        <v>2</v>
      </c>
      <c r="D2327" s="3" t="inlineStr">
        <is>
          <t>Namun, jika kita memahami konsep divide and conquer yang digunakan dalam binary search, maka kita dapat menjelaskan mengapa binary search memiliki kompleksitas O(log n).</t>
        </is>
      </c>
      <c r="E2327" t="inlineStr">
        <is>
          <t>YA (didukung konteks)</t>
        </is>
      </c>
    </row>
    <row r="2328">
      <c r="A2328" t="n">
        <v>197</v>
      </c>
      <c r="B2328" t="inlineStr">
        <is>
          <t>B</t>
        </is>
      </c>
      <c r="C2328" t="n">
        <v>3</v>
      </c>
      <c r="D2328" s="3" t="inlineStr">
        <is>
          <t>Binary search adalah algoritma searching yang bekerja dengan cara membagi daftar data menjadi dua bagian, kemudian mencari elemen target di salah satu bagian.</t>
        </is>
      </c>
      <c r="E2328" t="inlineStr">
        <is>
          <t>YA (didukung konteks)</t>
        </is>
      </c>
    </row>
    <row r="2329">
      <c r="A2329" t="n">
        <v>197</v>
      </c>
      <c r="B2329" t="inlineStr">
        <is>
          <t>B</t>
        </is>
      </c>
      <c r="C2329" t="n">
        <v>4</v>
      </c>
      <c r="D2329" s="3" t="inlineStr">
        <is>
          <t>Karena setiap pembagian membagi daftar data menjadi dua bagian, maka kompleksitas algoritma akan menjadi O(log n), dimana n adalah ukuran daftar data.</t>
        </is>
      </c>
      <c r="E2329" t="inlineStr">
        <is>
          <t>YA (didukung konteks)</t>
        </is>
      </c>
    </row>
    <row r="2330">
      <c r="A2330" t="n">
        <v>197</v>
      </c>
      <c r="B2330" t="inlineStr">
        <is>
          <t>B</t>
        </is>
      </c>
      <c r="C2330" t="n">
        <v>5</v>
      </c>
      <c r="D2330" s="3" t="inlineStr">
        <is>
          <t>Saya setuju dengan Anda, bahwa kompleksitas binary search O(log n) tidak tampak terkait dengan dekomposisi CT (Combinatorial Theory) secara langsung.</t>
        </is>
      </c>
      <c r="E2330" t="inlineStr">
        <is>
          <t>YA (didukung konteks)</t>
        </is>
      </c>
    </row>
    <row r="2331">
      <c r="A2331" t="n">
        <v>197</v>
      </c>
      <c r="B2331" t="inlineStr">
        <is>
          <t>B</t>
        </is>
      </c>
      <c r="C2331" t="n">
        <v>6</v>
      </c>
      <c r="D2331" s="3" t="inlineStr">
        <is>
          <t>Dekomposisi: Algoritma mengurangi ukuran masalah dengan cara mencari elemen target di salah satu bagian yang lebih kecil.</t>
        </is>
      </c>
      <c r="E2331" t="inlineStr">
        <is>
          <t>YA (didukung konteks)</t>
        </is>
      </c>
    </row>
    <row r="2332">
      <c r="A2332" t="n">
        <v>198</v>
      </c>
      <c r="B2332" t="inlineStr">
        <is>
          <t>A</t>
        </is>
      </c>
      <c r="C2332" t="n">
        <v>1</v>
      </c>
      <c r="D2332" s="3" t="inlineStr">
        <is>
          <t>Contoh konkretnya, dalam permainan catur berbasis kecerdasan buatan, setiap node merepresentasikan satu kondisi papan catur dan setiap edge merepresentasikan satu kemungkinan langkah.</t>
        </is>
      </c>
      <c r="E2332" t="inlineStr">
        <is>
          <t>YA (didukung konteks)</t>
        </is>
      </c>
    </row>
    <row r="2333">
      <c r="A2333" t="n">
        <v>198</v>
      </c>
      <c r="B2333" t="inlineStr">
        <is>
          <t>A</t>
        </is>
      </c>
      <c r="C2333" t="n">
        <v>2</v>
      </c>
      <c r="D2333" s="3" t="inlineStr">
        <is>
          <t>Dengan demikian, Anda dapat menggunakan fungsi rekursif untuk mengelola struktur data seperti tree, dan memiliki kemampuan untuk menangani kompleksitas struktur tersebut.</t>
        </is>
      </c>
      <c r="E2333" t="inlineStr">
        <is>
          <t>YA (didukung konteks)</t>
        </is>
      </c>
    </row>
    <row r="2334">
      <c r="A2334" t="n">
        <v>198</v>
      </c>
      <c r="B2334" t="inlineStr">
        <is>
          <t>A</t>
        </is>
      </c>
      <c r="C2334" t="n">
        <v>3</v>
      </c>
      <c r="D2334" s="3" t="inlineStr">
        <is>
          <t>Ternyata Anda memiliki pertanyaan tentang struktur rekursif, seperti tree, dan apakah semua struktur tersebut dapat ditangani dengan fungsi rekursif secara alami?</t>
        </is>
      </c>
      <c r="E2334" t="inlineStr">
        <is>
          <t>YA (didukung konteks)</t>
        </is>
      </c>
    </row>
    <row r="2335">
      <c r="A2335" t="n">
        <v>198</v>
      </c>
      <c r="B2335" t="inlineStr">
        <is>
          <t>A</t>
        </is>
      </c>
      <c r="C2335" t="n">
        <v>4</v>
      </c>
      <c r="D2335" s="3" t="inlineStr">
        <is>
          <t>Dalam tree catur, kita dapat melakukan traversal rekursif untuk menghasilkan semua kemungkinan langkah yang tersedia.</t>
        </is>
      </c>
      <c r="E2335" t="inlineStr">
        <is>
          <t>YA (didukung konteks)</t>
        </is>
      </c>
    </row>
    <row r="2336">
      <c r="A2336" t="n">
        <v>198</v>
      </c>
      <c r="B2336" t="inlineStr">
        <is>
          <t>A</t>
        </is>
      </c>
      <c r="C2336" t="n">
        <v>5</v>
      </c>
      <c r="D2336" s="3" t="inlineStr">
        <is>
          <t>Dalam tree, setiap node dapat di- traversal rekursif karena setiap subtree juga adalah tree lainnya.</t>
        </is>
      </c>
      <c r="E2336" t="inlineStr">
        <is>
          <t>YA (didukung konteks)</t>
        </is>
      </c>
    </row>
    <row r="2337">
      <c r="A2337" t="n">
        <v>198</v>
      </c>
      <c r="B2337" t="inlineStr">
        <is>
          <t>A</t>
        </is>
      </c>
      <c r="C2337" t="n">
        <v>6</v>
      </c>
      <c r="D2337" s="3" t="inlineStr">
        <is>
          <t>Fungsi rekursif sangat berguna dalam mengelola struktur data seperti ini.</t>
        </is>
      </c>
      <c r="E2337" t="inlineStr">
        <is>
          <t>YA (didukung konteks)</t>
        </is>
      </c>
    </row>
    <row r="2338">
      <c r="A2338" t="n">
        <v>198</v>
      </c>
      <c r="B2338" t="inlineStr">
        <is>
          <t>B</t>
        </is>
      </c>
      <c r="C2338" t="n">
        <v>1</v>
      </c>
      <c r="D2338" s="3" t="inlineStr">
        <is>
          <t>Dalam beberapa kasus, kita juga dapat meng-emasikan fungsi rekursif untuk struktur data yang tidak memungkinkan penggunaan cara langsung, seperti dengan menggunakan fungsi stack atau recursive function wrapper.</t>
        </is>
      </c>
      <c r="E2338" t="inlineStr">
        <is>
          <t>YA (didukung konteks)</t>
        </is>
      </c>
    </row>
    <row r="2339">
      <c r="A2339" t="n">
        <v>198</v>
      </c>
      <c r="B2339" t="inlineStr">
        <is>
          <t>B</t>
        </is>
      </c>
      <c r="C2339" t="n">
        <v>2</v>
      </c>
      <c r="D2339" s="3" t="inlineStr">
        <is>
          <t>Contoh struktur data lain seperti linked list, stack, atau queue tidak mempunyai hubungan anak-keluarga (parent-child) antara elemen, sehingga tidak cocok untuk di-traversi dengan teknik rekursif.</t>
        </is>
      </c>
      <c r="E2339" t="inlineStr">
        <is>
          <t>YA (didukung konteks)</t>
        </is>
      </c>
    </row>
    <row r="2340">
      <c r="A2340" t="n">
        <v>198</v>
      </c>
      <c r="B2340" t="inlineStr">
        <is>
          <t>B</t>
        </is>
      </c>
      <c r="C2340" t="n">
        <v>3</v>
      </c>
      <c r="D2340" s="3" t="inlineStr">
        <is>
          <t>Struktur data tree memang dapat di-traversi menggunakan teknik rekursif karena setiap bagian (subtree) berupa struktur data yang mirip dengan struktur induk.</t>
        </is>
      </c>
      <c r="E2340" t="inlineStr">
        <is>
          <t>YA (didukung konteks)</t>
        </is>
      </c>
    </row>
    <row r="2341">
      <c r="A2341" t="n">
        <v>198</v>
      </c>
      <c r="B2341" t="inlineStr">
        <is>
          <t>B</t>
        </is>
      </c>
      <c r="C2341" t="n">
        <v>4</v>
      </c>
      <c r="D2341" s="3" t="inlineStr">
        <is>
          <t>Untuk meng-handle struktur data ini, kita perlu menggunakan pendekatan yang berbeda seperti iteratif atau menggunakan fungsi loop.</t>
        </is>
      </c>
      <c r="E2341" t="inlineStr">
        <is>
          <t>YA (didukung konteks)</t>
        </is>
      </c>
    </row>
    <row r="2342">
      <c r="A2342" t="n">
        <v>198</v>
      </c>
      <c r="B2342" t="inlineStr">
        <is>
          <t>B</t>
        </is>
      </c>
      <c r="C2342" t="n">
        <v>5</v>
      </c>
      <c r="D2342" s="3" t="inlineStr">
        <is>
          <t>Jadi, dalam jawaban saya: tidak semua struktur data dapat di-handle dengan cara langsung menggunakan fungsi rekursif.</t>
        </is>
      </c>
      <c r="E2342" t="inlineStr">
        <is>
          <t>YA (didukung konteks)</t>
        </is>
      </c>
    </row>
    <row r="2343">
      <c r="A2343" t="n">
        <v>198</v>
      </c>
      <c r="B2343" t="inlineStr">
        <is>
          <t>B</t>
        </is>
      </c>
      <c r="C2343" t="n">
        <v>6</v>
      </c>
      <c r="D2343" s="3" t="inlineStr">
        <is>
          <t>* Trie (prefix tree): memiliki hubungan anak-keluarga antara node sehingga dapat di-traversi dengan cara rekursif.</t>
        </is>
      </c>
      <c r="E2343" t="inlineStr">
        <is>
          <t>YA (didukung konteks)</t>
        </is>
      </c>
    </row>
    <row r="2344">
      <c r="A2344" t="n">
        <v>199</v>
      </c>
      <c r="B2344" t="inlineStr">
        <is>
          <t>A</t>
        </is>
      </c>
      <c r="C2344" t="n">
        <v>1</v>
      </c>
      <c r="D2344" s="3" t="inlineStr">
        <is>
          <t>Misalnya, dalam materi GT_DETAIL_PT01_Pendahuluan.txt, kita fokus pada informasi penting seperti nama mata kuliah, jumlah SKS, jadwal kuliah, dan preferensi waktu belajar, tanpa perlu mempertahankan detail-detail kecil l</t>
        </is>
      </c>
      <c r="E2344" t="inlineStr">
        <is>
          <t>YA (didukung konteks)</t>
        </is>
      </c>
    </row>
    <row r="2345">
      <c r="A2345" t="n">
        <v>199</v>
      </c>
      <c r="B2345" t="inlineStr">
        <is>
          <t>A</t>
        </is>
      </c>
      <c r="C2345" t="n">
        <v>2</v>
      </c>
      <c r="D2345" s="3" t="inlineStr">
        <is>
          <t>Contohnya, dalam materi GT_CT13.txt, kita menggunakan Tree sebagai struktur data untuk merepresentasikan berbagai kemungkinan langkah ke depan dalam permainan catur, tanpa perlu mempertahankan detail-detail implementasi.</t>
        </is>
      </c>
      <c r="E2345" t="inlineStr">
        <is>
          <t>YA (didukung konteks)</t>
        </is>
      </c>
    </row>
    <row r="2346">
      <c r="A2346" t="n">
        <v>199</v>
      </c>
      <c r="B2346" t="inlineStr">
        <is>
          <t>A</t>
        </is>
      </c>
      <c r="C2346" t="n">
        <v>3</v>
      </c>
      <c r="D2346" s="3" t="inlineStr">
        <is>
          <t>Dalam Computational Thinking, kita memfokuskan diri pada struktur dan pola, serta berfokus pada abstraksi dan implementasi, tanpa perlu mempertahankan detail-detail kecil lainnya.</t>
        </is>
      </c>
      <c r="E2346" t="inlineStr">
        <is>
          <t>YA (didukung konteks)</t>
        </is>
      </c>
    </row>
    <row r="2347">
      <c r="A2347" t="n">
        <v>199</v>
      </c>
      <c r="B2347" t="inlineStr">
        <is>
          <t>A</t>
        </is>
      </c>
      <c r="C2347" t="n">
        <v>4</v>
      </c>
      <c r="D2347" s="3" t="inlineStr">
        <is>
          <t>Dalam Computer Science, kita memiliki konsep ADT (Abstract Data Type) yang memungkinkan kita untuk berfokus pada struktur dan fungsi data tanpa memperhatikan implementasinya.</t>
        </is>
      </c>
      <c r="E2347" t="inlineStr">
        <is>
          <t>YA (didukung konteks)</t>
        </is>
      </c>
    </row>
    <row r="2348">
      <c r="A2348" t="n">
        <v>199</v>
      </c>
      <c r="B2348" t="inlineStr">
        <is>
          <t>A</t>
        </is>
      </c>
      <c r="C2348" t="n">
        <v>5</v>
      </c>
      <c r="D2348" s="3" t="inlineStr">
        <is>
          <t>Ketiga, "menyembunyikan implementasi" juga terlihat dalam materi GT_CT07.txt, di mana kita menggunakan algoritma untuk menemukan pasangan bilangan dengan selisih sebesar d.</t>
        </is>
      </c>
      <c r="E2348" t="inlineStr">
        <is>
          <t>YA (didukung konteks)</t>
        </is>
      </c>
    </row>
    <row r="2349">
      <c r="A2349" t="n">
        <v>199</v>
      </c>
      <c r="B2349" t="inlineStr">
        <is>
          <t>A</t>
        </is>
      </c>
      <c r="C2349" t="n">
        <v>6</v>
      </c>
      <c r="D2349" s="3" t="inlineStr">
        <is>
          <t>Dalam Computational Thinking, kita tidak hanya mengabaikan detail-detail kecil, tetapi juga fokus pada struktur dan pola yang terlihat dari data atau problema.</t>
        </is>
      </c>
      <c r="E2349" t="inlineStr">
        <is>
          <t>YA (didukung konteks)</t>
        </is>
      </c>
    </row>
    <row r="2350">
      <c r="A2350" t="n">
        <v>199</v>
      </c>
      <c r="B2350" t="inlineStr">
        <is>
          <t>B</t>
        </is>
      </c>
      <c r="C2350" t="n">
        <v>1</v>
      </c>
      <c r="D2350" s="3" t="inlineStr">
        <is>
          <t>Dalam semua kasus, tujuan dari "menyembunyikan detail" atau "menyembunyikan implementasi" adalah untuk memisahkan interface dan implementasi, sehingga Anda dapat mengembangkan sistem yang lebih modular, lebih mudah dipah</t>
        </is>
      </c>
      <c r="E2350" t="inlineStr">
        <is>
          <t>YA (didukung konteks)</t>
        </is>
      </c>
    </row>
    <row r="2351">
      <c r="A2351" t="n">
        <v>199</v>
      </c>
      <c r="B2351" t="inlineStr">
        <is>
          <t>B</t>
        </is>
      </c>
      <c r="C2351" t="n">
        <v>2</v>
      </c>
      <c r="D2351" s="3" t="inlineStr">
        <is>
          <t>* Abstraksi (kelas abstraksi) memungkinkan Anda membuat kelas yang hanya menampilkan interface (antarmuka) dari suatu objek, tanpa perlu mempertimbangkan bagaimana objek tersebut di-implementasikan.</t>
        </is>
      </c>
      <c r="E2351" t="inlineStr">
        <is>
          <t>YA (didukung konteks)</t>
        </is>
      </c>
    </row>
    <row r="2352">
      <c r="A2352" t="n">
        <v>199</v>
      </c>
      <c r="B2352" t="inlineStr">
        <is>
          <t>B</t>
        </is>
      </c>
      <c r="C2352" t="n">
        <v>3</v>
      </c>
      <c r="D2352" s="3" t="inlineStr">
        <is>
          <t>* Fungsi memungkinkan Anda membuat fungsi yang memiliki behavior (tindakan) tertentu, namun Anda tidak perlu mempertimbangkan bagaimana fungsi tersebut di-implementasikan.</t>
        </is>
      </c>
      <c r="E2352" t="inlineStr">
        <is>
          <t>TIDAK (tidak didukung)</t>
        </is>
      </c>
    </row>
    <row r="2353">
      <c r="A2353" t="n">
        <v>199</v>
      </c>
      <c r="B2353" t="inlineStr">
        <is>
          <t>B</t>
        </is>
      </c>
      <c r="C2353" t="n">
        <v>4</v>
      </c>
      <c r="D2353" s="3" t="inlineStr">
        <is>
          <t>Dengan menggunakan ADT, Anda dapat membuat tipe data yang memiliki behavior tertentu, tanpa perlu mempertimbangkan bagaimana behavior tersebut di-implementasikan.</t>
        </is>
      </c>
      <c r="E2353" t="inlineStr">
        <is>
          <t>YA (didukung konteks)</t>
        </is>
      </c>
    </row>
    <row r="2354">
      <c r="A2354" t="n">
        <v>199</v>
      </c>
      <c r="B2354" t="inlineStr">
        <is>
          <t>B</t>
        </is>
      </c>
      <c r="C2354" t="n">
        <v>5</v>
      </c>
      <c r="D2354" s="3" t="inlineStr">
        <is>
          <t>* ADT (Abstract Data Type) juga memiliki tujuan yang sama dengan abstraksi dan fungsi, yaitu menyembunyikan detail implementasinya.</t>
        </is>
      </c>
      <c r="E2354" t="inlineStr">
        <is>
          <t>YA (didukung konteks)</t>
        </is>
      </c>
    </row>
    <row r="2355">
      <c r="A2355" t="n">
        <v>199</v>
      </c>
      <c r="B2355" t="inlineStr">
        <is>
          <t>B</t>
        </is>
      </c>
      <c r="C2355" t="n">
        <v>6</v>
      </c>
      <c r="D2355" s="3" t="inlineStr">
        <is>
          <t>Ya, ketiga konsep tersebut memiliki kesamaan dasarnya, yaitu "menyembunyikan detail" atau "menyembunyikan implementasi".</t>
        </is>
      </c>
      <c r="E2355" t="inlineStr">
        <is>
          <t>YA (didukung konteks)</t>
        </is>
      </c>
    </row>
    <row r="2356">
      <c r="A2356" t="n">
        <v>200</v>
      </c>
      <c r="B2356" t="inlineStr">
        <is>
          <t>A</t>
        </is>
      </c>
      <c r="C2356" t="n">
        <v>1</v>
      </c>
      <c r="D2356" s="3" t="inlineStr">
        <is>
          <t>Kita dapat menjelajahi rumah tersebut dengan cara melakukan perjalanan ke dalam dan keluar dari kamar-kamar secara rekursif, seperti: "Masuk ke kamar A, lalu masuk ke kamar B, lalu masuk ke kamar C..." Dalam hal ini, kit</t>
        </is>
      </c>
      <c r="E2356" t="inlineStr">
        <is>
          <t>YA (didukung konteks)</t>
        </is>
      </c>
    </row>
    <row r="2357">
      <c r="A2357" t="n">
        <v>200</v>
      </c>
      <c r="B2357" t="inlineStr">
        <is>
          <t>A</t>
        </is>
      </c>
      <c r="C2357" t="n">
        <v>2</v>
      </c>
      <c r="D2357" s="3" t="inlineStr">
        <is>
          <t>Dalam hal ini, stack berfungsi sebagai wadah untuk menampung jalur-jalur yang telah dijalani, sehingga kita dapat kembali ke node sebelumnya melalui pop operasi.</t>
        </is>
      </c>
      <c r="E2357" t="inlineStr">
        <is>
          <t>YA (didukung konteks)</t>
        </is>
      </c>
    </row>
    <row r="2358">
      <c r="A2358" t="n">
        <v>200</v>
      </c>
      <c r="B2358" t="inlineStr">
        <is>
          <t>A</t>
        </is>
      </c>
      <c r="C2358" t="n">
        <v>3</v>
      </c>
      <c r="D2358" s="3" t="inlineStr">
        <is>
          <t>Rekursi DFS menggunakan stack secara implisit karena algoritma tersebut memanfaatkan stack sebagai wadah untuk menampung fungsi-fungsi yang perlu dijalankan.</t>
        </is>
      </c>
      <c r="E2358" t="inlineStr">
        <is>
          <t>YA (didukung konteks)</t>
        </is>
      </c>
    </row>
    <row r="2359">
      <c r="A2359" t="n">
        <v>200</v>
      </c>
      <c r="B2359" t="inlineStr">
        <is>
          <t>A</t>
        </is>
      </c>
      <c r="C2359" t="n">
        <v>4</v>
      </c>
      <c r="D2359" s="3" t="inlineStr">
        <is>
          <t>Dengan demikian, kita dapat melihat bahwa DFS menggunakan stack secara implisit melalui rekursi, tanpa kita perlu mendeklarasikan stack secara eksplisit.</t>
        </is>
      </c>
      <c r="E2359" t="inlineStr">
        <is>
          <t>TIDAK (tidak didukung)</t>
        </is>
      </c>
    </row>
    <row r="2360">
      <c r="A2360" t="n">
        <v>200</v>
      </c>
      <c r="B2360" t="inlineStr">
        <is>
          <t>A</t>
        </is>
      </c>
      <c r="C2360" t="n">
        <v>5</v>
      </c>
      <c r="D2360" s="3" t="inlineStr">
        <is>
          <t>Saat kita masuk ke dalam sebuah node, kita menambahkan node tersebut ke dalam stack dan kemudian melakukan penjelajahan rekursif pada child-node-nya.</t>
        </is>
      </c>
      <c r="E2360" t="inlineStr">
        <is>
          <t>TIDAK (tidak didukung)</t>
        </is>
      </c>
    </row>
    <row r="2361">
      <c r="A2361" t="n">
        <v>200</v>
      </c>
      <c r="B2361" t="inlineStr">
        <is>
          <t>A</t>
        </is>
      </c>
      <c r="C2361" t="n">
        <v>6</v>
      </c>
      <c r="D2361" s="3" t="inlineStr">
        <is>
          <t>Dalam rekursi, fungsi-fungsi tersebut dipanggil secara terus-menerus, namun dalam hal ini, mereka tidak ditampilkan secara eksplisit sebagai stack.</t>
        </is>
      </c>
      <c r="E2361" t="inlineStr">
        <is>
          <t>YA (didukung konteks)</t>
        </is>
      </c>
    </row>
    <row r="2362">
      <c r="A2362" t="n">
        <v>200</v>
      </c>
      <c r="B2362" t="inlineStr">
        <is>
          <t>B</t>
        </is>
      </c>
      <c r="C2362" t="n">
        <v>1</v>
      </c>
      <c r="D2362" s="3" t="inlineStr">
        <is>
          <t>Dosen Anda memiliki tujuan yang tepat, bahwa DFS (Depth-First Search) memanfaatkan stack secara implisit melalui rekursi, sementara BFS (Breadth-First Search) menggunakan queue secara eksplisit.</t>
        </is>
      </c>
      <c r="E2362" t="inlineStr">
        <is>
          <t>YA (didukung konteks)</t>
        </is>
      </c>
    </row>
    <row r="2363">
      <c r="A2363" t="n">
        <v>200</v>
      </c>
      <c r="B2363" t="inlineStr">
        <is>
          <t>B</t>
        </is>
      </c>
      <c r="C2363" t="n">
        <v>2</v>
      </c>
      <c r="D2363" s="3" t="inlineStr">
        <is>
          <t>Contohnya, jika kita memiliki sebuah fungsi `visit` yang melakukan DFS, maka panggilan fungsi rekursif `visit(nextNode)` dapat dianggap sebagai penambahan elemen ke dalam "stack".</t>
        </is>
      </c>
      <c r="E2363" t="inlineStr">
        <is>
          <t>YA (didukung konteks)</t>
        </is>
      </c>
    </row>
    <row r="2364">
      <c r="A2364" t="n">
        <v>200</v>
      </c>
      <c r="B2364" t="inlineStr">
        <is>
          <t>B</t>
        </is>
      </c>
      <c r="C2364" t="n">
        <v>3</v>
      </c>
      <c r="D2364" s="3" t="inlineStr">
        <is>
          <t>Ketika fungsi `visit` selesai melalui suatu node, maka fungsi `visit` akan kembali ke "pemasok" (caller) yang memanggilnya, sehingga "pemasok" tersebut menjadi bagian dari stack.</t>
        </is>
      </c>
      <c r="E2364" t="inlineStr">
        <is>
          <t>TIDAK (tidak didukung)</t>
        </is>
      </c>
    </row>
    <row r="2365">
      <c r="A2365" t="n">
        <v>200</v>
      </c>
      <c r="B2365" t="inlineStr">
        <is>
          <t>B</t>
        </is>
      </c>
      <c r="C2365" t="n">
        <v>4</v>
      </c>
      <c r="D2365" s="3" t="inlineStr">
        <is>
          <t>Jadi, dalam melakukan DFS dengan cara rekursif, kita tidak perlu secara eksplisit mendeklarasikan stack, namun stack ini dibuat secara implisit melalui panggilan fungsi rekursif.</t>
        </is>
      </c>
      <c r="E2365" t="inlineStr">
        <is>
          <t>YA (didukung konteks)</t>
        </is>
      </c>
    </row>
    <row r="2366">
      <c r="A2366" t="n">
        <v>200</v>
      </c>
      <c r="B2366" t="inlineStr">
        <is>
          <t>B</t>
        </is>
      </c>
      <c r="C2366" t="n">
        <v>5</v>
      </c>
      <c r="D2366" s="3" t="inlineStr">
        <is>
          <t>Ketika kita melakukan DFS dengan cara rekursif, maka dalam setiap panggilan fungsi rekursif, kita memiliki sebuah "pemasok" atau "caller" yang memanggil fungsi lain.</t>
        </is>
      </c>
      <c r="E2366" t="inlineStr">
        <is>
          <t>YA (didukung konteks)</t>
        </is>
      </c>
    </row>
    <row r="2367">
      <c r="A2367" t="n">
        <v>200</v>
      </c>
      <c r="B2367" t="inlineStr">
        <is>
          <t>B</t>
        </is>
      </c>
      <c r="C2367" t="n">
        <v>6</v>
      </c>
      <c r="D2367" s="3" t="inlineStr">
        <is>
          <t>Sedangkan BFS, karena menggunakan queue secara eksplisit, maka kita harus secara langsung mendeklarasikan queue.</t>
        </is>
      </c>
      <c r="E2367" t="inlineStr">
        <is>
          <t>YA (didukung konteks)</t>
        </is>
      </c>
    </row>
    <row r="2368">
      <c r="A2368" t="n">
        <v>201</v>
      </c>
      <c r="B2368" t="inlineStr">
        <is>
          <t>A</t>
        </is>
      </c>
      <c r="C2368" t="n">
        <v>1</v>
      </c>
      <c r="D2368" s="3" t="inlineStr">
        <is>
          <t>Tujuan utama pseudocode adalah untuk mendapatkan ide secara cepat sekaligus memudahkan pembacaan algoritme tanpa harus mengikuti aturan grammar (sintaks) bahasa pemrograman yang ketat.</t>
        </is>
      </c>
      <c r="E2368" t="inlineStr">
        <is>
          <t>YA (didukung konteks)</t>
        </is>
      </c>
    </row>
    <row r="2369">
      <c r="A2369" t="n">
        <v>201</v>
      </c>
      <c r="B2369" t="inlineStr">
        <is>
          <t>A</t>
        </is>
      </c>
      <c r="C2369" t="n">
        <v>2</v>
      </c>
      <c r="D2369" s="3" t="inlineStr">
        <is>
          <t>Dalam konteks Computational Thinking (CT), pseudocode adalah cara informal untuk menuliskan algoritme atau rancangan program komputer.</t>
        </is>
      </c>
      <c r="E2369" t="inlineStr">
        <is>
          <t>YA (didukung konteks)</t>
        </is>
      </c>
    </row>
    <row r="2370">
      <c r="A2370" t="n">
        <v>201</v>
      </c>
      <c r="B2370" t="inlineStr">
        <is>
          <t>A</t>
        </is>
      </c>
      <c r="C2370" t="n">
        <v>3</v>
      </c>
      <c r="D2370" s="3" t="inlineStr">
        <is>
          <t>Dengan demikian, pseudocode di atas dapat membantu menyelesaikan soal CT tentang anagram tanpa menggunakan sorting.</t>
        </is>
      </c>
      <c r="E2370" t="inlineStr">
        <is>
          <t>TIDAK (tidak didukung)</t>
        </is>
      </c>
    </row>
    <row r="2371">
      <c r="A2371" t="n">
        <v>201</v>
      </c>
      <c r="B2371" t="inlineStr">
        <is>
          <t>A</t>
        </is>
      </c>
      <c r="C2371" t="n">
        <v>4</v>
      </c>
      <c r="D2371" s="3" t="inlineStr">
        <is>
          <t>Kemudian, kita iterasi melalui array tersebut untuk menemukan perbedaan antara frekuensi huruf dalam dua string.</t>
        </is>
      </c>
      <c r="E2371" t="inlineStr">
        <is>
          <t>TIDAK (tidak didukung)</t>
        </is>
      </c>
    </row>
    <row r="2372">
      <c r="A2372" t="n">
        <v>201</v>
      </c>
      <c r="B2372" t="inlineStr">
        <is>
          <t>A</t>
        </is>
      </c>
      <c r="C2372" t="n">
        <v>5</v>
      </c>
      <c r="D2372" s="3" t="inlineStr">
        <is>
          <t>Dalam pseudocode di atas, kita menggunakan array untuk mencatat frekuensi masing-masing huruf dalam dua string.</t>
        </is>
      </c>
      <c r="E2372" t="inlineStr">
        <is>
          <t>TIDAK (tidak didukung)</t>
        </is>
      </c>
    </row>
    <row r="2373">
      <c r="A2373" t="n">
        <v>201</v>
      </c>
      <c r="B2373" t="inlineStr">
        <is>
          <t>A</t>
        </is>
      </c>
      <c r="C2373" t="n">
        <v>6</v>
      </c>
      <c r="D2373" s="3" t="inlineStr">
        <is>
          <t>Berikut adalah pseudocode untuk mengecek apakah sebuah string merupakan anagram dari string lain:</t>
        </is>
      </c>
      <c r="E2373" t="inlineStr">
        <is>
          <t>TIDAK (tidak didukung)</t>
        </is>
      </c>
    </row>
    <row r="2374">
      <c r="A2374" t="n">
        <v>201</v>
      </c>
      <c r="B2374" t="inlineStr">
        <is>
          <t>B</t>
        </is>
      </c>
      <c r="C2374" t="n">
        <v>1</v>
      </c>
      <c r="D2374" s="3" t="inlineStr">
        <is>
          <t>Pada contoh di atas, fungsi `adalah_anagram` akan menghitung jumlah karakter yang ada dalam string target (`str2`) dan membandingkannya dengan panjang string asli (`str1`).</t>
        </is>
      </c>
      <c r="E2374" t="inlineStr">
        <is>
          <t>TIDAK (tidak didukung)</t>
        </is>
      </c>
    </row>
    <row r="2375">
      <c r="A2375" t="n">
        <v>201</v>
      </c>
      <c r="B2375" t="inlineStr">
        <is>
          <t>B</t>
        </is>
      </c>
      <c r="C2375" t="n">
        <v>2</v>
      </c>
      <c r="D2375" s="3" t="inlineStr">
        <is>
          <t>Loop melalui setiap karakter dalam string asli (`str1`) dan increment `count` jika karakter tersebut ada di dalam string target (`str2`).</t>
        </is>
      </c>
      <c r="E2375" t="inlineStr">
        <is>
          <t>YA (didukung konteks)</t>
        </is>
      </c>
    </row>
    <row r="2376">
      <c r="A2376" t="n">
        <v>201</v>
      </c>
      <c r="B2376" t="inlineStr">
        <is>
          <t>B</t>
        </is>
      </c>
      <c r="C2376" t="n">
        <v>3</v>
      </c>
      <c r="D2376" s="3" t="inlineStr">
        <is>
          <t>Jika jumlah karakter yang ada sama dengan panjang string asli, maka string asli merupakan anagram dari string target.</t>
        </is>
      </c>
      <c r="E2376" t="inlineStr">
        <is>
          <t>YA (didukung konteks)</t>
        </is>
      </c>
    </row>
    <row r="2377">
      <c r="A2377" t="n">
        <v>201</v>
      </c>
      <c r="B2377" t="inlineStr">
        <is>
          <t>B</t>
        </is>
      </c>
      <c r="C2377" t="n">
        <v>4</v>
      </c>
      <c r="D2377" s="3" t="inlineStr">
        <is>
          <t>Pseudocode untuk mengecek apakah sebuah string merupakan anagram dari string lain dapat dikerjakan sebagai berikut:</t>
        </is>
      </c>
      <c r="E2377" t="inlineStr">
        <is>
          <t>YA (didukung konteks)</t>
        </is>
      </c>
    </row>
    <row r="2378">
      <c r="A2378" t="n">
        <v>201</v>
      </c>
      <c r="B2378" t="inlineStr">
        <is>
          <t>B</t>
        </is>
      </c>
      <c r="C2378" t="n">
        <v>5</v>
      </c>
      <c r="D2378" s="3" t="inlineStr">
        <is>
          <t>Jika `count` sama dengan panjang string target, maka string asli merupakan anagram dari string target.</t>
        </is>
      </c>
      <c r="E2378" t="inlineStr">
        <is>
          <t>YA (didukung konteks)</t>
        </is>
      </c>
    </row>
    <row r="2379">
      <c r="A2379" t="n">
        <v>201</v>
      </c>
      <c r="B2379" t="inlineStr">
        <is>
          <t>B</t>
        </is>
      </c>
      <c r="C2379" t="n">
        <v>6</v>
      </c>
      <c r="D2379" s="3" t="inlineStr">
        <is>
          <t>Dalam sintakssi Java, pseudocode di atas dapat diimplementasikan sebagai berikut:</t>
        </is>
      </c>
      <c r="E2379" t="inlineStr">
        <is>
          <t>YA (didukung konteks)</t>
        </is>
      </c>
    </row>
    <row r="2380">
      <c r="A2380" t="n">
        <v>202</v>
      </c>
      <c r="B2380" t="inlineStr">
        <is>
          <t>A</t>
        </is>
      </c>
      <c r="C2380" t="n">
        <v>1</v>
      </c>
      <c r="D2380" s="3" t="inlineStr">
        <is>
          <t>Jika '1', kita tambahkan nilai decimal dengan menggunakan eksponen 2^(i-1), di mana i adalah indeks digit binary yang dikonversikan.</t>
        </is>
      </c>
      <c r="E2380" t="inlineStr">
        <is>
          <t>TIDAK (tidak didukung)</t>
        </is>
      </c>
    </row>
    <row r="2381">
      <c r="A2381" t="n">
        <v>202</v>
      </c>
      <c r="B2381" t="inlineStr">
        <is>
          <t>A</t>
        </is>
      </c>
      <c r="C2381" t="n">
        <v>2</v>
      </c>
      <c r="D2381" s="3" t="inlineStr">
        <is>
          <t>Dalam pseudocode ini, kita menggunakan loop untuk iterasi melalui string binary dari kanan ke kiri.</t>
        </is>
      </c>
      <c r="E2381" t="inlineStr">
        <is>
          <t>YA (didukung konteks)</t>
        </is>
      </c>
    </row>
    <row r="2382">
      <c r="A2382" t="n">
        <v>202</v>
      </c>
      <c r="B2382" t="inlineStr">
        <is>
          <t>A</t>
        </is>
      </c>
      <c r="C2382" t="n">
        <v>3</v>
      </c>
      <c r="D2382" s="3" t="inlineStr">
        <is>
          <t>Berdasarkan prinsip nilai posisi, kita dapat menggunakan loop untuk melakukan konversi ini.</t>
        </is>
      </c>
      <c r="E2382" t="inlineStr">
        <is>
          <t>YA (didukung konteks)</t>
        </is>
      </c>
    </row>
    <row r="2383">
      <c r="A2383" t="n">
        <v>202</v>
      </c>
      <c r="B2383" t="inlineStr">
        <is>
          <t>A</t>
        </is>
      </c>
      <c r="C2383" t="n">
        <v>4</v>
      </c>
      <c r="D2383" s="3" t="inlineStr">
        <is>
          <t>Saya senang dapat membantu Anda menulis pseudocode untuk konversi binary to decimal!</t>
        </is>
      </c>
      <c r="E2383" t="inlineStr">
        <is>
          <t>TIDAK (tidak didukung)</t>
        </is>
      </c>
    </row>
    <row r="2384">
      <c r="A2384" t="n">
        <v>202</v>
      </c>
      <c r="B2384" t="inlineStr">
        <is>
          <t>A</t>
        </is>
      </c>
      <c r="C2384" t="n">
        <v>5</v>
      </c>
      <c r="D2384" s="3" t="inlineStr">
        <is>
          <t>Contoh: jika input adalah '1011', pseudocode di atas akan menghasilkan output 11.</t>
        </is>
      </c>
      <c r="E2384" t="inlineStr">
        <is>
          <t>TIDAK (tidak didukung)</t>
        </is>
      </c>
    </row>
    <row r="2385">
      <c r="A2385" t="n">
        <v>202</v>
      </c>
      <c r="B2385" t="inlineStr">
        <is>
          <t>A</t>
        </is>
      </c>
      <c r="C2385" t="n">
        <v>6</v>
      </c>
      <c r="D2385" s="3" t="inlineStr">
        <is>
          <t>Pada setiap iterasi, kita mengecek apakah digit binary adalah '1' atau '0'.</t>
        </is>
      </c>
      <c r="E2385" t="inlineStr">
        <is>
          <t>YA (didukung konteks)</t>
        </is>
      </c>
    </row>
    <row r="2386">
      <c r="A2386" t="n">
        <v>202</v>
      </c>
      <c r="B2386" t="inlineStr">
        <is>
          <t>B</t>
        </is>
      </c>
      <c r="C2386" t="n">
        <v>1</v>
      </c>
      <c r="D2386" s="3" t="inlineStr">
        <is>
          <t>Dalam setiap iterasi loop, ambil character terakhir dari input binary dan simpan ke dalam variable "bit".</t>
        </is>
      </c>
      <c r="E2386" t="inlineStr">
        <is>
          <t>YA (didukung konteks)</t>
        </is>
      </c>
    </row>
    <row r="2387">
      <c r="A2387" t="n">
        <v>202</v>
      </c>
      <c r="B2387" t="inlineStr">
        <is>
          <t>B</t>
        </is>
      </c>
      <c r="C2387" t="n">
        <v>2</v>
      </c>
      <c r="D2387" s="3" t="inlineStr">
        <is>
          <t>Deklarasi variable "power" sebagai 1, yang akan digunakan sebagai nilai pangkat dalam perhitungan.</t>
        </is>
      </c>
      <c r="E2387" t="inlineStr">
        <is>
          <t>YA (didukung konteks)</t>
        </is>
      </c>
    </row>
    <row r="2388">
      <c r="A2388" t="n">
        <v>202</v>
      </c>
      <c r="B2388" t="inlineStr">
        <is>
          <t>B</t>
        </is>
      </c>
      <c r="C2388" t="n">
        <v>3</v>
      </c>
      <c r="D2388" s="3" t="inlineStr">
        <is>
          <t>Ambil bit terakhir ('1'), tambahkan nilai "power" (1) ke dalam "decimal", sehingga menjadi 1.</t>
        </is>
      </c>
      <c r="E2388" t="inlineStr">
        <is>
          <t>YA (didukung konteks)</t>
        </is>
      </c>
    </row>
    <row r="2389">
      <c r="A2389" t="n">
        <v>202</v>
      </c>
      <c r="B2389" t="inlineStr">
        <is>
          <t>B</t>
        </is>
      </c>
      <c r="C2389" t="n">
        <v>4</v>
      </c>
      <c r="D2389" s="3" t="inlineStr">
        <is>
          <t>Ambil bit terakhir ('1'), tambahkan nilai "power" (2) ke dalam "decimal", sehingga menjadi 3.</t>
        </is>
      </c>
      <c r="E2389" t="inlineStr">
        <is>
          <t>YA (didukung konteks)</t>
        </is>
      </c>
    </row>
    <row r="2390">
      <c r="A2390" t="n">
        <v>202</v>
      </c>
      <c r="B2390" t="inlineStr">
        <is>
          <t>B</t>
        </is>
      </c>
      <c r="C2390" t="n">
        <v>5</v>
      </c>
      <c r="D2390" s="3" t="inlineStr">
        <is>
          <t>Karena "power" awalnya 1, maka jika bit adalah '1' maka akan ditambahkan nilai pangkat 2^n.</t>
        </is>
      </c>
      <c r="E2390" t="inlineStr">
        <is>
          <t>YA (didukung konteks)</t>
        </is>
      </c>
    </row>
    <row r="2391">
      <c r="A2391" t="n">
        <v>202</v>
      </c>
      <c r="B2391" t="inlineStr">
        <is>
          <t>B</t>
        </is>
      </c>
      <c r="C2391" t="n">
        <v>6</v>
      </c>
      <c r="D2391" s="3" t="inlineStr">
        <is>
          <t>Masukkan input binary sebagai string dan simpan ke dalam variable "binary_str".</t>
        </is>
      </c>
      <c r="E2391" t="inlineStr">
        <is>
          <t>YA (didukung konteks)</t>
        </is>
      </c>
    </row>
    <row r="2392">
      <c r="A2392" t="n">
        <v>203</v>
      </c>
      <c r="B2392" t="inlineStr">
        <is>
          <t>A</t>
        </is>
      </c>
      <c r="C2392" t="n">
        <v>1</v>
      </c>
      <c r="D2392" s="3" t="inlineStr">
        <is>
          <t>Untuk soal Anda, saya akan membantu membuat pseudocode untuk mencari semua pasangan bilangan dalam array yang jumlahnya sama dengan nilai target K.</t>
        </is>
      </c>
      <c r="E2392" t="inlineStr">
        <is>
          <t>TIDAK (tidak didukung)</t>
        </is>
      </c>
    </row>
    <row r="2393">
      <c r="A2393" t="n">
        <v>203</v>
      </c>
      <c r="B2393" t="inlineStr">
        <is>
          <t>A</t>
        </is>
      </c>
      <c r="C2393" t="n">
        <v>2</v>
      </c>
      <c r="D2393" s="3" t="inlineStr">
        <is>
          <t>Sebelum kita mulai, saya ingin menjelaskan bahwa pseudocode adalah cara informal untuk menuliskan algoritme atau rancangan program komputer.</t>
        </is>
      </c>
      <c r="E2393" t="inlineStr">
        <is>
          <t>YA (didukung konteks)</t>
        </is>
      </c>
    </row>
    <row r="2394">
      <c r="A2394" t="n">
        <v>203</v>
      </c>
      <c r="B2394" t="inlineStr">
        <is>
          <t>A</t>
        </is>
      </c>
      <c r="C2394" t="n">
        <v>3</v>
      </c>
      <c r="D2394" s="3" t="inlineStr">
        <is>
          <t>Saya akan menggunakan istilah teknis yang ada dalam materi referensi di atas dan menjelaskan konsep utama secara langsung dan akurat.</t>
        </is>
      </c>
      <c r="E2394" t="inlineStr">
        <is>
          <t>YA (didukung konteks)</t>
        </is>
      </c>
    </row>
    <row r="2395">
      <c r="A2395" t="n">
        <v>203</v>
      </c>
      <c r="B2395" t="inlineStr">
        <is>
          <t>A</t>
        </is>
      </c>
      <c r="C2395" t="n">
        <v>4</v>
      </c>
      <c r="D2395" s="3" t="inlineStr">
        <is>
          <t>Saya harap pseudocode di atas membantu Anda mencari semua pasangan bilangan dalam array yang jumlahnya sama dengan nilai target K.</t>
        </is>
      </c>
      <c r="E2395" t="inlineStr">
        <is>
          <t>YA (didukung konteks)</t>
        </is>
      </c>
    </row>
    <row r="2396">
      <c r="A2396" t="n">
        <v>203</v>
      </c>
      <c r="B2396" t="inlineStr">
        <is>
          <t>A</t>
        </is>
      </c>
      <c r="C2396" t="n">
        <v>5</v>
      </c>
      <c r="D2396" s="3" t="inlineStr">
        <is>
          <t>print(arr[i], "dan", arr[j])  // Cetak pasangan bilangan yang ditemukan</t>
        </is>
      </c>
      <c r="E2396" t="inlineStr">
        <is>
          <t>YA (didukung konteks)</t>
        </is>
      </c>
    </row>
    <row r="2397">
      <c r="A2397" t="n">
        <v>203</v>
      </c>
      <c r="B2397" t="inlineStr">
        <is>
          <t>A</t>
        </is>
      </c>
      <c r="C2397" t="n">
        <v>6</v>
      </c>
      <c r="D2397" s="3" t="inlineStr">
        <is>
          <t>Contoh: array [1,4,3,2,6,8] dan K=7, pasangannya: (1,6), (3,4).</t>
        </is>
      </c>
      <c r="E2397" t="inlineStr">
        <is>
          <t>TIDAK (tidak didukung)</t>
        </is>
      </c>
    </row>
    <row r="2398">
      <c r="A2398" t="n">
        <v>203</v>
      </c>
      <c r="B2398" t="inlineStr">
        <is>
          <t>B</t>
        </is>
      </c>
      <c r="C2398" t="n">
        <v>1</v>
      </c>
      <c r="D2398" s="3" t="inlineStr">
        <is>
          <t>Dalam pseudocode di atas, fungsi `cariPasangan` mengambil array A dan nilai target K sebagai input, lalu mencari semua pasangan bilangan dalam array yang jumlahnya sama dengan nilai target K.</t>
        </is>
      </c>
      <c r="E2398" t="inlineStr">
        <is>
          <t>TIDAK (tidak didukung)</t>
        </is>
      </c>
    </row>
    <row r="2399">
      <c r="A2399" t="n">
        <v>203</v>
      </c>
      <c r="B2399" t="inlineStr">
        <is>
          <t>B</t>
        </is>
      </c>
      <c r="C2399" t="n">
        <v>2</v>
      </c>
      <c r="D2399" s="3" t="inlineStr">
        <is>
          <t>Saya dapat memberikan pseudocode untuk mencari semua pasangan bilangan dalam array yang jumlahnya sama dengan nilai target K menggunakan pendekatan hash table (O(n)):</t>
        </is>
      </c>
      <c r="E2399" t="inlineStr">
        <is>
          <t>TIDAK (tidak didukung)</t>
        </is>
      </c>
    </row>
    <row r="2400">
      <c r="A2400" t="n">
        <v>203</v>
      </c>
      <c r="B2400" t="inlineStr">
        <is>
          <t>B</t>
        </is>
      </c>
      <c r="C2400" t="n">
        <v>3</v>
      </c>
      <c r="D2400" s="3" t="inlineStr">
        <is>
          <t>- Untuk setiap bilangan dalam array, mencari apakah hash table sudah memiliki key yang nilainya adalah K minus bilangan saat ini (K - a).</t>
        </is>
      </c>
      <c r="E2400" t="inlineStr">
        <is>
          <t>TIDAK (tidak didukung)</t>
        </is>
      </c>
    </row>
    <row r="2401">
      <c r="A2401" t="n">
        <v>203</v>
      </c>
      <c r="B2401" t="inlineStr">
        <is>
          <t>B</t>
        </is>
      </c>
      <c r="C2401" t="n">
        <v>4</v>
      </c>
      <c r="D2401" s="3" t="inlineStr">
        <is>
          <t>Membuat sebuah hash table dengan key sebagai nilai bilangan dan value sebagai list pasangan bilangan yang memiliki nilai tersebut.</t>
        </is>
      </c>
      <c r="E2401" t="inlineStr">
        <is>
          <t>TIDAK (tidak didukung)</t>
        </is>
      </c>
    </row>
    <row r="2402">
      <c r="A2402" t="n">
        <v>203</v>
      </c>
      <c r="B2402" t="inlineStr">
        <is>
          <t>B</t>
        </is>
      </c>
      <c r="C2402" t="n">
        <v>5</v>
      </c>
      <c r="D2402" s="3" t="inlineStr">
        <is>
          <t>- Jika ditemukan, maka itu berarti telah ditemukan pasangan bilangan yang jumlahnya sama dengan nilai target K.</t>
        </is>
      </c>
      <c r="E2402" t="inlineStr">
        <is>
          <t>TIDAK (tidak didukung)</t>
        </is>
      </c>
    </row>
    <row r="2403">
      <c r="A2403" t="n">
        <v>203</v>
      </c>
      <c r="B2403" t="inlineStr">
        <is>
          <t>B</t>
        </is>
      </c>
      <c r="C2403" t="n">
        <v>6</v>
      </c>
      <c r="D2403" s="3" t="inlineStr">
        <is>
          <t>Fungsi ini memiliki kompleksitas O(n), sehingga lebih efisien daripada pendekatan naif O(n²).</t>
        </is>
      </c>
      <c r="E2403" t="inlineStr">
        <is>
          <t>YA (didukung konteks)</t>
        </is>
      </c>
    </row>
    <row r="2404">
      <c r="A2404" t="n">
        <v>204</v>
      </c>
      <c r="B2404" t="inlineStr">
        <is>
          <t>A</t>
        </is>
      </c>
      <c r="C2404" t="n">
        <v>1</v>
      </c>
      <c r="D2404" s="3" t="inlineStr">
        <is>
          <t>Selain itu, dalam dekomposisi masalah pencarian bilangan terbesar dari 49 bilangan, kita dapat menggunakan dekomposisi (divide and conquer) untuk mengurangi kompleksitas problema.</t>
        </is>
      </c>
      <c r="E2404" t="inlineStr">
        <is>
          <t>YA (didukung konteks)</t>
        </is>
      </c>
    </row>
    <row r="2405">
      <c r="A2405" t="n">
        <v>204</v>
      </c>
      <c r="B2405" t="inlineStr">
        <is>
          <t>A</t>
        </is>
      </c>
      <c r="C2405" t="n">
        <v>2</v>
      </c>
      <c r="D2405" s="3" t="inlineStr">
        <is>
          <t>Berdasarkan tipe kognitif Level 4 Mahir/Pragmatis/Global/Reflektif, saya akan menjelaskan bagaimana dekomposisi dapat diterapkan pada konversi Roman numeral ke integer.</t>
        </is>
      </c>
      <c r="E2405" t="inlineStr">
        <is>
          <t>TIDAK (tidak didukung)</t>
        </is>
      </c>
    </row>
    <row r="2406">
      <c r="A2406" t="n">
        <v>204</v>
      </c>
      <c r="B2406" t="inlineStr">
        <is>
          <t>A</t>
        </is>
      </c>
      <c r="C2406" t="n">
        <v>3</v>
      </c>
      <c r="D2406" s="3" t="inlineStr">
        <is>
          <t>Kita menggunakan if-else statement untuk menghandle simbol-simbol Roman numeral dan melakukan penjumlahan atau pengurangan terhadap nilai integer_value.</t>
        </is>
      </c>
      <c r="E2406" t="inlineStr">
        <is>
          <t>YA (didukung konteks)</t>
        </is>
      </c>
    </row>
    <row r="2407">
      <c r="A2407" t="n">
        <v>204</v>
      </c>
      <c r="B2407" t="inlineStr">
        <is>
          <t>A</t>
        </is>
      </c>
      <c r="C2407" t="n">
        <v>4</v>
      </c>
      <c r="D2407" s="3" t="inlineStr">
        <is>
          <t>Dalam jawaban ini, saya menggunakan sintaks teknis yang sesuai dengan materi referensi dan menjelaskan konsep utama secara langsung dan akurat.</t>
        </is>
      </c>
      <c r="E2407" t="inlineStr">
        <is>
          <t>YA (didukung konteks)</t>
        </is>
      </c>
    </row>
    <row r="2408">
      <c r="A2408" t="n">
        <v>204</v>
      </c>
      <c r="B2408" t="inlineStr">
        <is>
          <t>A</t>
        </is>
      </c>
      <c r="C2408" t="n">
        <v>5</v>
      </c>
      <c r="D2408" s="3" t="inlineStr">
        <is>
          <t>Dalam pseudocode di atas, kita menggunakan sintaks yang logis untuk mewakili langkah-langkah proses konversi Roman numeral ke integer.</t>
        </is>
      </c>
      <c r="E2408" t="inlineStr">
        <is>
          <t>TIDAK (tidak didukung)</t>
        </is>
      </c>
    </row>
    <row r="2409">
      <c r="A2409" t="n">
        <v>204</v>
      </c>
      <c r="B2409" t="inlineStr">
        <is>
          <t>A</t>
        </is>
      </c>
      <c r="C2409" t="n">
        <v>6</v>
      </c>
      <c r="D2409" s="3" t="inlineStr">
        <is>
          <t>Dengan menggunakan pseudocode, kita dapat menerjemahkan konsep logika menjadi suatu algoritme yang mudah dipahami dan diterapkan.</t>
        </is>
      </c>
      <c r="E2409" t="inlineStr">
        <is>
          <t>YA (didukung konteks)</t>
        </is>
      </c>
    </row>
    <row r="2410">
      <c r="A2410" t="n">
        <v>204</v>
      </c>
      <c r="B2410" t="inlineStr">
        <is>
          <t>B</t>
        </is>
      </c>
      <c r="C2410" t="n">
        <v>1</v>
      </c>
      <c r="D2410" s="3" t="inlineStr">
        <is>
          <t>Namun, ketika kita menemukan huruf "IX", "IV", "XL", "XC", atau "CD", kita mengurangi nilai yang sesuai dari `nilai` karena aturan pengurangan Roman numeral.</t>
        </is>
      </c>
      <c r="E2410" t="inlineStr">
        <is>
          <t>YA (didukung konteks)</t>
        </is>
      </c>
    </row>
    <row r="2411">
      <c r="A2411" t="n">
        <v>204</v>
      </c>
      <c r="B2411" t="inlineStr">
        <is>
          <t>B</t>
        </is>
      </c>
      <c r="C2411" t="n">
        <v>2</v>
      </c>
      <c r="D2411" s="3" t="inlineStr">
        <is>
          <t>Jika huruf adalah "C", maka nilai ditambahkan dengan 100, kecuali jika terdapat "XC" atau "CD" sebelumnya, maka nilai dikurangi dengan 90 atau 400</t>
        </is>
      </c>
      <c r="E2411" t="inlineStr">
        <is>
          <t>YA (didukung konteks)</t>
        </is>
      </c>
    </row>
    <row r="2412">
      <c r="A2412" t="n">
        <v>204</v>
      </c>
      <c r="B2412" t="inlineStr">
        <is>
          <t>B</t>
        </is>
      </c>
      <c r="C2412" t="n">
        <v>3</v>
      </c>
      <c r="D2412" s="3" t="inlineStr">
        <is>
          <t>Jika huruf adalah "X", maka nilai ditambahkan dengan 10, kecuali jika terdapat "IX" atau "IV" sebelumnya, maka nilai dikurangi dengan 9 atau 4</t>
        </is>
      </c>
      <c r="E2412" t="inlineStr">
        <is>
          <t>YA (didukung konteks)</t>
        </is>
      </c>
    </row>
    <row r="2413">
      <c r="A2413" t="n">
        <v>204</v>
      </c>
      <c r="B2413" t="inlineStr">
        <is>
          <t>B</t>
        </is>
      </c>
      <c r="C2413" t="n">
        <v>4</v>
      </c>
      <c r="D2413" s="3" t="inlineStr">
        <is>
          <t>Jika huruf adalah "D", maka nilai ditambahkan dengan 500, kecuali jika terdapat "CD" sebelumnya, maka nilai dikurangi dengan 400</t>
        </is>
      </c>
      <c r="E2413" t="inlineStr">
        <is>
          <t>YA (didukung konteks)</t>
        </is>
      </c>
    </row>
    <row r="2414">
      <c r="A2414" t="n">
        <v>204</v>
      </c>
      <c r="B2414" t="inlineStr">
        <is>
          <t>B</t>
        </is>
      </c>
      <c r="C2414" t="n">
        <v>5</v>
      </c>
      <c r="D2414" s="3" t="inlineStr">
        <is>
          <t>Jika huruf adalah "L", maka nilai ditambahkan dengan 50, kecuali jika terdapat "XL" sebelumnya, maka nilai dikurangi dengan 40</t>
        </is>
      </c>
      <c r="E2414" t="inlineStr">
        <is>
          <t>YA (didukung konteks)</t>
        </is>
      </c>
    </row>
    <row r="2415">
      <c r="A2415" t="n">
        <v>204</v>
      </c>
      <c r="B2415" t="inlineStr">
        <is>
          <t>B</t>
        </is>
      </c>
      <c r="C2415" t="n">
        <v>6</v>
      </c>
      <c r="D2415" s="3" t="inlineStr">
        <is>
          <t>Jika huruf adalah "V", maka nilai ditambahkan dengan 5, kecuali jika terdapat "I" sebelumnya, maka nilai dikurangi dengan 1</t>
        </is>
      </c>
      <c r="E2415" t="inlineStr">
        <is>
          <t>YA (didukung konteks)</t>
        </is>
      </c>
    </row>
    <row r="2416">
      <c r="A2416" t="n">
        <v>205</v>
      </c>
      <c r="B2416" t="inlineStr">
        <is>
          <t>A</t>
        </is>
      </c>
      <c r="C2416" t="n">
        <v>1</v>
      </c>
      <c r="D2416" s="3" t="inlineStr">
        <is>
          <t>Jadi, dengan menggunakan struktur while loop seperti di atas, kita dapat membuat fungsi yang berhenti ketika selisih suku berikutnya sudah cukup kecil (misal &lt; 0.0001).</t>
        </is>
      </c>
      <c r="E2416" t="inlineStr">
        <is>
          <t>TIDAK (tidak didukung)</t>
        </is>
      </c>
    </row>
    <row r="2417">
      <c r="A2417" t="n">
        <v>205</v>
      </c>
      <c r="B2417" t="inlineStr">
        <is>
          <t>A</t>
        </is>
      </c>
      <c r="C2417" t="n">
        <v>2</v>
      </c>
      <c r="D2417" s="3" t="inlineStr">
        <is>
          <t>Saya akan membantu Anda membuat fungsi untuk menghitung nilai Pi (π) menggunakan deret Leibniz: π/4 = 1 - 1/3 + 1/5 - 1/7 + ...</t>
        </is>
      </c>
      <c r="E2417" t="inlineStr">
        <is>
          <t>TIDAK (tidak didukung)</t>
        </is>
      </c>
    </row>
    <row r="2418">
      <c r="A2418" t="n">
        <v>205</v>
      </c>
      <c r="B2418" t="inlineStr">
        <is>
          <t>A</t>
        </is>
      </c>
      <c r="C2418" t="n">
        <v>3</v>
      </c>
      <c r="D2418" s="3" t="inlineStr">
        <is>
          <t>Loop akan terus berjalan hingga selisih antara jumlah suku dan nilai Pi kurang dari nilai toleransi (`epsilon`).</t>
        </is>
      </c>
      <c r="E2418" t="inlineStr">
        <is>
          <t>TIDAK (tidak didukung)</t>
        </is>
      </c>
    </row>
    <row r="2419">
      <c r="A2419" t="n">
        <v>205</v>
      </c>
      <c r="B2419" t="inlineStr">
        <is>
          <t>A</t>
        </is>
      </c>
      <c r="C2419" t="n">
        <v>4</v>
      </c>
      <c r="D2419" s="3" t="inlineStr">
        <is>
          <t>Dosen minta pseudocode yang berhenti ketika selisih suku berikutnya sudah cukup kecil (misal &lt; 0.0001).</t>
        </is>
      </c>
      <c r="E2419" t="inlineStr">
        <is>
          <t>TIDAK (tidak didukung)</t>
        </is>
      </c>
    </row>
    <row r="2420">
      <c r="A2420" t="n">
        <v>205</v>
      </c>
      <c r="B2420" t="inlineStr">
        <is>
          <t>A</t>
        </is>
      </c>
      <c r="C2420" t="n">
        <v>5</v>
      </c>
      <c r="D2420" s="3" t="inlineStr">
        <is>
          <t>Setelah menambahkan suku deret, loop akan menghitung selisih antara jumlah suku dan nilai Pi.</t>
        </is>
      </c>
      <c r="E2420" t="inlineStr">
        <is>
          <t>TIDAK (tidak didukung)</t>
        </is>
      </c>
    </row>
    <row r="2421">
      <c r="A2421" t="n">
        <v>205</v>
      </c>
      <c r="B2421" t="inlineStr">
        <is>
          <t>A</t>
        </is>
      </c>
      <c r="C2421" t="n">
        <v>6</v>
      </c>
      <c r="D2421" s="3" t="inlineStr">
        <is>
          <t>Jika selisih kurang dari nilai toleransi, maka loop akan berhenti dan mencetak nilai Pi.</t>
        </is>
      </c>
      <c r="E2421" t="inlineStr">
        <is>
          <t>TIDAK (tidak didukung)</t>
        </is>
      </c>
    </row>
    <row r="2422">
      <c r="A2422" t="n">
        <v>205</v>
      </c>
      <c r="B2422" t="inlineStr">
        <is>
          <t>B</t>
        </is>
      </c>
      <c r="C2422" t="n">
        <v>1</v>
      </c>
      <c r="D2422" s="3" t="inlineStr">
        <is>
          <t>Fungsi ini akan berhenti ketika selisih antara suku terbaru dan suku sebelumnya menjadi kurang dari 0.0001, yang artinya kita telah mencapai tingkat akurasi yang diinginkan.</t>
        </is>
      </c>
      <c r="E2422" t="inlineStr">
        <is>
          <t>TIDAK (tidak didukung)</t>
        </is>
      </c>
    </row>
    <row r="2423">
      <c r="A2423" t="n">
        <v>205</v>
      </c>
      <c r="B2423" t="inlineStr">
        <is>
          <t>B</t>
        </is>
      </c>
      <c r="C2423" t="n">
        <v>2</v>
      </c>
      <c r="D2423" s="3" t="inlineStr">
        <is>
          <t>Namun perlu diingat bahwa fungsi ini tidak efektif untuk menghitung nilai Pi karena memerlukan banyak iterasi untuk mencapai tingkat akurasi yang diinginkan.</t>
        </is>
      </c>
      <c r="E2423" t="inlineStr">
        <is>
          <t>YA (didukung konteks)</t>
        </is>
      </c>
    </row>
    <row r="2424">
      <c r="A2424" t="n">
        <v>205</v>
      </c>
      <c r="B2424" t="inlineStr">
        <is>
          <t>B</t>
        </is>
      </c>
      <c r="C2424" t="n">
        <v>3</v>
      </c>
      <c r="D2424" s="3" t="inlineStr">
        <is>
          <t>Deret Leibniz adalah deret yang lambat dalam mengkonvergi ke nilai Pi, sehingga diperlukan banyak suku untuk mendapatkan hasil yang akurat.</t>
        </is>
      </c>
      <c r="E2424" t="inlineStr">
        <is>
          <t>TIDAK (tidak didukung)</t>
        </is>
      </c>
    </row>
    <row r="2425">
      <c r="A2425" t="n">
        <v>205</v>
      </c>
      <c r="B2425" t="inlineStr">
        <is>
          <t>B</t>
        </is>
      </c>
      <c r="C2425" t="n">
        <v>4</v>
      </c>
      <c r="D2425" s="3" t="inlineStr">
        <is>
          <t>Untuk membuat fungsi yang menghitung nilai Pi menggunakan deret Leibniz, kita dapat menggunakan struktur while loop sebagai berikut:</t>
        </is>
      </c>
      <c r="E2425" t="inlineStr">
        <is>
          <t>TIDAK (tidak didukung)</t>
        </is>
      </c>
    </row>
    <row r="2426">
      <c r="A2426" t="n">
        <v>205</v>
      </c>
      <c r="B2426" t="inlineStr">
        <is>
          <t>B</t>
        </is>
      </c>
      <c r="C2426" t="n">
        <v>5</v>
      </c>
      <c r="D2426" s="3" t="inlineStr">
        <is>
          <t>suku_terbaru = -1 / (2 * i + 3) // menghitung suku terbaru</t>
        </is>
      </c>
      <c r="E2426" t="inlineStr">
        <is>
          <t>TIDAK (tidak didukung)</t>
        </is>
      </c>
    </row>
    <row r="2427">
      <c r="A2427" t="n">
        <v>205</v>
      </c>
      <c r="B2427" t="inlineStr">
        <is>
          <t>B</t>
        </is>
      </c>
      <c r="C2427" t="n">
        <v>6</v>
      </c>
      <c r="D2427" s="3" t="inlineStr">
        <is>
          <t>selisih = abs(suku_terbaru - suku_sebelumnya)</t>
        </is>
      </c>
      <c r="E2427" t="inlineStr">
        <is>
          <t>TIDAK (tidak didukung)</t>
        </is>
      </c>
    </row>
    <row r="2428">
      <c r="A2428" t="n">
        <v>206</v>
      </c>
      <c r="B2428" t="inlineStr">
        <is>
          <t>A</t>
        </is>
      </c>
      <c r="C2428" t="n">
        <v>1</v>
      </c>
      <c r="D2428" s="3" t="inlineStr">
        <is>
          <t>Sebagai contoh, jika kita memiliki variabel counter yang berfungsi sebagai penghitung, komentar yang baik dapat menjelaskan bahwa variabel tersebut digunakan untuk menghitung jumlah iterasi dalam loop.</t>
        </is>
      </c>
      <c r="E2428" t="inlineStr">
        <is>
          <t>YA (didukung konteks)</t>
        </is>
      </c>
    </row>
    <row r="2429">
      <c r="A2429" t="n">
        <v>206</v>
      </c>
      <c r="B2429" t="inlineStr">
        <is>
          <t>A</t>
        </is>
      </c>
      <c r="C2429" t="n">
        <v>2</v>
      </c>
      <c r="D2429" s="3" t="inlineStr">
        <is>
          <t>Dalam konteks penulisan pseudocode, komentar yang baik berfungsi sebagai dokumentasi yang menjelaskan "mengapa" suatu variabel atau instruksi dipilih.</t>
        </is>
      </c>
      <c r="E2429" t="inlineStr">
        <is>
          <t>YA (didukung konteks)</t>
        </is>
      </c>
    </row>
    <row r="2430">
      <c r="A2430" t="n">
        <v>206</v>
      </c>
      <c r="B2430" t="inlineStr">
        <is>
          <t>A</t>
        </is>
      </c>
      <c r="C2430" t="n">
        <v>3</v>
      </c>
      <c r="D2430" s="3" t="inlineStr">
        <is>
          <t>Dalam materi referensi, kita dapat melihat contoh penulisan pseudocode yang memiliki komentar yang baik, seperti contoh pada SOAL 1 dan SOAL 2.</t>
        </is>
      </c>
      <c r="E2430" t="inlineStr">
        <is>
          <t>YA (didukung konteks)</t>
        </is>
      </c>
    </row>
    <row r="2431">
      <c r="A2431" t="n">
        <v>206</v>
      </c>
      <c r="B2431" t="inlineStr">
        <is>
          <t>A</t>
        </is>
      </c>
      <c r="C2431" t="n">
        <v>4</v>
      </c>
      <c r="D2431" s="3" t="inlineStr">
        <is>
          <t>Komentar tersebut tidak hanya sekadar menuliskan apa fungsi variabel atau instruksi, tapi juga mengapa mereka diperlukan dalam algoritme.</t>
        </is>
      </c>
      <c r="E2431" t="inlineStr">
        <is>
          <t>YA (didukung konteks)</t>
        </is>
      </c>
    </row>
    <row r="2432">
      <c r="A2432" t="n">
        <v>206</v>
      </c>
      <c r="B2432" t="inlineStr">
        <is>
          <t>A</t>
        </is>
      </c>
      <c r="C2432" t="n">
        <v>5</v>
      </c>
      <c r="D2432" s="3" t="inlineStr">
        <is>
          <t>Komentar tersebut membantu dalam memahami tujuan dan fungsi dari variabel dan instruksi, sehingga membuat algoritme lebih mudah dipahami.</t>
        </is>
      </c>
      <c r="E2432" t="inlineStr">
        <is>
          <t>YA (didukung konteks)</t>
        </is>
      </c>
    </row>
    <row r="2433">
      <c r="A2433" t="n">
        <v>206</v>
      </c>
      <c r="B2433" t="inlineStr">
        <is>
          <t>A</t>
        </is>
      </c>
      <c r="C2433" t="n">
        <v>6</v>
      </c>
      <c r="D2433" s="3" t="inlineStr">
        <is>
          <t>Oleh karena itu, penting untuk menulis komentar yang menjelaskan "mengapa" suatu elemen algoritme dipilih, bukan hanya "apa".</t>
        </is>
      </c>
      <c r="E2433" t="inlineStr">
        <is>
          <t>YA (didukung konteks)</t>
        </is>
      </c>
    </row>
    <row r="2434">
      <c r="A2434" t="n">
        <v>206</v>
      </c>
      <c r="B2434" t="inlineStr">
        <is>
          <t>B</t>
        </is>
      </c>
      <c r="C2434" t="n">
        <v>1</v>
      </c>
      <c r="D2434" s="3" t="inlineStr">
        <is>
          <t>Dalam konteks penulisan pseudocode, komentar yang baik adalah sebuah komentar yang menjelaskan tujuan atau alasan (mengapa) dari kode tersebut, bukan hanya deskripsi (apa) tentang apa yang dilakukan oleh kode.</t>
        </is>
      </c>
      <c r="E2434" t="inlineStr">
        <is>
          <t>YA (didukung konteks)</t>
        </is>
      </c>
    </row>
    <row r="2435">
      <c r="A2435" t="n">
        <v>206</v>
      </c>
      <c r="B2435" t="inlineStr">
        <is>
          <t>B</t>
        </is>
      </c>
      <c r="C2435" t="n">
        <v>2</v>
      </c>
      <c r="D2435" s="3" t="inlineStr">
        <is>
          <t>Sementara dalam pseudocode, komentar yang baik seperti: # digunakan untuk menghitung jumlah iterasi yang telah terjadi, atau # digunakan sebagai penanda awal dan akhir loop.</t>
        </is>
      </c>
      <c r="E2435" t="inlineStr">
        <is>
          <t>YA (didukung konteks)</t>
        </is>
      </c>
    </row>
    <row r="2436">
      <c r="A2436" t="n">
        <v>206</v>
      </c>
      <c r="B2436" t="inlineStr">
        <is>
          <t>B</t>
        </is>
      </c>
      <c r="C2436" t="n">
        <v>3</v>
      </c>
      <c r="D2436" s="3" t="inlineStr">
        <is>
          <t>Ciri khas dari komentar yang baik dalam pseudocode adalah menjelaskan tujuan atau alasan dari kode tersebut, sehingga pembaca dapat memahami logika dan tujuan dari kode.</t>
        </is>
      </c>
      <c r="E2436" t="inlineStr">
        <is>
          <t>YA (didukung konteks)</t>
        </is>
      </c>
    </row>
    <row r="2437">
      <c r="A2437" t="n">
        <v>206</v>
      </c>
      <c r="B2437" t="inlineStr">
        <is>
          <t>B</t>
        </is>
      </c>
      <c r="C2437" t="n">
        <v>4</v>
      </c>
      <c r="D2437" s="3" t="inlineStr">
        <is>
          <t>Dengan demikian, komentar yang baik dalam pseudocode tidak hanya menjelaskan apa yang dilakukan oleh kode, tetapi juga mengapa kode tersebut dibuat.</t>
        </is>
      </c>
      <c r="E2437" t="inlineStr">
        <is>
          <t>YA (didukung konteks)</t>
        </is>
      </c>
    </row>
    <row r="2438">
      <c r="A2438" t="n">
        <v>206</v>
      </c>
      <c r="B2438" t="inlineStr">
        <is>
          <t>B</t>
        </is>
      </c>
      <c r="C2438" t="n">
        <v>5</v>
      </c>
      <c r="D2438" s="3" t="inlineStr">
        <is>
          <t>Oleh karena itu, dalam contoh Anda, komentar yang lebih baik mungkin seperti: # digunakan untuk menghitung jumlah iterasi yang telah terjadi.</t>
        </is>
      </c>
      <c r="E2438" t="inlineStr">
        <is>
          <t>YA (didukung konteks)</t>
        </is>
      </c>
    </row>
    <row r="2439">
      <c r="A2439" t="n">
        <v>206</v>
      </c>
      <c r="B2439" t="inlineStr">
        <is>
          <t>B</t>
        </is>
      </c>
      <c r="C2439" t="n">
        <v>6</v>
      </c>
      <c r="D2439" s="3" t="inlineStr">
        <is>
          <t>Dalam contoh Anda, # ini adalah variabel counter, itu hanyalah deskripsi (apa) tentang apa yang dilakukan oleh variabel counter.</t>
        </is>
      </c>
      <c r="E2439" t="inlineStr">
        <is>
          <t>YA (didukung konteks)</t>
        </is>
      </c>
    </row>
    <row r="2440">
      <c r="A2440" t="n">
        <v>207</v>
      </c>
      <c r="B2440" t="inlineStr">
        <is>
          <t>A</t>
        </is>
      </c>
      <c r="C2440" t="n">
        <v>1</v>
      </c>
      <c r="D2440" s="3" t="inlineStr">
        <is>
          <t>Dengan demikian, prinsip KISS dalam programming adalah implementasi dari abstraksi, salah satu pilar CT yang penting dalam membuat program yang lebih mudah dipahami dan diulang.</t>
        </is>
      </c>
      <c r="E2440" t="inlineStr">
        <is>
          <t>TIDAK (tidak didukung)</t>
        </is>
      </c>
    </row>
    <row r="2441">
      <c r="A2441" t="n">
        <v>207</v>
      </c>
      <c r="B2441" t="inlineStr">
        <is>
          <t>A</t>
        </is>
      </c>
      <c r="C2441" t="n">
        <v>2</v>
      </c>
      <c r="D2441" s="3" t="inlineStr">
        <is>
          <t>Dalam prinsip KISS, kita harus mengurangi kompleksitas kode dan membuatnya lebih sederhana tanpa mengorbankan fungsionalitasnya.</t>
        </is>
      </c>
      <c r="E2441" t="inlineStr">
        <is>
          <t>YA (didukung konteks)</t>
        </is>
      </c>
    </row>
    <row r="2442">
      <c r="A2442" t="n">
        <v>207</v>
      </c>
      <c r="B2442" t="inlineStr">
        <is>
          <t>A</t>
        </is>
      </c>
      <c r="C2442" t="n">
        <v>3</v>
      </c>
      <c r="D2442" s="3" t="inlineStr">
        <is>
          <t>Prinsip 'KISS' (Keep It Simple, Stupid) dalam programming berkaitan dengan pilar Computational Thinking (CT), yaitu abstraksi.</t>
        </is>
      </c>
      <c r="E2442" t="inlineStr">
        <is>
          <t>YA (didukung konteks)</t>
        </is>
      </c>
    </row>
    <row r="2443">
      <c r="A2443" t="n">
        <v>207</v>
      </c>
      <c r="B2443" t="inlineStr">
        <is>
          <t>A</t>
        </is>
      </c>
      <c r="C2443" t="n">
        <v>4</v>
      </c>
      <c r="D2443" s="3" t="inlineStr">
        <is>
          <t>Fungsi ini menggunakan abstraksi untuk memfokuskan pada konsep utama (meong miaw) dan mengabaikan detail-detail lainnya.</t>
        </is>
      </c>
      <c r="E2443" t="inlineStr">
        <is>
          <t>YA (didukung konteks)</t>
        </is>
      </c>
    </row>
    <row r="2444">
      <c r="A2444" t="n">
        <v>207</v>
      </c>
      <c r="B2444" t="inlineStr">
        <is>
          <t>A</t>
        </is>
      </c>
      <c r="C2444" t="n">
        <v>5</v>
      </c>
      <c r="D2444" s="3" t="inlineStr">
        <is>
          <t>Abstraksi adalah proses menghilangkan detail dan memfokuskan pada konsep utama agar lebih mudah dipahami dan digunakan.</t>
        </is>
      </c>
      <c r="E2444" t="inlineStr">
        <is>
          <t>YA (didukung konteks)</t>
        </is>
      </c>
    </row>
    <row r="2445">
      <c r="A2445" t="n">
        <v>207</v>
      </c>
      <c r="B2445" t="inlineStr">
        <is>
          <t>A</t>
        </is>
      </c>
      <c r="C2445" t="n">
        <v>6</v>
      </c>
      <c r="D2445" s="3" t="inlineStr">
        <is>
          <t>Abstraksi memungkinkan programmer untuk mengidentifikasi konsep utama dan mengabaikan detail-detail yang tidak relevan.</t>
        </is>
      </c>
      <c r="E2445" t="inlineStr">
        <is>
          <t>YA (didukung konteks)</t>
        </is>
      </c>
    </row>
    <row r="2446">
      <c r="A2446" t="n">
        <v>207</v>
      </c>
      <c r="B2446" t="inlineStr">
        <is>
          <t>B</t>
        </is>
      </c>
      <c r="C2446" t="n">
        <v>1</v>
      </c>
      <c r="D2446" s="3" t="inlineStr">
        <is>
          <t>Namun, perlu diingat bahwa KISS bukan hanya terkait dengan abstraksi, tapi juga dengan pilar-pilar lain seperti "Encapsulation" (Penghambatan), "Decoupling" (Pemisahan), dan "Single Responsibility Principle" (Hukum Tangg</t>
        </is>
      </c>
      <c r="E2446" t="inlineStr">
        <is>
          <t>TIDAK (tidak didukung)</t>
        </is>
      </c>
    </row>
    <row r="2447">
      <c r="A2447" t="n">
        <v>207</v>
      </c>
      <c r="B2447" t="inlineStr">
        <is>
          <t>B</t>
        </is>
      </c>
      <c r="C2447" t="n">
        <v>2</v>
      </c>
      <c r="D2447" s="3" t="inlineStr">
        <is>
          <t>Prinsip ini menekankan pentingnya sederhanaan dan kemudahan dalam rancangannya, sehingga programmer lain dapat dengan mudah memahami dan mengembangkan kembali kode tersebut.</t>
        </is>
      </c>
      <c r="E2447" t="inlineStr">
        <is>
          <t>YA (didukung konteks)</t>
        </is>
      </c>
    </row>
    <row r="2448">
      <c r="A2448" t="n">
        <v>207</v>
      </c>
      <c r="B2448" t="inlineStr">
        <is>
          <t>B</t>
        </is>
      </c>
      <c r="C2448" t="n">
        <v>3</v>
      </c>
      <c r="D2448" s="3" t="inlineStr">
        <is>
          <t>KISS dapat diimplementasikan sebagai salah satu strategi dalam menerapkan abstraksi, yaitu dengan cara membuat kode menjadi lebih sederhana dan mudah dipahami.</t>
        </is>
      </c>
      <c r="E2448" t="inlineStr">
        <is>
          <t>YA (didukung konteks)</t>
        </is>
      </c>
    </row>
    <row r="2449">
      <c r="A2449" t="n">
        <v>207</v>
      </c>
      <c r="B2449" t="inlineStr">
        <is>
          <t>B</t>
        </is>
      </c>
      <c r="C2449" t="n">
        <v>4</v>
      </c>
      <c r="D2449" s="3" t="inlineStr">
        <is>
          <t>Prinsip "KISS" (Keep It Simple, Stupid) memang dikenal dalam programming dan berkaitan dengan prinsip-prinsip dasar dalam pengembangan software.</t>
        </is>
      </c>
      <c r="E2449" t="inlineStr">
        <is>
          <t>YA (didukung konteks)</t>
        </is>
      </c>
    </row>
    <row r="2450">
      <c r="A2450" t="n">
        <v>207</v>
      </c>
      <c r="B2450" t="inlineStr">
        <is>
          <t>B</t>
        </is>
      </c>
      <c r="C2450" t="n">
        <v>5</v>
      </c>
      <c r="D2450" s="3" t="inlineStr">
        <is>
          <t>Abstraksi berarti membuat sesuatu yang kompleks menjadi lebih sederhana dan mudah dipahami melalui proses penambahan lapisan abstraksi.</t>
        </is>
      </c>
      <c r="E2450" t="inlineStr">
        <is>
          <t>YA (didukung konteks)</t>
        </is>
      </c>
    </row>
    <row r="2451">
      <c r="A2451" t="n">
        <v>207</v>
      </c>
      <c r="B2451" t="inlineStr">
        <is>
          <t>B</t>
        </is>
      </c>
      <c r="C2451" t="n">
        <v>6</v>
      </c>
      <c r="D2451" s="3" t="inlineStr">
        <is>
          <t>Oleh karena itu, KISS dapat diimplementasikan dalam berbagai cara yang sesuai dengan kebutuhan dan desain program.</t>
        </is>
      </c>
      <c r="E2451" t="inlineStr">
        <is>
          <t>YA (didukung konteks)</t>
        </is>
      </c>
    </row>
    <row r="2452">
      <c r="A2452" t="n">
        <v>208</v>
      </c>
      <c r="B2452" t="inlineStr">
        <is>
          <t>A</t>
        </is>
      </c>
      <c r="C2452" t="n">
        <v>1</v>
      </c>
      <c r="D2452" s="3" t="inlineStr">
        <is>
          <t>Dalam konteks ini, tipe kognitif Level 4 Mahir/Teoritis/Global/Reflektif sangat berguna, karena mampu memahami konsep CT secara teoritis dan aplikatif, serta mampu menghubungkan informasi baru dengan informasi lama untuk</t>
        </is>
      </c>
      <c r="E2452" t="inlineStr">
        <is>
          <t>YA (didukung konteks)</t>
        </is>
      </c>
    </row>
    <row r="2453">
      <c r="A2453" t="n">
        <v>208</v>
      </c>
      <c r="B2453" t="inlineStr">
        <is>
          <t>A</t>
        </is>
      </c>
      <c r="C2453" t="n">
        <v>2</v>
      </c>
      <c r="D2453" s="3" t="inlineStr">
        <is>
          <t>Dalam konteks transfer learning, CT memungkinkan kita untuk menggunakan konsep dan solusi yang sudah dipahami sebelumnya pada masalah lain yang serupa.</t>
        </is>
      </c>
      <c r="E2453" t="inlineStr">
        <is>
          <t>YA (didukung konteks)</t>
        </is>
      </c>
    </row>
    <row r="2454">
      <c r="A2454" t="n">
        <v>208</v>
      </c>
      <c r="B2454" t="inlineStr">
        <is>
          <t>A</t>
        </is>
      </c>
      <c r="C2454" t="n">
        <v>3</v>
      </c>
      <c r="D2454" s="3" t="inlineStr">
        <is>
          <t>Dosen bilang salah satu manfaat CT adalah kemampuan 'transfer learning' — solusi untuk satu masalah bisa ditransfer ke masalah serupa.</t>
        </is>
      </c>
      <c r="E2454" t="inlineStr">
        <is>
          <t>YA (didukung konteks)</t>
        </is>
      </c>
    </row>
    <row r="2455">
      <c r="A2455" t="n">
        <v>208</v>
      </c>
      <c r="B2455" t="inlineStr">
        <is>
          <t>A</t>
        </is>
      </c>
      <c r="C2455" t="n">
        <v>4</v>
      </c>
      <c r="D2455" s="3" t="inlineStr">
        <is>
          <t>Pertama, harus memiliki kemampuan berpikir kritis dan analitis untuk memahami konsep dan pola yang terkait dengan masalah.</t>
        </is>
      </c>
      <c r="E2455" t="inlineStr">
        <is>
          <t>YA (didukung konteks)</t>
        </is>
      </c>
    </row>
    <row r="2456">
      <c r="A2456" t="n">
        <v>208</v>
      </c>
      <c r="B2456" t="inlineStr">
        <is>
          <t>A</t>
        </is>
      </c>
      <c r="C2456" t="n">
        <v>5</v>
      </c>
      <c r="D2456" s="3" t="inlineStr">
        <is>
          <t>Kedua, harus memiliki kemampuan menghubungkan informasi baru dengan informasi lama untuk menemukan solusi yang efektif.</t>
        </is>
      </c>
      <c r="E2456" t="inlineStr">
        <is>
          <t>YA (didukung konteks)</t>
        </is>
      </c>
    </row>
    <row r="2457">
      <c r="A2457" t="n">
        <v>208</v>
      </c>
      <c r="B2457" t="inlineStr">
        <is>
          <t>A</t>
        </is>
      </c>
      <c r="C2457" t="n">
        <v>6</v>
      </c>
      <c r="D2457" s="3" t="inlineStr">
        <is>
          <t>Ketiga, perlu dilakukan pengukuran dan evaluasi berkelanjutan untuk memantau kemajuan dan melakukan perbaikan.</t>
        </is>
      </c>
      <c r="E2457" t="inlineStr">
        <is>
          <t>YA (didukung konteks)</t>
        </is>
      </c>
    </row>
    <row r="2458">
      <c r="A2458" t="n">
        <v>208</v>
      </c>
      <c r="B2458" t="inlineStr">
        <is>
          <t>B</t>
        </is>
      </c>
      <c r="C2458" t="n">
        <v>1</v>
      </c>
      <c r="D2458" s="3" t="inlineStr">
        <is>
          <t>Dosen bilang salah satu manfaat CT (Computer Tomography) adalah kemampuan "transfer learning", yaitu solusi untuk satu masalah dapat ditransfer ke masalah serupa, terkait dengan pilar 5 dalam AADP (Artificial Intelligenc</t>
        </is>
      </c>
      <c r="E2458" t="inlineStr">
        <is>
          <t>YA (didukung konteks)</t>
        </is>
      </c>
    </row>
    <row r="2459">
      <c r="A2459" t="n">
        <v>208</v>
      </c>
      <c r="B2459" t="inlineStr">
        <is>
          <t>B</t>
        </is>
      </c>
      <c r="C2459" t="n">
        <v>2</v>
      </c>
      <c r="D2459" s="3" t="inlineStr">
        <is>
          <t>Dengan menggunakan teknik-teknik di atas, maka kemampuan transfer learning dalam CT dapat ditingkatkan dan menjadi lebih efektif dalam menyelesaikan berbagai masalah.</t>
        </is>
      </c>
      <c r="E2459" t="inlineStr">
        <is>
          <t>YA (didukung konteks)</t>
        </is>
      </c>
    </row>
    <row r="2460">
      <c r="A2460" t="n">
        <v>208</v>
      </c>
      <c r="B2460" t="inlineStr">
        <is>
          <t>B</t>
        </is>
      </c>
      <c r="C2460" t="n">
        <v>3</v>
      </c>
      <c r="D2460" s="3" t="inlineStr">
        <is>
          <t>Iterative fine-tuning: Melakukan pelatihan ulang model yang telah dikembangkan sebelumnya pada data baru untuk meningkatkan kemampuan transfer learning.</t>
        </is>
      </c>
      <c r="E2460" t="inlineStr">
        <is>
          <t>YA (didukung konteks)</t>
        </is>
      </c>
    </row>
    <row r="2461">
      <c r="A2461" t="n">
        <v>208</v>
      </c>
      <c r="B2461" t="inlineStr">
        <is>
          <t>B</t>
        </is>
      </c>
      <c r="C2461" t="n">
        <v>4</v>
      </c>
      <c r="D2461" s="3" t="inlineStr">
        <is>
          <t>Model selection: Memilih model yang sesuai untuk masalah yang akan dipecahkan dan memodifikasi model tersebut untuk dapat digunakan pada masalah lain.</t>
        </is>
      </c>
      <c r="E2461" t="inlineStr">
        <is>
          <t>YA (didukung konteks)</t>
        </is>
      </c>
    </row>
    <row r="2462">
      <c r="A2462" t="n">
        <v>208</v>
      </c>
      <c r="B2462" t="inlineStr">
        <is>
          <t>B</t>
        </is>
      </c>
      <c r="C2462" t="n">
        <v>5</v>
      </c>
      <c r="D2462" s="3" t="inlineStr">
        <is>
          <t>Meta-learning: Menguji model dengan berbagai dataset dan scenario, sehingga model dapat belajar dari pengalaman dan dapat ditransfer ke masalah lain.</t>
        </is>
      </c>
      <c r="E2462" t="inlineStr">
        <is>
          <t>YA (didukung konteks)</t>
        </is>
      </c>
    </row>
    <row r="2463">
      <c r="A2463" t="n">
        <v>208</v>
      </c>
      <c r="B2463" t="inlineStr">
        <is>
          <t>B</t>
        </is>
      </c>
      <c r="C2463" t="n">
        <v>6</v>
      </c>
      <c r="D2463" s="3" t="inlineStr">
        <is>
          <t>Data augmentation: Meningkatkan kualitas data dengan cara mengubah, misalnya, warna, skala, atau posisi objek dalam gambar.</t>
        </is>
      </c>
      <c r="E2463" t="inlineStr">
        <is>
          <t>YA (didukung konteks)</t>
        </is>
      </c>
    </row>
    <row r="2464">
      <c r="A2464" t="n">
        <v>209</v>
      </c>
      <c r="B2464" t="inlineStr">
        <is>
          <t>A</t>
        </is>
      </c>
      <c r="C2464" t="n">
        <v>1</v>
      </c>
      <c r="D2464" s="3" t="inlineStr">
        <is>
          <t>Kita harus menggunakan pendekatan CT untuk memecahkan masalah menjadi sub-masalah yang lebih kecil, mencari pattern dan pola, dan mencari solusi parsial yang kemudian digabungkan untuk mendapatkan solusi keseluruhan.</t>
        </is>
      </c>
      <c r="E2464" t="inlineStr">
        <is>
          <t>YA (didukung konteks)</t>
        </is>
      </c>
    </row>
    <row r="2465">
      <c r="A2465" t="n">
        <v>209</v>
      </c>
      <c r="B2465" t="inlineStr">
        <is>
          <t>A</t>
        </is>
      </c>
      <c r="C2465" t="n">
        <v>2</v>
      </c>
      <c r="D2465" s="3" t="inlineStr">
        <is>
          <t>Pada awalnya, mungkin terlihat bahwa debugging kode tidak langsung terkait dengan dekomposisi dan pattern recognition seperti yang diceritakan oleh dosen Anda.</t>
        </is>
      </c>
      <c r="E2465" t="inlineStr">
        <is>
          <t>YA (didukung konteks)</t>
        </is>
      </c>
    </row>
    <row r="2466">
      <c r="A2466" t="n">
        <v>209</v>
      </c>
      <c r="B2466" t="inlineStr">
        <is>
          <t>A</t>
        </is>
      </c>
      <c r="C2466" t="n">
        <v>3</v>
      </c>
      <c r="D2466" s="3" t="inlineStr">
        <is>
          <t>Namun, melalui pendekatan Computational Thinking (CT), kita dapat memahami bagaimana debugging kode sebenarnya aplikasi dekomposisi dan pattern recognition.</t>
        </is>
      </c>
      <c r="E2466" t="inlineStr">
        <is>
          <t>YA (didukung konteks)</t>
        </is>
      </c>
    </row>
    <row r="2467">
      <c r="A2467" t="n">
        <v>209</v>
      </c>
      <c r="B2467" t="inlineStr">
        <is>
          <t>A</t>
        </is>
      </c>
      <c r="C2467" t="n">
        <v>4</v>
      </c>
      <c r="D2467" s="3" t="inlineStr">
        <is>
          <t>Dalam hal debugging kode, kita dapat menggunakan pendekatan CT untuk menemukan pattern dan pola dalam kode yang tidak berfungsi sebagaimana mestinya.</t>
        </is>
      </c>
      <c r="E2467" t="inlineStr">
        <is>
          <t>YA (didukung konteks)</t>
        </is>
      </c>
    </row>
    <row r="2468">
      <c r="A2468" t="n">
        <v>209</v>
      </c>
      <c r="B2468" t="inlineStr">
        <is>
          <t>A</t>
        </is>
      </c>
      <c r="C2468" t="n">
        <v>5</v>
      </c>
      <c r="D2468" s="3" t="inlineStr">
        <is>
          <t>Kita akan menganalisis setiap baris kode, memecahkan masalah menjadi sub-masalah yang lebih kecil, dan mencari solusi parsial.</t>
        </is>
      </c>
      <c r="E2468" t="inlineStr">
        <is>
          <t>YA (didukung konteks)</t>
        </is>
      </c>
    </row>
    <row r="2469">
      <c r="A2469" t="n">
        <v>209</v>
      </c>
      <c r="B2469" t="inlineStr">
        <is>
          <t>A</t>
        </is>
      </c>
      <c r="C2469" t="n">
        <v>6</v>
      </c>
      <c r="D2469" s="3" t="inlineStr">
        <is>
          <t>Dalam proses debugging, kita harus mengidentifikasi masalah besar menjadi sub-masalah yang lebih kecil dan mudah ditangani.</t>
        </is>
      </c>
      <c r="E2469" t="inlineStr">
        <is>
          <t>YA (didukung konteks)</t>
        </is>
      </c>
    </row>
    <row r="2470">
      <c r="A2470" t="n">
        <v>209</v>
      </c>
      <c r="B2470" t="inlineStr">
        <is>
          <t>B</t>
        </is>
      </c>
      <c r="C2470" t="n">
        <v>1</v>
      </c>
      <c r="D2470" s="3" t="inlineStr">
        <is>
          <t>Dekomposisi memungkinkan kita untuk memahami bagian-bagian kecil dari suatu sistem, sementara pattern recognition memungkinkan kita untuk mengenali pola-pola yang tersembunyi di balik data.</t>
        </is>
      </c>
      <c r="E2470" t="inlineStr">
        <is>
          <t>YA (didukung konteks)</t>
        </is>
      </c>
    </row>
    <row r="2471">
      <c r="A2471" t="n">
        <v>209</v>
      </c>
      <c r="B2471" t="inlineStr">
        <is>
          <t>B</t>
        </is>
      </c>
      <c r="C2471" t="n">
        <v>2</v>
      </c>
      <c r="D2471" s="3" t="inlineStr">
        <is>
          <t>Debugging, seperti yang disebutkan oleh dosen Anda, sebenarnya memiliki keterkaitan dengan Cognitive Training (CT) yang melibatkan dua kemampuan utama: dekomposisi dan pattern recognition.</t>
        </is>
      </c>
      <c r="E2471" t="inlineStr">
        <is>
          <t>YA (didukung konteks)</t>
        </is>
      </c>
    </row>
    <row r="2472">
      <c r="A2472" t="n">
        <v>209</v>
      </c>
      <c r="B2472" t="inlineStr">
        <is>
          <t>B</t>
        </is>
      </c>
      <c r="C2472" t="n">
        <v>3</v>
      </c>
      <c r="D2472" s="3" t="inlineStr">
        <is>
          <t>Pattern recognition: Mencari pola-pola yang tersembunyi di dalam kode, seperti error message, behavior aplikasi, atau keterkaitan antara variabel.</t>
        </is>
      </c>
      <c r="E2472" t="inlineStr">
        <is>
          <t>YA (didukung konteks)</t>
        </is>
      </c>
    </row>
    <row r="2473">
      <c r="A2473" t="n">
        <v>209</v>
      </c>
      <c r="B2473" t="inlineStr">
        <is>
          <t>B</t>
        </is>
      </c>
      <c r="C2473" t="n">
        <v>4</v>
      </c>
      <c r="D2473" s="3" t="inlineStr">
        <is>
          <t>Dalam debugging, kita harus membagi kode menjadi bagian-bagian kecil (dekomposisi) untuk memahami bagaimana mereka berinteraksi.</t>
        </is>
      </c>
      <c r="E2473" t="inlineStr">
        <is>
          <t>YA (didukung konteks)</t>
        </is>
      </c>
    </row>
    <row r="2474">
      <c r="A2474" t="n">
        <v>209</v>
      </c>
      <c r="B2474" t="inlineStr">
        <is>
          <t>B</t>
        </is>
      </c>
      <c r="C2474" t="n">
        <v>5</v>
      </c>
      <c r="D2474" s="3" t="inlineStr">
        <is>
          <t>Analisis: Mengumpulkan informasi dari dekomposisi dan pattern recognition untuk menemukan sumber error dan melakukan perbaikan.</t>
        </is>
      </c>
      <c r="E2474" t="inlineStr">
        <is>
          <t>YA (didukung konteks)</t>
        </is>
      </c>
    </row>
    <row r="2475">
      <c r="A2475" t="n">
        <v>209</v>
      </c>
      <c r="B2475" t="inlineStr">
        <is>
          <t>B</t>
        </is>
      </c>
      <c r="C2475" t="n">
        <v>6</v>
      </c>
      <c r="D2475" s="3" t="inlineStr">
        <is>
          <t>Dengan demikian, debugging dapat dipandang sebagai contoh bagaimana CT dapat digunakan dalam memecahkan masalah yang kompleks.</t>
        </is>
      </c>
      <c r="E2475" t="inlineStr">
        <is>
          <t>YA (didukung konteks)</t>
        </is>
      </c>
    </row>
    <row r="2476">
      <c r="A2476" t="n">
        <v>210</v>
      </c>
      <c r="B2476" t="inlineStr">
        <is>
          <t>A</t>
        </is>
      </c>
      <c r="C2476" t="n">
        <v>1</v>
      </c>
      <c r="D2476" s="3" t="inlineStr">
        <is>
          <t>Dengan menggunakan dekomposisi, kita dapat memahami bagaimana masalah dapat dipecahkan menjadi sub-masalah yang lebih kecil, sehingga membuatnya lebih mudah untuk dianalisis dan diselesaikan.</t>
        </is>
      </c>
      <c r="E2476" t="inlineStr">
        <is>
          <t>YA (didukung konteks)</t>
        </is>
      </c>
    </row>
    <row r="2477">
      <c r="A2477" t="n">
        <v>210</v>
      </c>
      <c r="B2477" t="inlineStr">
        <is>
          <t>A</t>
        </is>
      </c>
      <c r="C2477" t="n">
        <v>2</v>
      </c>
      <c r="D2477" s="3" t="inlineStr">
        <is>
          <t>Berdasarkan materi referensi, saya dapat katakan bahwa pilar atau konsep mana yang paling fundamental dan menjadi landasan dari semua konsep lainnya adalah DEKOMPOSISI.</t>
        </is>
      </c>
      <c r="E2477" t="inlineStr">
        <is>
          <t>YA (didukung konteks)</t>
        </is>
      </c>
    </row>
    <row r="2478">
      <c r="A2478" t="n">
        <v>210</v>
      </c>
      <c r="B2478" t="inlineStr">
        <is>
          <t>A</t>
        </is>
      </c>
      <c r="C2478" t="n">
        <v>3</v>
      </c>
      <c r="D2478" s="3" t="inlineStr">
        <is>
          <t>Dalam konteks ini, dekomposisi menjadi landasan dari semua konsep lainnya, termasuk abstraksi, pattern recognition, algoritme, struktur data, dan kompleksitas.</t>
        </is>
      </c>
      <c r="E2478" t="inlineStr">
        <is>
          <t>YA (didukung konteks)</t>
        </is>
      </c>
    </row>
    <row r="2479">
      <c r="A2479" t="n">
        <v>210</v>
      </c>
      <c r="B2479" t="inlineStr">
        <is>
          <t>A</t>
        </is>
      </c>
      <c r="C2479" t="n">
        <v>4</v>
      </c>
      <c r="D2479" s="3" t="inlineStr">
        <is>
          <t>Dalam sintesis, saya dapat katakan bahwa dekomposisi adalah konsep fundamental Computational Thinking yang menjadi landasan dari semua konsep lainnya.</t>
        </is>
      </c>
      <c r="E2479" t="inlineStr">
        <is>
          <t>YA (didukung konteks)</t>
        </is>
      </c>
    </row>
    <row r="2480">
      <c r="A2480" t="n">
        <v>210</v>
      </c>
      <c r="B2480" t="inlineStr">
        <is>
          <t>A</t>
        </is>
      </c>
      <c r="C2480" t="n">
        <v>5</v>
      </c>
      <c r="D2480" s="3" t="inlineStr">
        <is>
          <t>Dalam CT, dekomposisi digunakan sebagai dasar untuk menganalisis masalah, mengidentifikasi pattern, serta merancang algoritme dan struktur data.</t>
        </is>
      </c>
      <c r="E2480" t="inlineStr">
        <is>
          <t>YA (didukung konteks)</t>
        </is>
      </c>
    </row>
    <row r="2481">
      <c r="A2481" t="n">
        <v>210</v>
      </c>
      <c r="B2481" t="inlineStr">
        <is>
          <t>A</t>
        </is>
      </c>
      <c r="C2481" t="n">
        <v>6</v>
      </c>
      <c r="D2481" s="3" t="inlineStr">
        <is>
          <t>Sebelum menjawab pertanyaan Anda, saya akan memahami konsep fundamental Computational Thinking (CT) yang diajarkan di IPB.</t>
        </is>
      </c>
      <c r="E2481" t="inlineStr">
        <is>
          <t>YA (didukung konteks)</t>
        </is>
      </c>
    </row>
    <row r="2482">
      <c r="A2482" t="n">
        <v>210</v>
      </c>
      <c r="B2482" t="inlineStr">
        <is>
          <t>B</t>
        </is>
      </c>
      <c r="C2482" t="n">
        <v>1</v>
      </c>
      <c r="D2482" s="3" t="inlineStr">
        <is>
          <t>Oleh karena itu, dekomposisi dapat dianggap sebagai pilar atau konsep yang paling fundamental dan menjadi landasan dari semua konsep lainnya dalam mata kuliah Komputasi Teknologi (CT) di IPB.</t>
        </is>
      </c>
      <c r="E2482" t="inlineStr">
        <is>
          <t>YA (didukung konteks)</t>
        </is>
      </c>
    </row>
    <row r="2483">
      <c r="A2483" t="n">
        <v>210</v>
      </c>
      <c r="B2483" t="inlineStr">
        <is>
          <t>B</t>
        </is>
      </c>
      <c r="C2483" t="n">
        <v>2</v>
      </c>
      <c r="D2483" s="3" t="inlineStr">
        <is>
          <t>Menurut materi Komputasi Teknologi (CT) di Institut Pertanian Bogor (IPB), pilar atau konsep yang paling fundamental dan menjadi landasan dari semua konsep lainnya adalah dekomposisi.</t>
        </is>
      </c>
      <c r="E2483" t="inlineStr">
        <is>
          <t>YA (didukung konteks)</t>
        </is>
      </c>
    </row>
    <row r="2484">
      <c r="A2484" t="n">
        <v>210</v>
      </c>
      <c r="B2484" t="inlineStr">
        <is>
          <t>B</t>
        </is>
      </c>
      <c r="C2484" t="n">
        <v>3</v>
      </c>
      <c r="D2484" s="3" t="inlineStr">
        <is>
          <t>Dalam CT, dekomposisi digunakan sebagai dasar untuk memahami konsep-konsep lainnya seperti abstraksi, pattern recognition, algoritme, struktur data, dan kompleksitas.</t>
        </is>
      </c>
      <c r="E2484" t="inlineStr">
        <is>
          <t>YA (didukung konteks)</t>
        </is>
      </c>
    </row>
    <row r="2485">
      <c r="A2485" t="n">
        <v>210</v>
      </c>
      <c r="B2485" t="inlineStr">
        <is>
          <t>B</t>
        </is>
      </c>
      <c r="C2485" t="n">
        <v>4</v>
      </c>
      <c r="D2485" s="3" t="inlineStr">
        <is>
          <t>Dekomposisi membantu dalam mengurai suatu masalah menjadi bagian-bagian yang lebih mudah dipahami dan dapat dianalisis.</t>
        </is>
      </c>
      <c r="E2485" t="inlineStr">
        <is>
          <t>YA (didukung konteks)</t>
        </is>
      </c>
    </row>
    <row r="2486">
      <c r="A2486" t="n">
        <v>210</v>
      </c>
      <c r="B2486" t="inlineStr">
        <is>
          <t>B</t>
        </is>
      </c>
      <c r="C2486" t="n">
        <v>5</v>
      </c>
      <c r="D2486" s="3" t="inlineStr">
        <is>
          <t>Dekomposisi adalah proses mengurai suatu masalah atau sistem menjadi bagian-bagian yang lebih kecil dan sederhana.</t>
        </is>
      </c>
      <c r="E2486" t="inlineStr">
        <is>
          <t>YA (didukung konteks)</t>
        </is>
      </c>
    </row>
    <row r="2487">
      <c r="A2487" t="n">
        <v>210</v>
      </c>
      <c r="B2487" t="inlineStr">
        <is>
          <t>B</t>
        </is>
      </c>
      <c r="C2487" t="n">
        <v>6</v>
      </c>
      <c r="D2487" s="3" t="inlineStr">
        <is>
          <t>Dengan demikian, dekomposisi memungkinkan siswa-siswi CT untuk memahami konsep-konsep lainnya dengan lebih baik.</t>
        </is>
      </c>
      <c r="E2487" t="inlineStr">
        <is>
          <t>YA (didukung konteks)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0" customWidth="1" min="3" max="3"/>
  </cols>
  <sheetData>
    <row r="1">
      <c r="A1" s="1" t="inlineStr">
        <is>
          <t>jenis</t>
        </is>
      </c>
      <c r="B1" s="1" t="inlineStr">
        <is>
          <t>frasa</t>
        </is>
      </c>
      <c r="C1" s="1" t="inlineStr">
        <is>
          <t>keterangan</t>
        </is>
      </c>
    </row>
    <row r="2">
      <c r="A2" t="inlineStr">
        <is>
          <t>Uncertainty</t>
        </is>
      </c>
      <c r="B2" t="inlineStr">
        <is>
          <t>saya tidak yakin</t>
        </is>
      </c>
      <c r="C2" s="3" t="inlineStr">
        <is>
          <t>Memicu komponen Uncertainty = 0,20 (biner) pada Persamaan 18. Leksikon revisi pasca-sidang — lihat evaluation/lexicon.py</t>
        </is>
      </c>
    </row>
    <row r="3">
      <c r="A3" t="inlineStr">
        <is>
          <t>Uncertainty</t>
        </is>
      </c>
      <c r="B3" t="inlineStr">
        <is>
          <t>saya kurang yakin</t>
        </is>
      </c>
      <c r="C3" s="3" t="inlineStr">
        <is>
          <t>Memicu komponen Uncertainty = 0,20 (biner) pada Persamaan 18. Leksikon revisi pasca-sidang — lihat evaluation/lexicon.py</t>
        </is>
      </c>
    </row>
    <row r="4">
      <c r="A4" t="inlineStr">
        <is>
          <t>Uncertainty</t>
        </is>
      </c>
      <c r="B4" t="inlineStr">
        <is>
          <t>saya tidak tahu</t>
        </is>
      </c>
      <c r="C4" s="3" t="inlineStr">
        <is>
          <t>Memicu komponen Uncertainty = 0,20 (biner) pada Persamaan 18. Leksikon revisi pasca-sidang — lihat evaluation/lexicon.py</t>
        </is>
      </c>
    </row>
    <row r="5">
      <c r="A5" t="inlineStr">
        <is>
          <t>Uncertainty</t>
        </is>
      </c>
      <c r="B5" t="inlineStr">
        <is>
          <t>saya kurang tahu</t>
        </is>
      </c>
      <c r="C5" s="3" t="inlineStr">
        <is>
          <t>Memicu komponen Uncertainty = 0,20 (biner) pada Persamaan 18. Leksikon revisi pasca-sidang — lihat evaluation/lexicon.py</t>
        </is>
      </c>
    </row>
    <row r="6">
      <c r="A6" t="inlineStr">
        <is>
          <t>Uncertainty</t>
        </is>
      </c>
      <c r="B6" t="inlineStr">
        <is>
          <t>saya tidak memiliki informasi</t>
        </is>
      </c>
      <c r="C6" s="3" t="inlineStr">
        <is>
          <t>Memicu komponen Uncertainty = 0,20 (biner) pada Persamaan 18. Leksikon revisi pasca-sidang — lihat evaluation/lexicon.py</t>
        </is>
      </c>
    </row>
    <row r="7">
      <c r="A7" t="inlineStr">
        <is>
          <t>Uncertainty</t>
        </is>
      </c>
      <c r="B7" t="inlineStr">
        <is>
          <t>belum pasti</t>
        </is>
      </c>
      <c r="C7" s="3" t="inlineStr">
        <is>
          <t>Memicu komponen Uncertainty = 0,20 (biner) pada Persamaan 18. Leksikon revisi pasca-sidang — lihat evaluation/lexicon.py</t>
        </is>
      </c>
    </row>
    <row r="8">
      <c r="A8" t="inlineStr">
        <is>
          <t>Uncertainty</t>
        </is>
      </c>
      <c r="B8" t="inlineStr">
        <is>
          <t>tidak pasti</t>
        </is>
      </c>
      <c r="C8" s="3" t="inlineStr">
        <is>
          <t>Memicu komponen Uncertainty = 0,20 (biner) pada Persamaan 18. Leksikon revisi pasca-sidang — lihat evaluation/lexicon.py</t>
        </is>
      </c>
    </row>
    <row r="9">
      <c r="A9" t="inlineStr">
        <is>
          <t>Uncertainty</t>
        </is>
      </c>
      <c r="B9" t="inlineStr">
        <is>
          <t>belum dapat dipastikan</t>
        </is>
      </c>
      <c r="C9" s="3" t="inlineStr">
        <is>
          <t>Memicu komponen Uncertainty = 0,20 (biner) pada Persamaan 18. Leksikon revisi pasca-sidang — lihat evaluation/lexicon.py</t>
        </is>
      </c>
    </row>
    <row r="10">
      <c r="A10" t="inlineStr">
        <is>
          <t>Uncertainty</t>
        </is>
      </c>
      <c r="B10" t="inlineStr">
        <is>
          <t>tidak dapat dipastikan</t>
        </is>
      </c>
      <c r="C10" s="3" t="inlineStr">
        <is>
          <t>Memicu komponen Uncertainty = 0,20 (biner) pada Persamaan 18. Leksikon revisi pasca-sidang — lihat evaluation/lexicon.py</t>
        </is>
      </c>
    </row>
    <row r="11">
      <c r="A11" t="inlineStr">
        <is>
          <t>Uncertainty</t>
        </is>
      </c>
      <c r="B11" t="inlineStr">
        <is>
          <t>belum jelas</t>
        </is>
      </c>
      <c r="C11" s="3" t="inlineStr">
        <is>
          <t>Memicu komponen Uncertainty = 0,20 (biner) pada Persamaan 18. Leksikon revisi pasca-sidang — lihat evaluation/lexicon.py</t>
        </is>
      </c>
    </row>
    <row r="12">
      <c r="A12" t="inlineStr">
        <is>
          <t>Uncertainty</t>
        </is>
      </c>
      <c r="B12" t="inlineStr">
        <is>
          <t>kurang jelas apakah</t>
        </is>
      </c>
      <c r="C12" s="3" t="inlineStr">
        <is>
          <t>Memicu komponen Uncertainty = 0,20 (biner) pada Persamaan 18. Leksikon revisi pasca-sidang — lihat evaluation/lexicon.py</t>
        </is>
      </c>
    </row>
    <row r="13">
      <c r="A13" t="inlineStr">
        <is>
          <t>Uncertainty</t>
        </is>
      </c>
      <c r="B13" t="inlineStr">
        <is>
          <t>mungkin</t>
        </is>
      </c>
      <c r="C13" s="3" t="inlineStr">
        <is>
          <t>Memicu komponen Uncertainty = 0,20 (biner) pada Persamaan 18. Leksikon revisi pasca-sidang — lihat evaluation/lexicon.py</t>
        </is>
      </c>
    </row>
    <row r="14">
      <c r="A14" t="inlineStr">
        <is>
          <t>Uncertainty</t>
        </is>
      </c>
      <c r="B14" t="inlineStr">
        <is>
          <t>mungkin saja</t>
        </is>
      </c>
      <c r="C14" s="3" t="inlineStr">
        <is>
          <t>Memicu komponen Uncertainty = 0,20 (biner) pada Persamaan 18. Leksikon revisi pasca-sidang — lihat evaluation/lexicon.py</t>
        </is>
      </c>
    </row>
    <row r="15">
      <c r="A15" t="inlineStr">
        <is>
          <t>Uncertainty</t>
        </is>
      </c>
      <c r="B15" t="inlineStr">
        <is>
          <t>kemungkinan</t>
        </is>
      </c>
      <c r="C15" s="3" t="inlineStr">
        <is>
          <t>Memicu komponen Uncertainty = 0,20 (biner) pada Persamaan 18. Leksikon revisi pasca-sidang — lihat evaluation/lexicon.py</t>
        </is>
      </c>
    </row>
    <row r="16">
      <c r="A16" t="inlineStr">
        <is>
          <t>Uncertainty</t>
        </is>
      </c>
      <c r="B16" t="inlineStr">
        <is>
          <t>kemungkinan besar</t>
        </is>
      </c>
      <c r="C16" s="3" t="inlineStr">
        <is>
          <t>Memicu komponen Uncertainty = 0,20 (biner) pada Persamaan 18. Leksikon revisi pasca-sidang — lihat evaluation/lexicon.py</t>
        </is>
      </c>
    </row>
    <row r="17">
      <c r="A17" t="inlineStr">
        <is>
          <t>Uncertainty</t>
        </is>
      </c>
      <c r="B17" t="inlineStr">
        <is>
          <t>bisa jadi</t>
        </is>
      </c>
      <c r="C17" s="3" t="inlineStr">
        <is>
          <t>Memicu komponen Uncertainty = 0,20 (biner) pada Persamaan 18. Leksikon revisi pasca-sidang — lihat evaluation/lexicon.py</t>
        </is>
      </c>
    </row>
    <row r="18">
      <c r="A18" t="inlineStr">
        <is>
          <t>Uncertainty</t>
        </is>
      </c>
      <c r="B18" t="inlineStr">
        <is>
          <t>boleh jadi</t>
        </is>
      </c>
      <c r="C18" s="3" t="inlineStr">
        <is>
          <t>Memicu komponen Uncertainty = 0,20 (biner) pada Persamaan 18. Leksikon revisi pasca-sidang — lihat evaluation/lexicon.py</t>
        </is>
      </c>
    </row>
    <row r="19">
      <c r="A19" t="inlineStr">
        <is>
          <t>Uncertainty</t>
        </is>
      </c>
      <c r="B19" t="inlineStr">
        <is>
          <t>barangkali</t>
        </is>
      </c>
      <c r="C19" s="3" t="inlineStr">
        <is>
          <t>Memicu komponen Uncertainty = 0,20 (biner) pada Persamaan 18. Leksikon revisi pasca-sidang — lihat evaluation/lexicon.py</t>
        </is>
      </c>
    </row>
    <row r="20">
      <c r="A20" t="inlineStr">
        <is>
          <t>Uncertainty</t>
        </is>
      </c>
      <c r="B20" t="inlineStr">
        <is>
          <t>diperkirakan</t>
        </is>
      </c>
      <c r="C20" s="3" t="inlineStr">
        <is>
          <t>Memicu komponen Uncertainty = 0,20 (biner) pada Persamaan 18. Leksikon revisi pasca-sidang — lihat evaluation/lexicon.py</t>
        </is>
      </c>
    </row>
    <row r="21">
      <c r="A21" t="inlineStr">
        <is>
          <t>Uncertainty</t>
        </is>
      </c>
      <c r="B21" t="inlineStr">
        <is>
          <t>diduga</t>
        </is>
      </c>
      <c r="C21" s="3" t="inlineStr">
        <is>
          <t>Memicu komponen Uncertainty = 0,20 (biner) pada Persamaan 18. Leksikon revisi pasca-sidang — lihat evaluation/lexicon.py</t>
        </is>
      </c>
    </row>
    <row r="22">
      <c r="A22" t="inlineStr">
        <is>
          <t>Uncertainty</t>
        </is>
      </c>
      <c r="B22" t="inlineStr">
        <is>
          <t>sepertinya</t>
        </is>
      </c>
      <c r="C22" s="3" t="inlineStr">
        <is>
          <t>Memicu komponen Uncertainty = 0,20 (biner) pada Persamaan 18. Leksikon revisi pasca-sidang — lihat evaluation/lexicon.py</t>
        </is>
      </c>
    </row>
    <row r="23">
      <c r="A23" t="inlineStr">
        <is>
          <t>Uncertainty</t>
        </is>
      </c>
      <c r="B23" t="inlineStr">
        <is>
          <t>tampaknya</t>
        </is>
      </c>
      <c r="C23" s="3" t="inlineStr">
        <is>
          <t>Memicu komponen Uncertainty = 0,20 (biner) pada Persamaan 18. Leksikon revisi pasca-sidang — lihat evaluation/lexicon.py</t>
        </is>
      </c>
    </row>
    <row r="24">
      <c r="A24" t="inlineStr">
        <is>
          <t>Uncertainty</t>
        </is>
      </c>
      <c r="B24" t="inlineStr">
        <is>
          <t>kelihatannya</t>
        </is>
      </c>
      <c r="C24" s="3" t="inlineStr">
        <is>
          <t>Memicu komponen Uncertainty = 0,20 (biner) pada Persamaan 18. Leksikon revisi pasca-sidang — lihat evaluation/lexicon.py</t>
        </is>
      </c>
    </row>
    <row r="25">
      <c r="A25" t="inlineStr">
        <is>
          <t>Uncertainty</t>
        </is>
      </c>
      <c r="B25" t="inlineStr">
        <is>
          <t>agaknya</t>
        </is>
      </c>
      <c r="C25" s="3" t="inlineStr">
        <is>
          <t>Memicu komponen Uncertainty = 0,20 (biner) pada Persamaan 18. Leksikon revisi pasca-sidang — lihat evaluation/lexicon.py</t>
        </is>
      </c>
    </row>
    <row r="26">
      <c r="A26" t="inlineStr">
        <is>
          <t>Uncertainty</t>
        </is>
      </c>
      <c r="B26" t="inlineStr">
        <is>
          <t>i'm not sure</t>
        </is>
      </c>
      <c r="C26" s="3" t="inlineStr">
        <is>
          <t>Memicu komponen Uncertainty = 0,20 (biner) pada Persamaan 18. Leksikon revisi pasca-sidang — lihat evaluation/lexicon.py</t>
        </is>
      </c>
    </row>
    <row r="27">
      <c r="A27" t="inlineStr">
        <is>
          <t>Uncertainty</t>
        </is>
      </c>
      <c r="B27" t="inlineStr">
        <is>
          <t>i am not sure</t>
        </is>
      </c>
      <c r="C27" s="3" t="inlineStr">
        <is>
          <t>Memicu komponen Uncertainty = 0,20 (biner) pada Persamaan 18. Leksikon revisi pasca-sidang — lihat evaluation/lexicon.py</t>
        </is>
      </c>
    </row>
    <row r="28">
      <c r="A28" t="inlineStr">
        <is>
          <t>Uncertainty</t>
        </is>
      </c>
      <c r="B28" t="inlineStr">
        <is>
          <t>not sure</t>
        </is>
      </c>
      <c r="C28" s="3" t="inlineStr">
        <is>
          <t>Memicu komponen Uncertainty = 0,20 (biner) pada Persamaan 18. Leksikon revisi pasca-sidang — lihat evaluation/lexicon.py</t>
        </is>
      </c>
    </row>
    <row r="29">
      <c r="A29" t="inlineStr">
        <is>
          <t>Uncertainty</t>
        </is>
      </c>
      <c r="B29" t="inlineStr">
        <is>
          <t>uncertain</t>
        </is>
      </c>
      <c r="C29" s="3" t="inlineStr">
        <is>
          <t>Memicu komponen Uncertainty = 0,20 (biner) pada Persamaan 18. Leksikon revisi pasca-sidang — lihat evaluation/lexicon.py</t>
        </is>
      </c>
    </row>
    <row r="30">
      <c r="A30" t="inlineStr">
        <is>
          <t>Uncertainty</t>
        </is>
      </c>
      <c r="B30" t="inlineStr">
        <is>
          <t>it seems</t>
        </is>
      </c>
      <c r="C30" s="3" t="inlineStr">
        <is>
          <t>Memicu komponen Uncertainty = 0,20 (biner) pada Persamaan 18. Leksikon revisi pasca-sidang — lihat evaluation/lexicon.py</t>
        </is>
      </c>
    </row>
    <row r="31">
      <c r="A31" t="inlineStr">
        <is>
          <t>Uncertainty</t>
        </is>
      </c>
      <c r="B31" t="inlineStr">
        <is>
          <t>it appears</t>
        </is>
      </c>
      <c r="C31" s="3" t="inlineStr">
        <is>
          <t>Memicu komponen Uncertainty = 0,20 (biner) pada Persamaan 18. Leksikon revisi pasca-sidang — lihat evaluation/lexicon.py</t>
        </is>
      </c>
    </row>
    <row r="32">
      <c r="A32" t="inlineStr">
        <is>
          <t>Uncertainty</t>
        </is>
      </c>
      <c r="B32" t="inlineStr">
        <is>
          <t>perhaps</t>
        </is>
      </c>
      <c r="C32" s="3" t="inlineStr">
        <is>
          <t>Memicu komponen Uncertainty = 0,20 (biner) pada Persamaan 18. Leksikon revisi pasca-sidang — lihat evaluation/lexicon.py</t>
        </is>
      </c>
    </row>
    <row r="33">
      <c r="A33" t="inlineStr">
        <is>
          <t>Uncertainty</t>
        </is>
      </c>
      <c r="B33" t="inlineStr">
        <is>
          <t>possibly</t>
        </is>
      </c>
      <c r="C33" s="3" t="inlineStr">
        <is>
          <t>Memicu komponen Uncertainty = 0,20 (biner) pada Persamaan 18. Leksikon revisi pasca-sidang — lihat evaluation/lexicon.py</t>
        </is>
      </c>
    </row>
    <row r="34">
      <c r="A34" t="inlineStr">
        <is>
          <t>Uncertainty</t>
        </is>
      </c>
      <c r="B34" t="inlineStr">
        <is>
          <t>probably</t>
        </is>
      </c>
      <c r="C34" s="3" t="inlineStr">
        <is>
          <t>Memicu komponen Uncertainty = 0,20 (biner) pada Persamaan 18. Leksikon revisi pasca-sidang — lihat evaluation/lexicon.py</t>
        </is>
      </c>
    </row>
    <row r="35">
      <c r="A35" t="inlineStr">
        <is>
          <t>Uncertainty</t>
        </is>
      </c>
      <c r="B35" t="inlineStr">
        <is>
          <t>might be</t>
        </is>
      </c>
      <c r="C35" s="3" t="inlineStr">
        <is>
          <t>Memicu komponen Uncertainty = 0,20 (biner) pada Persamaan 18. Leksikon revisi pasca-sidang — lihat evaluation/lexicon.py</t>
        </is>
      </c>
    </row>
    <row r="36">
      <c r="A36" t="inlineStr">
        <is>
          <t>Uncertainty</t>
        </is>
      </c>
      <c r="B36" t="inlineStr">
        <is>
          <t>may be</t>
        </is>
      </c>
      <c r="C36" s="3" t="inlineStr">
        <is>
          <t>Memicu komponen Uncertainty = 0,20 (biner) pada Persamaan 18. Leksikon revisi pasca-sidang — lihat evaluation/lexicon.py</t>
        </is>
      </c>
    </row>
    <row r="37">
      <c r="A37" t="inlineStr">
        <is>
          <t>Uncertainty</t>
        </is>
      </c>
      <c r="B37" t="inlineStr">
        <is>
          <t>presumably</t>
        </is>
      </c>
      <c r="C37" s="3" t="inlineStr">
        <is>
          <t>Memicu komponen Uncertainty = 0,20 (biner) pada Persamaan 18. Leksikon revisi pasca-sidang — lihat evaluation/lexicon.py</t>
        </is>
      </c>
    </row>
    <row r="38">
      <c r="A38" t="inlineStr">
        <is>
          <t>Contradiction</t>
        </is>
      </c>
      <c r="B38" t="inlineStr">
        <is>
          <t>tidak benar</t>
        </is>
      </c>
      <c r="C38" s="3" t="inlineStr">
        <is>
          <t>Dihitung sebagai proporsi kalimat berfrasa kontradiksi kuat pada Persamaan 18. Leksikon revisi pasca-sidang — lihat evaluation/lexicon.py</t>
        </is>
      </c>
    </row>
    <row r="39">
      <c r="A39" t="inlineStr">
        <is>
          <t>Contradiction</t>
        </is>
      </c>
      <c r="B39" t="inlineStr">
        <is>
          <t>sebenarnya salah</t>
        </is>
      </c>
      <c r="C39" s="3" t="inlineStr">
        <is>
          <t>Dihitung sebagai proporsi kalimat berfrasa kontradiksi kuat pada Persamaan 18. Leksikon revisi pasca-sidang — lihat evaluation/lexicon.py</t>
        </is>
      </c>
    </row>
    <row r="40">
      <c r="A40" t="inlineStr">
        <is>
          <t>Contradiction</t>
        </is>
      </c>
      <c r="B40" t="inlineStr">
        <is>
          <t>salah besar</t>
        </is>
      </c>
      <c r="C40" s="3" t="inlineStr">
        <is>
          <t>Dihitung sebagai proporsi kalimat berfrasa kontradiksi kuat pada Persamaan 18. Leksikon revisi pasca-sidang — lihat evaluation/lexicon.py</t>
        </is>
      </c>
    </row>
    <row r="41">
      <c r="A41" t="inlineStr">
        <is>
          <t>Contradiction</t>
        </is>
      </c>
      <c r="B41" t="inlineStr">
        <is>
          <t>salah kaprah</t>
        </is>
      </c>
      <c r="C41" s="3" t="inlineStr">
        <is>
          <t>Dihitung sebagai proporsi kalimat berfrasa kontradiksi kuat pada Persamaan 18. Leksikon revisi pasca-sidang — lihat evaluation/lexicon.py</t>
        </is>
      </c>
    </row>
    <row r="42">
      <c r="A42" t="inlineStr">
        <is>
          <t>Contradiction</t>
        </is>
      </c>
      <c r="B42" t="inlineStr">
        <is>
          <t>keliru</t>
        </is>
      </c>
      <c r="C42" s="3" t="inlineStr">
        <is>
          <t>Dihitung sebagai proporsi kalimat berfrasa kontradiksi kuat pada Persamaan 18. Leksikon revisi pasca-sidang — lihat evaluation/lexicon.py</t>
        </is>
      </c>
    </row>
    <row r="43">
      <c r="A43" t="inlineStr">
        <is>
          <t>Contradiction</t>
        </is>
      </c>
      <c r="B43" t="inlineStr">
        <is>
          <t>bukan demikian</t>
        </is>
      </c>
      <c r="C43" s="3" t="inlineStr">
        <is>
          <t>Dihitung sebagai proporsi kalimat berfrasa kontradiksi kuat pada Persamaan 18. Leksikon revisi pasca-sidang — lihat evaluation/lexicon.py</t>
        </is>
      </c>
    </row>
    <row r="44">
      <c r="A44" t="inlineStr">
        <is>
          <t>Contradiction</t>
        </is>
      </c>
      <c r="B44" t="inlineStr">
        <is>
          <t>tidak demikian</t>
        </is>
      </c>
      <c r="C44" s="3" t="inlineStr">
        <is>
          <t>Dihitung sebagai proporsi kalimat berfrasa kontradiksi kuat pada Persamaan 18. Leksikon revisi pasca-sidang — lihat evaluation/lexicon.py</t>
        </is>
      </c>
    </row>
    <row r="45">
      <c r="A45" t="inlineStr">
        <is>
          <t>Contradiction</t>
        </is>
      </c>
      <c r="B45" t="inlineStr">
        <is>
          <t>menyesatkan</t>
        </is>
      </c>
      <c r="C45" s="3" t="inlineStr">
        <is>
          <t>Dihitung sebagai proporsi kalimat berfrasa kontradiksi kuat pada Persamaan 18. Leksikon revisi pasca-sidang — lihat evaluation/lexicon.py</t>
        </is>
      </c>
    </row>
    <row r="46">
      <c r="A46" t="inlineStr">
        <is>
          <t>Contradiction</t>
        </is>
      </c>
      <c r="B46" t="inlineStr">
        <is>
          <t>anggapan itu salah</t>
        </is>
      </c>
      <c r="C46" s="3" t="inlineStr">
        <is>
          <t>Dihitung sebagai proporsi kalimat berfrasa kontradiksi kuat pada Persamaan 18. Leksikon revisi pasca-sidang — lihat evaluation/lexicon.py</t>
        </is>
      </c>
    </row>
    <row r="47">
      <c r="A47" t="inlineStr">
        <is>
          <t>Contradiction</t>
        </is>
      </c>
      <c r="B47" t="inlineStr">
        <is>
          <t>pernyataan itu salah</t>
        </is>
      </c>
      <c r="C47" s="3" t="inlineStr">
        <is>
          <t>Dihitung sebagai proporsi kalimat berfrasa kontradiksi kuat pada Persamaan 18. Leksikon revisi pasca-sidang — lihat evaluation/lexicon.py</t>
        </is>
      </c>
    </row>
    <row r="48">
      <c r="A48" t="inlineStr">
        <is>
          <t>Contradiction</t>
        </is>
      </c>
      <c r="B48" t="inlineStr">
        <is>
          <t>justru sebaliknya</t>
        </is>
      </c>
      <c r="C48" s="3" t="inlineStr">
        <is>
          <t>Dihitung sebagai proporsi kalimat berfrasa kontradiksi kuat pada Persamaan 18. Leksikon revisi pasca-sidang — lihat evaluation/lexicon.py</t>
        </is>
      </c>
    </row>
    <row r="49">
      <c r="A49" t="inlineStr">
        <is>
          <t>Contradiction</t>
        </is>
      </c>
      <c r="B49" t="inlineStr">
        <is>
          <t>yang benar adalah</t>
        </is>
      </c>
      <c r="C49" s="3" t="inlineStr">
        <is>
          <t>Dihitung sebagai proporsi kalimat berfrasa kontradiksi kuat pada Persamaan 18. Leksikon revisi pasca-sidang — lihat evaluation/lexicon.py</t>
        </is>
      </c>
    </row>
    <row r="50">
      <c r="A50" t="inlineStr">
        <is>
          <t>Contradiction</t>
        </is>
      </c>
      <c r="B50" t="inlineStr">
        <is>
          <t>bertentangan dengan</t>
        </is>
      </c>
      <c r="C50" s="3" t="inlineStr">
        <is>
          <t>Dihitung sebagai proporsi kalimat berfrasa kontradiksi kuat pada Persamaan 18. Leksikon revisi pasca-sidang — lihat evaluation/lexicon.py</t>
        </is>
      </c>
    </row>
    <row r="51">
      <c r="A51" t="inlineStr">
        <is>
          <t>Contradiction</t>
        </is>
      </c>
      <c r="B51" t="inlineStr">
        <is>
          <t>bertolak belakang</t>
        </is>
      </c>
      <c r="C51" s="3" t="inlineStr">
        <is>
          <t>Dihitung sebagai proporsi kalimat berfrasa kontradiksi kuat pada Persamaan 18. Leksikon revisi pasca-sidang — lihat evaluation/lexicon.py</t>
        </is>
      </c>
    </row>
    <row r="52">
      <c r="A52" t="inlineStr">
        <is>
          <t>Contradiction</t>
        </is>
      </c>
      <c r="B52" t="inlineStr">
        <is>
          <t>berlawanan dengan</t>
        </is>
      </c>
      <c r="C52" s="3" t="inlineStr">
        <is>
          <t>Dihitung sebagai proporsi kalimat berfrasa kontradiksi kuat pada Persamaan 18. Leksikon revisi pasca-sidang — lihat evaluation/lexicon.py</t>
        </is>
      </c>
    </row>
    <row r="53">
      <c r="A53" t="inlineStr">
        <is>
          <t>Contradiction</t>
        </is>
      </c>
      <c r="B53" t="inlineStr">
        <is>
          <t>kontradiksi</t>
        </is>
      </c>
      <c r="C53" s="3" t="inlineStr">
        <is>
          <t>Dihitung sebagai proporsi kalimat berfrasa kontradiksi kuat pada Persamaan 18. Leksikon revisi pasca-sidang — lihat evaluation/lexicon.py</t>
        </is>
      </c>
    </row>
    <row r="54">
      <c r="A54" t="inlineStr">
        <is>
          <t>Contradiction</t>
        </is>
      </c>
      <c r="B54" t="inlineStr">
        <is>
          <t>kontradiktif</t>
        </is>
      </c>
      <c r="C54" s="3" t="inlineStr">
        <is>
          <t>Dihitung sebagai proporsi kalimat berfrasa kontradiksi kuat pada Persamaan 18. Leksikon revisi pasca-sidang — lihat evaluation/lexicon.py</t>
        </is>
      </c>
    </row>
    <row r="55">
      <c r="A55" t="inlineStr">
        <is>
          <t>Contradiction</t>
        </is>
      </c>
      <c r="B55" t="inlineStr">
        <is>
          <t>tidak konsisten</t>
        </is>
      </c>
      <c r="C55" s="3" t="inlineStr">
        <is>
          <t>Dihitung sebagai proporsi kalimat berfrasa kontradiksi kuat pada Persamaan 18. Leksikon revisi pasca-sidang — lihat evaluation/lexicon.py</t>
        </is>
      </c>
    </row>
    <row r="56">
      <c r="A56" t="inlineStr">
        <is>
          <t>Contradiction</t>
        </is>
      </c>
      <c r="B56" t="inlineStr">
        <is>
          <t>contradicts</t>
        </is>
      </c>
      <c r="C56" s="3" t="inlineStr">
        <is>
          <t>Dihitung sebagai proporsi kalimat berfrasa kontradiksi kuat pada Persamaan 18. Leksikon revisi pasca-sidang — lihat evaluation/lexicon.py</t>
        </is>
      </c>
    </row>
    <row r="57">
      <c r="A57" t="inlineStr">
        <is>
          <t>Contradiction</t>
        </is>
      </c>
      <c r="B57" t="inlineStr">
        <is>
          <t>contradiction</t>
        </is>
      </c>
      <c r="C57" s="3" t="inlineStr">
        <is>
          <t>Dihitung sebagai proporsi kalimat berfrasa kontradiksi kuat pada Persamaan 18. Leksikon revisi pasca-sidang — lihat evaluation/lexicon.py</t>
        </is>
      </c>
    </row>
    <row r="58">
      <c r="A58" t="inlineStr">
        <is>
          <t>Contradiction</t>
        </is>
      </c>
      <c r="B58" t="inlineStr">
        <is>
          <t>on the contrary</t>
        </is>
      </c>
      <c r="C58" s="3" t="inlineStr">
        <is>
          <t>Dihitung sebagai proporsi kalimat berfrasa kontradiksi kuat pada Persamaan 18. Leksikon revisi pasca-sidang — lihat evaluation/lexicon.py</t>
        </is>
      </c>
    </row>
    <row r="59">
      <c r="A59" t="inlineStr">
        <is>
          <t>Contradiction</t>
        </is>
      </c>
      <c r="B59" t="inlineStr">
        <is>
          <t>that is incorrect</t>
        </is>
      </c>
      <c r="C59" s="3" t="inlineStr">
        <is>
          <t>Dihitung sebagai proporsi kalimat berfrasa kontradiksi kuat pada Persamaan 18. Leksikon revisi pasca-sidang — lihat evaluation/lexicon.py</t>
        </is>
      </c>
    </row>
    <row r="60">
      <c r="A60" t="inlineStr">
        <is>
          <t>Contradiction</t>
        </is>
      </c>
      <c r="B60" t="inlineStr">
        <is>
          <t>this is wrong</t>
        </is>
      </c>
      <c r="C60" s="3" t="inlineStr">
        <is>
          <t>Dihitung sebagai proporsi kalimat berfrasa kontradiksi kuat pada Persamaan 18. Leksikon revisi pasca-sidang — lihat evaluation/lexicon.py</t>
        </is>
      </c>
    </row>
    <row r="61">
      <c r="A61" t="inlineStr">
        <is>
          <t>Contradiction</t>
        </is>
      </c>
      <c r="B61" t="inlineStr">
        <is>
          <t>actually false</t>
        </is>
      </c>
      <c r="C61" s="3" t="inlineStr">
        <is>
          <t>Dihitung sebagai proporsi kalimat berfrasa kontradiksi kuat pada Persamaan 18. Leksikon revisi pasca-sidang — lihat evaluation/lexicon.py</t>
        </is>
      </c>
    </row>
    <row r="62">
      <c r="A62" t="inlineStr">
        <is>
          <t>Contradiction</t>
        </is>
      </c>
      <c r="B62" t="inlineStr">
        <is>
          <t>inconsistent with</t>
        </is>
      </c>
      <c r="C62" s="3" t="inlineStr">
        <is>
          <t>Dihitung sebagai proporsi kalimat berfrasa kontradiksi kuat pada Persamaan 18. Leksikon revisi pasca-sidang — lihat evaluation/lexicon.py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2026-07-19T14:31:18Z</dcterms:created>
  <dcterms:modified xsi:type="dcterms:W3CDTF">2026-07-19T14:31:19Z</dcterms:modified>
</cp:coreProperties>
</file>